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China National Petroleum Corporation\China National Petroleum Corporation\data\"/>
    </mc:Choice>
  </mc:AlternateContent>
  <xr:revisionPtr revIDLastSave="0" documentId="13_ncr:1_{DC592F00-5D40-47D2-8AB1-42A7CEB15378}" xr6:coauthVersionLast="47" xr6:coauthVersionMax="47" xr10:uidLastSave="{00000000-0000-0000-0000-000000000000}"/>
  <bookViews>
    <workbookView xWindow="-110" yWindow="-110" windowWidth="25820" windowHeight="15500" tabRatio="875" xr2:uid="{00000000-000D-0000-FFFF-FFFF00000000}"/>
  </bookViews>
  <sheets>
    <sheet name="一体化营销活动看版" sheetId="55" r:id="rId1"/>
    <sheet name="会员权益包" sheetId="50" r:id="rId2"/>
    <sheet name="加油换购（统建）" sheetId="54" r:id="rId3"/>
    <sheet name="非非促销（统建）" sheetId="45" r:id="rId4"/>
    <sheet name="LNG+CNG" sheetId="51" r:id="rId5"/>
    <sheet name="参考1-非非促销（个性化促销）" sheetId="47" r:id="rId6"/>
    <sheet name="参考2-9.9元商品专区" sheetId="49" r:id="rId7"/>
    <sheet name="参考3-会员生日&amp;省区特色专用券范围" sheetId="53" r:id="rId8"/>
    <sheet name="参考4-“一卡通”销售站点明细" sheetId="57" r:id="rId9"/>
  </sheets>
  <externalReferences>
    <externalReference r:id="rId10"/>
    <externalReference r:id="rId11"/>
  </externalReferences>
  <definedNames>
    <definedName name="_xlnm._FilterDatabase" localSheetId="5" hidden="1">'参考1-非非促销（个性化促销）'!$A$32:$P$32</definedName>
    <definedName name="_xlnm._FilterDatabase" localSheetId="6" hidden="1">'参考2-9.9元商品专区'!$A$3:$O$185</definedName>
    <definedName name="_xlnm._FilterDatabase" localSheetId="7" hidden="1">'参考3-会员生日&amp;省区特色专用券范围'!$A$3:$N$174</definedName>
    <definedName name="_xlnm._FilterDatabase" localSheetId="3" hidden="1">'非非促销（统建）'!$A$4:$K$28</definedName>
    <definedName name="_xlnm._FilterDatabase" localSheetId="0" hidden="1">一体化营销活动看版!#REF!</definedName>
    <definedName name="_xlnm.Print_Titles" localSheetId="3">'非非促销（统建）'!$11:$11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53" l="1"/>
  <c r="K197" i="49"/>
  <c r="K196" i="49"/>
  <c r="K195" i="49"/>
  <c r="K194" i="49"/>
  <c r="K193" i="49"/>
  <c r="K192" i="49"/>
  <c r="K191" i="49"/>
  <c r="K190" i="49"/>
  <c r="K189" i="49"/>
  <c r="K188" i="49"/>
  <c r="K187" i="49"/>
  <c r="K186" i="49"/>
  <c r="K185" i="49"/>
  <c r="K184" i="49"/>
  <c r="K183" i="49"/>
  <c r="K182" i="49"/>
  <c r="K181" i="49"/>
  <c r="K180" i="49"/>
  <c r="K179" i="49"/>
  <c r="K178" i="49"/>
  <c r="K177" i="49"/>
  <c r="K176" i="49"/>
  <c r="K175" i="49"/>
  <c r="K174" i="49"/>
  <c r="K173" i="49"/>
  <c r="K172" i="49"/>
  <c r="K171" i="49"/>
  <c r="K170" i="49"/>
  <c r="K169" i="49"/>
  <c r="K168" i="49"/>
  <c r="K167" i="49"/>
  <c r="K166" i="49"/>
  <c r="K165" i="49"/>
  <c r="K164" i="49"/>
  <c r="K163" i="49"/>
  <c r="K162" i="49"/>
  <c r="K161" i="49"/>
  <c r="K160" i="49"/>
  <c r="K159" i="49"/>
  <c r="K158" i="49"/>
  <c r="K157" i="49"/>
  <c r="K156" i="49"/>
  <c r="K155" i="49"/>
  <c r="K154" i="49"/>
  <c r="K153" i="49"/>
  <c r="K152" i="49"/>
  <c r="K151" i="49"/>
  <c r="K150" i="49"/>
  <c r="K149" i="49"/>
  <c r="K148" i="49"/>
  <c r="K147" i="49"/>
  <c r="K146" i="49"/>
  <c r="K145" i="49"/>
  <c r="K144" i="49"/>
  <c r="K143" i="49"/>
  <c r="K142" i="49"/>
  <c r="K141" i="49"/>
  <c r="F141" i="49"/>
  <c r="K140" i="49"/>
  <c r="K139" i="49"/>
  <c r="K138" i="49"/>
  <c r="K137" i="49"/>
  <c r="K136" i="49"/>
  <c r="K135" i="49"/>
  <c r="K134" i="49"/>
  <c r="K133" i="49"/>
  <c r="K132" i="49"/>
  <c r="K131" i="49"/>
  <c r="K130" i="49"/>
  <c r="K129" i="49"/>
  <c r="K128" i="49"/>
  <c r="K127" i="49"/>
  <c r="K126" i="49"/>
  <c r="K125" i="49"/>
  <c r="K124" i="49"/>
  <c r="K123" i="49"/>
  <c r="K122" i="49"/>
  <c r="K121" i="49"/>
  <c r="K120" i="49"/>
  <c r="K119" i="49"/>
  <c r="K118" i="49"/>
  <c r="K117" i="49"/>
  <c r="K116" i="49"/>
  <c r="K115" i="49"/>
  <c r="K114" i="49"/>
  <c r="K113" i="49"/>
  <c r="K112" i="49"/>
  <c r="K111" i="49"/>
  <c r="K110" i="49"/>
  <c r="K109" i="49"/>
  <c r="K108" i="49"/>
  <c r="K107" i="49"/>
  <c r="K106" i="49"/>
  <c r="K105" i="49"/>
  <c r="K104" i="49"/>
  <c r="K103" i="49"/>
  <c r="K102" i="49"/>
  <c r="K101" i="49"/>
  <c r="K100" i="49"/>
  <c r="K99" i="49"/>
  <c r="K98" i="49"/>
  <c r="K97" i="49"/>
  <c r="K96" i="49"/>
  <c r="K95" i="49"/>
  <c r="K94" i="49"/>
  <c r="K93" i="49"/>
  <c r="K92" i="49"/>
  <c r="K91" i="49"/>
  <c r="K90" i="49"/>
  <c r="K89" i="49"/>
  <c r="K88" i="49"/>
  <c r="K87" i="49"/>
  <c r="K86" i="49"/>
  <c r="K85" i="49"/>
  <c r="K84" i="49"/>
  <c r="K83" i="49"/>
  <c r="K82" i="49"/>
  <c r="K81" i="49"/>
  <c r="K80" i="49"/>
  <c r="K79" i="49"/>
  <c r="K78" i="49"/>
  <c r="K77" i="49"/>
  <c r="K76" i="49"/>
  <c r="K75" i="49"/>
  <c r="K74" i="49"/>
  <c r="K73" i="49"/>
  <c r="K72" i="49"/>
  <c r="K71" i="49"/>
  <c r="K70" i="49"/>
  <c r="K69" i="49"/>
  <c r="K68" i="49"/>
  <c r="K67" i="49"/>
  <c r="F67" i="49"/>
  <c r="K66" i="49"/>
  <c r="F66" i="49"/>
  <c r="K65" i="49"/>
  <c r="F65" i="49"/>
  <c r="K64" i="49"/>
  <c r="K63" i="49"/>
  <c r="K62" i="49"/>
  <c r="K61" i="49"/>
  <c r="K60" i="49"/>
  <c r="K59" i="49"/>
  <c r="K58" i="49"/>
  <c r="K57" i="49"/>
  <c r="K56" i="49"/>
  <c r="K55" i="49"/>
  <c r="K54" i="49"/>
  <c r="K53" i="49"/>
  <c r="K52" i="49"/>
  <c r="K51" i="49"/>
  <c r="K50" i="49"/>
  <c r="K49" i="49"/>
  <c r="K48" i="49"/>
  <c r="K47" i="49"/>
  <c r="K46" i="49"/>
  <c r="K45" i="49"/>
  <c r="K44" i="49"/>
  <c r="K43" i="49"/>
  <c r="K42" i="49"/>
  <c r="K41" i="49"/>
  <c r="K40" i="49"/>
  <c r="K39" i="49"/>
  <c r="K38" i="49"/>
  <c r="K37" i="49"/>
  <c r="K36" i="49"/>
  <c r="K35" i="49"/>
  <c r="K34" i="49"/>
  <c r="K33" i="49"/>
  <c r="K32" i="49"/>
  <c r="K31" i="49"/>
  <c r="K30" i="49"/>
  <c r="K29" i="49"/>
  <c r="K28" i="49"/>
  <c r="K27" i="49"/>
  <c r="K26" i="49"/>
  <c r="K25" i="49"/>
  <c r="K24" i="49"/>
  <c r="K23" i="49"/>
  <c r="K22" i="49"/>
  <c r="K21" i="49"/>
  <c r="K20" i="49"/>
  <c r="K19" i="49"/>
  <c r="K18" i="49"/>
  <c r="K17" i="49"/>
  <c r="K16" i="49"/>
  <c r="K15" i="49"/>
  <c r="K14" i="49"/>
  <c r="K13" i="49"/>
  <c r="K12" i="49"/>
  <c r="K11" i="49"/>
  <c r="K10" i="49"/>
  <c r="K9" i="49"/>
  <c r="K8" i="49"/>
  <c r="K7" i="49"/>
  <c r="K6" i="49"/>
  <c r="K5" i="49"/>
  <c r="K4" i="49"/>
  <c r="P514" i="47"/>
  <c r="O514" i="47"/>
  <c r="F514" i="47"/>
  <c r="P513" i="47"/>
  <c r="O513" i="47"/>
  <c r="F513" i="47"/>
  <c r="P512" i="47"/>
  <c r="O512" i="47"/>
  <c r="F512" i="47"/>
  <c r="P511" i="47"/>
  <c r="O511" i="47"/>
  <c r="F511" i="47"/>
  <c r="P510" i="47"/>
  <c r="O510" i="47"/>
  <c r="F510" i="47"/>
  <c r="P509" i="47"/>
  <c r="O509" i="47"/>
  <c r="F509" i="47"/>
  <c r="P508" i="47"/>
  <c r="O508" i="47"/>
  <c r="F508" i="47"/>
  <c r="P507" i="47"/>
  <c r="O507" i="47"/>
  <c r="F507" i="47"/>
  <c r="P506" i="47"/>
  <c r="O506" i="47"/>
  <c r="F506" i="47"/>
  <c r="P505" i="47"/>
  <c r="O505" i="47"/>
  <c r="F505" i="47"/>
  <c r="P504" i="47"/>
  <c r="O504" i="47"/>
  <c r="F504" i="47"/>
  <c r="P503" i="47"/>
  <c r="O503" i="47"/>
  <c r="F503" i="47"/>
  <c r="P502" i="47"/>
  <c r="O502" i="47"/>
  <c r="F502" i="47"/>
  <c r="P501" i="47"/>
  <c r="O501" i="47"/>
  <c r="F501" i="47"/>
  <c r="P500" i="47"/>
  <c r="O500" i="47"/>
  <c r="F500" i="47"/>
  <c r="P499" i="47"/>
  <c r="O499" i="47"/>
  <c r="F499" i="47"/>
  <c r="P498" i="47"/>
  <c r="O498" i="47"/>
  <c r="F498" i="47"/>
  <c r="P497" i="47"/>
  <c r="O497" i="47"/>
  <c r="F497" i="47"/>
  <c r="P496" i="47"/>
  <c r="O496" i="47"/>
  <c r="F496" i="47"/>
  <c r="P495" i="47"/>
  <c r="O495" i="47"/>
  <c r="F495" i="47"/>
  <c r="P494" i="47"/>
  <c r="O494" i="47"/>
  <c r="F494" i="47"/>
  <c r="P493" i="47"/>
  <c r="O493" i="47"/>
  <c r="F493" i="47"/>
  <c r="P492" i="47"/>
  <c r="O492" i="47"/>
  <c r="F492" i="47"/>
  <c r="P491" i="47"/>
  <c r="O491" i="47"/>
  <c r="F491" i="47"/>
  <c r="P490" i="47"/>
  <c r="O490" i="47"/>
  <c r="F490" i="47"/>
  <c r="P489" i="47"/>
  <c r="O489" i="47"/>
  <c r="F489" i="47"/>
  <c r="P488" i="47"/>
  <c r="O488" i="47"/>
  <c r="F488" i="47"/>
  <c r="P487" i="47"/>
  <c r="O487" i="47"/>
  <c r="F487" i="47"/>
  <c r="P486" i="47"/>
  <c r="O486" i="47"/>
  <c r="F486" i="47"/>
  <c r="P485" i="47"/>
  <c r="O485" i="47"/>
  <c r="F485" i="47"/>
  <c r="P484" i="47"/>
  <c r="O484" i="47"/>
  <c r="F484" i="47"/>
  <c r="P483" i="47"/>
  <c r="O483" i="47"/>
  <c r="F483" i="47"/>
  <c r="P482" i="47"/>
  <c r="O482" i="47"/>
  <c r="F482" i="47"/>
  <c r="P481" i="47"/>
  <c r="O481" i="47"/>
  <c r="F481" i="47"/>
  <c r="P480" i="47"/>
  <c r="O480" i="47"/>
  <c r="F480" i="47"/>
  <c r="P479" i="47"/>
  <c r="O479" i="47"/>
  <c r="F479" i="47"/>
  <c r="P478" i="47"/>
  <c r="O478" i="47"/>
  <c r="F478" i="47"/>
  <c r="P477" i="47"/>
  <c r="O477" i="47"/>
  <c r="F477" i="47"/>
  <c r="P476" i="47"/>
  <c r="O476" i="47"/>
  <c r="F476" i="47"/>
  <c r="P475" i="47"/>
  <c r="O475" i="47"/>
  <c r="F475" i="47"/>
  <c r="P474" i="47"/>
  <c r="O474" i="47"/>
  <c r="F474" i="47"/>
  <c r="P473" i="47"/>
  <c r="O473" i="47"/>
  <c r="F473" i="47"/>
  <c r="P472" i="47"/>
  <c r="O472" i="47"/>
  <c r="F472" i="47"/>
  <c r="P471" i="47"/>
  <c r="O471" i="47"/>
  <c r="F471" i="47"/>
  <c r="P470" i="47"/>
  <c r="O470" i="47"/>
  <c r="F470" i="47"/>
  <c r="P469" i="47"/>
  <c r="O469" i="47"/>
  <c r="F469" i="47"/>
  <c r="P468" i="47"/>
  <c r="O468" i="47"/>
  <c r="F468" i="47"/>
  <c r="P467" i="47"/>
  <c r="O467" i="47"/>
  <c r="F467" i="47"/>
  <c r="P466" i="47"/>
  <c r="O466" i="47"/>
  <c r="F466" i="47"/>
  <c r="P465" i="47"/>
  <c r="O465" i="47"/>
  <c r="K465" i="47"/>
  <c r="P464" i="47"/>
  <c r="O464" i="47"/>
  <c r="P463" i="47"/>
  <c r="O463" i="47"/>
  <c r="P462" i="47"/>
  <c r="O462" i="47"/>
  <c r="P461" i="47"/>
  <c r="O461" i="47"/>
  <c r="P460" i="47"/>
  <c r="O460" i="47"/>
  <c r="P459" i="47"/>
  <c r="O459" i="47"/>
  <c r="F459" i="47"/>
  <c r="P458" i="47"/>
  <c r="O458" i="47"/>
  <c r="F458" i="47"/>
  <c r="P457" i="47"/>
  <c r="O457" i="47"/>
  <c r="F457" i="47"/>
  <c r="P456" i="47"/>
  <c r="O456" i="47"/>
  <c r="F456" i="47"/>
  <c r="P455" i="47"/>
  <c r="O455" i="47"/>
  <c r="F455" i="47"/>
  <c r="P454" i="47"/>
  <c r="O454" i="47"/>
  <c r="P453" i="47"/>
  <c r="O453" i="47"/>
  <c r="P452" i="47"/>
  <c r="O452" i="47"/>
  <c r="P451" i="47"/>
  <c r="O451" i="47"/>
  <c r="P450" i="47"/>
  <c r="O450" i="47"/>
  <c r="P449" i="47"/>
  <c r="O449" i="47"/>
  <c r="P448" i="47"/>
  <c r="O448" i="47"/>
  <c r="P447" i="47"/>
  <c r="O447" i="47"/>
  <c r="P446" i="47"/>
  <c r="O446" i="47"/>
  <c r="P445" i="47"/>
  <c r="O445" i="47"/>
  <c r="P444" i="47"/>
  <c r="O444" i="47"/>
  <c r="P443" i="47"/>
  <c r="O443" i="47"/>
  <c r="P442" i="47"/>
  <c r="O442" i="47"/>
  <c r="P441" i="47"/>
  <c r="O441" i="47"/>
  <c r="P440" i="47"/>
  <c r="O440" i="47"/>
  <c r="P439" i="47"/>
  <c r="O439" i="47"/>
  <c r="P438" i="47"/>
  <c r="O438" i="47"/>
  <c r="P437" i="47"/>
  <c r="O437" i="47"/>
  <c r="P436" i="47"/>
  <c r="O436" i="47"/>
  <c r="P435" i="47"/>
  <c r="O435" i="47"/>
  <c r="P434" i="47"/>
  <c r="O434" i="47"/>
  <c r="P433" i="47"/>
  <c r="O433" i="47"/>
  <c r="P432" i="47"/>
  <c r="O432" i="47"/>
  <c r="P431" i="47"/>
  <c r="O431" i="47"/>
  <c r="P430" i="47"/>
  <c r="O430" i="47"/>
  <c r="P429" i="47"/>
  <c r="O429" i="47"/>
  <c r="P428" i="47"/>
  <c r="O428" i="47"/>
  <c r="P427" i="47"/>
  <c r="O427" i="47"/>
  <c r="P426" i="47"/>
  <c r="O426" i="47"/>
  <c r="P425" i="47"/>
  <c r="O425" i="47"/>
  <c r="P424" i="47"/>
  <c r="O424" i="47"/>
  <c r="P423" i="47"/>
  <c r="O423" i="47"/>
  <c r="P422" i="47"/>
  <c r="O422" i="47"/>
  <c r="P421" i="47"/>
  <c r="O421" i="47"/>
  <c r="P420" i="47"/>
  <c r="O420" i="47"/>
  <c r="P419" i="47"/>
  <c r="O419" i="47"/>
  <c r="P418" i="47"/>
  <c r="O418" i="47"/>
  <c r="P417" i="47"/>
  <c r="O417" i="47"/>
  <c r="P416" i="47"/>
  <c r="O416" i="47"/>
  <c r="P415" i="47"/>
  <c r="O415" i="47"/>
  <c r="P414" i="47"/>
  <c r="O414" i="47"/>
  <c r="P413" i="47"/>
  <c r="O413" i="47"/>
  <c r="P412" i="47"/>
  <c r="O412" i="47"/>
  <c r="P411" i="47"/>
  <c r="O411" i="47"/>
  <c r="P410" i="47"/>
  <c r="O410" i="47"/>
  <c r="P409" i="47"/>
  <c r="O409" i="47"/>
  <c r="P408" i="47"/>
  <c r="O408" i="47"/>
  <c r="P407" i="47"/>
  <c r="O407" i="47"/>
  <c r="P406" i="47"/>
  <c r="O406" i="47"/>
  <c r="P405" i="47"/>
  <c r="O405" i="47"/>
  <c r="P404" i="47"/>
  <c r="O404" i="47"/>
  <c r="P403" i="47"/>
  <c r="O403" i="47"/>
  <c r="P402" i="47"/>
  <c r="O402" i="47"/>
  <c r="P401" i="47"/>
  <c r="O401" i="47"/>
  <c r="P400" i="47"/>
  <c r="O400" i="47"/>
  <c r="P399" i="47"/>
  <c r="O399" i="47"/>
  <c r="P398" i="47"/>
  <c r="O398" i="47"/>
  <c r="P397" i="47"/>
  <c r="O397" i="47"/>
  <c r="P396" i="47"/>
  <c r="O396" i="47"/>
  <c r="P395" i="47"/>
  <c r="O395" i="47"/>
  <c r="P394" i="47"/>
  <c r="O394" i="47"/>
  <c r="P393" i="47"/>
  <c r="O393" i="47"/>
  <c r="P392" i="47"/>
  <c r="O392" i="47"/>
  <c r="P391" i="47"/>
  <c r="O391" i="47"/>
  <c r="P390" i="47"/>
  <c r="O390" i="47"/>
  <c r="P389" i="47"/>
  <c r="O389" i="47"/>
  <c r="P388" i="47"/>
  <c r="O388" i="47"/>
  <c r="F388" i="47"/>
  <c r="P387" i="47"/>
  <c r="O387" i="47"/>
  <c r="P386" i="47"/>
  <c r="O386" i="47"/>
  <c r="P385" i="47"/>
  <c r="O385" i="47"/>
  <c r="K385" i="47"/>
  <c r="P384" i="47"/>
  <c r="O384" i="47"/>
  <c r="K384" i="47"/>
  <c r="P383" i="47"/>
  <c r="O383" i="47"/>
  <c r="F383" i="47"/>
  <c r="P382" i="47"/>
  <c r="O382" i="47"/>
  <c r="F382" i="47"/>
  <c r="P381" i="47"/>
  <c r="O381" i="47"/>
  <c r="F381" i="47"/>
  <c r="P380" i="47"/>
  <c r="O380" i="47"/>
  <c r="F380" i="47"/>
  <c r="P379" i="47"/>
  <c r="O379" i="47"/>
  <c r="F379" i="47"/>
  <c r="P378" i="47"/>
  <c r="O378" i="47"/>
  <c r="F378" i="47"/>
  <c r="P377" i="47"/>
  <c r="O377" i="47"/>
  <c r="F377" i="47"/>
  <c r="P376" i="47"/>
  <c r="O376" i="47"/>
  <c r="F376" i="47"/>
  <c r="P375" i="47"/>
  <c r="O375" i="47"/>
  <c r="F375" i="47"/>
  <c r="P374" i="47"/>
  <c r="O374" i="47"/>
  <c r="F374" i="47"/>
  <c r="P373" i="47"/>
  <c r="O373" i="47"/>
  <c r="F373" i="47"/>
  <c r="P372" i="47"/>
  <c r="O372" i="47"/>
  <c r="F372" i="47"/>
  <c r="P371" i="47"/>
  <c r="O371" i="47"/>
  <c r="F371" i="47"/>
  <c r="P370" i="47"/>
  <c r="O370" i="47"/>
  <c r="F370" i="47"/>
  <c r="P369" i="47"/>
  <c r="O369" i="47"/>
  <c r="F369" i="47"/>
  <c r="P368" i="47"/>
  <c r="O368" i="47"/>
  <c r="F368" i="47"/>
  <c r="P367" i="47"/>
  <c r="O367" i="47"/>
  <c r="F367" i="47"/>
  <c r="P366" i="47"/>
  <c r="O366" i="47"/>
  <c r="F366" i="47"/>
  <c r="P365" i="47"/>
  <c r="O365" i="47"/>
  <c r="F365" i="47"/>
  <c r="P364" i="47"/>
  <c r="O364" i="47"/>
  <c r="F364" i="47"/>
  <c r="P363" i="47"/>
  <c r="O363" i="47"/>
  <c r="F363" i="47"/>
  <c r="P362" i="47"/>
  <c r="O362" i="47"/>
  <c r="F362" i="47"/>
  <c r="P361" i="47"/>
  <c r="O361" i="47"/>
  <c r="P360" i="47"/>
  <c r="O360" i="47"/>
  <c r="P359" i="47"/>
  <c r="O359" i="47"/>
  <c r="P358" i="47"/>
  <c r="O358" i="47"/>
  <c r="P357" i="47"/>
  <c r="O357" i="47"/>
  <c r="P356" i="47"/>
  <c r="O356" i="47"/>
  <c r="P355" i="47"/>
  <c r="O355" i="47"/>
  <c r="P354" i="47"/>
  <c r="O354" i="47"/>
  <c r="P353" i="47"/>
  <c r="O353" i="47"/>
  <c r="P352" i="47"/>
  <c r="O352" i="47"/>
  <c r="P351" i="47"/>
  <c r="O351" i="47"/>
  <c r="P350" i="47"/>
  <c r="O350" i="47"/>
  <c r="P349" i="47"/>
  <c r="O349" i="47"/>
  <c r="P348" i="47"/>
  <c r="O348" i="47"/>
  <c r="P347" i="47"/>
  <c r="O347" i="47"/>
  <c r="P346" i="47"/>
  <c r="O346" i="47"/>
  <c r="P345" i="47"/>
  <c r="O345" i="47"/>
  <c r="P344" i="47"/>
  <c r="O344" i="47"/>
  <c r="P343" i="47"/>
  <c r="O343" i="47"/>
  <c r="P342" i="47"/>
  <c r="O342" i="47"/>
  <c r="P341" i="47"/>
  <c r="O341" i="47"/>
  <c r="P340" i="47"/>
  <c r="O340" i="47"/>
  <c r="P339" i="47"/>
  <c r="O339" i="47"/>
  <c r="P338" i="47"/>
  <c r="O338" i="47"/>
  <c r="P337" i="47"/>
  <c r="O337" i="47"/>
  <c r="P336" i="47"/>
  <c r="O336" i="47"/>
  <c r="P335" i="47"/>
  <c r="O335" i="47"/>
  <c r="P334" i="47"/>
  <c r="O334" i="47"/>
  <c r="P333" i="47"/>
  <c r="O333" i="47"/>
  <c r="P332" i="47"/>
  <c r="O332" i="47"/>
  <c r="P331" i="47"/>
  <c r="O331" i="47"/>
  <c r="P330" i="47"/>
  <c r="O330" i="47"/>
  <c r="P329" i="47"/>
  <c r="O329" i="47"/>
  <c r="P328" i="47"/>
  <c r="O328" i="47"/>
  <c r="P327" i="47"/>
  <c r="O327" i="47"/>
  <c r="P326" i="47"/>
  <c r="O326" i="47"/>
  <c r="P325" i="47"/>
  <c r="O325" i="47"/>
  <c r="P324" i="47"/>
  <c r="O324" i="47"/>
  <c r="P323" i="47"/>
  <c r="O323" i="47"/>
  <c r="P322" i="47"/>
  <c r="O322" i="47"/>
  <c r="P321" i="47"/>
  <c r="O321" i="47"/>
  <c r="P320" i="47"/>
  <c r="O320" i="47"/>
  <c r="P319" i="47"/>
  <c r="O319" i="47"/>
  <c r="P318" i="47"/>
  <c r="O318" i="47"/>
  <c r="P317" i="47"/>
  <c r="O317" i="47"/>
  <c r="P316" i="47"/>
  <c r="O316" i="47"/>
  <c r="P315" i="47"/>
  <c r="O315" i="47"/>
  <c r="P314" i="47"/>
  <c r="O314" i="47"/>
  <c r="P313" i="47"/>
  <c r="O313" i="47"/>
  <c r="P312" i="47"/>
  <c r="O312" i="47"/>
  <c r="P311" i="47"/>
  <c r="O311" i="47"/>
  <c r="P310" i="47"/>
  <c r="O310" i="47"/>
  <c r="P309" i="47"/>
  <c r="O309" i="47"/>
  <c r="P308" i="47"/>
  <c r="O308" i="47"/>
  <c r="P307" i="47"/>
  <c r="O307" i="47"/>
  <c r="F307" i="47"/>
  <c r="P306" i="47"/>
  <c r="O306" i="47"/>
  <c r="P305" i="47"/>
  <c r="O305" i="47"/>
  <c r="P304" i="47"/>
  <c r="O304" i="47"/>
  <c r="P303" i="47"/>
  <c r="O303" i="47"/>
  <c r="P302" i="47"/>
  <c r="O302" i="47"/>
  <c r="F302" i="47"/>
  <c r="P301" i="47"/>
  <c r="O301" i="47"/>
  <c r="F301" i="47"/>
  <c r="P300" i="47"/>
  <c r="O300" i="47"/>
  <c r="F300" i="47"/>
  <c r="P299" i="47"/>
  <c r="O299" i="47"/>
  <c r="F299" i="47"/>
  <c r="P298" i="47"/>
  <c r="O298" i="47"/>
  <c r="F298" i="47"/>
  <c r="P297" i="47"/>
  <c r="O297" i="47"/>
  <c r="F297" i="47"/>
  <c r="P296" i="47"/>
  <c r="O296" i="47"/>
  <c r="F296" i="47"/>
  <c r="P295" i="47"/>
  <c r="O295" i="47"/>
  <c r="F295" i="47"/>
  <c r="P294" i="47"/>
  <c r="O294" i="47"/>
  <c r="J294" i="47"/>
  <c r="F294" i="47"/>
  <c r="P293" i="47"/>
  <c r="O293" i="47"/>
  <c r="F293" i="47"/>
  <c r="P292" i="47"/>
  <c r="O292" i="47"/>
  <c r="F292" i="47"/>
  <c r="P291" i="47"/>
  <c r="O291" i="47"/>
  <c r="F291" i="47"/>
  <c r="P290" i="47"/>
  <c r="O290" i="47"/>
  <c r="P289" i="47"/>
  <c r="O289" i="47"/>
  <c r="P288" i="47"/>
  <c r="O288" i="47"/>
  <c r="P287" i="47"/>
  <c r="O287" i="47"/>
  <c r="P286" i="47"/>
  <c r="O286" i="47"/>
  <c r="P285" i="47"/>
  <c r="O285" i="47"/>
  <c r="P284" i="47"/>
  <c r="O284" i="47"/>
  <c r="P283" i="47"/>
  <c r="O283" i="47"/>
  <c r="P282" i="47"/>
  <c r="O282" i="47"/>
  <c r="P281" i="47"/>
  <c r="O281" i="47"/>
  <c r="P280" i="47"/>
  <c r="O280" i="47"/>
  <c r="P279" i="47"/>
  <c r="O279" i="47"/>
  <c r="K279" i="47"/>
  <c r="F279" i="47"/>
  <c r="P278" i="47"/>
  <c r="O278" i="47"/>
  <c r="K278" i="47"/>
  <c r="F278" i="47"/>
  <c r="P277" i="47"/>
  <c r="O277" i="47"/>
  <c r="F277" i="47"/>
  <c r="P276" i="47"/>
  <c r="O276" i="47"/>
  <c r="F276" i="47"/>
  <c r="P275" i="47"/>
  <c r="O275" i="47"/>
  <c r="F275" i="47"/>
  <c r="P274" i="47"/>
  <c r="O274" i="47"/>
  <c r="P273" i="47"/>
  <c r="O273" i="47"/>
  <c r="P272" i="47"/>
  <c r="O272" i="47"/>
  <c r="P271" i="47"/>
  <c r="O271" i="47"/>
  <c r="P270" i="47"/>
  <c r="O270" i="47"/>
  <c r="P269" i="47"/>
  <c r="O269" i="47"/>
  <c r="P268" i="47"/>
  <c r="O268" i="47"/>
  <c r="P267" i="47"/>
  <c r="O267" i="47"/>
  <c r="P266" i="47"/>
  <c r="O266" i="47"/>
  <c r="P265" i="47"/>
  <c r="O265" i="47"/>
  <c r="P264" i="47"/>
  <c r="O264" i="47"/>
  <c r="K264" i="47"/>
  <c r="F264" i="47"/>
  <c r="P263" i="47"/>
  <c r="O263" i="47"/>
  <c r="K263" i="47"/>
  <c r="F263" i="47"/>
  <c r="P262" i="47"/>
  <c r="O262" i="47"/>
  <c r="K262" i="47"/>
  <c r="F262" i="47"/>
  <c r="P261" i="47"/>
  <c r="O261" i="47"/>
  <c r="K261" i="47"/>
  <c r="F261" i="47"/>
  <c r="P260" i="47"/>
  <c r="O260" i="47"/>
  <c r="P259" i="47"/>
  <c r="O259" i="47"/>
  <c r="P258" i="47"/>
  <c r="O258" i="47"/>
  <c r="P257" i="47"/>
  <c r="O257" i="47"/>
  <c r="P256" i="47"/>
  <c r="O256" i="47"/>
  <c r="P255" i="47"/>
  <c r="O255" i="47"/>
  <c r="P254" i="47"/>
  <c r="O254" i="47"/>
  <c r="P253" i="47"/>
  <c r="O253" i="47"/>
  <c r="P252" i="47"/>
  <c r="O252" i="47"/>
  <c r="P251" i="47"/>
  <c r="O251" i="47"/>
  <c r="F251" i="47"/>
  <c r="P250" i="47"/>
  <c r="O250" i="47"/>
  <c r="F250" i="47"/>
  <c r="P249" i="47"/>
  <c r="O249" i="47"/>
  <c r="F249" i="47"/>
  <c r="P248" i="47"/>
  <c r="O248" i="47"/>
  <c r="F248" i="47"/>
  <c r="P247" i="47"/>
  <c r="O247" i="47"/>
  <c r="P246" i="47"/>
  <c r="O246" i="47"/>
  <c r="F246" i="47"/>
  <c r="P245" i="47"/>
  <c r="O245" i="47"/>
  <c r="F245" i="47"/>
  <c r="P244" i="47"/>
  <c r="O244" i="47"/>
  <c r="K244" i="47"/>
  <c r="F244" i="47"/>
  <c r="P243" i="47"/>
  <c r="O243" i="47"/>
  <c r="P242" i="47"/>
  <c r="O242" i="47"/>
  <c r="F242" i="47"/>
  <c r="P241" i="47"/>
  <c r="O241" i="47"/>
  <c r="F241" i="47"/>
  <c r="P240" i="47"/>
  <c r="O240" i="47"/>
  <c r="F240" i="47"/>
  <c r="P239" i="47"/>
  <c r="O239" i="47"/>
  <c r="F239" i="47"/>
  <c r="P238" i="47"/>
  <c r="O238" i="47"/>
  <c r="P237" i="47"/>
  <c r="O237" i="47"/>
  <c r="F237" i="47"/>
  <c r="P236" i="47"/>
  <c r="O236" i="47"/>
  <c r="F236" i="47"/>
  <c r="P235" i="47"/>
  <c r="O235" i="47"/>
  <c r="F235" i="47"/>
  <c r="P234" i="47"/>
  <c r="O234" i="47"/>
  <c r="P233" i="47"/>
  <c r="O233" i="47"/>
  <c r="P232" i="47"/>
  <c r="O232" i="47"/>
  <c r="F232" i="47"/>
  <c r="P231" i="47"/>
  <c r="O231" i="47"/>
  <c r="P230" i="47"/>
  <c r="O230" i="47"/>
  <c r="F230" i="47"/>
  <c r="P229" i="47"/>
  <c r="O229" i="47"/>
  <c r="P228" i="47"/>
  <c r="O228" i="47"/>
  <c r="P227" i="47"/>
  <c r="O227" i="47"/>
  <c r="F227" i="47"/>
  <c r="P226" i="47"/>
  <c r="O226" i="47"/>
  <c r="P225" i="47"/>
  <c r="O225" i="47"/>
  <c r="P224" i="47"/>
  <c r="O224" i="47"/>
  <c r="P223" i="47"/>
  <c r="O223" i="47"/>
  <c r="P222" i="47"/>
  <c r="O222" i="47"/>
  <c r="P221" i="47"/>
  <c r="O221" i="47"/>
  <c r="P220" i="47"/>
  <c r="O220" i="47"/>
  <c r="P219" i="47"/>
  <c r="O219" i="47"/>
  <c r="P218" i="47"/>
  <c r="O218" i="47"/>
  <c r="P217" i="47"/>
  <c r="O217" i="47"/>
  <c r="P216" i="47"/>
  <c r="O216" i="47"/>
  <c r="K216" i="47"/>
  <c r="P215" i="47"/>
  <c r="O215" i="47"/>
  <c r="P214" i="47"/>
  <c r="O214" i="47"/>
  <c r="K214" i="47"/>
  <c r="P213" i="47"/>
  <c r="O213" i="47"/>
  <c r="P212" i="47"/>
  <c r="O212" i="47"/>
  <c r="P211" i="47"/>
  <c r="O211" i="47"/>
  <c r="P210" i="47"/>
  <c r="O210" i="47"/>
  <c r="P209" i="47"/>
  <c r="O209" i="47"/>
  <c r="P208" i="47"/>
  <c r="O208" i="47"/>
  <c r="P207" i="47"/>
  <c r="O207" i="47"/>
  <c r="P206" i="47"/>
  <c r="O206" i="47"/>
  <c r="F206" i="47"/>
  <c r="P205" i="47"/>
  <c r="O205" i="47"/>
  <c r="F205" i="47"/>
  <c r="P204" i="47"/>
  <c r="O204" i="47"/>
  <c r="F204" i="47"/>
  <c r="P203" i="47"/>
  <c r="O203" i="47"/>
  <c r="F203" i="47"/>
  <c r="P202" i="47"/>
  <c r="O202" i="47"/>
  <c r="F202" i="47"/>
  <c r="P201" i="47"/>
  <c r="O201" i="47"/>
  <c r="F201" i="47"/>
  <c r="P200" i="47"/>
  <c r="O200" i="47"/>
  <c r="F200" i="47"/>
  <c r="P199" i="47"/>
  <c r="O199" i="47"/>
  <c r="F199" i="47"/>
  <c r="P198" i="47"/>
  <c r="O198" i="47"/>
  <c r="F198" i="47"/>
  <c r="P197" i="47"/>
  <c r="O197" i="47"/>
  <c r="F197" i="47"/>
  <c r="P196" i="47"/>
  <c r="O196" i="47"/>
  <c r="F196" i="47"/>
  <c r="P195" i="47"/>
  <c r="O195" i="47"/>
  <c r="F195" i="47"/>
  <c r="P194" i="47"/>
  <c r="O194" i="47"/>
  <c r="F194" i="47"/>
  <c r="P193" i="47"/>
  <c r="O193" i="47"/>
  <c r="F193" i="47"/>
  <c r="P192" i="47"/>
  <c r="O192" i="47"/>
  <c r="P191" i="47"/>
  <c r="O191" i="47"/>
  <c r="P190" i="47"/>
  <c r="O190" i="47"/>
  <c r="F190" i="47"/>
  <c r="P189" i="47"/>
  <c r="O189" i="47"/>
  <c r="F189" i="47"/>
  <c r="P188" i="47"/>
  <c r="O188" i="47"/>
  <c r="F188" i="47"/>
  <c r="P187" i="47"/>
  <c r="O187" i="47"/>
  <c r="F187" i="47"/>
  <c r="P186" i="47"/>
  <c r="O186" i="47"/>
  <c r="F186" i="47"/>
  <c r="P185" i="47"/>
  <c r="O185" i="47"/>
  <c r="F185" i="47"/>
  <c r="P184" i="47"/>
  <c r="O184" i="47"/>
  <c r="F184" i="47"/>
  <c r="P183" i="47"/>
  <c r="O183" i="47"/>
  <c r="F183" i="47"/>
  <c r="P182" i="47"/>
  <c r="O182" i="47"/>
  <c r="F182" i="47"/>
  <c r="P181" i="47"/>
  <c r="O181" i="47"/>
  <c r="F181" i="47"/>
  <c r="P180" i="47"/>
  <c r="O180" i="47"/>
  <c r="F180" i="47"/>
  <c r="P179" i="47"/>
  <c r="O179" i="47"/>
  <c r="P178" i="47"/>
  <c r="O178" i="47"/>
  <c r="P177" i="47"/>
  <c r="O177" i="47"/>
  <c r="P176" i="47"/>
  <c r="O176" i="47"/>
  <c r="P175" i="47"/>
  <c r="O175" i="47"/>
  <c r="F175" i="47"/>
  <c r="P174" i="47"/>
  <c r="O174" i="47"/>
  <c r="F174" i="47"/>
  <c r="P173" i="47"/>
  <c r="O173" i="47"/>
  <c r="F173" i="47"/>
  <c r="P172" i="47"/>
  <c r="O172" i="47"/>
  <c r="F172" i="47"/>
  <c r="P171" i="47"/>
  <c r="O171" i="47"/>
  <c r="F171" i="47"/>
  <c r="P170" i="47"/>
  <c r="O170" i="47"/>
  <c r="F170" i="47"/>
  <c r="P169" i="47"/>
  <c r="O169" i="47"/>
  <c r="F169" i="47"/>
  <c r="P168" i="47"/>
  <c r="O168" i="47"/>
  <c r="F168" i="47"/>
  <c r="P167" i="47"/>
  <c r="O167" i="47"/>
  <c r="F167" i="47"/>
  <c r="P166" i="47"/>
  <c r="O166" i="47"/>
  <c r="F166" i="47"/>
  <c r="P165" i="47"/>
  <c r="O165" i="47"/>
  <c r="F165" i="47"/>
  <c r="P164" i="47"/>
  <c r="O164" i="47"/>
  <c r="F164" i="47"/>
  <c r="P163" i="47"/>
  <c r="O163" i="47"/>
  <c r="F163" i="47"/>
  <c r="P162" i="47"/>
  <c r="O162" i="47"/>
  <c r="F162" i="47"/>
  <c r="P161" i="47"/>
  <c r="O161" i="47"/>
  <c r="F161" i="47"/>
  <c r="P160" i="47"/>
  <c r="O160" i="47"/>
  <c r="F160" i="47"/>
  <c r="P159" i="47"/>
  <c r="O159" i="47"/>
  <c r="F159" i="47"/>
  <c r="P158" i="47"/>
  <c r="O158" i="47"/>
  <c r="F158" i="47"/>
  <c r="P157" i="47"/>
  <c r="O157" i="47"/>
  <c r="F157" i="47"/>
  <c r="P156" i="47"/>
  <c r="O156" i="47"/>
  <c r="F156" i="47"/>
  <c r="P155" i="47"/>
  <c r="O155" i="47"/>
  <c r="F155" i="47"/>
  <c r="P154" i="47"/>
  <c r="O154" i="47"/>
  <c r="P153" i="47"/>
  <c r="O153" i="47"/>
  <c r="P152" i="47"/>
  <c r="O152" i="47"/>
  <c r="P151" i="47"/>
  <c r="O151" i="47"/>
  <c r="P150" i="47"/>
  <c r="O150" i="47"/>
  <c r="P149" i="47"/>
  <c r="O149" i="47"/>
  <c r="P148" i="47"/>
  <c r="O148" i="47"/>
  <c r="F148" i="47"/>
  <c r="P147" i="47"/>
  <c r="O147" i="47"/>
  <c r="F147" i="47"/>
  <c r="P146" i="47"/>
  <c r="O146" i="47"/>
  <c r="F146" i="47"/>
  <c r="P145" i="47"/>
  <c r="O145" i="47"/>
  <c r="F145" i="47"/>
  <c r="P144" i="47"/>
  <c r="O144" i="47"/>
  <c r="F144" i="47"/>
  <c r="P143" i="47"/>
  <c r="O143" i="47"/>
  <c r="F143" i="47"/>
  <c r="P142" i="47"/>
  <c r="O142" i="47"/>
  <c r="F142" i="47"/>
  <c r="P141" i="47"/>
  <c r="O141" i="47"/>
  <c r="F141" i="47"/>
  <c r="P140" i="47"/>
  <c r="O140" i="47"/>
  <c r="F140" i="47"/>
  <c r="P139" i="47"/>
  <c r="O139" i="47"/>
  <c r="F139" i="47"/>
  <c r="P138" i="47"/>
  <c r="O138" i="47"/>
  <c r="F138" i="47"/>
  <c r="P137" i="47"/>
  <c r="O137" i="47"/>
  <c r="F137" i="47"/>
  <c r="P136" i="47"/>
  <c r="O136" i="47"/>
  <c r="F136" i="47"/>
  <c r="P135" i="47"/>
  <c r="O135" i="47"/>
  <c r="F135" i="47"/>
  <c r="P134" i="47"/>
  <c r="O134" i="47"/>
  <c r="F134" i="47"/>
  <c r="P133" i="47"/>
  <c r="O133" i="47"/>
  <c r="F133" i="47"/>
  <c r="P132" i="47"/>
  <c r="O132" i="47"/>
  <c r="F132" i="47"/>
  <c r="P131" i="47"/>
  <c r="O131" i="47"/>
  <c r="F131" i="47"/>
  <c r="P130" i="47"/>
  <c r="O130" i="47"/>
  <c r="F130" i="47"/>
  <c r="P129" i="47"/>
  <c r="O129" i="47"/>
  <c r="F129" i="47"/>
  <c r="P128" i="47"/>
  <c r="O128" i="47"/>
  <c r="F128" i="47"/>
  <c r="P127" i="47"/>
  <c r="O127" i="47"/>
  <c r="F127" i="47"/>
  <c r="P126" i="47"/>
  <c r="O126" i="47"/>
  <c r="F126" i="47"/>
  <c r="P125" i="47"/>
  <c r="O125" i="47"/>
  <c r="F125" i="47"/>
  <c r="P124" i="47"/>
  <c r="O124" i="47"/>
  <c r="F124" i="47"/>
  <c r="P123" i="47"/>
  <c r="O123" i="47"/>
  <c r="F123" i="47"/>
  <c r="P122" i="47"/>
  <c r="O122" i="47"/>
  <c r="F122" i="47"/>
  <c r="P121" i="47"/>
  <c r="O121" i="47"/>
  <c r="F121" i="47"/>
  <c r="P120" i="47"/>
  <c r="O120" i="47"/>
  <c r="F120" i="47"/>
  <c r="P119" i="47"/>
  <c r="O119" i="47"/>
  <c r="F119" i="47"/>
  <c r="P118" i="47"/>
  <c r="O118" i="47"/>
  <c r="F118" i="47"/>
  <c r="P117" i="47"/>
  <c r="O117" i="47"/>
  <c r="F117" i="47"/>
  <c r="P116" i="47"/>
  <c r="O116" i="47"/>
  <c r="F116" i="47"/>
  <c r="P115" i="47"/>
  <c r="O115" i="47"/>
  <c r="J115" i="47"/>
  <c r="E115" i="47"/>
  <c r="F115" i="47" s="1"/>
  <c r="P114" i="47"/>
  <c r="O114" i="47"/>
  <c r="J114" i="47"/>
  <c r="E114" i="47"/>
  <c r="F114" i="47" s="1"/>
  <c r="P113" i="47"/>
  <c r="O113" i="47"/>
  <c r="J113" i="47"/>
  <c r="E113" i="47"/>
  <c r="F113" i="47" s="1"/>
  <c r="P112" i="47"/>
  <c r="O112" i="47"/>
  <c r="F112" i="47"/>
  <c r="P111" i="47"/>
  <c r="O111" i="47"/>
  <c r="P110" i="47"/>
  <c r="O110" i="47"/>
  <c r="P109" i="47"/>
  <c r="O109" i="47"/>
  <c r="P108" i="47"/>
  <c r="O108" i="47"/>
  <c r="P107" i="47"/>
  <c r="O107" i="47"/>
  <c r="P106" i="47"/>
  <c r="O106" i="47"/>
  <c r="P105" i="47"/>
  <c r="O105" i="47"/>
  <c r="P104" i="47"/>
  <c r="O104" i="47"/>
  <c r="P103" i="47"/>
  <c r="O103" i="47"/>
  <c r="P102" i="47"/>
  <c r="O102" i="47"/>
  <c r="P101" i="47"/>
  <c r="O101" i="47"/>
  <c r="K101" i="47"/>
  <c r="F101" i="47"/>
  <c r="P100" i="47"/>
  <c r="O100" i="47"/>
  <c r="K100" i="47"/>
  <c r="F100" i="47"/>
  <c r="P99" i="47"/>
  <c r="O99" i="47"/>
  <c r="P98" i="47"/>
  <c r="O98" i="47"/>
  <c r="P97" i="47"/>
  <c r="O97" i="47"/>
  <c r="P96" i="47"/>
  <c r="O96" i="47"/>
  <c r="F96" i="47"/>
  <c r="P95" i="47"/>
  <c r="O95" i="47"/>
  <c r="F95" i="47"/>
  <c r="P94" i="47"/>
  <c r="O94" i="47"/>
  <c r="P93" i="47"/>
  <c r="O93" i="47"/>
  <c r="P92" i="47"/>
  <c r="O92" i="47"/>
  <c r="P91" i="47"/>
  <c r="O91" i="47"/>
  <c r="P90" i="47"/>
  <c r="O90" i="47"/>
  <c r="P89" i="47"/>
  <c r="O89" i="47"/>
  <c r="P88" i="47"/>
  <c r="O88" i="47"/>
  <c r="P87" i="47"/>
  <c r="O87" i="47"/>
  <c r="P86" i="47"/>
  <c r="O86" i="47"/>
  <c r="P85" i="47"/>
  <c r="O85" i="47"/>
  <c r="F85" i="47"/>
  <c r="P84" i="47"/>
  <c r="O84" i="47"/>
  <c r="P83" i="47"/>
  <c r="O83" i="47"/>
  <c r="P82" i="47"/>
  <c r="O82" i="47"/>
  <c r="P81" i="47"/>
  <c r="O81" i="47"/>
  <c r="P80" i="47"/>
  <c r="O80" i="47"/>
  <c r="P79" i="47"/>
  <c r="O79" i="47"/>
  <c r="P78" i="47"/>
  <c r="O78" i="47"/>
  <c r="P77" i="47"/>
  <c r="O77" i="47"/>
  <c r="P76" i="47"/>
  <c r="O76" i="47"/>
  <c r="P75" i="47"/>
  <c r="O75" i="47"/>
  <c r="P74" i="47"/>
  <c r="O74" i="47"/>
  <c r="P73" i="47"/>
  <c r="O73" i="47"/>
  <c r="P72" i="47"/>
  <c r="O72" i="47"/>
  <c r="P71" i="47"/>
  <c r="O71" i="47"/>
  <c r="P70" i="47"/>
  <c r="O70" i="47"/>
  <c r="P69" i="47"/>
  <c r="O69" i="47"/>
  <c r="P68" i="47"/>
  <c r="O68" i="47"/>
  <c r="P67" i="47"/>
  <c r="O67" i="47"/>
  <c r="P66" i="47"/>
  <c r="O66" i="47"/>
  <c r="P65" i="47"/>
  <c r="O65" i="47"/>
  <c r="F65" i="47"/>
  <c r="P64" i="47"/>
  <c r="O64" i="47"/>
  <c r="P63" i="47"/>
  <c r="O63" i="47"/>
  <c r="F63" i="47"/>
  <c r="P62" i="47"/>
  <c r="O62" i="47"/>
  <c r="K62" i="47"/>
  <c r="P61" i="47"/>
  <c r="O61" i="47"/>
  <c r="K61" i="47"/>
  <c r="P60" i="47"/>
  <c r="O60" i="47"/>
  <c r="P59" i="47"/>
  <c r="O59" i="47"/>
  <c r="P58" i="47"/>
  <c r="O58" i="47"/>
  <c r="P57" i="47"/>
  <c r="O57" i="47"/>
  <c r="P56" i="47"/>
  <c r="O56" i="47"/>
  <c r="P55" i="47"/>
  <c r="O55" i="47"/>
  <c r="P54" i="47"/>
  <c r="O54" i="47"/>
  <c r="P53" i="47"/>
  <c r="O53" i="47"/>
  <c r="P52" i="47"/>
  <c r="O52" i="47"/>
  <c r="P51" i="47"/>
  <c r="O51" i="47"/>
  <c r="P50" i="47"/>
  <c r="O50" i="47"/>
  <c r="P49" i="47"/>
  <c r="O49" i="47"/>
  <c r="P48" i="47"/>
  <c r="O48" i="47"/>
  <c r="P47" i="47"/>
  <c r="O47" i="47"/>
  <c r="F47" i="47"/>
  <c r="P46" i="47"/>
  <c r="O46" i="47"/>
  <c r="F46" i="47"/>
  <c r="P45" i="47"/>
  <c r="O45" i="47"/>
  <c r="F45" i="47"/>
  <c r="P44" i="47"/>
  <c r="O44" i="47"/>
  <c r="K44" i="47"/>
  <c r="P43" i="47"/>
  <c r="O43" i="47"/>
  <c r="K43" i="47"/>
  <c r="P42" i="47"/>
  <c r="O42" i="47"/>
  <c r="K42" i="47"/>
  <c r="F42" i="47"/>
  <c r="P41" i="47"/>
  <c r="O41" i="47"/>
  <c r="P40" i="47"/>
  <c r="O40" i="47"/>
  <c r="P39" i="47"/>
  <c r="O39" i="47"/>
  <c r="P38" i="47"/>
  <c r="O38" i="47"/>
  <c r="P37" i="47"/>
  <c r="O37" i="47"/>
  <c r="P36" i="47"/>
  <c r="O36" i="47"/>
  <c r="P35" i="47"/>
  <c r="O35" i="47"/>
  <c r="P34" i="47"/>
  <c r="O34" i="47"/>
  <c r="K34" i="47"/>
  <c r="P33" i="47"/>
  <c r="O33" i="47"/>
  <c r="K33" i="47"/>
  <c r="P32" i="47"/>
  <c r="O32" i="47"/>
  <c r="F32" i="47"/>
  <c r="P31" i="47"/>
  <c r="O31" i="47"/>
  <c r="F31" i="47"/>
  <c r="P30" i="47"/>
  <c r="O30" i="47"/>
  <c r="F30" i="47"/>
  <c r="P29" i="47"/>
  <c r="O29" i="47"/>
  <c r="F29" i="47"/>
  <c r="P28" i="47"/>
  <c r="O28" i="47"/>
  <c r="F28" i="47"/>
  <c r="P27" i="47"/>
  <c r="O27" i="47"/>
  <c r="F27" i="47"/>
  <c r="P26" i="47"/>
  <c r="O26" i="47"/>
  <c r="F26" i="47"/>
  <c r="P25" i="47"/>
  <c r="O25" i="47"/>
  <c r="F25" i="47"/>
  <c r="P24" i="47"/>
  <c r="O24" i="47"/>
  <c r="F24" i="47"/>
  <c r="P23" i="47"/>
  <c r="O23" i="47"/>
  <c r="K23" i="47"/>
  <c r="F23" i="47"/>
  <c r="P22" i="47"/>
  <c r="O22" i="47"/>
  <c r="F22" i="47"/>
  <c r="P21" i="47"/>
  <c r="O21" i="47"/>
  <c r="K21" i="47"/>
  <c r="F21" i="47"/>
  <c r="P20" i="47"/>
  <c r="O20" i="47"/>
  <c r="F20" i="47"/>
  <c r="P19" i="47"/>
  <c r="O19" i="47"/>
  <c r="F19" i="47"/>
  <c r="P18" i="47"/>
  <c r="O18" i="47"/>
  <c r="F18" i="47"/>
  <c r="P17" i="47"/>
  <c r="O17" i="47"/>
  <c r="K17" i="47"/>
  <c r="F17" i="47"/>
  <c r="P16" i="47"/>
  <c r="O16" i="47"/>
  <c r="P15" i="47"/>
  <c r="O15" i="47"/>
  <c r="P14" i="47"/>
  <c r="O14" i="47"/>
  <c r="P13" i="47"/>
  <c r="O13" i="47"/>
  <c r="K13" i="47"/>
  <c r="F13" i="47"/>
  <c r="P12" i="47"/>
  <c r="O12" i="47"/>
  <c r="F12" i="47"/>
  <c r="P11" i="47"/>
  <c r="O11" i="47"/>
  <c r="F11" i="47"/>
  <c r="P10" i="47"/>
  <c r="O10" i="47"/>
  <c r="F10" i="47"/>
  <c r="P9" i="47"/>
  <c r="O9" i="47"/>
  <c r="K9" i="47"/>
  <c r="F9" i="47"/>
  <c r="P8" i="47"/>
  <c r="O8" i="47"/>
  <c r="P7" i="47"/>
  <c r="O7" i="47"/>
  <c r="P6" i="47"/>
  <c r="O6" i="47"/>
  <c r="P5" i="47"/>
  <c r="O5" i="47"/>
  <c r="H129" i="50"/>
  <c r="H121" i="50"/>
  <c r="H109" i="50"/>
  <c r="H98" i="50"/>
  <c r="H85" i="50"/>
  <c r="H73" i="50"/>
  <c r="H62" i="50"/>
  <c r="H51" i="50"/>
  <c r="H43" i="50"/>
  <c r="H42" i="50"/>
  <c r="I32" i="50"/>
  <c r="I31" i="50"/>
  <c r="H31" i="50"/>
  <c r="I17" i="50"/>
  <c r="H17" i="50"/>
  <c r="I3" i="50"/>
  <c r="H3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E54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65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77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90" authorId="0" shapeId="0" xr:uid="{00000000-0006-0000-0100-000004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118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127" authorId="0" shapeId="0" xr:uid="{00000000-0006-0000-0100-000006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E136" authorId="0" shapeId="0" xr:uid="{00000000-0006-0000-0100-000007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34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  <comment ref="F44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lenovo:</t>
        </r>
        <r>
          <rPr>
            <sz val="9"/>
            <rFont val="宋体"/>
            <family val="3"/>
            <charset val="134"/>
          </rPr>
          <t xml:space="preserve">
500ml酒 保持一致</t>
        </r>
      </text>
    </comment>
  </commentList>
</comments>
</file>

<file path=xl/sharedStrings.xml><?xml version="1.0" encoding="utf-8"?>
<sst xmlns="http://schemas.openxmlformats.org/spreadsheetml/2006/main" count="7096" uniqueCount="3850">
  <si>
    <t>附件2</t>
  </si>
  <si>
    <t>三季度一体化营销活动看板</t>
  </si>
  <si>
    <t>活动渠道</t>
  </si>
  <si>
    <t>活动类型</t>
  </si>
  <si>
    <t>优惠内容</t>
  </si>
  <si>
    <t>备注</t>
  </si>
  <si>
    <t>品牌营销活动</t>
  </si>
  <si>
    <t>逢7-气惠</t>
  </si>
  <si>
    <t>消费赠券</t>
  </si>
  <si>
    <r>
      <rPr>
        <b/>
        <sz val="10"/>
        <color theme="1"/>
        <rFont val="方正仿宋简体"/>
        <charset val="134"/>
      </rPr>
      <t>满500元，赠送22元券包。1张10元LNG券（满500元可用），6元便利店商品券2张
满1000元，赠送42元券包。1张30元LNG券（满1000元可用），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便利店商品券1张
满1500元，赠送84元券包。1张60元LNG券（满1500元可用），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便利店商品券2张
满2000元，赠送136元券包。1张100元LNG券（满2000元可用），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便利店商品券3张</t>
    </r>
  </si>
  <si>
    <t>每月7、17、27日，新疆昆仑e享卡客户消费满额可获赠电子券。天然气电子券有效期15天、非油电子券有效期60天；6元、12元商品券除香烟，满30、50元可用（下同）。</t>
  </si>
  <si>
    <t>多倍积分活动</t>
  </si>
  <si>
    <t>CNG、LNG每消费1元积3分。</t>
  </si>
  <si>
    <t>积分兑付标准参考柴油积分执行。</t>
  </si>
  <si>
    <t>便利店九折活动</t>
  </si>
  <si>
    <t>公司所属加气站开展便利店商品9折促销。</t>
  </si>
  <si>
    <t>香烟、化肥不参加活动，全品项执行最优优惠。</t>
  </si>
  <si>
    <t>逢8-cn98立减</t>
  </si>
  <si>
    <t>单笔消费立减</t>
  </si>
  <si>
    <t>每月8、18、28日，客户单笔消费CN98满1升，可享受立减0.8元/升优惠。</t>
  </si>
  <si>
    <t>逢9-便利店促销</t>
  </si>
  <si>
    <t>开展便利店商品9折促销；积分兑换9折优惠；会员消费便利店获3倍积分。</t>
  </si>
  <si>
    <t>香烟、化肥不参加活动。</t>
  </si>
  <si>
    <t>逢10-超级十惠</t>
  </si>
  <si>
    <t>单笔充值1000</t>
  </si>
  <si>
    <r>
      <rPr>
        <b/>
        <sz val="10"/>
        <color theme="1"/>
        <rFont val="方正仿宋简体"/>
        <charset val="134"/>
      </rPr>
      <t xml:space="preserve">普通客户
12元汽油券2张（满200元可用）；
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便利店商品券3张；
10元洗车券3张。</t>
    </r>
  </si>
  <si>
    <t>黄金及以上客户
加赠15元汽油券1张（满200元可用）。</t>
  </si>
  <si>
    <t>每月10、20、30日，常用地为新疆的昆仑e享卡客户可参与。电子券有效期60天，洗车券有效期30天；10元汽车券满11元可用（下同）</t>
  </si>
  <si>
    <t>单笔充值2000</t>
  </si>
  <si>
    <r>
      <rPr>
        <b/>
        <sz val="10"/>
        <color theme="1"/>
        <rFont val="方正仿宋简体"/>
        <charset val="134"/>
      </rPr>
      <t xml:space="preserve">普通客户
12元汽油券5张（满200元可用）；
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便利店商品券6张；
10元洗车券6张。</t>
    </r>
  </si>
  <si>
    <t>黄金及以上客户
加赠15元汽油券2张（满200元可用）。</t>
  </si>
  <si>
    <t>3.0会员</t>
  </si>
  <si>
    <t>新增会员</t>
  </si>
  <si>
    <t>开通昆仑e享卡</t>
  </si>
  <si>
    <r>
      <rPr>
        <b/>
        <sz val="10"/>
        <color rgb="FFFF0000"/>
        <rFont val="方正仿宋简体"/>
        <charset val="134"/>
      </rPr>
      <t>10元汽油券1张（满200元可用）；                          
15元高标号汽油券1张（满200元可用）；
12元</t>
    </r>
    <r>
      <rPr>
        <b/>
        <sz val="10"/>
        <color theme="1"/>
        <rFont val="方正仿宋简体"/>
        <charset val="134"/>
      </rPr>
      <t>便利店商品券1张；
10元洗车券1张。</t>
    </r>
  </si>
  <si>
    <t>限定首次开通</t>
  </si>
  <si>
    <t>潜在会员化</t>
  </si>
  <si>
    <t>对已注册未办卡会员</t>
  </si>
  <si>
    <t>汽油客户赠12元汽油券3张（满230元可用）；
柴油客户赠20元柴油券3张（满400可用）。</t>
  </si>
  <si>
    <t>对已注册未办卡、常用省份为新疆的非持卡会员派发电子券。</t>
  </si>
  <si>
    <t>小额充值</t>
  </si>
  <si>
    <t>非十惠日，充值满666元，赠送66元电子券包</t>
  </si>
  <si>
    <t>10元汽油券3张（满200元可用），
12元便利店商品券3张。</t>
  </si>
  <si>
    <t>常用地为新疆的昆仑e享卡客户可参与。</t>
  </si>
  <si>
    <t>RFM客户挽回</t>
  </si>
  <si>
    <r>
      <rPr>
        <b/>
        <sz val="10"/>
        <color theme="1"/>
        <rFont val="方正仿宋简体"/>
        <charset val="134"/>
      </rPr>
      <t>汽油客户：20元汽油券1张（满200元可用），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便利店商品券1张。
柴油客户：20元柴油券3张（满200元可用），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便利店商品券1张。</t>
    </r>
  </si>
  <si>
    <t>每15天派发1次。</t>
  </si>
  <si>
    <t>生日礼包</t>
  </si>
  <si>
    <r>
      <rPr>
        <b/>
        <sz val="10"/>
        <color theme="1"/>
        <rFont val="方正仿宋简体"/>
        <charset val="134"/>
      </rPr>
      <t xml:space="preserve">10元汽油券1张（满100元可用）；
</t>
    </r>
    <r>
      <rPr>
        <b/>
        <sz val="10"/>
        <color rgb="FFFF0000"/>
        <rFont val="方正仿宋简体"/>
        <charset val="134"/>
      </rPr>
      <t>12元</t>
    </r>
    <r>
      <rPr>
        <b/>
        <sz val="10"/>
        <color theme="1"/>
        <rFont val="方正仿宋简体"/>
        <charset val="134"/>
      </rPr>
      <t>便利店商品券5张；
10元洗车券1张。</t>
    </r>
  </si>
  <si>
    <t>第三方渠道营销</t>
  </si>
  <si>
    <t>微信渠道 （摇一摇）</t>
  </si>
  <si>
    <t>公域</t>
  </si>
  <si>
    <t>新客</t>
  </si>
  <si>
    <r>
      <rPr>
        <b/>
        <sz val="10"/>
        <color theme="1"/>
        <rFont val="方正仿宋简体"/>
        <charset val="134"/>
      </rPr>
      <t>第1次派发</t>
    </r>
    <r>
      <rPr>
        <b/>
        <sz val="10"/>
        <color rgb="FFFF0000"/>
        <rFont val="方正仿宋简体"/>
        <charset val="134"/>
      </rPr>
      <t>15</t>
    </r>
    <r>
      <rPr>
        <b/>
        <sz val="10"/>
        <color theme="1"/>
        <rFont val="方正仿宋简体"/>
        <charset val="134"/>
      </rPr>
      <t>元汽油券1张；第2次派发</t>
    </r>
    <r>
      <rPr>
        <b/>
        <sz val="10"/>
        <color rgb="FFFF0000"/>
        <rFont val="方正仿宋简体"/>
        <charset val="134"/>
      </rPr>
      <t>18</t>
    </r>
    <r>
      <rPr>
        <b/>
        <sz val="10"/>
        <color theme="1"/>
        <rFont val="方正仿宋简体"/>
        <charset val="134"/>
      </rPr>
      <t>元汽油券1张；第3次派发</t>
    </r>
    <r>
      <rPr>
        <b/>
        <sz val="10"/>
        <color rgb="FFFF0000"/>
        <rFont val="方正仿宋简体"/>
        <charset val="134"/>
      </rPr>
      <t>20</t>
    </r>
    <r>
      <rPr>
        <b/>
        <sz val="10"/>
        <color theme="1"/>
        <rFont val="方正仿宋简体"/>
        <charset val="134"/>
      </rPr>
      <t>元汽油券1张；</t>
    </r>
  </si>
  <si>
    <t>流失</t>
  </si>
  <si>
    <r>
      <rPr>
        <b/>
        <sz val="10"/>
        <color theme="1"/>
        <rFont val="方正仿宋简体"/>
        <charset val="134"/>
      </rPr>
      <t>第1次派发</t>
    </r>
    <r>
      <rPr>
        <b/>
        <sz val="10"/>
        <color rgb="FFFF0000"/>
        <rFont val="方正仿宋简体"/>
        <charset val="134"/>
      </rPr>
      <t>12</t>
    </r>
    <r>
      <rPr>
        <b/>
        <sz val="10"/>
        <color theme="1"/>
        <rFont val="方正仿宋简体"/>
        <charset val="134"/>
      </rPr>
      <t>元汽油券1张；第2次派发</t>
    </r>
    <r>
      <rPr>
        <b/>
        <sz val="10"/>
        <color rgb="FFFF0000"/>
        <rFont val="方正仿宋简体"/>
        <charset val="134"/>
      </rPr>
      <t>15</t>
    </r>
    <r>
      <rPr>
        <b/>
        <sz val="10"/>
        <color theme="1"/>
        <rFont val="方正仿宋简体"/>
        <charset val="134"/>
      </rPr>
      <t>元汽油券1张；第3次派发</t>
    </r>
    <r>
      <rPr>
        <b/>
        <sz val="10"/>
        <color rgb="FFFF0000"/>
        <rFont val="方正仿宋简体"/>
        <charset val="134"/>
      </rPr>
      <t>18</t>
    </r>
    <r>
      <rPr>
        <b/>
        <sz val="10"/>
        <color theme="1"/>
        <rFont val="方正仿宋简体"/>
        <charset val="134"/>
      </rPr>
      <t>元汽油券1张；第4次派发</t>
    </r>
    <r>
      <rPr>
        <b/>
        <sz val="10"/>
        <color rgb="FFFF0000"/>
        <rFont val="方正仿宋简体"/>
        <charset val="134"/>
      </rPr>
      <t>20</t>
    </r>
    <r>
      <rPr>
        <b/>
        <sz val="10"/>
        <color theme="1"/>
        <rFont val="方正仿宋简体"/>
        <charset val="134"/>
      </rPr>
      <t>元汽油券1张；</t>
    </r>
  </si>
  <si>
    <t>低频</t>
  </si>
  <si>
    <r>
      <rPr>
        <b/>
        <sz val="10"/>
        <color theme="1"/>
        <rFont val="方正仿宋简体"/>
        <charset val="134"/>
      </rPr>
      <t>第1次派发</t>
    </r>
    <r>
      <rPr>
        <b/>
        <sz val="10"/>
        <color rgb="FFFF0000"/>
        <rFont val="方正仿宋简体"/>
        <charset val="134"/>
      </rPr>
      <t>12</t>
    </r>
    <r>
      <rPr>
        <b/>
        <sz val="10"/>
        <color theme="1"/>
        <rFont val="方正仿宋简体"/>
        <charset val="134"/>
      </rPr>
      <t>元汽油券1张；第2次派发</t>
    </r>
    <r>
      <rPr>
        <b/>
        <sz val="10"/>
        <color rgb="FFFF0000"/>
        <rFont val="方正仿宋简体"/>
        <charset val="134"/>
      </rPr>
      <t>15</t>
    </r>
    <r>
      <rPr>
        <b/>
        <sz val="10"/>
        <color theme="1"/>
        <rFont val="方正仿宋简体"/>
        <charset val="134"/>
      </rPr>
      <t>元汽油券1张；第3次派发</t>
    </r>
    <r>
      <rPr>
        <b/>
        <sz val="10"/>
        <color rgb="FFFF0000"/>
        <rFont val="方正仿宋简体"/>
        <charset val="134"/>
      </rPr>
      <t>20</t>
    </r>
    <r>
      <rPr>
        <b/>
        <sz val="10"/>
        <color theme="1"/>
        <rFont val="方正仿宋简体"/>
        <charset val="134"/>
      </rPr>
      <t>元汽油券1张；</t>
    </r>
  </si>
  <si>
    <t>油惠新疆</t>
  </si>
  <si>
    <t>签到有礼</t>
  </si>
  <si>
    <t>3天赠2元汽油券1张（满100元可用）、2元便利店商品券1张；
7天赠5元汽油券1张（满100元可用）、6元便利店商品券1张；
10天赠8元汽油券1张（满100元可用）、12元便利店商品券1张。</t>
  </si>
  <si>
    <t>同一客户每个月最多获取3种面额券各一张，电子券有效期30天；2元商品券除香烟，满12元可用（下同）</t>
  </si>
  <si>
    <t>拼团活动</t>
  </si>
  <si>
    <t>2人团，团长及新团员获得3元汽油券1张（满100元可用），老团员获得2元汽油券1张（满100元可用），所有会员获得12元非油券1张；
5人团，团长及新团员获得7元汽油券1张（满100元可用），老团员获得5元汽油券1张（满100元可用），所有会员获得12元非油券2张；
8人团，团长及新团员获得12元汽油券1张（满100元可用），老团员获得8元汽油券1张（满100元可用），所有会员获得12元非油券3张。</t>
  </si>
  <si>
    <t>客户在24小时内成功邀请指定团员数来助力拼团成功可获券，同一时间段内，只能存在一个团中，每人每月限开团3次，参团次数限1次，电子券有效期30天。</t>
  </si>
  <si>
    <t>行业认证活动</t>
  </si>
  <si>
    <t>针对警察、军人、教师、医生、护士、记者六大行业专属优惠，上传职业资质，每人每月通过小程序领取2张10元汽油券（满200元可用）、1张6元非油券。</t>
  </si>
  <si>
    <t>电子券有效期30天</t>
  </si>
  <si>
    <t>针对网约车、新车、租赁车、抢修车、理赔车等客户，通过小程序上传资质后，每人每月通过小程序领取4张10元汽油券（满200元可用）。</t>
  </si>
  <si>
    <t>十全十美礼包</t>
  </si>
  <si>
    <t>（1）油惠新疆小程序-“十全十美”权益组合。
（2）3.0系统-3款LNG、CNG权益礼包。</t>
  </si>
  <si>
    <t>详见子表-①会员权益包</t>
  </si>
  <si>
    <t>油非促销</t>
  </si>
  <si>
    <t>油非互动</t>
  </si>
  <si>
    <t>买油赠非</t>
  </si>
  <si>
    <t>会员单笔汽油消费满230元或柴油满280元，赠1张15元香烟券（满300元可用），1张6元便利店商品券（满30元可用）。</t>
  </si>
  <si>
    <t>买非赠券（油、非）</t>
  </si>
  <si>
    <t>气非互促</t>
  </si>
  <si>
    <t>买气送非</t>
  </si>
  <si>
    <t>【CNG】CNG单笔满50元，送2瓶格桑泉500ml矿泉水
【LNG】LNG单笔满1000元，送4瓶格桑泉500ml矿泉水</t>
  </si>
  <si>
    <t>纯非及电商促销</t>
  </si>
  <si>
    <t>纯非促销</t>
  </si>
  <si>
    <t>逢7气站促销</t>
  </si>
  <si>
    <t>每月7/17/27日，加气站便利店商品（除香烟、化肥）全场9折。</t>
  </si>
  <si>
    <t>非非执行系统最优规则。</t>
  </si>
  <si>
    <t>逢9油站促销</t>
  </si>
  <si>
    <t>①每月9/19/29日，加油站便利店商品（除香烟、化肥）全场9折；
②积分兑换9折优惠；
③会员消费便利店商品3倍积分；
④每月9-11日、19-21日、29-31日（或次月1日）开展会员积分抽奖活动（500积分抽1次）</t>
  </si>
  <si>
    <t>9.9零食好物集</t>
  </si>
  <si>
    <t>详见参考表1，非非执行系统最优规则。</t>
  </si>
  <si>
    <t>买赠促销</t>
  </si>
  <si>
    <t>详见子表-⑧非非促销（统建）</t>
  </si>
  <si>
    <t>单品促销</t>
  </si>
  <si>
    <t>自有水、自有奶、车辅商品、化肥、水饮、啤酒、抽纸单品/整件优惠，见附件。</t>
  </si>
  <si>
    <t>洗车业务</t>
  </si>
  <si>
    <t>洗车促销</t>
  </si>
  <si>
    <t>汽油单次满***元或柴油***元,免费赠或加价换洗车服务（各单位根据实际业务需求自行设定主油及非油门槛，成品油价格到位率不得低于90%）</t>
  </si>
  <si>
    <t>自2025年9月3日起，所有新派发、新销售的涉及洗车业务的券/卡有效期设置不得超过30天。</t>
  </si>
  <si>
    <t>电商平台</t>
  </si>
  <si>
    <t>电商促销</t>
  </si>
  <si>
    <t>抖音团购明细见“①会员权益包”表；电商零售及到家平台重点围绕包装饮料、酒类等季节热销单品开展灵活促销，综合毛利率不低于5%；抖音团购毛利率不低于10%；每月开展积分抽奖活动，奖品券在季度电子券资源库中选择。</t>
  </si>
  <si>
    <t>附件：</t>
  </si>
  <si>
    <t>十全十美会员权益包</t>
  </si>
  <si>
    <t>毛利率</t>
  </si>
  <si>
    <t>销售渠道</t>
  </si>
  <si>
    <t>序号</t>
  </si>
  <si>
    <t>权益包类型</t>
  </si>
  <si>
    <t>权益定价</t>
  </si>
  <si>
    <t>券明细</t>
  </si>
  <si>
    <t>数量</t>
  </si>
  <si>
    <t>美酒礼藏
权益包</t>
  </si>
  <si>
    <t>权益商品（通兑-1张可兑换2支得孚清洁剂）</t>
  </si>
  <si>
    <t>2瓶优斯麦尔 52度伊力特（礼藏）500ml现金券-MAX</t>
  </si>
  <si>
    <t>权益商品</t>
  </si>
  <si>
    <t>冰岛普洱茶（熟茶）357g现金券-MAX</t>
  </si>
  <si>
    <t>170元参天地（精酿）券（加226元换购2瓶）</t>
  </si>
  <si>
    <t>加226元换购2瓶</t>
  </si>
  <si>
    <t>20元优斯麦尔 46度伊力特（佳藏） 500ML券（加216元换购2瓶）</t>
  </si>
  <si>
    <t>加216元换购2瓶</t>
  </si>
  <si>
    <t>12元天润优斯麦尔浓缩纯牛奶（康美砖250g）券（加42元换购1箱）</t>
  </si>
  <si>
    <t>加42元换购1箱</t>
  </si>
  <si>
    <t>12元红牛券（加24元换购6瓶）</t>
  </si>
  <si>
    <t>加24元换购6瓶</t>
  </si>
  <si>
    <t>30元家庭食品通用券（家庭食品满109元可用）</t>
  </si>
  <si>
    <t>家庭食品满109元可用</t>
  </si>
  <si>
    <t>省区特色商品7折券（满15元可用）</t>
  </si>
  <si>
    <t>省区特色商品满15元可用</t>
  </si>
  <si>
    <t>12元便利店通用券（满50元可用）</t>
  </si>
  <si>
    <t>除香烟、化肥满50元可用</t>
  </si>
  <si>
    <t>11元洗车券</t>
  </si>
  <si>
    <t>免费使用（每月生效2张）</t>
  </si>
  <si>
    <t>20元高标号汽油券（95/98#满200元使用）</t>
  </si>
  <si>
    <t>满200元可用（每月生效3张）</t>
  </si>
  <si>
    <t>15元汽油券（满200元使用）</t>
  </si>
  <si>
    <t>美酒佳藏
权益包</t>
  </si>
  <si>
    <t>88元（得孚）汽车清洁养护商品现金券-SUPER</t>
  </si>
  <si>
    <t>2瓶优斯麦尔 46度伊力特（佳藏）250ml现金券-SUPER</t>
  </si>
  <si>
    <t>冰岛普洱茶（熟茶）357g现金券-SUPER</t>
  </si>
  <si>
    <t>满200元可用（每月生效2张）</t>
  </si>
  <si>
    <t>汽油PLUS
权益包</t>
  </si>
  <si>
    <t>88元汽车清洁养护商品现金券（PLUS）</t>
  </si>
  <si>
    <t>权益商品（通兑-1张可兑换2支复合剂/2支得孚清洁剂/1支水浜昆韵）</t>
  </si>
  <si>
    <t>2瓶咔咔酷优特0°C玻璃水现金券</t>
  </si>
  <si>
    <t>单次助力包</t>
  </si>
  <si>
    <t>8.8元优斯麦尔 草原风味牛肉干券</t>
  </si>
  <si>
    <t>12元红牛券1张（加24元换购6瓶）</t>
  </si>
  <si>
    <t>4元0°C玻璃水券2张（加4元换购1瓶）</t>
  </si>
  <si>
    <t>加4元换购1瓶</t>
  </si>
  <si>
    <t>12元天润优斯麦尔浓缩纯牛奶（康美砖250g）券1张（加42元换购1箱）</t>
  </si>
  <si>
    <t>11元洗车券2张（免费使用）</t>
  </si>
  <si>
    <t>免费使用（一次性生效）</t>
  </si>
  <si>
    <t>12元汽油券2张（满200元使用）</t>
  </si>
  <si>
    <t>满200元可用（一次性生效）</t>
  </si>
  <si>
    <t>爱车优护包</t>
  </si>
  <si>
    <t>88元汽车清洁养护商品现金券</t>
  </si>
  <si>
    <t>85元参天地（精酿）券（加113元换购1瓶）</t>
  </si>
  <si>
    <t>加113元换购1瓶</t>
  </si>
  <si>
    <t>12元汽油券（满200元使用）</t>
  </si>
  <si>
    <t>爱车优护包
（无洗车）</t>
  </si>
  <si>
    <t>4元0°C玻璃水券（加4元换购1瓶）</t>
  </si>
  <si>
    <r>
      <rPr>
        <b/>
        <sz val="14"/>
        <color rgb="FFC00000"/>
        <rFont val="微软雅黑"/>
        <family val="2"/>
        <charset val="134"/>
      </rPr>
      <t xml:space="preserve">欢聚佳酿包
</t>
    </r>
    <r>
      <rPr>
        <b/>
        <sz val="14"/>
        <rFont val="微软雅黑"/>
        <family val="2"/>
        <charset val="134"/>
      </rPr>
      <t>（酒+瓜子）</t>
    </r>
  </si>
  <si>
    <t>68元优斯麦尔 46度伊力特（佳藏）250ML现金券</t>
  </si>
  <si>
    <t>20元优斯麦尔原味葵花瓜子500克现金券</t>
  </si>
  <si>
    <r>
      <rPr>
        <b/>
        <sz val="14"/>
        <color rgb="FFC00000"/>
        <rFont val="微软雅黑"/>
        <family val="2"/>
        <charset val="134"/>
      </rPr>
      <t xml:space="preserve">鲜奶畅饮包
</t>
    </r>
    <r>
      <rPr>
        <b/>
        <sz val="14"/>
        <rFont val="微软雅黑"/>
        <family val="2"/>
        <charset val="134"/>
      </rPr>
      <t>（纯奶）</t>
    </r>
  </si>
  <si>
    <t>30元优斯麦尔佳丽新疆纯牛奶(康美砖200g)现金券</t>
  </si>
  <si>
    <t>54元天润优斯麦尔浓缩纯牛奶(康美砖250g)现金券</t>
  </si>
  <si>
    <t>4.2元天润·优斯麦尔纯牛奶(2包M版无菌枕200g)现金券</t>
  </si>
  <si>
    <t>权益商品（兑换2包M版无菌枕）</t>
  </si>
  <si>
    <t>柴油权益包</t>
  </si>
  <si>
    <t>50元咔咔酷优特 AUS32柴油尾气净化液（新疆） 10KG</t>
  </si>
  <si>
    <t>36元自有品牌水1件-武夷山333ml/格桑泉500ml/格桑泉蓝格500ml</t>
  </si>
  <si>
    <t>3元雀巢咖啡券（加10元换购2瓶）</t>
  </si>
  <si>
    <t>加10元换购2瓶</t>
  </si>
  <si>
    <t>20元柴油券（满400元使用）</t>
  </si>
  <si>
    <t>满400元使用</t>
  </si>
  <si>
    <t>LNG权益包</t>
  </si>
  <si>
    <t>LNG</t>
  </si>
  <si>
    <t>3.0系统RPOS</t>
  </si>
  <si>
    <t>6元红牛</t>
  </si>
  <si>
    <t xml:space="preserve">15元好客壹生 纸面巾(软抽) 3包装 </t>
  </si>
  <si>
    <t>昆仑之星 冷却液8折通用券（满50元可用）</t>
  </si>
  <si>
    <t>满50元可用</t>
  </si>
  <si>
    <t>5元 柏驰 有机型防冻液1KG 满减券（红色、绿色）</t>
  </si>
  <si>
    <t>满15元（1瓶）可用</t>
  </si>
  <si>
    <t>15元LNG券（满1000元使用）</t>
  </si>
  <si>
    <t>满1000元使用</t>
  </si>
  <si>
    <t>CNG权益包</t>
  </si>
  <si>
    <t>CNG</t>
  </si>
  <si>
    <t>2元CNG券（满30元使用）</t>
  </si>
  <si>
    <t>满30元使用</t>
  </si>
  <si>
    <t>1支水浜昆韵油膜清洗乳100ml</t>
  </si>
  <si>
    <t>1瓶玻璃水</t>
  </si>
  <si>
    <t>8瓶格桑泉 饮用天然矿泉水 330ml/格桑泉 蓝格330ML</t>
  </si>
  <si>
    <t>3元CNG券（满30元使用）</t>
  </si>
  <si>
    <t>抖音本地生活套餐</t>
  </si>
  <si>
    <t>抖音团购</t>
  </si>
  <si>
    <t>售价</t>
  </si>
  <si>
    <t>(优斯麦尔复合果蔬汁+2瓶玻璃水)</t>
  </si>
  <si>
    <t>抖音APP</t>
  </si>
  <si>
    <t>饮品套餐</t>
  </si>
  <si>
    <t>优斯麦尔复合果蔬汁*1L  (6种口味任选1）</t>
  </si>
  <si>
    <t>套餐商品</t>
  </si>
  <si>
    <t>咔咔酷优特玻璃水0°</t>
  </si>
  <si>
    <t>12元汽油通用券(满200使用)</t>
  </si>
  <si>
    <t>满200元使用</t>
  </si>
  <si>
    <t>优斯麦尔复合果蔬汁*0.3L  (6种口味任选1）</t>
  </si>
  <si>
    <t>酒类套餐</t>
  </si>
  <si>
    <t>雪花啤酒</t>
  </si>
  <si>
    <t>雪花 勇闯天涯 8度SuperX啤酒 500ml听</t>
  </si>
  <si>
    <t>喜力啤酒</t>
  </si>
  <si>
    <t>喜力 经典 11.4度500ml听</t>
  </si>
  <si>
    <t>(2瓶优斯麦尔伊力特)</t>
  </si>
  <si>
    <t>优斯麦尔46度伊力特(佳藏)250ML</t>
  </si>
  <si>
    <t>出行套餐</t>
  </si>
  <si>
    <t>(2瓶玻璃水+2提抽纸+4并瓶红牛)</t>
  </si>
  <si>
    <t>好客壹生纸面巾(软抽)3包装3*120抽3层133mm*195mm</t>
  </si>
  <si>
    <t>红牛(2款)</t>
  </si>
  <si>
    <t>(3袋牛肉干+1箱武夷山/格桑泉矿泉水)</t>
  </si>
  <si>
    <t>优斯麦尔草原风味牛肉-全系列</t>
  </si>
  <si>
    <t>武夷山饮用天然矿泉水333ML/格桑泉饮用天然矿泉水500ml</t>
  </si>
  <si>
    <t>类型</t>
  </si>
  <si>
    <t>商品编码</t>
  </si>
  <si>
    <t>商品名称</t>
  </si>
  <si>
    <t>售价(元)</t>
  </si>
  <si>
    <t>对应单品编码</t>
  </si>
  <si>
    <t>对应单一商品</t>
  </si>
  <si>
    <t>对应数量</t>
  </si>
  <si>
    <t>规格</t>
  </si>
  <si>
    <t>80014709</t>
  </si>
  <si>
    <t>LNG会员权益包（新疆Q1）-武夷山+风味</t>
  </si>
  <si>
    <t>70251989</t>
  </si>
  <si>
    <t>武夷山 饮用天然矿泉水 333ML</t>
  </si>
  <si>
    <t>瓶</t>
  </si>
  <si>
    <t>70341453</t>
  </si>
  <si>
    <t>好客壹生牌 软抽 3层120抽 133mm*195mm 3包装</t>
  </si>
  <si>
    <t>提</t>
  </si>
  <si>
    <t>70356177</t>
  </si>
  <si>
    <t>红牛 维生素风味饮料 250ML</t>
  </si>
  <si>
    <t>80014755</t>
  </si>
  <si>
    <t xml:space="preserve"> LNG会员权益包（新疆Q1）-蓝格+风味</t>
  </si>
  <si>
    <t>70545526</t>
  </si>
  <si>
    <t>格桑泉 蓝格天然饮用水 500ML</t>
  </si>
  <si>
    <t xml:space="preserve"> LNG会员权益包（新疆Q1）-格桑泉+风味</t>
  </si>
  <si>
    <t>格桑泉 饮用天然矿泉水 500ML</t>
  </si>
  <si>
    <t>LNG会员权益包（新疆Q1）-武夷山+牛磺酸</t>
  </si>
  <si>
    <t>红牛 维生素牛磺酸饮料 250ml</t>
  </si>
  <si>
    <t>LNG会员权益包（新疆Q1）-蓝格+牛磺酸</t>
  </si>
  <si>
    <t xml:space="preserve"> LNG会员权益包（新疆Q1）-格桑泉+牛磺酸</t>
  </si>
  <si>
    <t>80014707</t>
  </si>
  <si>
    <t>CNG会员权益包（新疆Q1）-风味</t>
  </si>
  <si>
    <t>CNG会员权益包（新疆Q1）-牛磺酸</t>
  </si>
  <si>
    <t>（6瓶红牛+1箱自有水+1提好客壹生纸）</t>
  </si>
  <si>
    <t>4C00289302</t>
  </si>
  <si>
    <t>1C00289303</t>
  </si>
  <si>
    <t>加5元换购1瓶</t>
  </si>
  <si>
    <t>1C00329385</t>
  </si>
  <si>
    <t>1C00275214</t>
  </si>
  <si>
    <t>1C00274207</t>
  </si>
  <si>
    <t>1C00330395</t>
  </si>
  <si>
    <t>1C00275215</t>
  </si>
  <si>
    <t>1C00285876</t>
  </si>
  <si>
    <t>9元自有水券（加9元换购6瓶）</t>
  </si>
  <si>
    <t>加9元换购6瓶（大格/小武）</t>
  </si>
  <si>
    <t>1C00274205</t>
  </si>
  <si>
    <t>1C00289265</t>
  </si>
  <si>
    <t>附件</t>
  </si>
  <si>
    <t>油非互促（统建）</t>
  </si>
  <si>
    <t>品类</t>
  </si>
  <si>
    <t>加油换购</t>
  </si>
  <si>
    <t>优先级</t>
  </si>
  <si>
    <t>促销政策</t>
  </si>
  <si>
    <t>促销数量</t>
  </si>
  <si>
    <t>促销价</t>
  </si>
  <si>
    <t>主油承担</t>
  </si>
  <si>
    <t>非油承担</t>
  </si>
  <si>
    <t>成品油价格到位率</t>
  </si>
  <si>
    <t>促销
毛利率</t>
  </si>
  <si>
    <r>
      <rPr>
        <b/>
        <sz val="12"/>
        <color rgb="FFFFFF00"/>
        <rFont val="微软雅黑"/>
        <family val="2"/>
        <charset val="134"/>
      </rPr>
      <t xml:space="preserve">                                                                      组合级</t>
    </r>
    <r>
      <rPr>
        <b/>
        <sz val="8"/>
        <color rgb="FFFFFF00"/>
        <rFont val="微软雅黑"/>
        <family val="2"/>
        <charset val="134"/>
      </rPr>
      <t>（*组合级换购即可触发叠加规则，也可触发礼包中任意单品级的换购。）</t>
    </r>
  </si>
  <si>
    <t>组合1</t>
  </si>
  <si>
    <t>行车包</t>
  </si>
  <si>
    <t>-</t>
  </si>
  <si>
    <t>饮料+车辅+个护</t>
  </si>
  <si>
    <r>
      <rPr>
        <sz val="10"/>
        <rFont val="微软雅黑"/>
        <family val="2"/>
        <charset val="134"/>
      </rPr>
      <t>红牛（2款通用）</t>
    </r>
    <r>
      <rPr>
        <b/>
        <sz val="10"/>
        <color rgb="FFFF0000"/>
        <rFont val="微软雅黑"/>
        <family val="2"/>
        <charset val="134"/>
      </rPr>
      <t>*3</t>
    </r>
    <r>
      <rPr>
        <sz val="10"/>
        <rFont val="微软雅黑"/>
        <family val="2"/>
        <charset val="134"/>
      </rPr>
      <t>+咔咔0℃玻璃水</t>
    </r>
    <r>
      <rPr>
        <b/>
        <sz val="10"/>
        <color rgb="FFFF0000"/>
        <rFont val="微软雅黑"/>
        <family val="2"/>
        <charset val="134"/>
      </rPr>
      <t>*2</t>
    </r>
    <r>
      <rPr>
        <sz val="10"/>
        <rFont val="微软雅黑"/>
        <family val="2"/>
        <charset val="134"/>
      </rPr>
      <t>+好客壹生3连抽纸</t>
    </r>
    <r>
      <rPr>
        <b/>
        <sz val="10"/>
        <color rgb="FFFF0000"/>
        <rFont val="微软雅黑"/>
        <family val="2"/>
        <charset val="134"/>
      </rPr>
      <t>*1</t>
    </r>
  </si>
  <si>
    <r>
      <rPr>
        <b/>
        <sz val="10"/>
        <color theme="1"/>
        <rFont val="微软雅黑"/>
        <family val="2"/>
        <charset val="134"/>
      </rPr>
      <t>汽油/柴油满200元，</t>
    </r>
    <r>
      <rPr>
        <b/>
        <sz val="10"/>
        <color rgb="FFFF0000"/>
        <rFont val="微软雅黑"/>
        <family val="2"/>
        <charset val="134"/>
      </rPr>
      <t>+25元</t>
    </r>
    <r>
      <rPr>
        <b/>
        <sz val="10"/>
        <color theme="1"/>
        <rFont val="微软雅黑"/>
        <family val="2"/>
        <charset val="134"/>
      </rPr>
      <t>换购</t>
    </r>
  </si>
  <si>
    <t>★★★★</t>
  </si>
  <si>
    <t>组合2</t>
  </si>
  <si>
    <t>水饮包</t>
  </si>
  <si>
    <t>饮料+车辅+奶类</t>
  </si>
  <si>
    <r>
      <rPr>
        <sz val="10"/>
        <color theme="1"/>
        <rFont val="微软雅黑"/>
        <family val="2"/>
        <charset val="134"/>
      </rPr>
      <t>咔咔0℃玻璃水</t>
    </r>
    <r>
      <rPr>
        <b/>
        <sz val="10"/>
        <color rgb="FFFF0000"/>
        <rFont val="微软雅黑"/>
        <family val="2"/>
        <charset val="134"/>
      </rPr>
      <t>*2</t>
    </r>
    <r>
      <rPr>
        <sz val="10"/>
        <color theme="1"/>
        <rFont val="微软雅黑"/>
        <family val="2"/>
        <charset val="134"/>
      </rPr>
      <t>+武夷山333ml/格桑泉500ML（3款通用）</t>
    </r>
    <r>
      <rPr>
        <b/>
        <sz val="10"/>
        <color rgb="FFFF0000"/>
        <rFont val="微软雅黑"/>
        <family val="2"/>
        <charset val="134"/>
      </rPr>
      <t>*4</t>
    </r>
    <r>
      <rPr>
        <sz val="10"/>
        <color theme="1"/>
        <rFont val="微软雅黑"/>
        <family val="2"/>
        <charset val="134"/>
      </rPr>
      <t>+天润奶啤（3款通用）</t>
    </r>
    <r>
      <rPr>
        <b/>
        <sz val="10"/>
        <color rgb="FFFF0000"/>
        <rFont val="微软雅黑"/>
        <family val="2"/>
        <charset val="134"/>
      </rPr>
      <t>*2</t>
    </r>
    <r>
      <rPr>
        <sz val="10"/>
        <color theme="1"/>
        <rFont val="微软雅黑"/>
        <family val="2"/>
        <charset val="134"/>
      </rPr>
      <t>+好客季枣杞水550ml</t>
    </r>
    <r>
      <rPr>
        <b/>
        <sz val="10"/>
        <color rgb="FFFF0000"/>
        <rFont val="微软雅黑"/>
        <family val="2"/>
        <charset val="134"/>
      </rPr>
      <t>*2</t>
    </r>
  </si>
  <si>
    <t>组合3</t>
  </si>
  <si>
    <t>长运专项包</t>
  </si>
  <si>
    <t>饮料+家食+清洁+个护+日用</t>
  </si>
  <si>
    <r>
      <rPr>
        <sz val="10"/>
        <color theme="1"/>
        <rFont val="微软雅黑"/>
        <family val="2"/>
        <charset val="134"/>
      </rPr>
      <t>格桑泉330ml水（2款通用）</t>
    </r>
    <r>
      <rPr>
        <b/>
        <sz val="10"/>
        <color rgb="FFFF0000"/>
        <rFont val="微软雅黑"/>
        <family val="2"/>
        <charset val="134"/>
      </rPr>
      <t>*4</t>
    </r>
    <r>
      <rPr>
        <sz val="10"/>
        <color theme="1"/>
        <rFont val="微软雅黑"/>
        <family val="2"/>
        <charset val="134"/>
      </rPr>
      <t>+格桑泉4L水</t>
    </r>
    <r>
      <rPr>
        <b/>
        <sz val="10"/>
        <color rgb="FFFF0000"/>
        <rFont val="微软雅黑"/>
        <family val="2"/>
        <charset val="134"/>
      </rPr>
      <t>*2</t>
    </r>
    <r>
      <rPr>
        <sz val="10"/>
        <color theme="1"/>
        <rFont val="微软雅黑"/>
        <family val="2"/>
        <charset val="134"/>
      </rPr>
      <t>+福临门0.5kg米</t>
    </r>
    <r>
      <rPr>
        <b/>
        <sz val="10"/>
        <color rgb="FFFF0000"/>
        <rFont val="微软雅黑"/>
        <family val="2"/>
        <charset val="134"/>
      </rPr>
      <t>*1</t>
    </r>
    <r>
      <rPr>
        <sz val="10"/>
        <color theme="1"/>
        <rFont val="微软雅黑"/>
        <family val="2"/>
        <charset val="134"/>
      </rPr>
      <t>+奥妙480g洗洁精</t>
    </r>
    <r>
      <rPr>
        <b/>
        <sz val="10"/>
        <color rgb="FFFF0000"/>
        <rFont val="微软雅黑"/>
        <family val="2"/>
        <charset val="134"/>
      </rPr>
      <t>*1</t>
    </r>
    <r>
      <rPr>
        <sz val="10"/>
        <color theme="1"/>
        <rFont val="微软雅黑"/>
        <family val="2"/>
        <charset val="134"/>
      </rPr>
      <t>+金号毛巾</t>
    </r>
    <r>
      <rPr>
        <b/>
        <sz val="10"/>
        <color rgb="FFFF0000"/>
        <rFont val="微软雅黑"/>
        <family val="2"/>
        <charset val="134"/>
      </rPr>
      <t>*1</t>
    </r>
    <r>
      <rPr>
        <sz val="10"/>
        <color theme="1"/>
        <rFont val="微软雅黑"/>
        <family val="2"/>
        <charset val="134"/>
      </rPr>
      <t>+线手套</t>
    </r>
    <r>
      <rPr>
        <b/>
        <sz val="10"/>
        <color rgb="FFFF0000"/>
        <rFont val="微软雅黑"/>
        <family val="2"/>
        <charset val="134"/>
      </rPr>
      <t>*10</t>
    </r>
  </si>
  <si>
    <r>
      <rPr>
        <b/>
        <sz val="10"/>
        <color theme="1"/>
        <rFont val="微软雅黑"/>
        <family val="2"/>
        <charset val="134"/>
      </rPr>
      <t>柴油满500元，</t>
    </r>
    <r>
      <rPr>
        <b/>
        <sz val="10"/>
        <color rgb="FF00B050"/>
        <rFont val="微软雅黑"/>
        <family val="2"/>
        <charset val="134"/>
      </rPr>
      <t>+25元</t>
    </r>
    <r>
      <rPr>
        <b/>
        <sz val="10"/>
        <color theme="1"/>
        <rFont val="微软雅黑"/>
        <family val="2"/>
        <charset val="134"/>
      </rPr>
      <t>换购</t>
    </r>
  </si>
  <si>
    <t>★★★★★</t>
  </si>
  <si>
    <t>单品级</t>
  </si>
  <si>
    <t>6.7库存</t>
  </si>
  <si>
    <t>库存金额</t>
  </si>
  <si>
    <t>1</t>
  </si>
  <si>
    <t>包装饮料</t>
  </si>
  <si>
    <t>武夷山333ML/格桑泉330ML（2款通用）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</si>
  <si>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+2元</t>
    </r>
    <r>
      <rPr>
        <b/>
        <sz val="10"/>
        <color theme="1"/>
        <rFont val="微软雅黑"/>
        <family val="2"/>
        <charset val="134"/>
      </rPr>
      <t>换购4瓶【小水】</t>
    </r>
  </si>
  <si>
    <t>★★★</t>
  </si>
  <si>
    <t>武夷山513ML/格桑泉500ML（3款通用）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</si>
  <si>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+4元</t>
    </r>
    <r>
      <rPr>
        <b/>
        <sz val="10"/>
        <color theme="1"/>
        <rFont val="微软雅黑"/>
        <family val="2"/>
        <charset val="134"/>
      </rPr>
      <t>换购4瓶【大水】</t>
    </r>
  </si>
  <si>
    <r>
      <rPr>
        <b/>
        <sz val="10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+12元</t>
    </r>
    <r>
      <rPr>
        <b/>
        <sz val="10"/>
        <rFont val="微软雅黑"/>
        <family val="2"/>
        <charset val="134"/>
      </rPr>
      <t>换购3瓶</t>
    </r>
  </si>
  <si>
    <r>
      <rPr>
        <b/>
        <sz val="10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+9.9元</t>
    </r>
    <r>
      <rPr>
        <b/>
        <sz val="10"/>
        <rFont val="微软雅黑"/>
        <family val="2"/>
        <charset val="134"/>
      </rPr>
      <t>换购1瓶</t>
    </r>
  </si>
  <si>
    <t>新铺货</t>
  </si>
  <si>
    <t>优斯麦尔果汁 0.3L（6款通用）</t>
  </si>
  <si>
    <r>
      <rPr>
        <b/>
        <sz val="10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+9.9元</t>
    </r>
    <r>
      <rPr>
        <b/>
        <sz val="10"/>
        <rFont val="微软雅黑"/>
        <family val="2"/>
        <charset val="134"/>
      </rPr>
      <t>换购2瓶</t>
    </r>
  </si>
  <si>
    <t>优斯麦尔果汁248ml（8款玻璃瓶装）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</si>
  <si>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+9.9元</t>
    </r>
    <r>
      <rPr>
        <b/>
        <sz val="10"/>
        <color theme="1"/>
        <rFont val="微软雅黑"/>
        <family val="2"/>
        <charset val="134"/>
      </rPr>
      <t>换购3瓶</t>
    </r>
  </si>
  <si>
    <t>奶类</t>
  </si>
  <si>
    <t>优斯麦尔佳丽新疆纯牛奶（康美砖200g）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</si>
  <si>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+19.9元</t>
    </r>
    <r>
      <rPr>
        <b/>
        <sz val="10"/>
        <color theme="1"/>
        <rFont val="微软雅黑"/>
        <family val="2"/>
        <charset val="134"/>
      </rPr>
      <t>换购1箱</t>
    </r>
  </si>
  <si>
    <t>天润 优斯麦尔纯牛奶M版无菌枕 200G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</si>
  <si>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+29.9元</t>
    </r>
    <r>
      <rPr>
        <b/>
        <sz val="10"/>
        <color theme="1"/>
        <rFont val="微软雅黑"/>
        <family val="2"/>
        <charset val="134"/>
      </rPr>
      <t>换购1箱</t>
    </r>
  </si>
  <si>
    <t>天润 优斯麦尔纯牛奶康美砖 250G</t>
  </si>
  <si>
    <r>
      <rPr>
        <b/>
        <sz val="10"/>
        <color theme="1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+39.9元</t>
    </r>
    <r>
      <rPr>
        <b/>
        <sz val="10"/>
        <color theme="1"/>
        <rFont val="微软雅黑"/>
        <family val="2"/>
        <charset val="134"/>
      </rPr>
      <t>换购1箱</t>
    </r>
  </si>
  <si>
    <t>化工农资</t>
  </si>
  <si>
    <t>一面旗水溶肥25KG（3款通用）、水滴丰 99％含量磷酸二氢钾20KG、好苗子 64％含量磷酸二铵 50KG、中化 磷酸一铵晶体73％12-61-0 25KG</t>
  </si>
  <si>
    <r>
      <rPr>
        <b/>
        <sz val="10"/>
        <rFont val="微软雅黑"/>
        <family val="2"/>
        <charset val="134"/>
      </rPr>
      <t>汽油单次满180元/柴油满300元,</t>
    </r>
    <r>
      <rPr>
        <b/>
        <sz val="10"/>
        <color rgb="FFFF0000"/>
        <rFont val="微软雅黑"/>
        <family val="2"/>
        <charset val="134"/>
      </rPr>
      <t>立减30元</t>
    </r>
  </si>
  <si>
    <t>非非促销（统建）</t>
  </si>
  <si>
    <t>一、系列活动</t>
  </si>
  <si>
    <t>重点品类</t>
  </si>
  <si>
    <t>营销事件</t>
  </si>
  <si>
    <t>推广主题</t>
  </si>
  <si>
    <t>活动内容</t>
  </si>
  <si>
    <t>★专项活动★</t>
  </si>
  <si>
    <t>全品</t>
  </si>
  <si>
    <t>非油会员日</t>
  </si>
  <si>
    <t>【逢7加气】</t>
  </si>
  <si>
    <t>每月7/17/27日，加气站全场商品（除烟、化肥）全场9折。</t>
  </si>
  <si>
    <t>【逢9全品惠】</t>
  </si>
  <si>
    <t>每月9/19/29日，加油站全场商品（除烟、化肥）全场9折；积分兑换9折优惠；会员消费便利店商品3倍积分。每月9-11日、19-21日、29-31日（或次月1日）开展会员积分抽奖活动（500积分抽1次）</t>
  </si>
  <si>
    <t>零食/面包等</t>
  </si>
  <si>
    <t>促销专区</t>
  </si>
  <si>
    <t>【9.9零食好物集】</t>
  </si>
  <si>
    <t>针对省区互采、集采亿滋、好丽友等品牌小食品，开展9.9元专区销售。</t>
  </si>
  <si>
    <t>啤酒/咖啡等</t>
  </si>
  <si>
    <t>2026·世界杯/疆超</t>
  </si>
  <si>
    <t>【逐光赛场·蓄能出发】</t>
  </si>
  <si>
    <r>
      <rPr>
        <b/>
        <sz val="14"/>
        <color rgb="FFFF0000"/>
        <rFont val="微软雅黑"/>
        <family val="2"/>
        <charset val="134"/>
      </rPr>
      <t xml:space="preserve">世界杯/疆超期间（6.12-8.9）：
</t>
    </r>
    <r>
      <rPr>
        <b/>
        <sz val="14"/>
        <rFont val="微软雅黑"/>
        <family val="2"/>
        <charset val="134"/>
      </rPr>
      <t>①（会员用户）啤酒类全系商品消费满66元，赠20元高标号汽油券1张（满200可用）；
②（不限会员）夜间时段（18:00-次日2:00），咖啡、啤酒、瓜子、雪糕、膨化、肉脯类商品全场8.8折。</t>
    </r>
  </si>
  <si>
    <t>家庭食品</t>
  </si>
  <si>
    <t>2026·中秋节</t>
  </si>
  <si>
    <t>【中秋团圆礼】</t>
  </si>
  <si>
    <r>
      <rPr>
        <b/>
        <sz val="14"/>
        <color rgb="FFFF0000"/>
        <rFont val="微软雅黑"/>
        <family val="2"/>
        <charset val="134"/>
      </rPr>
      <t xml:space="preserve">中秋节前后（9.1-9.30）：
</t>
    </r>
    <r>
      <rPr>
        <b/>
        <sz val="14"/>
        <rFont val="微软雅黑"/>
        <family val="2"/>
        <charset val="134"/>
      </rPr>
      <t>①（会员用户）月饼礼盒类商品满226减50元，赠2张10元汽油券（200减10元）；
②（不限会员）月饼礼盒消费满326元减66元。</t>
    </r>
  </si>
  <si>
    <t>二、其他促销</t>
  </si>
  <si>
    <t>促销规则</t>
  </si>
  <si>
    <t>促销价（元）</t>
  </si>
  <si>
    <t>促销后毛利率</t>
  </si>
  <si>
    <t>促销资源</t>
  </si>
  <si>
    <t>原则</t>
  </si>
  <si>
    <t>成本</t>
  </si>
  <si>
    <t>★买非送券★</t>
  </si>
  <si>
    <t>日用品</t>
  </si>
  <si>
    <t>新疆旅游翼卡通</t>
  </si>
  <si>
    <t>【翼卡通】买卡送油</t>
  </si>
  <si>
    <t>【会员用户】399元购买1张翼卡通（实体），赠2张100元汽油券（满101元可用）</t>
  </si>
  <si>
    <t>酒类</t>
  </si>
  <si>
    <t>【伊力特】两瓶买非送非</t>
  </si>
  <si>
    <t>【会员用户】促销价116元/2瓶，赠1张16元非油券（满66元可用）；促销价216元/2瓶，赠1张16元非油券；促销价516元/2瓶，赠2张16元非油券</t>
  </si>
  <si>
    <t>【季度促销原则】
①单瓶价格禁止直降；
②组合营销综合毛利率不低于25%。</t>
  </si>
  <si>
    <t>【伊力特】整件买非送油</t>
  </si>
  <si>
    <t>【满减/买赠】</t>
  </si>
  <si>
    <t>化工农资+</t>
  </si>
  <si>
    <r>
      <rPr>
        <b/>
        <sz val="12"/>
        <rFont val="微软雅黑"/>
        <family val="2"/>
        <charset val="134"/>
      </rPr>
      <t>棉包膜</t>
    </r>
    <r>
      <rPr>
        <b/>
        <sz val="12"/>
        <color rgb="FFFF0000"/>
        <rFont val="微软雅黑"/>
        <family val="2"/>
        <charset val="134"/>
      </rPr>
      <t>*9卷（1托盘）</t>
    </r>
    <r>
      <rPr>
        <b/>
        <sz val="12"/>
        <rFont val="微软雅黑"/>
        <family val="2"/>
        <charset val="134"/>
      </rPr>
      <t>+天润M枕（2款通用）</t>
    </r>
    <r>
      <rPr>
        <b/>
        <sz val="12"/>
        <color rgb="FFFF0000"/>
        <rFont val="微软雅黑"/>
        <family val="2"/>
        <charset val="134"/>
      </rPr>
      <t>*1件</t>
    </r>
    <r>
      <rPr>
        <b/>
        <sz val="12"/>
        <rFont val="微软雅黑"/>
        <family val="2"/>
        <charset val="134"/>
      </rPr>
      <t>+红牛（2款通用）</t>
    </r>
    <r>
      <rPr>
        <b/>
        <sz val="12"/>
        <color rgb="FFFF0000"/>
        <rFont val="微软雅黑"/>
        <family val="2"/>
        <charset val="134"/>
      </rPr>
      <t>*4件</t>
    </r>
    <r>
      <rPr>
        <b/>
        <sz val="12"/>
        <rFont val="微软雅黑"/>
        <family val="2"/>
        <charset val="134"/>
      </rPr>
      <t>+优斯麦尔46度伊力特（佳藏）250ML</t>
    </r>
    <r>
      <rPr>
        <b/>
        <sz val="12"/>
        <color rgb="FFFF0000"/>
        <rFont val="微软雅黑"/>
        <family val="2"/>
        <charset val="134"/>
      </rPr>
      <t>*2件</t>
    </r>
    <r>
      <rPr>
        <b/>
        <sz val="12"/>
        <rFont val="微软雅黑"/>
        <family val="2"/>
        <charset val="134"/>
      </rPr>
      <t>+线手套</t>
    </r>
    <r>
      <rPr>
        <b/>
        <sz val="12"/>
        <color rgb="FFFF0000"/>
        <rFont val="微软雅黑"/>
        <family val="2"/>
        <charset val="134"/>
      </rPr>
      <t>*100副</t>
    </r>
  </si>
  <si>
    <t>【棉包膜】买肥送非</t>
  </si>
  <si>
    <t>购买棉包膜满9卷（1托盘），送：2件优斯麦尔46度伊力特（佳藏）250ml+1件M枕牛奶+4件红牛+100副手套</t>
  </si>
  <si>
    <t>买赠</t>
  </si>
  <si>
    <t>便利店商品满40元，赠1个自有奶（7款任意）或1盒昆仑好客＆英九庄园 皇冠MINI 10g</t>
  </si>
  <si>
    <t>香烟</t>
  </si>
  <si>
    <t>香烟满200元，赠2个自有奶（7款任意）或2瓶优斯麦尔果汁248ml</t>
  </si>
  <si>
    <t>香烟+酒</t>
  </si>
  <si>
    <t>香烟满555元-优斯麦尔 46度伊力特（佳藏） 250ML</t>
  </si>
  <si>
    <t>香烟消费满555元，赠送1瓶优斯麦尔 46度伊力特（佳藏）250ML</t>
  </si>
  <si>
    <t>香烟满888元-优斯麦尔 46度伊力特（佳藏） 500ML</t>
  </si>
  <si>
    <t>香烟消费满888元，赠送1瓶优斯麦尔 46度伊力特（佳藏）500ML</t>
  </si>
  <si>
    <t>【自有水】</t>
  </si>
  <si>
    <t>整件优惠</t>
  </si>
  <si>
    <t>24.9元/件</t>
  </si>
  <si>
    <t>格桑泉 500ML（3款通用）</t>
  </si>
  <si>
    <t>27.9元/件</t>
  </si>
  <si>
    <t>31.9元/件</t>
  </si>
  <si>
    <t>武夷山 饮用天然矿泉水 513ML</t>
  </si>
  <si>
    <t>39.9元/件</t>
  </si>
  <si>
    <t>武夷山 饮用天然矿泉水 4.5L</t>
  </si>
  <si>
    <t>50元/件</t>
  </si>
  <si>
    <t>【中油奶饮】</t>
  </si>
  <si>
    <t>天润 优斯麦尔纯牛奶梦幻盖 250ML（夏牧场）</t>
  </si>
  <si>
    <t>60元/件</t>
  </si>
  <si>
    <t>天润 奶啤 300ML（3款通用）</t>
  </si>
  <si>
    <t>55元/件</t>
  </si>
  <si>
    <t>【中油农资】</t>
  </si>
  <si>
    <t>一面旗 水溶肥（10-20-20） 25KG/一面旗 水溶肥（18-18-18） 25KG/一面旗 水溶肥（8-30-22） 25KG/水滴丰 99％含量磷酸二氢钾 20KG/好苗子 64％含量磷酸二铵 50KG/中化 磷酸一铵晶体73％12-61-0 25KG</t>
  </si>
  <si>
    <t>满2袋享 95折</t>
  </si>
  <si>
    <t>满9卷（1托）享95折</t>
  </si>
  <si>
    <t>满27卷（3托）享93折</t>
  </si>
  <si>
    <t>满45卷（5托）享91折</t>
  </si>
  <si>
    <t>满90卷（10托）享88折</t>
  </si>
  <si>
    <t>【好客壹生】</t>
  </si>
  <si>
    <t>个人护理用品</t>
  </si>
  <si>
    <t>买一赠一</t>
  </si>
  <si>
    <t>好客壹生纸品买一赠一</t>
  </si>
  <si>
    <t>【能量茶饮】</t>
  </si>
  <si>
    <t>三瓶惊爆价</t>
  </si>
  <si>
    <t>9元/3瓶</t>
  </si>
  <si>
    <t>红牛 250ML（含瓶装3款通用）/黑卡 6小时能量饮料什果味 450ML/东鹏 特饮 500ML/觅力 柠檬蜂蜜水 400ml</t>
  </si>
  <si>
    <t>两瓶惊爆价</t>
  </si>
  <si>
    <t>9元/2瓶</t>
  </si>
  <si>
    <t>农夫山泉  500mL（6款通用）</t>
  </si>
  <si>
    <t>8元/2瓶</t>
  </si>
  <si>
    <t>【啤酒】</t>
  </si>
  <si>
    <t>惊爆价</t>
  </si>
  <si>
    <t>39.9元/瓶，整件68元；5元/瓶，整件26元；12元/瓶，整件68元</t>
  </si>
  <si>
    <t>雪花 勇闯天涯 8度SuperX啤酒 500ml听/喜力 经典 11.4度500ml听/雪花 勇闯天涯 8度330mL</t>
  </si>
  <si>
    <t>15元/3罐；21元/3罐；9元/3罐</t>
  </si>
  <si>
    <t>【中油润辅】</t>
  </si>
  <si>
    <t>玻璃水/复合剂/尾液</t>
  </si>
  <si>
    <t>咔咔酷优特 汽车风窗玻璃清洗液0℃（新疆） 2L</t>
  </si>
  <si>
    <t>35元/9瓶（整件）；12元/2瓶</t>
  </si>
  <si>
    <t>咔咔酷优特 汽车风窗玻璃清洗液-40℃（新疆） 2L</t>
  </si>
  <si>
    <t>昆仑之星 汽油复合剂 0.0865kg</t>
  </si>
  <si>
    <t>150元/6支（整盒）</t>
  </si>
  <si>
    <t>咔咔酷优特 柴油尾气净化液AUS3210KG（2款通用）/昆仑之星AUS 32柴油发动机尾气净化液 10kg/桶</t>
  </si>
  <si>
    <t>60元/2桶</t>
  </si>
  <si>
    <t>咔咔酷优特 柴油尾气净化液AUS32 20KG（2款通用）/昆仑之星AUS 32柴油发动机尾气净化液 20kg/桶（2款通用）</t>
  </si>
  <si>
    <t>100元/2桶</t>
  </si>
  <si>
    <t>参考1</t>
  </si>
  <si>
    <t>非非促销（个性化促销）</t>
  </si>
  <si>
    <t>提示：①各单位可参照“建议促销方式”自行维护促销规则，也可结合自身库存成本，对商品池内商品开展个性化促销，毛利率不低于8%，经各单位非油品价格领导小组审批后开展营销活动。         
           ②铺货商品随公司主动铺货批次更新，自有商品包括但不限于表中商品；
           ③茅台酒组合营销，单品组合促销后毛利额不低于400元；
           ④伊力特（优斯麦尔）白酒单瓶价格禁止直降。</t>
  </si>
  <si>
    <t>采购价（元）</t>
  </si>
  <si>
    <t>账面采购价（元）</t>
  </si>
  <si>
    <t>库存成本</t>
  </si>
  <si>
    <t>促销包装系数</t>
  </si>
  <si>
    <t>建议零售价（元）</t>
  </si>
  <si>
    <t>促销建议</t>
  </si>
  <si>
    <t>库存数量</t>
  </si>
  <si>
    <t>70175410</t>
  </si>
  <si>
    <t>采头曲1瓶搭鉴藏6酒1瓶</t>
  </si>
  <si>
    <t>70460617</t>
  </si>
  <si>
    <t>泸州老窖鉴藏6 500ml</t>
  </si>
  <si>
    <t>70175411</t>
  </si>
  <si>
    <t>泸州老窖红酝头曲 500ml</t>
  </si>
  <si>
    <t>采头曲1瓶搭精品9酒1瓶</t>
  </si>
  <si>
    <t>70429451</t>
  </si>
  <si>
    <t>泸州老窖泸州贡精品9 500ml</t>
  </si>
  <si>
    <t>70362186</t>
  </si>
  <si>
    <t>凡士林经典修护晶冻原味 6X12X50G</t>
  </si>
  <si>
    <t>组合礼包</t>
  </si>
  <si>
    <t>70314993</t>
  </si>
  <si>
    <t>凡士林倍护特润修护护手霜Y22 12X50ML</t>
  </si>
  <si>
    <t>70390496</t>
  </si>
  <si>
    <t>凡士林®经典修护保湿润唇膏原味4X12X3.5G</t>
  </si>
  <si>
    <t>70254187</t>
  </si>
  <si>
    <t>凡士林倍护精华修护身体乳Y22 12X200ML</t>
  </si>
  <si>
    <t>70543510</t>
  </si>
  <si>
    <t>奥妙快洗洗衣液 洁净柔软 线下 2KG</t>
  </si>
  <si>
    <t>组合礼包。礼包中后3款商品由供应商提供并组合装袋，不入库</t>
  </si>
  <si>
    <t>新增</t>
  </si>
  <si>
    <t>金纺 柔顺剂薰衣草 400g</t>
  </si>
  <si>
    <t>奥妙 洗衣液袋装400g</t>
  </si>
  <si>
    <t>奥妙 手提编织袋</t>
  </si>
  <si>
    <t>70446531</t>
  </si>
  <si>
    <t>99.9元组合（正常售价170.8元）</t>
  </si>
  <si>
    <t>70101130</t>
  </si>
  <si>
    <t>蓝月亮 绿色柔顺剂薰衣草香 3kg</t>
  </si>
  <si>
    <t>70514552</t>
  </si>
  <si>
    <t>蓝月亮清新柠檬油污克星泡沫型500g</t>
  </si>
  <si>
    <t>70190399</t>
  </si>
  <si>
    <t>70381881</t>
  </si>
  <si>
    <t>金龙鱼压榨本香菜籽油5L</t>
  </si>
  <si>
    <t>99.9元组合（正常售价179.8元）</t>
  </si>
  <si>
    <t>70365218</t>
  </si>
  <si>
    <t>金龙鱼御品珍珠米5KG</t>
  </si>
  <si>
    <t>70131734</t>
  </si>
  <si>
    <t>隆力奇 蛇胆黄瓜洗面奶 100g</t>
  </si>
  <si>
    <t>66元任选3件</t>
  </si>
  <si>
    <t>70011118</t>
  </si>
  <si>
    <t>大宝 美容洗面奶 220g</t>
  </si>
  <si>
    <t>70483931</t>
  </si>
  <si>
    <t>隆力奇 保湿润体乳 200mL</t>
  </si>
  <si>
    <t>70514551</t>
  </si>
  <si>
    <t>隆力奇 去渍清新牙膏 105g</t>
  </si>
  <si>
    <t>70135156</t>
  </si>
  <si>
    <t>隆力奇 黑芝麻洗发水 400mL</t>
  </si>
  <si>
    <t>70049611</t>
  </si>
  <si>
    <t>威露士 亮净厨房去重油剂(氧漂除菌配方) 1L</t>
  </si>
  <si>
    <t>70493734</t>
  </si>
  <si>
    <t>滴露 卫生湿巾 50片</t>
  </si>
  <si>
    <t>70131735</t>
  </si>
  <si>
    <t>隆力奇 牛奶润肤沐浴露 1L</t>
  </si>
  <si>
    <t>70524470</t>
  </si>
  <si>
    <t>阿迪达斯 男士三合一沐浴露—运动后舒缓 250mL</t>
  </si>
  <si>
    <t>70483920</t>
  </si>
  <si>
    <t>隆力奇 蛇胆清爽沐浴露 400mL</t>
  </si>
  <si>
    <t>70307406</t>
  </si>
  <si>
    <t>名仁 苏打水四连包 375ML*4瓶</t>
  </si>
  <si>
    <t>70307407</t>
  </si>
  <si>
    <t>名仁 柠檬苏打水四连包 375ML*4瓶</t>
  </si>
  <si>
    <t>70485561</t>
  </si>
  <si>
    <t>果子熟了 桂花味乌龙茶饮品 500ml</t>
  </si>
  <si>
    <t>70485557</t>
  </si>
  <si>
    <t>果子熟了 栀子花乌龙茶饮品 500ml</t>
  </si>
  <si>
    <t>70506470</t>
  </si>
  <si>
    <t>果子熟了 茉莉龙井茶饮品 500ml</t>
  </si>
  <si>
    <t>70485564</t>
  </si>
  <si>
    <t>果子熟了 果汁茶（梅子乌龙 味）487ml</t>
  </si>
  <si>
    <t>70495009</t>
  </si>
  <si>
    <t>果子熟了 果汁茶（柚子乌龙 味）487ml</t>
  </si>
  <si>
    <t>70497727</t>
  </si>
  <si>
    <t>果子熟了 果汁茶（夏黑葡萄 乌龙）487ml</t>
  </si>
  <si>
    <t>70442440</t>
  </si>
  <si>
    <t>大漠溪水巴旦木乳植物蛋白饮品240ML</t>
  </si>
  <si>
    <t>铺货商品</t>
  </si>
  <si>
    <t>70543493</t>
  </si>
  <si>
    <t>东鹏 特饮牛磺酸B族维生素饮料 250ml</t>
  </si>
  <si>
    <t>9.9元/4瓶</t>
  </si>
  <si>
    <t>70235652</t>
  </si>
  <si>
    <t>东鹏特饮 金罐 250ml</t>
  </si>
  <si>
    <t>6元2瓶</t>
  </si>
  <si>
    <t>70282557</t>
  </si>
  <si>
    <t>东鹏特饮 金瓶 500ml</t>
  </si>
  <si>
    <t>8元2瓶</t>
  </si>
  <si>
    <t>70574526</t>
  </si>
  <si>
    <t>海岛范儿 厚耶乳</t>
  </si>
  <si>
    <t>70578707</t>
  </si>
  <si>
    <t>海岛范儿 生耶拿铁咖啡</t>
  </si>
  <si>
    <t>70462828</t>
  </si>
  <si>
    <t>海岛范儿 素言青金桔</t>
  </si>
  <si>
    <t>70493568</t>
  </si>
  <si>
    <t>厚生记 杞效 500ML</t>
  </si>
  <si>
    <t>70421328</t>
  </si>
  <si>
    <t>慧华圣果 沙棘果汁250毫升/瓶</t>
  </si>
  <si>
    <t>70396804</t>
  </si>
  <si>
    <t>慧华圣果 沙棘果汁自立袋装 250ML/袋</t>
  </si>
  <si>
    <t>70317967</t>
  </si>
  <si>
    <t>慧华圣果 沙棘原汁 1*20*248ML</t>
  </si>
  <si>
    <t>70000702</t>
  </si>
  <si>
    <t>尖叫 （活性肽）功能饮料 550ML</t>
  </si>
  <si>
    <t>70000703</t>
  </si>
  <si>
    <t>尖叫 （纤维）功能饮料 550ML</t>
  </si>
  <si>
    <t>70482537</t>
  </si>
  <si>
    <t>疆会有 鲜榨椰子汁 245ML</t>
  </si>
  <si>
    <t>70473922</t>
  </si>
  <si>
    <t>咖世家 纯粹美式 300ML</t>
  </si>
  <si>
    <t>70473923</t>
  </si>
  <si>
    <t>咖世家 醇正拿铁 300ML</t>
  </si>
  <si>
    <t>70473924</t>
  </si>
  <si>
    <t>咖世家 金妃拿铁 300ML</t>
  </si>
  <si>
    <t>70407642</t>
  </si>
  <si>
    <t>咖世家 摩卡咖啡饮料 300ML</t>
  </si>
  <si>
    <t>70465854</t>
  </si>
  <si>
    <t>昆仑好客 大窑橙诺汽水 450ML</t>
  </si>
  <si>
    <t>70465855</t>
  </si>
  <si>
    <t>昆仑好客 大窑荔想汽水 450ML</t>
  </si>
  <si>
    <t>70396476</t>
  </si>
  <si>
    <t>昆仑好客舒达源 天然苏打水 350ML</t>
  </si>
  <si>
    <t>70396477</t>
  </si>
  <si>
    <t>昆仑好客舒达源 天然苏打水 500ML</t>
  </si>
  <si>
    <t>70423147</t>
  </si>
  <si>
    <t>陇上花牛100%苹果汁 300ML</t>
  </si>
  <si>
    <t>70274322</t>
  </si>
  <si>
    <t>陇上花牛100%苹果汁利乐包250ML</t>
  </si>
  <si>
    <t>70423148</t>
  </si>
  <si>
    <t>陇上花牛脱酸低糖苹果汁 300ml</t>
  </si>
  <si>
    <t>70524417</t>
  </si>
  <si>
    <t>觅力 柠檬蜂蜜水 400ml</t>
  </si>
  <si>
    <t>70529409</t>
  </si>
  <si>
    <t>农夫东方树叶 乌龙茶 900ML</t>
  </si>
  <si>
    <t>70491275</t>
  </si>
  <si>
    <t>农夫山泉 东方树叶黑乌龙茶 500ML</t>
  </si>
  <si>
    <t>70166517</t>
  </si>
  <si>
    <t>农夫山泉 东方树叶红茶 500ML</t>
  </si>
  <si>
    <t>70166516</t>
  </si>
  <si>
    <t>农夫山泉 东方树叶绿茶 500ML</t>
  </si>
  <si>
    <t>70166519</t>
  </si>
  <si>
    <t>农夫山泉 东方树叶茉莉花茶 500ML</t>
  </si>
  <si>
    <t>70484722</t>
  </si>
  <si>
    <t>农夫山泉 东方树叶茉莉花茶 900ML</t>
  </si>
  <si>
    <t>70484726</t>
  </si>
  <si>
    <t>农夫山泉 东方树叶青柑普洱 900ML</t>
  </si>
  <si>
    <t>70392421</t>
  </si>
  <si>
    <t>农夫山泉 东方树叶青柑普洱茶复合茶饮料 500ML</t>
  </si>
  <si>
    <t>70166518</t>
  </si>
  <si>
    <t>农夫山泉 东方树叶乌龙茶 500ML</t>
  </si>
  <si>
    <t>70543442</t>
  </si>
  <si>
    <t>农夫山泉 尖叫 茶氨酸型黄金桃味 550mL</t>
  </si>
  <si>
    <t>70543456</t>
  </si>
  <si>
    <t>农夫山泉 尖叫 乳钙型柑橘味 550mL</t>
  </si>
  <si>
    <t>70001549</t>
  </si>
  <si>
    <t>农夫山泉 水溶C100-柠檬味 445mL</t>
  </si>
  <si>
    <t>70238841</t>
  </si>
  <si>
    <t>农夫山泉 水溶C100-青皮桔味 445mL</t>
  </si>
  <si>
    <t>70034028</t>
  </si>
  <si>
    <t>农夫山泉 水溶C100-西柚味 445mL</t>
  </si>
  <si>
    <t>70519620</t>
  </si>
  <si>
    <t>农夫山泉 水溶C100-血橙味 445mL</t>
  </si>
  <si>
    <t>70345483</t>
  </si>
  <si>
    <t>农夫山泉 苏打天然水-白桃风味 410mL</t>
  </si>
  <si>
    <t>70345484</t>
  </si>
  <si>
    <t>农夫山泉 苏打天然水-柠檬风味 410mL</t>
  </si>
  <si>
    <t>70370954</t>
  </si>
  <si>
    <t>农夫山泉 苏打天然水饮品柑橘风味 410mL</t>
  </si>
  <si>
    <t>70574051</t>
  </si>
  <si>
    <t>盼盼 无糖大红袍红茶 500ML</t>
  </si>
  <si>
    <t>70522143</t>
  </si>
  <si>
    <t>泉韵 苏打水 350ML</t>
  </si>
  <si>
    <t>70289407</t>
  </si>
  <si>
    <t>雀巢 丝滑焦糖风味咖啡 268ml</t>
  </si>
  <si>
    <t>70223210</t>
  </si>
  <si>
    <t>雀巢 丝滑摩卡咖啡 268ml</t>
  </si>
  <si>
    <t>70042192</t>
  </si>
  <si>
    <t>雀巢 丝滑拿铁咖啡 268ml</t>
  </si>
  <si>
    <t>70524303</t>
  </si>
  <si>
    <t>雀巢 丝滑系列限定口味 柑橘乌龙拿铁268ml</t>
  </si>
  <si>
    <t>70289406</t>
  </si>
  <si>
    <t>雀巢 丝滑榛果风味咖啡 268ml</t>
  </si>
  <si>
    <t>70388824</t>
  </si>
  <si>
    <t>雀巢咖啡 丝滑无蔗糖添加拿铁咖啡 268ml</t>
  </si>
  <si>
    <t>70442694</t>
  </si>
  <si>
    <t>雀巢咖啡 招牌美式（低糖） 268ml</t>
  </si>
  <si>
    <t>70486553</t>
  </si>
  <si>
    <t>雀巢燃魂2倍咖啡因浓咖啡 250ml</t>
  </si>
  <si>
    <t>70393623</t>
  </si>
  <si>
    <t>三得利 茉莉乌龙（代糖）500ml</t>
  </si>
  <si>
    <t>70001657</t>
  </si>
  <si>
    <t>三得利 乌龙茶(无糖)500ml</t>
  </si>
  <si>
    <t>70346998</t>
  </si>
  <si>
    <t>三诺 葡萄糖补水液柑橘味300ml</t>
  </si>
  <si>
    <t>70395830</t>
  </si>
  <si>
    <t>三诺 葡萄糖补水液原味300ml</t>
  </si>
  <si>
    <t>70580249</t>
  </si>
  <si>
    <t>沙吾尔柠檬鲜果蜂蜜水</t>
  </si>
  <si>
    <t>70544820</t>
  </si>
  <si>
    <t>天蓉一号肉苁蓉能量饮280ml</t>
  </si>
  <si>
    <t>70640287</t>
  </si>
  <si>
    <t>乌苏电持风味饮料 250ml</t>
  </si>
  <si>
    <t>70373318</t>
  </si>
  <si>
    <t>星巴克星选咖啡拿铁咖啡饮料270ml瓶装</t>
  </si>
  <si>
    <t>70410278</t>
  </si>
  <si>
    <t>星巴克星选美式咖啡饮料270ml瓶装</t>
  </si>
  <si>
    <t>70373324</t>
  </si>
  <si>
    <t>星巴克星选芝士奶香拿铁咖啡饮料270ml瓶装</t>
  </si>
  <si>
    <t>70547371</t>
  </si>
  <si>
    <t>亿思田 贡水稀柚柚子汁 300ML</t>
  </si>
  <si>
    <t>70539251</t>
  </si>
  <si>
    <t>优斯麦尔大果粒番茄汁</t>
  </si>
  <si>
    <t>自有商品</t>
  </si>
  <si>
    <t>70539248</t>
  </si>
  <si>
    <t>优斯麦尔番茄汁</t>
  </si>
  <si>
    <t>优斯麦尔枸杞原浆500毫升</t>
  </si>
  <si>
    <t>优斯麦尔黑加仑原浆500毫升</t>
  </si>
  <si>
    <t>优斯麦尔沙棘原浆500毫升</t>
  </si>
  <si>
    <t>70539245</t>
  </si>
  <si>
    <t>优斯麦尔沙甜果粒番茄汁</t>
  </si>
  <si>
    <t>70712768</t>
  </si>
  <si>
    <t>乐虎 瓶装氨基酸功能饮料 250ml</t>
  </si>
  <si>
    <t>70461870</t>
  </si>
  <si>
    <t>百事可乐 美年达橙味 Pet500mL</t>
  </si>
  <si>
    <t>70168822</t>
  </si>
  <si>
    <t>百事可乐七喜柠檬味 汽水 500mL+50mL</t>
  </si>
  <si>
    <t>70385731</t>
  </si>
  <si>
    <t>百事可乐 无糖原味 pet500mL</t>
  </si>
  <si>
    <t>70003387</t>
  </si>
  <si>
    <t>脉动 青柠口味 600mL</t>
  </si>
  <si>
    <t>70003391</t>
  </si>
  <si>
    <t>脉动 桃子口味 600mL</t>
  </si>
  <si>
    <t>70001498</t>
  </si>
  <si>
    <t>脉动 雪柚橘子口味 600mL</t>
  </si>
  <si>
    <t>70273067</t>
  </si>
  <si>
    <t>脉动 菠萝口味 600mL</t>
  </si>
  <si>
    <t>70524260</t>
  </si>
  <si>
    <t>脉动 电解质+运动饮料西柚口味 600mL</t>
  </si>
  <si>
    <t>70389756</t>
  </si>
  <si>
    <t>脉动 香水柠檬口味 600mL</t>
  </si>
  <si>
    <t>70389757</t>
  </si>
  <si>
    <t>脉动 白桃口味 600mL</t>
  </si>
  <si>
    <t>70229988</t>
  </si>
  <si>
    <t>脉动 青柠口味 1L</t>
  </si>
  <si>
    <t>70229989</t>
  </si>
  <si>
    <t>脉动 桃子口味 1L</t>
  </si>
  <si>
    <t>70268751</t>
  </si>
  <si>
    <t>魔爪原味(黑)330ML</t>
  </si>
  <si>
    <t>70309950</t>
  </si>
  <si>
    <t>魔爪芒果（蓝）330ML</t>
  </si>
  <si>
    <t>70301963</t>
  </si>
  <si>
    <t>魔爪无糖超越原味(白)330ML</t>
  </si>
  <si>
    <t>70520677</t>
  </si>
  <si>
    <t>魔爪百香果番石榴330ML</t>
  </si>
  <si>
    <t>70001573</t>
  </si>
  <si>
    <t>可口可乐汽水500ML</t>
  </si>
  <si>
    <t>70053934</t>
  </si>
  <si>
    <t>可口可乐零度汽水500ml</t>
  </si>
  <si>
    <t>70025042</t>
  </si>
  <si>
    <t>雪碧清爽柠檬味汽水500ML</t>
  </si>
  <si>
    <t>70025045</t>
  </si>
  <si>
    <t>可口可乐芬达橙味汽水500ML</t>
  </si>
  <si>
    <t>70113413</t>
  </si>
  <si>
    <t>美汁源果粒橙450ML</t>
  </si>
  <si>
    <t>70494179</t>
  </si>
  <si>
    <t>茶小开 茉莉花茶500ML</t>
  </si>
  <si>
    <t>70494176</t>
  </si>
  <si>
    <t>茶小开 烟雨龙井500ML</t>
  </si>
  <si>
    <t>70577076</t>
  </si>
  <si>
    <t>茶小开 轻轻果蔬茶苦瓜柠檬茶450ml</t>
  </si>
  <si>
    <t>70577075</t>
  </si>
  <si>
    <t>茶小开 轻轻果蔬茶羽衣甘蓝乌龙茶450ml</t>
  </si>
  <si>
    <t>70579325</t>
  </si>
  <si>
    <t>悦小开 百合雪梨水500ml</t>
  </si>
  <si>
    <t>70577987</t>
  </si>
  <si>
    <t>悦小开 陈皮山楂水500ml</t>
  </si>
  <si>
    <t>70545140</t>
  </si>
  <si>
    <t>悦小开 红枣黄芪水500ml</t>
  </si>
  <si>
    <t>70583085</t>
  </si>
  <si>
    <t>颜满格 暴打芒果露 500ml</t>
  </si>
  <si>
    <t>70583083</t>
  </si>
  <si>
    <t>颜满格 爆汁青提茶 500ml</t>
  </si>
  <si>
    <t>70583084</t>
  </si>
  <si>
    <t>颜满格 爆汁柚子茶 500ml</t>
  </si>
  <si>
    <t>70583087</t>
  </si>
  <si>
    <t>颜满格 橙子c+真果肉 500ml</t>
  </si>
  <si>
    <t>70583086</t>
  </si>
  <si>
    <t>颜满格 柠檬c+真果肉 500ml</t>
  </si>
  <si>
    <t>70291549</t>
  </si>
  <si>
    <t>小趣 苏打水原味380ml</t>
  </si>
  <si>
    <t>70291550</t>
  </si>
  <si>
    <t>小趣 苏打水蜜桃味380ml</t>
  </si>
  <si>
    <t>70305133</t>
  </si>
  <si>
    <t>小趣 苏打水青柠味380ml</t>
  </si>
  <si>
    <t>70722993</t>
  </si>
  <si>
    <t>优斯麦尔桑葚原浆</t>
  </si>
  <si>
    <t>70722992</t>
  </si>
  <si>
    <t>优斯麦尔香妃海棠原浆</t>
  </si>
  <si>
    <t>70723004</t>
  </si>
  <si>
    <t>优斯麦尔100%石榴汁</t>
  </si>
  <si>
    <t>70723003</t>
  </si>
  <si>
    <t>优斯麦尔胡萝卜苹果原汁</t>
  </si>
  <si>
    <t>70722991</t>
  </si>
  <si>
    <t>70723002</t>
  </si>
  <si>
    <t>优斯麦尔黑葡萄原浆</t>
  </si>
  <si>
    <t>华盛元 杏皮茶500ml</t>
  </si>
  <si>
    <t>华盛元 玫瑰茶500ml</t>
  </si>
  <si>
    <t>华盛元 薄荷茶500ml</t>
  </si>
  <si>
    <t>饼干/糕点</t>
  </si>
  <si>
    <t>70138310</t>
  </si>
  <si>
    <t>奥利奥 Mini巧克力味小饼干 55g</t>
  </si>
  <si>
    <t>70138309</t>
  </si>
  <si>
    <t>奥利奥 Mini原味小饼干 55g</t>
  </si>
  <si>
    <t>70558137</t>
  </si>
  <si>
    <t>奥利奥 夹心云朵蛋糕香草牛乳味2枚装 44g</t>
  </si>
  <si>
    <t>70524436</t>
  </si>
  <si>
    <t>奥利奥 经典原味夹心饼干CVS装 97g</t>
  </si>
  <si>
    <t>70489305</t>
  </si>
  <si>
    <t>奥利奥 可可脆卷浓郁巧克力味 50g</t>
  </si>
  <si>
    <t>70489306</t>
  </si>
  <si>
    <t>奥利奥 可可脆卷香草慕斯味 50g</t>
  </si>
  <si>
    <t>70524438</t>
  </si>
  <si>
    <t>奥利奥 浓醇巧克力味夹心饼干CVS装 97g</t>
  </si>
  <si>
    <t>70524437</t>
  </si>
  <si>
    <t>奥利奥 清新草莓味夹心饼干CVS装 97g</t>
  </si>
  <si>
    <t>70524440</t>
  </si>
  <si>
    <t>奥利奥 五款口味混合装 388g</t>
  </si>
  <si>
    <t>70657988</t>
  </si>
  <si>
    <t>奥利奥Mini缤纷口味三连杯混合装165g</t>
  </si>
  <si>
    <t>70000672</t>
  </si>
  <si>
    <t>好多鱼脆香烧烤味33g</t>
  </si>
  <si>
    <t>70267761</t>
  </si>
  <si>
    <t>好多鱼蜂蜜牛奶味33g</t>
  </si>
  <si>
    <t>70200093</t>
  </si>
  <si>
    <t>好多鱼蜜香鸡翅味33g</t>
  </si>
  <si>
    <t>70000670</t>
  </si>
  <si>
    <t>好多鱼浓香茄汁味33g</t>
  </si>
  <si>
    <t>70000666</t>
  </si>
  <si>
    <t>好多鱼鲜香海苔味33g</t>
  </si>
  <si>
    <t>70498496</t>
  </si>
  <si>
    <t>好丽友好友趣 多汁牛排味 70g</t>
  </si>
  <si>
    <t>70498499</t>
  </si>
  <si>
    <t>好丽友好友趣 蜂蜜黄油味 70g</t>
  </si>
  <si>
    <t>70498497</t>
  </si>
  <si>
    <t>好丽友好友趣 韩国泡菜味 70g</t>
  </si>
  <si>
    <t>70179885</t>
  </si>
  <si>
    <t>明治 欣欣杯（草莓酸奶味）50g</t>
  </si>
  <si>
    <t>70035665</t>
  </si>
  <si>
    <t>明治 欣欣杯（草莓味）50g</t>
  </si>
  <si>
    <t>70038235</t>
  </si>
  <si>
    <t>明治 欣欣杯（牛奶味）50g</t>
  </si>
  <si>
    <t>70088724</t>
  </si>
  <si>
    <t>明治 欣欣杯（巧克力味）50g</t>
  </si>
  <si>
    <t>70489310</t>
  </si>
  <si>
    <t>趣多多 香脆曲奇浓浓巧克力味单条装 85g</t>
  </si>
  <si>
    <t>70498352</t>
  </si>
  <si>
    <t>趣多多 香脆曲奇真香咖啡味单条装 85g</t>
  </si>
  <si>
    <t>70657991</t>
  </si>
  <si>
    <t>趣多多缤纷桶混合口味375g</t>
  </si>
  <si>
    <t>70257855</t>
  </si>
  <si>
    <t>薯愿蜂蜜牛奶味2P</t>
  </si>
  <si>
    <t>70061258</t>
  </si>
  <si>
    <t>薯愿红酒牛排2P</t>
  </si>
  <si>
    <t>70142511</t>
  </si>
  <si>
    <t>薯愿清新番茄2P</t>
  </si>
  <si>
    <t>70061257</t>
  </si>
  <si>
    <t>薯愿香烤原味2P</t>
  </si>
  <si>
    <t>70004848</t>
  </si>
  <si>
    <t>呀土豆番茄酱味70g</t>
  </si>
  <si>
    <t>70248837</t>
  </si>
  <si>
    <t>呀土豆蜂蜜黄油味70g</t>
  </si>
  <si>
    <t>70004850</t>
  </si>
  <si>
    <t>呀土豆里脊牛排味70g</t>
  </si>
  <si>
    <t>70004852</t>
  </si>
  <si>
    <t>呀土豆滋稥烤鸡味70g</t>
  </si>
  <si>
    <t>70445565</t>
  </si>
  <si>
    <t>优斯麦尔 核桃酥（新包装）</t>
  </si>
  <si>
    <t>70445563</t>
  </si>
  <si>
    <t>优斯麦尔 南瓜籽酥（新包装）</t>
  </si>
  <si>
    <t>70556857</t>
  </si>
  <si>
    <t>阿尔曼 葡萄干鹰嘴豆酥 120g</t>
  </si>
  <si>
    <t>70556858</t>
  </si>
  <si>
    <t>阿尔曼 巴旦木鹰嘴豆酥 120g</t>
  </si>
  <si>
    <t>70556859</t>
  </si>
  <si>
    <t>阿尔曼 核桃鹰嘴豆酥 120g</t>
  </si>
  <si>
    <t>70556860</t>
  </si>
  <si>
    <t>阿尔曼 玉米鹰嘴豆酥 120g</t>
  </si>
  <si>
    <t>70452735</t>
  </si>
  <si>
    <t>亿滋 趣多多大块曲奇脏脏黑巧克力味中包装 144g</t>
  </si>
  <si>
    <t>70657981</t>
  </si>
  <si>
    <t>太平 苏打黑胡椒和牛 100g</t>
  </si>
  <si>
    <t>70657976</t>
  </si>
  <si>
    <t>太平 苏打欧芹鲜蒜 100g</t>
  </si>
  <si>
    <t>70737762</t>
  </si>
  <si>
    <t>迷你奥利奥山楂益生元味小饼干55g</t>
  </si>
  <si>
    <t>70737931</t>
  </si>
  <si>
    <t>迷你奥利奥杏子奶酪味小饼干55g</t>
  </si>
  <si>
    <t>70737923</t>
  </si>
  <si>
    <t>奥利奥开心果乳酪味夹心饼干 87g</t>
  </si>
  <si>
    <t>70737899</t>
  </si>
  <si>
    <t>奥利奥海盐椰椰味夹心饼干 87g</t>
  </si>
  <si>
    <t>70737916</t>
  </si>
  <si>
    <t>奥利奥薄脆0糖轻乳拿铁味62g</t>
  </si>
  <si>
    <t>70737898</t>
  </si>
  <si>
    <t>趣多多香脆曲奇抹茶巧克力味85g</t>
  </si>
  <si>
    <t>70737902</t>
  </si>
  <si>
    <t>趣多多香脆曲奇黄油巧克力味85g</t>
  </si>
  <si>
    <t>70341473</t>
  </si>
  <si>
    <t>好客壹生 厨房纸巾(软抽) 4包装4*80抽2层210mm*215mm</t>
  </si>
  <si>
    <t>70341471</t>
  </si>
  <si>
    <t>好客壹生 厨房纸巾(软抽) 单包装80抽2层210mm*215mm</t>
  </si>
  <si>
    <t>70341467</t>
  </si>
  <si>
    <t>好客壹生 柔润(柔滑)纸面巾(软抽) 单包装100抽3层133mm*195mm</t>
  </si>
  <si>
    <t>70341488</t>
  </si>
  <si>
    <t>好客壹生 柔润纸面巾(柔滑软抽) 4包装4*100抽3层133mm*195mm</t>
  </si>
  <si>
    <t>70341451</t>
  </si>
  <si>
    <t>好客壹生 卫生纸(无芯) 12卷装1700克4层138mm*174mm</t>
  </si>
  <si>
    <t>70341456</t>
  </si>
  <si>
    <t>好客壹生 卫生纸(有芯) 10卷装10*180克4层138mm*108mm</t>
  </si>
  <si>
    <t>70491467</t>
  </si>
  <si>
    <t>好客壹生 卫生纸(有芯卷纸) 1600G</t>
  </si>
  <si>
    <t>70341458</t>
  </si>
  <si>
    <t>好客壹生 纸面巾(盒抽) 单包装100抽3层195mm*192mm</t>
  </si>
  <si>
    <t>70491464</t>
  </si>
  <si>
    <t>好客壹生 纸面巾(立体压花软抽) 16包装</t>
  </si>
  <si>
    <t>70341469</t>
  </si>
  <si>
    <t>好客壹生 纸面巾(软抽) 单包装60抽3层133mm*195mm</t>
  </si>
  <si>
    <t>70466086</t>
  </si>
  <si>
    <t>好客壹生 纸面巾(软抽)3包装(立体压花)270张 195MM*123MM</t>
  </si>
  <si>
    <t>70466081</t>
  </si>
  <si>
    <t>好客壹生 纸面巾软抽单包装(立体压花)270张 195MM*123MM</t>
  </si>
  <si>
    <t>70341462</t>
  </si>
  <si>
    <t>好客壹生 纸手帕（迷你) 12包装12*8片4层208mm*203mm</t>
  </si>
  <si>
    <t>70390318</t>
  </si>
  <si>
    <t>好客壹生牌 面子棉柔巾卷筒式(单包装)80节 200mm*200mm</t>
  </si>
  <si>
    <t>70390323</t>
  </si>
  <si>
    <t>好客壹生牌 面子一次性压缩毛巾(20粒)独立装 240mm*300mm</t>
  </si>
  <si>
    <t>70524283</t>
  </si>
  <si>
    <t>好客壹生牌擦手纸(单包装)</t>
  </si>
  <si>
    <t>70300248</t>
  </si>
  <si>
    <t>昆仑好客U&amp;U 竹纤维原浆保湿型软抽 180张/包（XS号，60抽/包）</t>
  </si>
  <si>
    <t>70300249</t>
  </si>
  <si>
    <t>昆仑好客U&amp;U 竹纤维原浆卷纸（无芯） 12卷1800g/提</t>
  </si>
  <si>
    <t>70674069</t>
  </si>
  <si>
    <t>昆仑好客优选+联合利华 衣物清洁套装 4150G</t>
  </si>
  <si>
    <t>70674241</t>
  </si>
  <si>
    <t>昆仑好客优选+联合利华 家清洁净至臻套装 4480G</t>
  </si>
  <si>
    <t>70713168</t>
  </si>
  <si>
    <t>好客壹生 纸面巾（软抽）单包装3层 80抽</t>
  </si>
  <si>
    <t>70042053</t>
  </si>
  <si>
    <t>福临门家乡味浓香压榨菜籽油5L</t>
  </si>
  <si>
    <t>70522093</t>
  </si>
  <si>
    <t>福临门 亚麻籽油 5L</t>
  </si>
  <si>
    <t>70526211</t>
  </si>
  <si>
    <t>福临门新疆家宴小麦粉 5kg</t>
  </si>
  <si>
    <t>70185589</t>
  </si>
  <si>
    <t>福临门压榨一级葵花籽油4L</t>
  </si>
  <si>
    <t>70414603</t>
  </si>
  <si>
    <t>福临门甄选东北长粒香米5kg</t>
  </si>
  <si>
    <t>70396739</t>
  </si>
  <si>
    <t>好客稻香·五常大米0.5KG</t>
  </si>
  <si>
    <t>70545804</t>
  </si>
  <si>
    <t>好客稻香·五常大米2.5KG</t>
  </si>
  <si>
    <t>70506233</t>
  </si>
  <si>
    <t>金龙鱼五常大米5KG</t>
  </si>
  <si>
    <t>70547228</t>
  </si>
  <si>
    <t>金西域精制粉 5KG</t>
  </si>
  <si>
    <t>70483184</t>
  </si>
  <si>
    <t>昆仑好客＆英九庄园 皇冠MINI 10g</t>
  </si>
  <si>
    <t>70006153</t>
  </si>
  <si>
    <t>70360371</t>
  </si>
  <si>
    <t>福临门营养家黄金小黑葵葵花仁油5L</t>
  </si>
  <si>
    <t>70045490</t>
  </si>
  <si>
    <t>昆仑好客福临门东北优质大米5kg</t>
  </si>
  <si>
    <t>70291829</t>
  </si>
  <si>
    <t>昆仑好客优选+ 味道农垦长粒香 5kg</t>
  </si>
  <si>
    <t>70486298</t>
  </si>
  <si>
    <t>昆仑好客优选+福临门 自然香软糯香米 0.5kg</t>
  </si>
  <si>
    <t>13.9元/2袋</t>
  </si>
  <si>
    <t>70292902</t>
  </si>
  <si>
    <t>昆仑好客优选+鲶鱼沟碱地大米（普米）5kg</t>
  </si>
  <si>
    <t>70481734</t>
  </si>
  <si>
    <t>昆香金龙鱼 原香菜籽油（非转）5L</t>
  </si>
  <si>
    <t>70290218</t>
  </si>
  <si>
    <t>昆享 酥油香米奶茶（咸） 400G</t>
  </si>
  <si>
    <t>70558926</t>
  </si>
  <si>
    <t>山农谷东北黄糯玉米220g*8</t>
  </si>
  <si>
    <t>70047410</t>
  </si>
  <si>
    <t>鹰金钱金奖豆鼓鲮鱼罐头227g</t>
  </si>
  <si>
    <t>70373563</t>
  </si>
  <si>
    <t>鹰金钱拉盖火腿午餐肉340g</t>
  </si>
  <si>
    <t>70091015</t>
  </si>
  <si>
    <t>鹰金钱拉盖午餐肉340g</t>
  </si>
  <si>
    <t>70294153</t>
  </si>
  <si>
    <t>优斯麦尔 (新疆黑蜂)蜂蜜 250G</t>
  </si>
  <si>
    <t>70294156</t>
  </si>
  <si>
    <t>优斯麦尔 天山花开(新疆黑蜂)蜂蜜   500g</t>
  </si>
  <si>
    <t>70294155</t>
  </si>
  <si>
    <t>优斯麦尔 天山花开百花蜜 250g</t>
  </si>
  <si>
    <t>70294154</t>
  </si>
  <si>
    <t>优斯麦尔 天山花开红枣花蜜  250g</t>
  </si>
  <si>
    <t>70539242</t>
  </si>
  <si>
    <t>优斯麦尔番茄丁</t>
  </si>
  <si>
    <t>70539281</t>
  </si>
  <si>
    <t>优斯麦尔坚果辣椒酱</t>
  </si>
  <si>
    <t>70539278</t>
  </si>
  <si>
    <t>优斯麦尔牛肉辣椒酱</t>
  </si>
  <si>
    <t>70539275</t>
  </si>
  <si>
    <t>优斯麦尔新疆三文鱼辣椒酱</t>
  </si>
  <si>
    <t>70539272</t>
  </si>
  <si>
    <t>优斯麦尔雪莲辣椒丝</t>
  </si>
  <si>
    <t>元溢慷有机宽心面390g</t>
  </si>
  <si>
    <t>2袋惊爆价12.9元</t>
  </si>
  <si>
    <t>70304620</t>
  </si>
  <si>
    <t>元溢慷有机龙须面390g</t>
  </si>
  <si>
    <t>70304621</t>
  </si>
  <si>
    <t>元溢慷有机手擀面390g</t>
  </si>
  <si>
    <t>70304618</t>
  </si>
  <si>
    <t>元溢慷有机长寿面390g</t>
  </si>
  <si>
    <t>70373620</t>
  </si>
  <si>
    <t>优斯麦尔 有机原麦面粉</t>
  </si>
  <si>
    <t>70068747</t>
  </si>
  <si>
    <t>福临门自然香黑龙江长粒香米5kg（六面真空双层）</t>
  </si>
  <si>
    <t>参天地（陈酿）</t>
  </si>
  <si>
    <t>358元/瓶，整件1949元，会员e享卡支付1859元/件</t>
  </si>
  <si>
    <t>70656934</t>
  </si>
  <si>
    <t>参天地（佳酿）</t>
  </si>
  <si>
    <t>268元/瓶，整件1399元，会员e享卡支付1349元/件</t>
  </si>
  <si>
    <t>70656954</t>
  </si>
  <si>
    <t>参天地（精酿）</t>
  </si>
  <si>
    <t>138元/瓶，整件699元，会员e享卡支付679元/件</t>
  </si>
  <si>
    <t>70517917</t>
  </si>
  <si>
    <t>黄金贵宾 典藏53° 500ML</t>
  </si>
  <si>
    <t>70517816</t>
  </si>
  <si>
    <t>黄金贵宾 窖藏53° 500ML</t>
  </si>
  <si>
    <t>70418479</t>
  </si>
  <si>
    <t>国色天香珍藏500ML</t>
  </si>
  <si>
    <t>70418478</t>
  </si>
  <si>
    <t>国色天香尊藏500ML</t>
  </si>
  <si>
    <t>70418477</t>
  </si>
  <si>
    <t>国色天香典藏500ML</t>
  </si>
  <si>
    <t>70597345</t>
  </si>
  <si>
    <t>奥兰 小红帽清爽干白葡萄酒750ml</t>
  </si>
  <si>
    <t>70322078</t>
  </si>
  <si>
    <t>奥兰小红帽干红葡萄酒750m1</t>
  </si>
  <si>
    <t>70458110</t>
  </si>
  <si>
    <t>奥兰小红帽格兰珍藏N3干红葡萄酒750m1</t>
  </si>
  <si>
    <t>70475895</t>
  </si>
  <si>
    <t>杜康名品酒52°500ML</t>
  </si>
  <si>
    <t>798元/2件</t>
  </si>
  <si>
    <t>70574734</t>
  </si>
  <si>
    <t>杜康品质酒52°500ML</t>
  </si>
  <si>
    <t>800元/件</t>
  </si>
  <si>
    <t>70184645</t>
  </si>
  <si>
    <t>汾酒 53°青花20 升级版 500ml</t>
  </si>
  <si>
    <t>70546338</t>
  </si>
  <si>
    <t>衡水老白干 e路同行41°500ml</t>
  </si>
  <si>
    <t>70546340</t>
  </si>
  <si>
    <t>衡水老白干 e路同行52°500ml</t>
  </si>
  <si>
    <t>金星系列茶啤酒</t>
  </si>
  <si>
    <t>70430692</t>
  </si>
  <si>
    <t>泸州老窖 三人炫藏炫酒52° 500ML</t>
  </si>
  <si>
    <t>70430694</t>
  </si>
  <si>
    <t>泸州老窖 三人炫红运开怀酒52° 500ML</t>
  </si>
  <si>
    <t>70368780</t>
  </si>
  <si>
    <t>泸州老窖满堂礼500ml</t>
  </si>
  <si>
    <t>采1搭1</t>
  </si>
  <si>
    <t>70456835</t>
  </si>
  <si>
    <t>茅台醇 茅台醇1998(53°) 500ML</t>
  </si>
  <si>
    <t>70456836</t>
  </si>
  <si>
    <t>茅台醇 茅台醇2008(53°) 500ML</t>
  </si>
  <si>
    <t>70153995</t>
  </si>
  <si>
    <t>青岛啤酒 经典10度罐啤 500ml</t>
  </si>
  <si>
    <t>70250787</t>
  </si>
  <si>
    <t>青岛啤酒 全麦白啤罐啤 500ml</t>
  </si>
  <si>
    <t>70410728</t>
  </si>
  <si>
    <t>雪花 勇闯天涯8度Super X啤酒 500mL</t>
  </si>
  <si>
    <t>70186321</t>
  </si>
  <si>
    <t>雪花 勇闯天涯8度 330mL</t>
  </si>
  <si>
    <t>70199632</t>
  </si>
  <si>
    <t>喜力 经典11.4度 500mL</t>
  </si>
  <si>
    <t>70243172</t>
  </si>
  <si>
    <t>燕京10度精品金听330ml</t>
  </si>
  <si>
    <t>70722104</t>
  </si>
  <si>
    <t>燕京啤酒10度燕京京选易拉罐 330ml</t>
  </si>
  <si>
    <t>70722105</t>
  </si>
  <si>
    <t>燕京啤酒10度燕京京选易拉罐 500ml</t>
  </si>
  <si>
    <t>零食</t>
  </si>
  <si>
    <t>70656359</t>
  </si>
  <si>
    <t>甘源 草莓白桃味米饼袋装 168g</t>
  </si>
  <si>
    <t>70574276</t>
  </si>
  <si>
    <t>甘源 带壳奶香味花生 260g</t>
  </si>
  <si>
    <t>70574850</t>
  </si>
  <si>
    <t>甘源 带壳蒜香味花生 260g</t>
  </si>
  <si>
    <t>70656721</t>
  </si>
  <si>
    <t>甘源 黑松露火腿味五黑米饼袋装 168g</t>
  </si>
  <si>
    <t>70656357</t>
  </si>
  <si>
    <t>甘源 芥末鳕鱼味五黑米饼袋装 168g</t>
  </si>
  <si>
    <t>70656355</t>
  </si>
  <si>
    <t>甘源 蓝莓桑葚味米饼袋装 168g</t>
  </si>
  <si>
    <t>70394392</t>
  </si>
  <si>
    <t>昆趣 奶油味爆米花 150g</t>
  </si>
  <si>
    <t>70512781</t>
  </si>
  <si>
    <t>昆享 草莓奶方 150G</t>
  </si>
  <si>
    <t>70512780</t>
  </si>
  <si>
    <t>昆享 芒果奶方 150G</t>
  </si>
  <si>
    <t>70438192</t>
  </si>
  <si>
    <t>昆享 酥脆牛肉干 108G</t>
  </si>
  <si>
    <t>70376641</t>
  </si>
  <si>
    <t>溜溜梅 六味青梅全家桶400g+赠80g</t>
  </si>
  <si>
    <t>70329279</t>
  </si>
  <si>
    <t>优斯麦尔 草原风味牛肉麻辣味 50g/袋</t>
  </si>
  <si>
    <t>70329278</t>
  </si>
  <si>
    <t>优斯麦尔 草原风味牛肉香辣味 50g/袋</t>
  </si>
  <si>
    <t>70329277</t>
  </si>
  <si>
    <t>优斯麦尔 草原风味牛肉芝麻味 50g/袋</t>
  </si>
  <si>
    <t>70445559</t>
  </si>
  <si>
    <t>优斯麦尔 黑加仑葡萄干（一级）（新包装）</t>
  </si>
  <si>
    <t>70320876</t>
  </si>
  <si>
    <t>优斯麦尔 坚果帮巴旦木仁</t>
  </si>
  <si>
    <t>70320880</t>
  </si>
  <si>
    <t>优斯麦尔 坚果帮无花果干</t>
  </si>
  <si>
    <t>70445560</t>
  </si>
  <si>
    <t>优斯麦尔 蓝宝石葡萄干（一级）（新包装）</t>
  </si>
  <si>
    <t>70445558</t>
  </si>
  <si>
    <t>优斯麦尔 绿香妃葡萄干（一级）（新包装）</t>
  </si>
  <si>
    <t>70445574</t>
  </si>
  <si>
    <t>优斯麦尔 西梅干（新包装）</t>
  </si>
  <si>
    <t>70445561</t>
  </si>
  <si>
    <t>优斯麦尔 有机灰枣（一等）（新包装）</t>
  </si>
  <si>
    <t>70445555</t>
  </si>
  <si>
    <t>优斯麦尔巴旦木仁（扁桃仁） 7日装（新包装）</t>
  </si>
  <si>
    <t>70329276</t>
  </si>
  <si>
    <t>优斯麦尔草原风味牛肉干葱香味</t>
  </si>
  <si>
    <t>70294150</t>
  </si>
  <si>
    <t>优斯麦尔草原风味牛肉干孜然味</t>
  </si>
  <si>
    <t>70445557</t>
  </si>
  <si>
    <t>优斯麦尔核桃仁  7日装（新包装）</t>
  </si>
  <si>
    <t>优斯麦尔红枣博物馆礼盒826克</t>
  </si>
  <si>
    <t>70445554</t>
  </si>
  <si>
    <t>优斯麦尔坚果帮混合干坚果  7日装（新包装）</t>
  </si>
  <si>
    <t>优斯麦尔疆爱坚果礼盒936克</t>
  </si>
  <si>
    <t>优斯麦尔葡萄干集锦礼盒966克</t>
  </si>
  <si>
    <t>70445572</t>
  </si>
  <si>
    <t>优斯麦尔甜杏肉（新包装）</t>
  </si>
  <si>
    <t>70445556</t>
  </si>
  <si>
    <t>优斯麦尔无花果干  7日装（新包装）</t>
  </si>
  <si>
    <t>70445562</t>
  </si>
  <si>
    <t>优斯麦尔新疆骏枣（一等）（新包装）</t>
  </si>
  <si>
    <t>优斯麦尔臻爱坚果礼盒1276克</t>
  </si>
  <si>
    <t>70306594</t>
  </si>
  <si>
    <t>渔米之湘风味小鱼爆辣味</t>
  </si>
  <si>
    <t>70129094</t>
  </si>
  <si>
    <t>渔米之湘风味小鱼劲辣味</t>
  </si>
  <si>
    <t>70445575</t>
  </si>
  <si>
    <t>优斯麦尔 坚果帮混合干坚果（1日装）</t>
  </si>
  <si>
    <t>70445577</t>
  </si>
  <si>
    <t>优斯麦尔 无花果干（1日装）</t>
  </si>
  <si>
    <t>70722996</t>
  </si>
  <si>
    <t>优斯麦尔新疆骏枣</t>
  </si>
  <si>
    <t>70722997</t>
  </si>
  <si>
    <t>70206930</t>
  </si>
  <si>
    <t>优斯麦尔新疆灰枣</t>
  </si>
  <si>
    <t>70723007</t>
  </si>
  <si>
    <t>70722995</t>
  </si>
  <si>
    <t>优斯麦尔三色葡萄干</t>
  </si>
  <si>
    <t>70723006</t>
  </si>
  <si>
    <t>优斯麦尔无核西梅干</t>
  </si>
  <si>
    <t>70723005</t>
  </si>
  <si>
    <t>优斯麦尔黑芝麻酥</t>
  </si>
  <si>
    <t>70722994</t>
  </si>
  <si>
    <t>优斯麦尔坚果方</t>
  </si>
  <si>
    <t>优斯麦尔新疆手工切糕186g/罐</t>
  </si>
  <si>
    <t>优斯麦尔手工驼奶疙瘩360g/罐</t>
  </si>
  <si>
    <t>70727186</t>
  </si>
  <si>
    <t>优斯麦尔新疆骏枣316g/罐</t>
  </si>
  <si>
    <t>70727184</t>
  </si>
  <si>
    <t>优斯麦尔新疆灰枣396g/罐</t>
  </si>
  <si>
    <t>优斯麦尔玉米小酥436g/罐</t>
  </si>
  <si>
    <t>70727852</t>
  </si>
  <si>
    <t>优斯麦尔吊干冬枣376g/罐</t>
  </si>
  <si>
    <t>70727185</t>
  </si>
  <si>
    <t>优斯麦尔香香苹果干339g/罐</t>
  </si>
  <si>
    <t>70727456</t>
  </si>
  <si>
    <t>优斯麦尔喀喀杏王干486g/罐</t>
  </si>
  <si>
    <t>70727183</t>
  </si>
  <si>
    <t>优斯麦尔酸奶巴旦木432g/罐</t>
  </si>
  <si>
    <t>70727455</t>
  </si>
  <si>
    <t>优斯麦尔冻干冬枣（枣片）108g/罐</t>
  </si>
  <si>
    <t>70727556</t>
  </si>
  <si>
    <t>优斯麦尔葡彩缤纷葡萄干382g/罐</t>
  </si>
  <si>
    <t>70727891</t>
  </si>
  <si>
    <t>优斯麦尔紫衣腰果258g/罐</t>
  </si>
  <si>
    <t>70727182</t>
  </si>
  <si>
    <t>优斯麦尔西梅干366g/罐</t>
  </si>
  <si>
    <t>70727311</t>
  </si>
  <si>
    <t>优斯麦尔树上干杏356g/罐</t>
  </si>
  <si>
    <t>70727814</t>
  </si>
  <si>
    <t>优斯麦尔杏仁葡萄干366g/罐</t>
  </si>
  <si>
    <t>70727181</t>
  </si>
  <si>
    <t>优斯麦尔椒盐巴旦木238g/罐</t>
  </si>
  <si>
    <t>优斯麦尔羊奶贝168g/罐</t>
  </si>
  <si>
    <t>70727388</t>
  </si>
  <si>
    <t>优斯麦尔特产集结号 2038g/盒</t>
  </si>
  <si>
    <t>70727722</t>
  </si>
  <si>
    <t>优斯麦尔草原味道礼盒 888g/盒</t>
  </si>
  <si>
    <t>70727389</t>
  </si>
  <si>
    <t>优斯麦尔味出天山礼盒1556g/盒</t>
  </si>
  <si>
    <t>面包</t>
  </si>
  <si>
    <t>70000649</t>
  </si>
  <si>
    <t>Q蒂摩卡巧克力味6P</t>
  </si>
  <si>
    <t>70000655</t>
  </si>
  <si>
    <t>Q蒂榛子巧克力味6P</t>
  </si>
  <si>
    <t>70000639</t>
  </si>
  <si>
    <t>蛋黄派原味6P</t>
  </si>
  <si>
    <t>70137064</t>
  </si>
  <si>
    <t>好丽友·派 巧克力味 6P (增量)</t>
  </si>
  <si>
    <t>70000654</t>
  </si>
  <si>
    <t>好丽友Q蒂 摩卡口味 2枚</t>
  </si>
  <si>
    <t>70001655</t>
  </si>
  <si>
    <t>好丽友蛋黄派2枚</t>
  </si>
  <si>
    <t>70360090</t>
  </si>
  <si>
    <t>好丽友派轻雪草莓味6P</t>
  </si>
  <si>
    <t>70265526</t>
  </si>
  <si>
    <t>好丽友派清新抹茶本味6P</t>
  </si>
  <si>
    <t>70137026</t>
  </si>
  <si>
    <t>好丽友巧克力派2枚(增量)</t>
  </si>
  <si>
    <t>70000642</t>
  </si>
  <si>
    <t>好丽友提拉米苏派原味6P</t>
  </si>
  <si>
    <t>70000646</t>
  </si>
  <si>
    <t>可可派巧克力味6P</t>
  </si>
  <si>
    <t>70291354</t>
  </si>
  <si>
    <t>巧克力派抹茶味2枚</t>
  </si>
  <si>
    <t>70442692</t>
  </si>
  <si>
    <t>达利园 黑全麦小面包 160g</t>
  </si>
  <si>
    <t>70286065</t>
  </si>
  <si>
    <t>达利园 早餐包 200g</t>
  </si>
  <si>
    <t>70205085</t>
  </si>
  <si>
    <t>达利园 欧式蛋糕鸡蛋味 225g</t>
  </si>
  <si>
    <t>70205086</t>
  </si>
  <si>
    <t>达利园 欧式蛋糕香橙味 225g</t>
  </si>
  <si>
    <t>70007881</t>
  </si>
  <si>
    <t>达利园 巧克力派 26g*10枚*16包</t>
  </si>
  <si>
    <t>70290243</t>
  </si>
  <si>
    <t>达利园 早餐包 400g</t>
  </si>
  <si>
    <t>70286076</t>
  </si>
  <si>
    <t>达利园 蔓越莓提子面包 120g</t>
  </si>
  <si>
    <t>70681018</t>
  </si>
  <si>
    <t>奥利奥夹心云朵蛋糕香草牛乳味6枚装132g</t>
  </si>
  <si>
    <t>70683282</t>
  </si>
  <si>
    <t>奥利奥夹心云朵蛋糕粒粒草莓味6枚装132g</t>
  </si>
  <si>
    <t>70682738</t>
  </si>
  <si>
    <t>奥利奥夹心云朵蛋糕橙香巧克力味6枚装132g</t>
  </si>
  <si>
    <t>天润.优斯麦尔纯牛奶（康美砖250g）</t>
  </si>
  <si>
    <t>89元/2件</t>
  </si>
  <si>
    <t>50元/2件</t>
  </si>
  <si>
    <t>汽车用品</t>
  </si>
  <si>
    <t>70348903</t>
  </si>
  <si>
    <t>咔咔酷优特 胡桃木沸石香氛 苍玉紫檀香型 清新白茶香型 65G</t>
  </si>
  <si>
    <t>70348901</t>
  </si>
  <si>
    <t>咔咔酷优特 活动式手机支架 80G</t>
  </si>
  <si>
    <t>75000828</t>
  </si>
  <si>
    <t>水浜昆韵 油膜清洗乳 100ml</t>
  </si>
  <si>
    <t>70524469</t>
  </si>
  <si>
    <t>ONCEKISS 一次性男式纯棉内裤 4条装</t>
  </si>
  <si>
    <t>70524468</t>
  </si>
  <si>
    <t>ONCEKISS 一次性女式纯棉内裤 5条装</t>
  </si>
  <si>
    <t>70524467</t>
  </si>
  <si>
    <t>ONCEKISS 一次性悬挂式懒人抹布 160片</t>
  </si>
  <si>
    <t>70524466</t>
  </si>
  <si>
    <t>ONCEKISS 一次性浴巾 80*140cm</t>
  </si>
  <si>
    <t>润滑油</t>
  </si>
  <si>
    <t>400343</t>
  </si>
  <si>
    <t>昆仑 天鸿CD40柴机油 3.5Kg/桶 兰洲</t>
  </si>
  <si>
    <t>414006</t>
  </si>
  <si>
    <t>昆仑天鸿CD 10W-30柴油机油(2021版) 16kg/桶</t>
  </si>
  <si>
    <t>414007</t>
  </si>
  <si>
    <t>昆仑天鸿CD 10W-30柴油机油(2021版) 3.5kg/桶</t>
  </si>
  <si>
    <t>413992</t>
  </si>
  <si>
    <t>昆仑天鸿CD 15W-40柴油机油(2021版) 16kg/桶</t>
  </si>
  <si>
    <t>414000</t>
  </si>
  <si>
    <t>昆仑天鸿CD 15W-40柴油机油(2021版) 3.5kg/桶</t>
  </si>
  <si>
    <t>413985</t>
  </si>
  <si>
    <t>昆仑天鸿CD 20W-50柴油机油(2021版) 16kg/桶</t>
  </si>
  <si>
    <t>413987</t>
  </si>
  <si>
    <t>昆仑天鸿CD 20W-50柴油机油(2021版) 3.5kg/桶</t>
  </si>
  <si>
    <t>414011</t>
  </si>
  <si>
    <t>昆仑天鸿CD 40柴油机油(2021版) 3.5kg/桶</t>
  </si>
  <si>
    <t>414021</t>
  </si>
  <si>
    <t>昆仑天鸿CF-4 10W-30重载型柴油机油(2021版) 16kg/桶</t>
  </si>
  <si>
    <t>414018</t>
  </si>
  <si>
    <t>昆仑天鸿CF-4 10W-30重载型柴油机油(2021版) 3.5kg/桶</t>
  </si>
  <si>
    <t>456468</t>
  </si>
  <si>
    <t>昆仑天鸿CF-4 15W-40柴油机油 16kg/桶</t>
  </si>
  <si>
    <t>414020</t>
  </si>
  <si>
    <t>昆仑天鸿CF-4 15W-40重载型柴油机油(2021版) 16kg/桶</t>
  </si>
  <si>
    <t>414055</t>
  </si>
  <si>
    <t>昆仑天鸿CF-4 15W-40重载型柴油机油(2021版) 3.5kg/桶</t>
  </si>
  <si>
    <t>414056</t>
  </si>
  <si>
    <t>昆仑天鸿CF-4 20W-50重载型柴油机油(2021版) 16kg/桶</t>
  </si>
  <si>
    <t>414057</t>
  </si>
  <si>
    <t>昆仑天鸿CF-4 20W-50重载型柴油机油(2021版) 3.5kg/桶</t>
  </si>
  <si>
    <t>456458</t>
  </si>
  <si>
    <t>昆仑天鸿CH-4 15W-40柴油机油 16kg/桶</t>
  </si>
  <si>
    <t>456459</t>
  </si>
  <si>
    <t>昆仑天鸿CH-4 15W-40柴油机油 3.5kg/桶</t>
  </si>
  <si>
    <t>413797</t>
  </si>
  <si>
    <t>昆仑天鸿CH-4 15W-40合成重载型柴油机油 16kg/桶</t>
  </si>
  <si>
    <t>413799</t>
  </si>
  <si>
    <t>昆仑天鸿CH-4 15W-40合成重载型柴油机油 3.5kg/桶</t>
  </si>
  <si>
    <t>456445</t>
  </si>
  <si>
    <t>昆仑天鸿CH-4 20W-50柴油机油 3.5kg/桶</t>
  </si>
  <si>
    <t>413801</t>
  </si>
  <si>
    <t>昆仑天鸿CH-4 20W-50合成重载型柴油机油 16kg/桶</t>
  </si>
  <si>
    <t>413802</t>
  </si>
  <si>
    <t>昆仑天鸿CH-4 20W-50合成重载型柴油机油 3.5kg/桶</t>
  </si>
  <si>
    <t>413822</t>
  </si>
  <si>
    <t>昆仑天鸿CI-4 15W-40合成重载型柴油机油 16kg/桶</t>
  </si>
  <si>
    <t>414053</t>
  </si>
  <si>
    <t>昆仑天鸿CI-4 15W-40重载型柴油机油(2021版) 16kg/桶</t>
  </si>
  <si>
    <t>401265</t>
  </si>
  <si>
    <t>昆仑天鸿柴油机油 CD 10W-30 3.5kg/桶</t>
  </si>
  <si>
    <t>401269</t>
  </si>
  <si>
    <t>昆仑天鸿柴油机油 CD 15W-40 3.5KG/桶</t>
  </si>
  <si>
    <t>401285</t>
  </si>
  <si>
    <t>昆仑天鸿柴油机油 CD 50 3.5kg/桶</t>
  </si>
  <si>
    <t>401271</t>
  </si>
  <si>
    <t>昆仑天鸿柴油机油 CD15W/40  16KG/桶</t>
  </si>
  <si>
    <t>400313</t>
  </si>
  <si>
    <t>昆仑天鸿重载型商用车用油 CF-4 20W-50 16kg/桶</t>
  </si>
  <si>
    <t>413945</t>
  </si>
  <si>
    <t>昆仑天润KR8 PLUSC3\SP5W-30汽油机油(加油站) 0.85kg/桶</t>
  </si>
  <si>
    <t>413944</t>
  </si>
  <si>
    <t>昆仑天润KR8 PLUSC3\SP5W-30汽油机油(加油站) 3.5kg/桶</t>
  </si>
  <si>
    <t>414030</t>
  </si>
  <si>
    <t>昆仑天润KR8 SN 5W-40全合成发动机油 3.5kg/桶</t>
  </si>
  <si>
    <t>413950</t>
  </si>
  <si>
    <t>昆仑天润KR8 SP 5W-40汽油机油(加油站) 0.85kg/桶</t>
  </si>
  <si>
    <t>413946</t>
  </si>
  <si>
    <t>昆仑天润KR8 SP 5W-40汽油机油(加油站) 3.5kg/桶</t>
  </si>
  <si>
    <t>413527</t>
  </si>
  <si>
    <t>昆仑天润KR9 SN 5W-40汽油机油(加油站) 3.5kg/桶</t>
  </si>
  <si>
    <t>413990</t>
  </si>
  <si>
    <t>昆仑天润KR9 SN 5W-40全合成高性能发动机油 3.5kg/桶</t>
  </si>
  <si>
    <t>409172</t>
  </si>
  <si>
    <t>昆仑天润KR9 SN\A3/B4\A3/B3 5W-40汽油机油 3.5kg/桶</t>
  </si>
  <si>
    <t>409168</t>
  </si>
  <si>
    <t>昆仑天润KR9 SN\GF-5 5W-30汽油机油 3.5kg/桶</t>
  </si>
  <si>
    <t>415724</t>
  </si>
  <si>
    <t>昆仑天润KR9 SP 5W-40汽油机油 3.5kg/桶</t>
  </si>
  <si>
    <t>413941</t>
  </si>
  <si>
    <t>昆仑天润KR9 SP\GF-6A 5W-30汽油机油(加油站) 0.85kg/桶</t>
  </si>
  <si>
    <t>413942</t>
  </si>
  <si>
    <t>昆仑天润KR9 SP\GF-6A 5W-30汽油机油(加油站) 3.5kg/桶</t>
  </si>
  <si>
    <t>413526</t>
  </si>
  <si>
    <t>昆仑天润KR9-T SN 0W-40(中石油加油站) 3.5kg/桶</t>
  </si>
  <si>
    <t>413980</t>
  </si>
  <si>
    <t>昆仑天润KR9-T SN 0W-40全合成高性能发动机油 3.5kg/桶</t>
  </si>
  <si>
    <t>409211</t>
  </si>
  <si>
    <t>昆仑天润KR9-T SN\A3/B4\A3/B3 0W-40汽油机油 3.5kg</t>
  </si>
  <si>
    <t>409213</t>
  </si>
  <si>
    <t>昆仑天润KR9-T SN\A3/B4\A3/B3 0W-40汽油机油0.85kg</t>
  </si>
  <si>
    <t>409176</t>
  </si>
  <si>
    <t>昆仑天润KR9-T SN＋\GF-5 0W-20汽油机油 3.5kg/桶</t>
  </si>
  <si>
    <t>414966</t>
  </si>
  <si>
    <t>昆仑天润KR9-T SP\A3/B4 0W-40汽油机油 3.5kg/桶</t>
  </si>
  <si>
    <t>413939</t>
  </si>
  <si>
    <t>昆仑天润KR9-TSP\GF-6A0W-20汽油机油(加油站) 0.85kg/桶</t>
  </si>
  <si>
    <t>414099</t>
  </si>
  <si>
    <t>昆仑天润KR9-TSP\GF-6A0W-20汽油机油(加油站) 3.5kg/桶</t>
  </si>
  <si>
    <t>456627</t>
  </si>
  <si>
    <t>昆仑天威CF-4 15W-40柴油机油 16kg/桶</t>
  </si>
  <si>
    <t>456710</t>
  </si>
  <si>
    <t>昆仑天威CF-4 20W-50柴油机油 3.5kg/桶</t>
  </si>
  <si>
    <t>456634</t>
  </si>
  <si>
    <t>昆仑天威CH-4 10W-30柴油机油 16kg/桶</t>
  </si>
  <si>
    <t>456679</t>
  </si>
  <si>
    <t>昆仑天威CH-4 10W-30柴油机油 3.5kg/桶</t>
  </si>
  <si>
    <t>456660</t>
  </si>
  <si>
    <t>昆仑天威CH-4 15W-40柴油机油 16kg/桶</t>
  </si>
  <si>
    <t>456681</t>
  </si>
  <si>
    <t>昆仑天威CH-4 15W-40柴油机油 3.5kg/桶</t>
  </si>
  <si>
    <t>456658</t>
  </si>
  <si>
    <t>昆仑天威CH-4 20W-50柴油机油 16kg/桶</t>
  </si>
  <si>
    <t>456657</t>
  </si>
  <si>
    <t>昆仑天威CH-4 20W-50柴油机油 3.5kg/桶</t>
  </si>
  <si>
    <t>456737</t>
  </si>
  <si>
    <t>昆仑天威CI-4 15W-40柴油机油 3.5kg/桶</t>
  </si>
  <si>
    <t>400533</t>
  </si>
  <si>
    <t>昆仑天威高档大马力货运车用油 CH-4 15W-40 3.5kg/桶</t>
  </si>
  <si>
    <t>300892</t>
  </si>
  <si>
    <t>昆仑之星 RHY1803柴油防凝剂 0.38kg/桶</t>
  </si>
  <si>
    <t>70385728</t>
  </si>
  <si>
    <t>昆仑之星 RHY1803柴油防凝剂 0.38KG/桶</t>
  </si>
  <si>
    <t>水果生鲜</t>
  </si>
  <si>
    <t>优斯麦尔库尔勒香梨/苹果</t>
  </si>
  <si>
    <t>速食</t>
  </si>
  <si>
    <t>70506051</t>
  </si>
  <si>
    <t>兰州牛肉面冲泡经典原味(加肉) 121G</t>
  </si>
  <si>
    <t>70506048</t>
  </si>
  <si>
    <t>兰州牛肉面冲泡清汤原味 111g</t>
  </si>
  <si>
    <t>70215696</t>
  </si>
  <si>
    <t>白象 新经典红烧牛肉桶面 103g</t>
  </si>
  <si>
    <t>70036713</t>
  </si>
  <si>
    <t>白象 新经典香辣牛肉桶面 100g</t>
  </si>
  <si>
    <t>70560286</t>
  </si>
  <si>
    <t>白象 新经典老坛酸菜牛肉桶面 123g</t>
  </si>
  <si>
    <t>70538637</t>
  </si>
  <si>
    <t>优斯麦尔番茄牛肉汤</t>
  </si>
  <si>
    <t>70538626</t>
  </si>
  <si>
    <t>优斯麦尔果脯抓饭</t>
  </si>
  <si>
    <t>70538751</t>
  </si>
  <si>
    <t>优斯麦尔牛肉抓饭</t>
  </si>
  <si>
    <t>70538632</t>
  </si>
  <si>
    <t>优斯麦尔羊肉汤</t>
  </si>
  <si>
    <t>70538752</t>
  </si>
  <si>
    <t>优斯麦尔羊肉抓饭</t>
  </si>
  <si>
    <t>优斯麦尔自热抓饭+自热汤</t>
  </si>
  <si>
    <t>抓饭+汤29.9元</t>
  </si>
  <si>
    <t>70000898</t>
  </si>
  <si>
    <t>银鹭 桂圆莲子八宝粥 360G</t>
  </si>
  <si>
    <t>70003529</t>
  </si>
  <si>
    <t>银鹭 桂圆八宝粥 360G</t>
  </si>
  <si>
    <t>70007279</t>
  </si>
  <si>
    <t>银鹭 低糖莲子八宝粥 360G</t>
  </si>
  <si>
    <t>70102098</t>
  </si>
  <si>
    <t>银鹭 好粥道玉米粥 280G</t>
  </si>
  <si>
    <t>70102099</t>
  </si>
  <si>
    <t>银鹭 好粥道黑米粥 280G</t>
  </si>
  <si>
    <t>70154231</t>
  </si>
  <si>
    <t>银鹭 好粥道薏仁红豆粥 280g</t>
  </si>
  <si>
    <t>70154232</t>
  </si>
  <si>
    <t>银鹭 椰奶燕麦粥 280ML</t>
  </si>
  <si>
    <t>糖果</t>
  </si>
  <si>
    <t>70373725</t>
  </si>
  <si>
    <t>好丽友Q立方草莓味/ 香瓜味/ 青提味90克</t>
  </si>
  <si>
    <t>70373726</t>
  </si>
  <si>
    <t>好丽友Q立方葡萄味/ 西柚味/ 菠萝味90克</t>
  </si>
  <si>
    <t>70393594</t>
  </si>
  <si>
    <t>好丽友果滋果心 青葡萄味 70G</t>
  </si>
  <si>
    <t>70393595</t>
  </si>
  <si>
    <t>好丽友果滋果心 紫葡萄味 70G</t>
  </si>
  <si>
    <t>70490560</t>
  </si>
  <si>
    <t>好丽友果滋果姿草莓味60克</t>
  </si>
  <si>
    <t>70330729</t>
  </si>
  <si>
    <t>好丽友果滋果姿葡萄味60g</t>
  </si>
  <si>
    <t>70330713</t>
  </si>
  <si>
    <t>好丽友果滋果姿青苹果味60g</t>
  </si>
  <si>
    <t>70330724</t>
  </si>
  <si>
    <t>好丽友果滋果姿桃子味60g</t>
  </si>
  <si>
    <t>70330719</t>
  </si>
  <si>
    <t>好丽友果滋果姿香橙味60g</t>
  </si>
  <si>
    <t>70044486</t>
  </si>
  <si>
    <t>箭牌 德芙 香浓黑巧克力(1*10*12)</t>
  </si>
  <si>
    <t>70000792</t>
  </si>
  <si>
    <t>箭牌 益达 木糖醇清爽草莓40粒(1*6*6)</t>
  </si>
  <si>
    <t>70025269</t>
  </si>
  <si>
    <t>绿箭薄荷糖原味薄荷35粒铁盒装 23.8g</t>
  </si>
  <si>
    <t>70104234</t>
  </si>
  <si>
    <t>昆仑好客优选绿箭 薄荷糖茉莉花茶味35粒 23.8g</t>
  </si>
  <si>
    <t>70054793</t>
  </si>
  <si>
    <t>德芙 奶香白巧克力 43克</t>
  </si>
  <si>
    <t>70167614</t>
  </si>
  <si>
    <t>京都念慈菴金桔柠檬糖60g</t>
  </si>
  <si>
    <t>70230783</t>
  </si>
  <si>
    <t>京都念慈菴柠檬草薄荷糖60g</t>
  </si>
  <si>
    <t>70167616</t>
  </si>
  <si>
    <t>京都念慈菴枇杷糖60g</t>
  </si>
  <si>
    <t>70044485</t>
  </si>
  <si>
    <t>昆仑好客优选德芙 丝滑牛奶巧克力 43g</t>
  </si>
  <si>
    <t>70215674</t>
  </si>
  <si>
    <t>昆仑好客优选士力架 花生夹心巧克力 51g</t>
  </si>
  <si>
    <t>70000793</t>
  </si>
  <si>
    <t>昆仑好客优选益达 木糖醇冰凉薄荷瓶装40粒 56g</t>
  </si>
  <si>
    <t>70091653</t>
  </si>
  <si>
    <t>昆仑好客优选益达 木糖醇清爽西瓜味40粒 56g</t>
  </si>
  <si>
    <t>70000795</t>
  </si>
  <si>
    <t>昆仑好客优选益达 木糖醇香橙薄荷味40粒 56g</t>
  </si>
  <si>
    <t>70000668</t>
  </si>
  <si>
    <t>蘑古力红豆巧克力味48g</t>
  </si>
  <si>
    <t>70000664</t>
  </si>
  <si>
    <t>蘑古力牛奶巧克力味48g</t>
  </si>
  <si>
    <t>70232303</t>
  </si>
  <si>
    <t>蘑古力榛子巧克力味48g</t>
  </si>
  <si>
    <t>70284598</t>
  </si>
  <si>
    <t>炫迈 无糖颗粒口香糖薄荷味4粒 6*6*4s</t>
  </si>
  <si>
    <t>70284597</t>
  </si>
  <si>
    <t>炫迈 无糖颗粒口香糖草莓味4粒 6*6*4s</t>
  </si>
  <si>
    <t>70284599</t>
  </si>
  <si>
    <t>炫迈 无糖颗粒口香糖西瓜味4粒 6*6*4s</t>
  </si>
  <si>
    <t>70524315</t>
  </si>
  <si>
    <t>炫迈 无糖口香糖白桃槐花味 50.4g</t>
  </si>
  <si>
    <t>70524321</t>
  </si>
  <si>
    <t>炫迈 无糖口香糖海盐荔枝味50.4g</t>
  </si>
  <si>
    <t>70524313</t>
  </si>
  <si>
    <t>炫迈 无糖口香糖卡曼橘柠檬草味 50.4g</t>
  </si>
  <si>
    <t>70206431</t>
  </si>
  <si>
    <t>炫迈薄荷味28片无糖口香糖50.4g</t>
  </si>
  <si>
    <t>70657954</t>
  </si>
  <si>
    <t>炫迈无糖颗粒爆爽口香糖留兰香薄荷味30粒</t>
  </si>
  <si>
    <t>70657953</t>
  </si>
  <si>
    <t>炫迈无糖颗粒爆酸口香糖红莓味30粒</t>
  </si>
  <si>
    <t>70657982</t>
  </si>
  <si>
    <t>炫迈无糖颗粒爆酸口香糖蓝莓味30粒</t>
  </si>
  <si>
    <t>70657952</t>
  </si>
  <si>
    <t>炫迈无糖颗粒口香糖东鹏特饮风味56g</t>
  </si>
  <si>
    <t>70253722</t>
  </si>
  <si>
    <t>炫迈紫葡萄味28片无糖口香糖50.4g</t>
  </si>
  <si>
    <t>70523761</t>
  </si>
  <si>
    <t>亿智IP草莓果汁软糖罐装105g</t>
  </si>
  <si>
    <t>70523759</t>
  </si>
  <si>
    <t>亿智IP蓝莓果汁软糖罐装105g</t>
  </si>
  <si>
    <t>70206433</t>
  </si>
  <si>
    <t>亿滋水蜜西瓜味28片无糖口香糖50.4g</t>
  </si>
  <si>
    <t>70737915</t>
  </si>
  <si>
    <t>炫迈无糖口香糖薄荷柠檬茶味28片</t>
  </si>
  <si>
    <t>通讯/数码/电脑</t>
  </si>
  <si>
    <t>70488756</t>
  </si>
  <si>
    <t>咔咔酷优特?三合一充电数据线</t>
  </si>
  <si>
    <t>参考表2</t>
  </si>
  <si>
    <t>“9.9零食好物集”专区商品明细表</t>
  </si>
  <si>
    <t>商品品类</t>
  </si>
  <si>
    <t>挂牌零售价（元）</t>
  </si>
  <si>
    <t>促销金额</t>
  </si>
  <si>
    <t>70424725</t>
  </si>
  <si>
    <t>奥利奥 0糖夹心饼干 97g</t>
  </si>
  <si>
    <t>指定小食品开展9.9元专区销售，公司针对现有省区互采、集采亿滋、好丽友等品牌小食品规划确定专区商品。各单位如有个性化商品可在促销后毛利不低于10%的情况下自行纳入专区。</t>
  </si>
  <si>
    <t>70442943</t>
  </si>
  <si>
    <t>昆趣 酵素山楂条 108g</t>
  </si>
  <si>
    <t>70394390</t>
  </si>
  <si>
    <t>昆趣 焦糖味爆米花 150g</t>
  </si>
  <si>
    <t>70486103</t>
  </si>
  <si>
    <t>奥利奥 夹心云朵蛋糕香草牛乳味4枚装 88g</t>
  </si>
  <si>
    <t>70486104</t>
  </si>
  <si>
    <t>70300523</t>
  </si>
  <si>
    <t>炫迈 果味浪起来口香糖热情百香果味 37.8g</t>
  </si>
  <si>
    <t>70293906</t>
  </si>
  <si>
    <t>炫迈 酸甜草莓味28片口香糖 50.4g*28*9*4</t>
  </si>
  <si>
    <t>70243583</t>
  </si>
  <si>
    <t>炫迈 无糖薄荷糖缤纷果莓味 22.5g</t>
  </si>
  <si>
    <t>70243582</t>
  </si>
  <si>
    <t>炫迈 无糖薄荷糖劲爽薄荷味 22.5g</t>
  </si>
  <si>
    <t>70295122</t>
  </si>
  <si>
    <t>炫迈 无糖薄荷糖清香葡萄味 22.5g</t>
  </si>
  <si>
    <t>炫迈 无糖颗粒口香糖薄荷味40粒 6*6*40s</t>
  </si>
  <si>
    <t>炫迈 无糖颗粒口香糖草莓味 40粒</t>
  </si>
  <si>
    <t>炫迈 无糖颗粒口香糖西瓜味40粒 6*6*40s</t>
  </si>
  <si>
    <t>70362895</t>
  </si>
  <si>
    <t>炫迈 无糖口香糖活力蓝莓味 50.4g28S*9*4</t>
  </si>
  <si>
    <t>炫迈 紫葡萄味28片无糖口香糖 50.4*28*9*4</t>
  </si>
  <si>
    <t>炫迈 薄荷味28片无糖口香糖 50.4*28*9*4</t>
  </si>
  <si>
    <t>亿滋 水蜜西瓜味28片无糖口香糖 50.4*28*9*4</t>
  </si>
  <si>
    <t>70206429</t>
  </si>
  <si>
    <t>跃动 鲜果味28片无糖口香糖 28片</t>
  </si>
  <si>
    <t>炫迈 无糖口香糖海盐荔枝味 50.4g</t>
  </si>
  <si>
    <t>70485431</t>
  </si>
  <si>
    <t>炫迈 无糖颗粒口香糖冰爆咖啡味40粒 56g</t>
  </si>
  <si>
    <t>70485432</t>
  </si>
  <si>
    <t>炫迈 无糖颗粒口香糖冰爆薄荷味40粒 56g</t>
  </si>
  <si>
    <t>70524318</t>
  </si>
  <si>
    <t>炫迈 无糖薄荷糖激爽爆柠味 22.5g</t>
  </si>
  <si>
    <t>70524311</t>
  </si>
  <si>
    <t>炫迈 无糖薄荷糖冰摇荔枝味 22.5g</t>
  </si>
  <si>
    <t>70186816</t>
  </si>
  <si>
    <t>软华夫蛋糕奶香味</t>
  </si>
  <si>
    <t>70542422</t>
  </si>
  <si>
    <t>梅尼耶干蛋糕奶香味</t>
  </si>
  <si>
    <t>70553221</t>
  </si>
  <si>
    <t>低GI无糖燕麦高纤饼干</t>
  </si>
  <si>
    <t>70601980</t>
  </si>
  <si>
    <t>咔滋客薯条很大（番茄味）</t>
  </si>
  <si>
    <t>70601981</t>
  </si>
  <si>
    <t>咔滋客薯条很大（奥尔良烤翅味）</t>
  </si>
  <si>
    <t>70601982</t>
  </si>
  <si>
    <t>咔滋客薯片很大番茄味</t>
  </si>
  <si>
    <t>70601983</t>
  </si>
  <si>
    <t>咔滋客薯片很大烤肉味</t>
  </si>
  <si>
    <t>70276805</t>
  </si>
  <si>
    <t>手撕面包</t>
  </si>
  <si>
    <t>70595181</t>
  </si>
  <si>
    <t>灌汤花生（香辣味）</t>
  </si>
  <si>
    <t>70595182</t>
  </si>
  <si>
    <t>灌汤花生（卤香味）</t>
  </si>
  <si>
    <t>70533839</t>
  </si>
  <si>
    <t>糯米锅巴（蟹香咸蛋黄味）</t>
  </si>
  <si>
    <t>70533838</t>
  </si>
  <si>
    <t>糯米锅巴（藤椒牛肉味）</t>
  </si>
  <si>
    <t>70533842</t>
  </si>
  <si>
    <t>糯米锅巴（黑松露火腿味）</t>
  </si>
  <si>
    <t>70598779</t>
  </si>
  <si>
    <t>面包脆蒜香味</t>
  </si>
  <si>
    <t>70598783</t>
  </si>
  <si>
    <t>面包脆芝士味</t>
  </si>
  <si>
    <t>70434451</t>
  </si>
  <si>
    <t>牛乳饼干（原味）</t>
  </si>
  <si>
    <t>70373382</t>
  </si>
  <si>
    <t>牛乳饼干（海盐味）</t>
  </si>
  <si>
    <t>70373302</t>
  </si>
  <si>
    <t>蔬菜小圆饼</t>
  </si>
  <si>
    <t>70494350</t>
  </si>
  <si>
    <t>70498340</t>
  </si>
  <si>
    <t>OCOCO 日式无蔗糖咸苏打饼干（浓香芝士味+经典海盐味） 280g</t>
  </si>
  <si>
    <t>70494349</t>
  </si>
  <si>
    <t>OCOCO 日式无蔗糖咸苏打饼干（浓郁海苔味+经典海盐味） 280g</t>
  </si>
  <si>
    <t>70468011</t>
  </si>
  <si>
    <t>水韵好客 海苔卷蛋黄味 100G</t>
  </si>
  <si>
    <t>70603258</t>
  </si>
  <si>
    <t>水韵好客奶酪海苔脆50g</t>
  </si>
  <si>
    <t>优斯麦尔新疆骏枣（一等）</t>
  </si>
  <si>
    <t>优斯麦尔 绿香妃葡萄干（一级）</t>
  </si>
  <si>
    <t>70712976</t>
  </si>
  <si>
    <t>永健 脆笋脱骨凤爪(酸汤味) 68g</t>
  </si>
  <si>
    <t>70712943</t>
  </si>
  <si>
    <t>永健 脆笋脱骨凤爪(酸辣柠檬味) 68g</t>
  </si>
  <si>
    <t>70712757</t>
  </si>
  <si>
    <t>溜溜梅 蓝莓奇异果NFC梅冻 120g</t>
  </si>
  <si>
    <t>70174080</t>
  </si>
  <si>
    <t>皇冠丹麦曲奇饼干葡萄干味90g</t>
  </si>
  <si>
    <t>70553214</t>
  </si>
  <si>
    <t>70423328</t>
  </si>
  <si>
    <t>卧龙花椒锅巴爆辣味138g</t>
  </si>
  <si>
    <t>70405097</t>
  </si>
  <si>
    <t>卧龙花椒锅巴椒香味138g</t>
  </si>
  <si>
    <t>70405096</t>
  </si>
  <si>
    <t>卧龙花椒锅巴麻辣味138g</t>
  </si>
  <si>
    <t>70278131</t>
  </si>
  <si>
    <t>奥利奥 缤纷双果味夹心饼干蓝莓味+树莓味97g</t>
  </si>
  <si>
    <t>70277427</t>
  </si>
  <si>
    <t>奥利奥 生日蛋糕味夹心饼干97g</t>
  </si>
  <si>
    <t>70350641</t>
  </si>
  <si>
    <t>奥利奥 夹心白桃乌龙味97g</t>
  </si>
  <si>
    <t>70035465</t>
  </si>
  <si>
    <t>奥利奥 双心脆威化香草味6条装</t>
  </si>
  <si>
    <t>70049785</t>
  </si>
  <si>
    <t>奥利奥 双心脆威化草莓味6条装</t>
  </si>
  <si>
    <t>70499252</t>
  </si>
  <si>
    <t>奥利奥 迷你经典原味 40g</t>
  </si>
  <si>
    <t>70459047</t>
  </si>
  <si>
    <t>趣多多 迷你满满巧克力味 41g</t>
  </si>
  <si>
    <t>70442944</t>
  </si>
  <si>
    <t>昆趣 山楂条 100g</t>
  </si>
  <si>
    <t>好友趣 多汁牛排味 70g</t>
  </si>
  <si>
    <t>好友趣 韩国泡菜味 70g</t>
  </si>
  <si>
    <t>好友趣 蜂蜜黄油味 70g</t>
  </si>
  <si>
    <t>70601984</t>
  </si>
  <si>
    <t>咔滋客黄金玉米棒芝士味</t>
  </si>
  <si>
    <t>70601985</t>
  </si>
  <si>
    <t>70640599</t>
  </si>
  <si>
    <t>永健 泡椒凤爪（山椒经典）70g</t>
  </si>
  <si>
    <t>70041633</t>
  </si>
  <si>
    <t>永健泡椒鲜笋（山椒经典）120g</t>
  </si>
  <si>
    <t>70026402</t>
  </si>
  <si>
    <t>溜溜梅 休闲装-雪梅60g</t>
  </si>
  <si>
    <t>70034308</t>
  </si>
  <si>
    <t>溜溜梅 休闲装-清梅60g</t>
  </si>
  <si>
    <t>70274324</t>
  </si>
  <si>
    <t>溜溜梅 休闲装-西梅60g</t>
  </si>
  <si>
    <t>70574880</t>
  </si>
  <si>
    <t>甘源 带壳蒜香味花生 108g</t>
  </si>
  <si>
    <t>70574862</t>
  </si>
  <si>
    <t>甘源 带壳奶香味花生 108g</t>
  </si>
  <si>
    <t>70574274</t>
  </si>
  <si>
    <t>甘源 综合果仁 75g</t>
  </si>
  <si>
    <t>70656775</t>
  </si>
  <si>
    <t>甘源 臻果混合柿种果仁 33g</t>
  </si>
  <si>
    <t>70656726</t>
  </si>
  <si>
    <t>甘源 臻果冻干芒果腰果仁 15g</t>
  </si>
  <si>
    <t>70658125</t>
  </si>
  <si>
    <t>甘源 臻果龙井绿豆沙味混合坚果仁 27g</t>
  </si>
  <si>
    <t>70658126</t>
  </si>
  <si>
    <t>甘源 臻果蜂蜜夏威夷果仁混合坚果仁 23g</t>
  </si>
  <si>
    <t>70539699</t>
  </si>
  <si>
    <t>纳宝帝 巧克力味夹心饼干 80g</t>
  </si>
  <si>
    <t>70539698</t>
  </si>
  <si>
    <t>纳宝帝 奶酪味夹心饼干 80g</t>
  </si>
  <si>
    <t>70539701</t>
  </si>
  <si>
    <t>纳宝帝 草莓味夹心饼干 80g</t>
  </si>
  <si>
    <t>70004644</t>
  </si>
  <si>
    <t>溜溜梅 休闲装-真乌梅60g</t>
  </si>
  <si>
    <t>70034311</t>
  </si>
  <si>
    <t>溜溜梅 休闲装-绿茶梅60g</t>
  </si>
  <si>
    <t>70372218</t>
  </si>
  <si>
    <t>李子园 果蔬酸奶饮品 280mL</t>
  </si>
  <si>
    <t>70485946</t>
  </si>
  <si>
    <t>甘源 铁板牛排味薯片 62g</t>
  </si>
  <si>
    <t>70485944</t>
  </si>
  <si>
    <t>甘源 甘酸番茄味薯片 62g</t>
  </si>
  <si>
    <t>70712979</t>
  </si>
  <si>
    <t>甘源 袋装蓝莓桑葚味米饼 72g</t>
  </si>
  <si>
    <t>70712756</t>
  </si>
  <si>
    <t>甘源 袋装芥末鳕鱼味五黑米饼 72g</t>
  </si>
  <si>
    <t>70712974</t>
  </si>
  <si>
    <t>甘源 袋装黑松露火腿味五黑米饼 72g</t>
  </si>
  <si>
    <t>70712982</t>
  </si>
  <si>
    <t>甘源 袋装草莓白桃味米饼 72g</t>
  </si>
  <si>
    <t>70067274</t>
  </si>
  <si>
    <t>永健泡椒花生（山椒经典）80g</t>
  </si>
  <si>
    <t>70296221</t>
  </si>
  <si>
    <t>无穷 酱卤鸭翅根 30g</t>
  </si>
  <si>
    <t>70250349</t>
  </si>
  <si>
    <t>无穷 烤鸡翅根（蜂蜜味）20g</t>
  </si>
  <si>
    <t>70513477</t>
  </si>
  <si>
    <t>无穷 爆香鸡肉粒20g</t>
  </si>
  <si>
    <t>70276067</t>
  </si>
  <si>
    <t>甘源 多味花生 75g</t>
  </si>
  <si>
    <t>70386250</t>
  </si>
  <si>
    <t>甘源 牛排味兰花豆 75g</t>
  </si>
  <si>
    <t>70276971</t>
  </si>
  <si>
    <t>甘源 香辣花生 75g</t>
  </si>
  <si>
    <t>70166919</t>
  </si>
  <si>
    <t>甘源 蟹黄瓜子仁 75g</t>
  </si>
  <si>
    <t>70166916</t>
  </si>
  <si>
    <t>甘源 原味青豌豆 75g</t>
  </si>
  <si>
    <t>70166917</t>
  </si>
  <si>
    <t>70235210</t>
  </si>
  <si>
    <t>甘源 牌袋装美国青豌豆(蒜香味) 75g</t>
  </si>
  <si>
    <t>70275342</t>
  </si>
  <si>
    <t>甘源 鲜虾味虾条豆果 75g</t>
  </si>
  <si>
    <t>70657151</t>
  </si>
  <si>
    <t>甘源 臻果综合果仁 35g</t>
  </si>
  <si>
    <t>70656955</t>
  </si>
  <si>
    <t>甘源 袋装经典原味鲜切薯条 40g</t>
  </si>
  <si>
    <t>70657944</t>
  </si>
  <si>
    <t>甘源 袋装蜂蜜黄油味鲜切薯条 40g</t>
  </si>
  <si>
    <t>70486123</t>
  </si>
  <si>
    <t>甘源 蜂蜜琥珀核桃仁 32g</t>
  </si>
  <si>
    <t>70264248</t>
  </si>
  <si>
    <t>钙芝奶酪味威化饼干58.5g</t>
  </si>
  <si>
    <t>70165986</t>
  </si>
  <si>
    <t>永健 品3优豆干（香辣味）80g</t>
  </si>
  <si>
    <t>70103279</t>
  </si>
  <si>
    <t>永健 品3优豆干（五香味）80g</t>
  </si>
  <si>
    <t>70112386</t>
  </si>
  <si>
    <t>永健 泡椒鲜笋（山椒经典）80g</t>
  </si>
  <si>
    <t>70533926</t>
  </si>
  <si>
    <t>70533924</t>
  </si>
  <si>
    <t>无穷 酥骨香脖 30g</t>
  </si>
  <si>
    <t>70250350</t>
  </si>
  <si>
    <t>无穷 烤鸡翅根(香辣味) 20g</t>
  </si>
  <si>
    <t>70657946</t>
  </si>
  <si>
    <t>味聚特 酸辣海带片 63g</t>
  </si>
  <si>
    <t>70657960</t>
  </si>
  <si>
    <t>味聚特 麻辣萝卜丁 81g</t>
  </si>
  <si>
    <t>70656911</t>
  </si>
  <si>
    <t>味聚特 麻辣海带片 63g</t>
  </si>
  <si>
    <t>70657962</t>
  </si>
  <si>
    <t>味聚特 辣爽海带片 63g</t>
  </si>
  <si>
    <t>70656368</t>
  </si>
  <si>
    <t>川南 酸辣海带片 63g</t>
  </si>
  <si>
    <t>70354828</t>
  </si>
  <si>
    <t>川南 麻辣萝卜干 81g</t>
  </si>
  <si>
    <t>70574571</t>
  </si>
  <si>
    <t>川南 麻辣海带丝 81g</t>
  </si>
  <si>
    <t>70656724</t>
  </si>
  <si>
    <t>川南 辣卤海带片 63g</t>
  </si>
  <si>
    <t>70656365</t>
  </si>
  <si>
    <t>川南 川辣海带片 63g</t>
  </si>
  <si>
    <t>70359202</t>
  </si>
  <si>
    <t>炫动 薄荷味5片无糖口香糖</t>
  </si>
  <si>
    <t>70359204</t>
  </si>
  <si>
    <t>炫迈 水蜜西瓜味5片无糖口香糖</t>
  </si>
  <si>
    <t>70392721</t>
  </si>
  <si>
    <t>炫迈 酸甜草莓味5片无糖口香糖</t>
  </si>
  <si>
    <t>70508963</t>
  </si>
  <si>
    <t>永健 脱骨凤爪（柠檬味）20g</t>
  </si>
  <si>
    <t>70512692</t>
  </si>
  <si>
    <t>永健 脱骨凤爪（泰式风味）15g</t>
  </si>
  <si>
    <t>70640481</t>
  </si>
  <si>
    <t>无穷 虎皮辣爪 13g</t>
  </si>
  <si>
    <t>70252048</t>
  </si>
  <si>
    <t>无穷 盐焗鸡蛋30g</t>
  </si>
  <si>
    <t>70237168</t>
  </si>
  <si>
    <t>纳宝帝 奶酪味威化饼干 56g</t>
  </si>
  <si>
    <t>70275993</t>
  </si>
  <si>
    <t>纳宝帝 巧克力味威化饼干 56g</t>
  </si>
  <si>
    <t>70407198</t>
  </si>
  <si>
    <t>纳宝帝 丽芝士草莓芝士蛋糕味威化 56g</t>
  </si>
  <si>
    <t>70304332</t>
  </si>
  <si>
    <t>无穷 香卤鸡蛋 30g</t>
  </si>
  <si>
    <t>70281917</t>
  </si>
  <si>
    <t>无穷 虎皮爱辣鸡蛋 25g</t>
  </si>
  <si>
    <t>70574671</t>
  </si>
  <si>
    <t>味聚特 纯脆鲜脆榨菜 93g</t>
  </si>
  <si>
    <t>70574367</t>
  </si>
  <si>
    <t>味聚特 纯脆学生榨菜 93g</t>
  </si>
  <si>
    <t>70574370</t>
  </si>
  <si>
    <t>味聚特 纯脆爽口菜芯 93g</t>
  </si>
  <si>
    <t>70300454</t>
  </si>
  <si>
    <t>纳宝帝 软心趣布朗尼风味注心曲奇 112g</t>
  </si>
  <si>
    <t>70712770</t>
  </si>
  <si>
    <t>李子园 AD钙奶饮品 220g</t>
  </si>
  <si>
    <t>70712941</t>
  </si>
  <si>
    <t>甘源 袋装芥末味夏威夷果仁 60g</t>
  </si>
  <si>
    <t>70711037</t>
  </si>
  <si>
    <t>溜溜梅 海南芒果抱抱梅 70g</t>
  </si>
  <si>
    <t>70711038</t>
  </si>
  <si>
    <t>溜溜梅 3味电解质冰沙梅冻 100g</t>
  </si>
  <si>
    <t>甘源 蜂蜜黄油巴旦木仁 60g</t>
  </si>
  <si>
    <t>参考表3</t>
  </si>
  <si>
    <t>会员生日/省区特色专用券适用范围</t>
  </si>
  <si>
    <t>可核销券种</t>
  </si>
  <si>
    <t>新疆销售自有</t>
  </si>
  <si>
    <t>省区特色5折券、省区特色7折券均可核</t>
  </si>
  <si>
    <t>省区特色</t>
  </si>
  <si>
    <t>70465853</t>
  </si>
  <si>
    <t>昆仑好客 大窑嘉宾汽水 450ML</t>
  </si>
  <si>
    <t>昆仑好客U&amp;U 印花软抽 402张/包（M号，134抽/包）</t>
  </si>
  <si>
    <t>昆仑好客U&amp;U 竹纤维原浆条巾 45张（15片）</t>
  </si>
  <si>
    <t>昆仑好客U&amp;U竹纤维原浆软抽 318张/包（S号，106抽/包）</t>
  </si>
  <si>
    <t>昆仑好客U&amp;U 竹纤维原浆洗碗纸（3盒装）</t>
  </si>
  <si>
    <t>兰州牛肉面冲泡清汤原味 111G</t>
  </si>
  <si>
    <t>双品牌 王老吉 美果来石榴小青柠 300ml</t>
  </si>
  <si>
    <t>壮乡桂品 海鸭蛋</t>
  </si>
  <si>
    <t>千百度 啦丝五香豆干 105G</t>
  </si>
  <si>
    <t>千百度 啦丝香辣豆干 105G</t>
  </si>
  <si>
    <t>千百度 苏打豆干（麻辣味） 100g</t>
  </si>
  <si>
    <t>千百度 香卤五香豆干 100G</t>
  </si>
  <si>
    <t>千百度 卤烤鸭小腿(五香味) 120G</t>
  </si>
  <si>
    <t>千百度 卤烤鸭小腿(香辣味) 120G</t>
  </si>
  <si>
    <t>好客三酉 艾尔92啤酒 500ML</t>
  </si>
  <si>
    <t>好客三酉 精酿95啤酒 750ML</t>
  </si>
  <si>
    <t>好客三酉 IPA98啤酒 750ML</t>
  </si>
  <si>
    <t>70574054</t>
  </si>
  <si>
    <t>盼盼 枇杷炖梨 380ML</t>
  </si>
  <si>
    <t>70574053</t>
  </si>
  <si>
    <t>盼盼 九制陈皮水 380ML</t>
  </si>
  <si>
    <t>好客牛大 兰州牛肉面冲泡经典原味 121G</t>
  </si>
  <si>
    <t>陇上花牛 脱酸低糖苹果汁 瓶</t>
  </si>
  <si>
    <t>京都念慈庵枇杷糖罐装 60G</t>
  </si>
  <si>
    <t>京都念慈庵金桔柠檬糖罐装 60G</t>
  </si>
  <si>
    <t>京都 念慈菴柠檬草薄荷糖 60G</t>
  </si>
  <si>
    <t>70559409</t>
  </si>
  <si>
    <t>海岛范儿 100％椰子水 350ML</t>
  </si>
  <si>
    <t>海岛范儿 厚椰乳 350ML</t>
  </si>
  <si>
    <t>海岛范儿 生椰拿铁咖啡 280ML</t>
  </si>
  <si>
    <t>海岛范儿 青金桔饮料 310ml</t>
  </si>
  <si>
    <t>70574052</t>
  </si>
  <si>
    <t>盼盼 在益起乳酸菌熊猫版 100ML*12</t>
  </si>
  <si>
    <t>70026803</t>
  </si>
  <si>
    <t>艾比利 番茄味薯片 95G</t>
  </si>
  <si>
    <t>70045575</t>
  </si>
  <si>
    <t>盼盼 软面包奶香味 200G</t>
  </si>
  <si>
    <t>盼盼软华夫蛋糕(奶香味)168G</t>
  </si>
  <si>
    <t>70001509</t>
  </si>
  <si>
    <t>盼盼 法式面包奶香味 200G</t>
  </si>
  <si>
    <t>70542830</t>
  </si>
  <si>
    <t>盼盼 梅尼耶巧克力派 260G</t>
  </si>
  <si>
    <t>盼盼 梅尼耶干蛋糕奶香味 120G</t>
  </si>
  <si>
    <t>盼盼 低GI无糖燕麦高纤饼干 216G</t>
  </si>
  <si>
    <t>盼盼 咔滋客薯条很大（番茄味） 200G</t>
  </si>
  <si>
    <t>盼盼 咔滋客薯条很大（奥尔良烤翅味） 200G</t>
  </si>
  <si>
    <t>盼盼 咔滋客薯片很大番茄味 245G</t>
  </si>
  <si>
    <t>盼盼 咔滋客薯片很大烤肉味 245G</t>
  </si>
  <si>
    <t>盼盼 咔滋客黄金玉米棒芝士味 100G</t>
  </si>
  <si>
    <t>盼盼 咔滋客黄金玉米棒原味味 100G</t>
  </si>
  <si>
    <t>盼盼 手撕面包原味 320G</t>
  </si>
  <si>
    <t>70553391</t>
  </si>
  <si>
    <t>盼盼 冻干面番茄味 70G</t>
  </si>
  <si>
    <t>70656776</t>
  </si>
  <si>
    <t>盼盼 HELLOKITTY萌趣礼包 360G</t>
  </si>
  <si>
    <t>70656354</t>
  </si>
  <si>
    <t>盼盼 HELLOKITTY萌力礼包 751G</t>
  </si>
  <si>
    <t>70289670</t>
  </si>
  <si>
    <t>昆仑好客 宁夏枸杞袋装 250G</t>
  </si>
  <si>
    <t>70471913</t>
  </si>
  <si>
    <t>昆仑好客 宁夏枸杞红抽盒 300G</t>
  </si>
  <si>
    <t>70580887</t>
  </si>
  <si>
    <t>好客季 好客季玫瑰八宝茶 600G</t>
  </si>
  <si>
    <t>70580888</t>
  </si>
  <si>
    <t>好客季 好客季菊花八宝茶 600G</t>
  </si>
  <si>
    <t>70580890</t>
  </si>
  <si>
    <t>好客季 好客季玫瑰香八宝茶单包 80G</t>
  </si>
  <si>
    <t>70580889</t>
  </si>
  <si>
    <t>好客季 好客季桂花香八宝茶单包 80G</t>
  </si>
  <si>
    <t>70580891</t>
  </si>
  <si>
    <t>好客季 好客季八宝茶手提袋 500G</t>
  </si>
  <si>
    <t>70432677</t>
  </si>
  <si>
    <t>昆仑缘 三色藜麦米 450G</t>
  </si>
  <si>
    <t>70326718</t>
  </si>
  <si>
    <t>昆仑缘 黑枸杞 48G</t>
  </si>
  <si>
    <t>70365612</t>
  </si>
  <si>
    <t>苏弥山 特优红枸杞（8G*16) 128G</t>
  </si>
  <si>
    <t>70365610</t>
  </si>
  <si>
    <t>苏弥山 特优红枸杞一袋 100G</t>
  </si>
  <si>
    <t>70563858</t>
  </si>
  <si>
    <t>金星 金星毛尖中式精酿啤酒 1L</t>
  </si>
  <si>
    <t>70563863</t>
  </si>
  <si>
    <t>金星 茉莉花茶中式精酿啤酒 1L</t>
  </si>
  <si>
    <t>70563871</t>
  </si>
  <si>
    <t>金星 蜜桃乌龙中式精酿啤酒 1L</t>
  </si>
  <si>
    <t>70563879</t>
  </si>
  <si>
    <t>金星 碧螺春茶中式精酿啤酒 1L</t>
  </si>
  <si>
    <t>70587096</t>
  </si>
  <si>
    <t>泉阳泉 白桦树原汁（PET瓶） 300ML</t>
  </si>
  <si>
    <t>70365342</t>
  </si>
  <si>
    <t>周黑鸭 卤鸭翅中 75G</t>
  </si>
  <si>
    <t>70365343</t>
  </si>
  <si>
    <t>周黑鸭 卤鸭掌 88G</t>
  </si>
  <si>
    <t>70365341</t>
  </si>
  <si>
    <t>周黑鸭 卤鸭脖 60G</t>
  </si>
  <si>
    <t>70371196</t>
  </si>
  <si>
    <t>周黑鸭 卤鸭舌颗粒趣享 36G</t>
  </si>
  <si>
    <t>70540612</t>
  </si>
  <si>
    <t>周黑鸭 手撕鸡脖甜辣味 40G/袋</t>
  </si>
  <si>
    <t>70443496</t>
  </si>
  <si>
    <t>蔡林记 方便热干面经典原味 650G</t>
  </si>
  <si>
    <t>70443499</t>
  </si>
  <si>
    <t>蔡林记 一人份系列方便热干面经典原味 150G</t>
  </si>
  <si>
    <t>70443513</t>
  </si>
  <si>
    <t>蔡林记 五人份系列方便热干面经典原味 700G</t>
  </si>
  <si>
    <t>70443517</t>
  </si>
  <si>
    <t>蔡林记 五人份系列方便热干面卤牛肉味 675G</t>
  </si>
  <si>
    <t>70580451</t>
  </si>
  <si>
    <t>北纬茶时 信阳毛尖逢春原茶饮料 480ML</t>
  </si>
  <si>
    <t>70566766</t>
  </si>
  <si>
    <t>泉韵 含气天然泉水 380ML</t>
  </si>
  <si>
    <t>70586641</t>
  </si>
  <si>
    <t>金丝燕 银耳烤梨 252G（精装版）</t>
  </si>
  <si>
    <t>70586642</t>
  </si>
  <si>
    <t>金丝燕 银耳烤梨礼 252G*5</t>
  </si>
  <si>
    <t>70589962</t>
  </si>
  <si>
    <t>金丝燕 生椰藜麦燕窝粥 252G（精装版）</t>
  </si>
  <si>
    <t>70586613</t>
  </si>
  <si>
    <t>溢田12日 果蔬杂粮 75G*12</t>
  </si>
  <si>
    <t>75000742</t>
  </si>
  <si>
    <t>溢田 黑土优品有机香坊小米 2.5KG</t>
  </si>
  <si>
    <t>山农谷 东北黄糯玉米 220G*8/包</t>
  </si>
  <si>
    <t>70558927</t>
  </si>
  <si>
    <t>山农谷 东北黄糯玉米 220G</t>
  </si>
  <si>
    <t>70530832</t>
  </si>
  <si>
    <t>水韵好客 盱眙小龙虾川香麻辣味（6-8钱) 1500G</t>
  </si>
  <si>
    <t>70530831</t>
  </si>
  <si>
    <t>水韵好客 盱眙小龙虾草本十三香味（6-8钱) 1500G</t>
  </si>
  <si>
    <t>70530830</t>
  </si>
  <si>
    <t>水韵好客 盱眙小龙虾金汤蒜香味（6-8钱) 1500G</t>
  </si>
  <si>
    <t>70326719</t>
  </si>
  <si>
    <t>昆仑缘 黑枸杞 80G</t>
  </si>
  <si>
    <t>70442941</t>
  </si>
  <si>
    <t>昆趣 山楂棒棒卷 22G</t>
  </si>
  <si>
    <t>70442942</t>
  </si>
  <si>
    <t>昆趣 小熊山楂糕 18G</t>
  </si>
  <si>
    <t>70660098</t>
  </si>
  <si>
    <t>优斯麦尔 枸杞原浆 500ML</t>
  </si>
  <si>
    <t>70659478</t>
  </si>
  <si>
    <t>优斯麦尔 沙棘原浆 500ML</t>
  </si>
  <si>
    <t>70663437</t>
  </si>
  <si>
    <t>优斯麦尔 黑加仑原浆 500ML</t>
  </si>
  <si>
    <t>70660099</t>
  </si>
  <si>
    <t>优斯麦尔 疆爱坚果礼盒 936G</t>
  </si>
  <si>
    <t>70659479</t>
  </si>
  <si>
    <t>优斯麦尔 臻爱坚果礼盒 1276G</t>
  </si>
  <si>
    <t>70660100</t>
  </si>
  <si>
    <t>优斯麦尔 红枣博物馆礼盒 826G</t>
  </si>
  <si>
    <t>70659476</t>
  </si>
  <si>
    <t>优斯麦尔 葡萄干集锦礼盒 966G</t>
  </si>
  <si>
    <t>70668464</t>
  </si>
  <si>
    <t>优斯麦尔 原味南瓜子218克</t>
  </si>
  <si>
    <t>70678753</t>
  </si>
  <si>
    <t>优斯麦尔 五香南瓜子180克</t>
  </si>
  <si>
    <t>70678752</t>
  </si>
  <si>
    <t>优斯麦尔 五香葵花瓜子156克</t>
  </si>
  <si>
    <t>70668466</t>
  </si>
  <si>
    <t>优斯麦尔 藤椒葵花瓜子156克</t>
  </si>
  <si>
    <t>70678754</t>
  </si>
  <si>
    <t>优斯麦尔 话梅味西瓜子128克</t>
  </si>
  <si>
    <t>70666484</t>
  </si>
  <si>
    <t>优斯麦尔 马牙瓜子156克</t>
  </si>
  <si>
    <t>70678755</t>
  </si>
  <si>
    <t>优斯麦尔 沙棘葵花瓜子156克</t>
  </si>
  <si>
    <t>70678478</t>
  </si>
  <si>
    <t>优斯麦尔 原味脱皮瓜子180克</t>
  </si>
  <si>
    <t>70668465</t>
  </si>
  <si>
    <t>优斯麦尔 原味葵花瓜子218克</t>
  </si>
  <si>
    <t>70667069</t>
  </si>
  <si>
    <t>优斯麦尔 原味葵花瓜子500克</t>
  </si>
  <si>
    <t>70667070</t>
  </si>
  <si>
    <t>优斯麦尔 原味葵花瓜子156克</t>
  </si>
  <si>
    <t>优斯麦尔番茄复合果蔬汁饮品 1L</t>
  </si>
  <si>
    <t>新疆销售自有-新</t>
  </si>
  <si>
    <t>优斯麦尔胡萝卜汁复合果蔬汁饮品 1L</t>
  </si>
  <si>
    <t>70727310</t>
  </si>
  <si>
    <t>优斯麦尔葡萄复合果蔬汁饮品 1L</t>
  </si>
  <si>
    <t>70727859</t>
  </si>
  <si>
    <t>优斯麦尔石榴复合果蔬汁饮品 1L</t>
  </si>
  <si>
    <t>优斯麦尔西梅复合果汁饮品 1L</t>
  </si>
  <si>
    <t>优斯麦尔香梨复合果汁饮品 1L</t>
  </si>
  <si>
    <t>优斯麦尔番茄复合果蔬汁饮品 0.3L</t>
  </si>
  <si>
    <t>优斯麦尔胡萝卜汁复合果蔬汁饮品 0.3L</t>
  </si>
  <si>
    <t>优斯麦尔葡萄复合果蔬汁饮品 0.3L</t>
  </si>
  <si>
    <t>优斯麦尔石榴复合果蔬汁饮品 0.3L</t>
  </si>
  <si>
    <t>优斯麦尔西梅复合果汁饮品 0.3L</t>
  </si>
  <si>
    <t>优斯麦尔香梨复合果汁饮品 0.3L</t>
  </si>
  <si>
    <t>2026年“新疆文旅一卡通”销售站点明细</t>
  </si>
  <si>
    <t>分公司</t>
  </si>
  <si>
    <t>地市</t>
  </si>
  <si>
    <t>站点名称</t>
  </si>
  <si>
    <t>HOS编码</t>
  </si>
  <si>
    <t>3.0网点编码</t>
  </si>
  <si>
    <t>员工姓名</t>
  </si>
  <si>
    <t>联系电话</t>
  </si>
  <si>
    <t>所在市</t>
  </si>
  <si>
    <t>区/县</t>
  </si>
  <si>
    <t>站点详细地址</t>
  </si>
  <si>
    <t>经度</t>
  </si>
  <si>
    <t>纬度</t>
  </si>
  <si>
    <t>伊犁45</t>
  </si>
  <si>
    <t>伊犁</t>
  </si>
  <si>
    <t>西环路加油站</t>
  </si>
  <si>
    <t>LH01</t>
  </si>
  <si>
    <t>1-A6501-C007-S001</t>
  </si>
  <si>
    <t>杨阳</t>
  </si>
  <si>
    <t>伊宁市</t>
  </si>
  <si>
    <t>解放西路243号</t>
  </si>
  <si>
    <t>伊宁市解放西路核心站</t>
  </si>
  <si>
    <t>解放北路加油站</t>
  </si>
  <si>
    <t>LH0F</t>
  </si>
  <si>
    <t>1-A6501-C007-S013</t>
  </si>
  <si>
    <t>冯丽萍</t>
  </si>
  <si>
    <t>解放路12巷21号</t>
  </si>
  <si>
    <t>伊犁市中心核心站</t>
  </si>
  <si>
    <t>胜利路加油站</t>
  </si>
  <si>
    <t>LH0A</t>
  </si>
  <si>
    <t>1-A6501-C007-S008</t>
  </si>
  <si>
    <t>高俊</t>
  </si>
  <si>
    <t>胜利街14巷路口以南</t>
  </si>
  <si>
    <t>伊宁市城区要道</t>
  </si>
  <si>
    <t>南环路加油站</t>
  </si>
  <si>
    <t>LH0J</t>
  </si>
  <si>
    <t>1-A6501-C007-S015</t>
  </si>
  <si>
    <t>宋同萍</t>
  </si>
  <si>
    <t>南环路州公安局斜对面</t>
  </si>
  <si>
    <t>伊宁南环路核心站</t>
  </si>
  <si>
    <t>二桥加油站</t>
  </si>
  <si>
    <t>LH0I</t>
  </si>
  <si>
    <t>1-A6501-C007-S014</t>
  </si>
  <si>
    <t>陈文生</t>
  </si>
  <si>
    <t>二桥路与伊兴大道交叉口</t>
  </si>
  <si>
    <t>城市南部要道</t>
  </si>
  <si>
    <t>英也尔加油站</t>
  </si>
  <si>
    <t>LH2E</t>
  </si>
  <si>
    <t>1-A6501-C007-S032</t>
  </si>
  <si>
    <t>王虎</t>
  </si>
  <si>
    <t>宁远路357号</t>
  </si>
  <si>
    <t>城西方向要道</t>
  </si>
  <si>
    <t>天河加油站</t>
  </si>
  <si>
    <t>LHAB</t>
  </si>
  <si>
    <t>1-A6501-C007-S072</t>
  </si>
  <si>
    <t>李智毅</t>
  </si>
  <si>
    <t>新源县</t>
  </si>
  <si>
    <t>那拉提镇</t>
  </si>
  <si>
    <t>独库公路那拉提段节点</t>
  </si>
  <si>
    <t>那拉提服务区北加油站</t>
  </si>
  <si>
    <t>LH4H</t>
  </si>
  <si>
    <t>1-A6501-C007-S106</t>
  </si>
  <si>
    <t>范伟</t>
  </si>
  <si>
    <t>新源县那拉提服务区北侧</t>
  </si>
  <si>
    <t>独库公路那拉提服务区</t>
  </si>
  <si>
    <t>那拉提服务区南加油站</t>
  </si>
  <si>
    <t>LH4G</t>
  </si>
  <si>
    <t>1-A6501-C007-S105</t>
  </si>
  <si>
    <t>汪佳梅</t>
  </si>
  <si>
    <t>新源县那拉提服务区南侧</t>
  </si>
  <si>
    <t>那拉提服务区南站</t>
  </si>
  <si>
    <t>卡普河加油站</t>
  </si>
  <si>
    <t>LHA0</t>
  </si>
  <si>
    <t>1-A6501-C007-S063</t>
  </si>
  <si>
    <t>杨晨</t>
  </si>
  <si>
    <t>新源县卡普河路</t>
  </si>
  <si>
    <t>那拉提周边城区站</t>
  </si>
  <si>
    <t>新河加油站</t>
  </si>
  <si>
    <t>LH2D</t>
  </si>
  <si>
    <t>1-A6501-C007-S031</t>
  </si>
  <si>
    <t>王立新</t>
  </si>
  <si>
    <t>新源县别斯托别乡</t>
  </si>
  <si>
    <t>那拉提周边乡镇节点</t>
  </si>
  <si>
    <t>阿热勒托别加油站</t>
  </si>
  <si>
    <t>LHA1</t>
  </si>
  <si>
    <t>1-A6501-C007-S064</t>
  </si>
  <si>
    <t>李玉强</t>
  </si>
  <si>
    <t>新源县阿热勒托别镇</t>
  </si>
  <si>
    <t>独库公路沿线节点</t>
  </si>
  <si>
    <t>则克台镇西加油站</t>
  </si>
  <si>
    <t>LHA4</t>
  </si>
  <si>
    <t>1-A6501-C007-S066</t>
  </si>
  <si>
    <t>李银花</t>
  </si>
  <si>
    <t>新源县则克台镇</t>
  </si>
  <si>
    <t>独库公路周边节点</t>
  </si>
  <si>
    <t>三岔口加油站</t>
  </si>
  <si>
    <t>LHE1</t>
  </si>
  <si>
    <t>1-A6501-C007-S084</t>
  </si>
  <si>
    <t>张明</t>
  </si>
  <si>
    <t>巩留县</t>
  </si>
  <si>
    <t>巩留县阿克图别克乡</t>
  </si>
  <si>
    <t>伊犁东线关键节点</t>
  </si>
  <si>
    <t>东郊加油站</t>
  </si>
  <si>
    <t>LHE3</t>
  </si>
  <si>
    <t>1-A6501-C007-S086</t>
  </si>
  <si>
    <t>金国伟</t>
  </si>
  <si>
    <t>巩留县牛场</t>
  </si>
  <si>
    <t>巩留核心站</t>
  </si>
  <si>
    <t>塔斯托别加油站</t>
  </si>
  <si>
    <t>LHE4</t>
  </si>
  <si>
    <t>1-A6501-C007-S087</t>
  </si>
  <si>
    <t>马索代</t>
  </si>
  <si>
    <t>巩留县塔斯托别乡</t>
  </si>
  <si>
    <t>巩留西线节点</t>
  </si>
  <si>
    <t>乔尔玛加油站</t>
  </si>
  <si>
    <t>LHC6</t>
  </si>
  <si>
    <t>1-A6501-C007-S100</t>
  </si>
  <si>
    <t>袁德鹏</t>
  </si>
  <si>
    <t>尼勒克县</t>
  </si>
  <si>
    <t>独库公路北段中间，217国道694公里处</t>
  </si>
  <si>
    <t>独库公路北段唯一补给站</t>
  </si>
  <si>
    <t>蜜蜂小镇加油站</t>
  </si>
  <si>
    <t>LHC8</t>
  </si>
  <si>
    <t>1-A6501-C007-S077</t>
  </si>
  <si>
    <t>潘建</t>
  </si>
  <si>
    <t>315省道89公里，唐布拉景区百里画廊入口处</t>
  </si>
  <si>
    <t>独库公路唐布拉景区入口</t>
  </si>
  <si>
    <t>喀拉苏服务区北加油加气站</t>
  </si>
  <si>
    <t>LH4P</t>
  </si>
  <si>
    <t>1-A6501-C007-S146</t>
  </si>
  <si>
    <t>高桐林</t>
  </si>
  <si>
    <t>G578线服务区K38+800米北侧</t>
  </si>
  <si>
    <t>G578高速服务区</t>
  </si>
  <si>
    <t>喀拉苏服务区南加油加气站</t>
  </si>
  <si>
    <t>LH4N</t>
  </si>
  <si>
    <t>1-A6501-C007-S145</t>
  </si>
  <si>
    <t>马学虎</t>
  </si>
  <si>
    <t>G578线服务区K38+800米南侧</t>
  </si>
  <si>
    <t>吉林台加油站</t>
  </si>
  <si>
    <t>LHCA</t>
  </si>
  <si>
    <t>1-A6501-C007-S079</t>
  </si>
  <si>
    <t>张文杰</t>
  </si>
  <si>
    <t>省315线143公里处</t>
  </si>
  <si>
    <t>百里画廊沿线节点</t>
  </si>
  <si>
    <t>杨新建</t>
  </si>
  <si>
    <t>S315省道89公里处南侧</t>
  </si>
  <si>
    <t>百里画廊入口核心站</t>
  </si>
  <si>
    <t>东环路加油站</t>
  </si>
  <si>
    <t>LHCB</t>
  </si>
  <si>
    <t>1-A6501-C007-S080</t>
  </si>
  <si>
    <t>李雪华</t>
  </si>
  <si>
    <t>尼勒克东环路208号</t>
  </si>
  <si>
    <t>尼勒克城区核心站</t>
  </si>
  <si>
    <t>大桥加油站</t>
  </si>
  <si>
    <t>LHC9</t>
  </si>
  <si>
    <t>1-A6501-C007-S078</t>
  </si>
  <si>
    <t>谢桂芳</t>
  </si>
  <si>
    <t>尼勒克县乌赞乡</t>
  </si>
  <si>
    <t>尼勒克县城入口</t>
  </si>
  <si>
    <t>水定加油站</t>
  </si>
  <si>
    <t>LH49</t>
  </si>
  <si>
    <t>1-A6501-C007-S040</t>
  </si>
  <si>
    <t>库尔班江·迪力夏提</t>
  </si>
  <si>
    <t>霍城县</t>
  </si>
  <si>
    <t>霍城县水定镇朝阳南路</t>
  </si>
  <si>
    <t>霍城核心站</t>
  </si>
  <si>
    <t>清水北京路加油站</t>
  </si>
  <si>
    <t>LH4C</t>
  </si>
  <si>
    <t>1-A6501-C007-S043</t>
  </si>
  <si>
    <t>陈智勇</t>
  </si>
  <si>
    <t>霍城县清水河镇北京路</t>
  </si>
  <si>
    <t>清水河镇核心，伊犁环线节点</t>
  </si>
  <si>
    <t>清水上海路加油站</t>
  </si>
  <si>
    <t>LH47</t>
  </si>
  <si>
    <t>1-A6501-C007-S039</t>
  </si>
  <si>
    <t>张婷</t>
  </si>
  <si>
    <t>霍城县清水河镇上海路</t>
  </si>
  <si>
    <t>清水河上海路节点</t>
  </si>
  <si>
    <t>霍尔果斯加油站</t>
  </si>
  <si>
    <t>LH44</t>
  </si>
  <si>
    <t>1-A6501-C007-S036</t>
  </si>
  <si>
    <t>艾力·奴尔买买提</t>
  </si>
  <si>
    <t>霍尔果斯口岸振兴路32号</t>
  </si>
  <si>
    <t>霍尔果斯口岸站</t>
  </si>
  <si>
    <t>果子沟高速公路北加油站</t>
  </si>
  <si>
    <t>LH4B</t>
  </si>
  <si>
    <t>1-A6501-C007-S042</t>
  </si>
  <si>
    <t>帕提曼·吾郎巴依</t>
  </si>
  <si>
    <t>果子沟高速公路服务区</t>
  </si>
  <si>
    <t>赛里木湖方向高速服务区</t>
  </si>
  <si>
    <t>果子沟高速公路南加油站</t>
  </si>
  <si>
    <t>LH4A</t>
  </si>
  <si>
    <t>1-A6501-C007-S041</t>
  </si>
  <si>
    <t>李旭东</t>
  </si>
  <si>
    <t>赛里木湖方向高速对站</t>
  </si>
  <si>
    <t>察布查尔察北加油站</t>
  </si>
  <si>
    <t>LH6A</t>
  </si>
  <si>
    <t>1-A6501-C007-S054</t>
  </si>
  <si>
    <t>王易超</t>
  </si>
  <si>
    <t>察布查尔县</t>
  </si>
  <si>
    <t>察布查尔县查鲁盖东街</t>
  </si>
  <si>
    <t>察布查尔核心站</t>
  </si>
  <si>
    <t>察布查尔察南加油站</t>
  </si>
  <si>
    <t>LH60</t>
  </si>
  <si>
    <t>1-A6501-C007-S044</t>
  </si>
  <si>
    <t>何锐</t>
  </si>
  <si>
    <t>察布查尔县布哈街35号</t>
  </si>
  <si>
    <t>察布查尔南部站</t>
  </si>
  <si>
    <t>察布查尔良繁场北加油站</t>
  </si>
  <si>
    <t>LH6D</t>
  </si>
  <si>
    <t>1-A6501-C007-S055</t>
  </si>
  <si>
    <t>张淑春</t>
  </si>
  <si>
    <t>察布查尔县良繁场农二连</t>
  </si>
  <si>
    <t>察布查尔S313线节点</t>
  </si>
  <si>
    <t>环城路加油站</t>
  </si>
  <si>
    <t>LHF6</t>
  </si>
  <si>
    <t>1-A6501-C007-S167</t>
  </si>
  <si>
    <t>陈杰</t>
  </si>
  <si>
    <t>昭苏县</t>
  </si>
  <si>
    <t>昭苏县环城路与伊昭公路交叉口</t>
  </si>
  <si>
    <t>伊昭公路起点/终点</t>
  </si>
  <si>
    <t>昭苏东加油站</t>
  </si>
  <si>
    <t>LHF0</t>
  </si>
  <si>
    <t>1-A6501-C007-S140</t>
  </si>
  <si>
    <t>史斌</t>
  </si>
  <si>
    <t>昭苏县乌孙路</t>
  </si>
  <si>
    <t>昭苏城区核心站</t>
  </si>
  <si>
    <t>种马场加油站</t>
  </si>
  <si>
    <t>LHF5</t>
  </si>
  <si>
    <t>王强</t>
  </si>
  <si>
    <t>昭苏县种马场</t>
  </si>
  <si>
    <t>昭苏草原旅游节点</t>
  </si>
  <si>
    <t>八卦城加油站</t>
  </si>
  <si>
    <t>LH81</t>
  </si>
  <si>
    <t>1-A6501-C007-S057</t>
  </si>
  <si>
    <t>肯·苏特</t>
  </si>
  <si>
    <t>特克斯县</t>
  </si>
  <si>
    <t>特克斯县阿扎提街四环外</t>
  </si>
  <si>
    <t>八卦城核心站</t>
  </si>
  <si>
    <t>四环加油站</t>
  </si>
  <si>
    <t>LH80</t>
  </si>
  <si>
    <t>1-A6501-C007-S056</t>
  </si>
  <si>
    <t>顾荣华</t>
  </si>
  <si>
    <t>特克斯县博斯坦街四环路口</t>
  </si>
  <si>
    <t>八卦城市中心站</t>
  </si>
  <si>
    <t>东加油加气站</t>
  </si>
  <si>
    <t>LH86</t>
  </si>
  <si>
    <t>1-A6501-C007-S061</t>
  </si>
  <si>
    <t>葛凌云</t>
  </si>
  <si>
    <t>G577线特克斯段东侧停车区</t>
  </si>
  <si>
    <t>G577高速服务区</t>
  </si>
  <si>
    <t>西加油加气站</t>
  </si>
  <si>
    <t>LH87</t>
  </si>
  <si>
    <t>1-A6501-C007-S062</t>
  </si>
  <si>
    <t>马振虎</t>
  </si>
  <si>
    <t>G577线特克斯段西侧停车区</t>
  </si>
  <si>
    <t>阔布大桥加油站</t>
  </si>
  <si>
    <t>LH82</t>
  </si>
  <si>
    <t>1-A6501-C007-S058</t>
  </si>
  <si>
    <t>梁勇</t>
  </si>
  <si>
    <t>特克斯县阿克奇街四环外</t>
  </si>
  <si>
    <t>特克斯城区节点</t>
  </si>
  <si>
    <t>马场大桥加油站</t>
  </si>
  <si>
    <t>LH83</t>
  </si>
  <si>
    <t>1-A6501-C007-S059</t>
  </si>
  <si>
    <t>张玉虎</t>
  </si>
  <si>
    <t>特克斯马场大桥</t>
  </si>
  <si>
    <t>特克斯马场节点</t>
  </si>
  <si>
    <t>喀拉托海加油站</t>
  </si>
  <si>
    <t>LH84</t>
  </si>
  <si>
    <t>1-A6501-C007-S060</t>
  </si>
  <si>
    <t>巴·孟得巴亚尔</t>
  </si>
  <si>
    <t>特克斯县喀拉托海乡</t>
  </si>
  <si>
    <t>喀拉托海节点</t>
  </si>
  <si>
    <t>吉里于孜加油站</t>
  </si>
  <si>
    <t>LH2A</t>
  </si>
  <si>
    <t>1-A6501-C007-S028</t>
  </si>
  <si>
    <t>周景亮</t>
  </si>
  <si>
    <t>伊宁县</t>
  </si>
  <si>
    <t>伊宁县吉里于孜大街4号</t>
  </si>
  <si>
    <t>伊宁县城核心站</t>
  </si>
  <si>
    <t>愉群翁高速公路北加油站</t>
  </si>
  <si>
    <t>LH2C</t>
  </si>
  <si>
    <t>1-A6501-C007-S030</t>
  </si>
  <si>
    <t>商亮</t>
  </si>
  <si>
    <t>愉群翁高速公路服务区</t>
  </si>
  <si>
    <t>G218高速服务区</t>
  </si>
  <si>
    <t>乌鲁木齐36</t>
  </si>
  <si>
    <t>乌鲁木齐</t>
  </si>
  <si>
    <t>红山路加油站</t>
  </si>
  <si>
    <t>LA0W</t>
  </si>
  <si>
    <t>1-A6501-C001-S018</t>
  </si>
  <si>
    <t>马云</t>
  </si>
  <si>
    <t>水磨沟区</t>
  </si>
  <si>
    <t>红山路177号</t>
  </si>
  <si>
    <t>连续26年万吨级站点，城市中心，周边酒店密集</t>
  </si>
  <si>
    <t>南湖路加油站</t>
  </si>
  <si>
    <t>LA0A</t>
  </si>
  <si>
    <t>1-A6501-C001-S003</t>
  </si>
  <si>
    <t>彭丽丽</t>
  </si>
  <si>
    <t>南湖南路75号</t>
  </si>
  <si>
    <t>城市中心，周边酒店商圈密集，自驾游客首选</t>
  </si>
  <si>
    <t>长行加油站</t>
  </si>
  <si>
    <t>LA0Y</t>
  </si>
  <si>
    <t>1-A6501-C001-S020</t>
  </si>
  <si>
    <t>李刚</t>
  </si>
  <si>
    <t>昆仑路106号</t>
  </si>
  <si>
    <t>昆仑路节点站</t>
  </si>
  <si>
    <t>温泉路加油站</t>
  </si>
  <si>
    <t>LA0X</t>
  </si>
  <si>
    <t>1-A6501-C001-S019</t>
  </si>
  <si>
    <t>戴伟</t>
  </si>
  <si>
    <t>温泉东路280号</t>
  </si>
  <si>
    <t>水磨沟区要道</t>
  </si>
  <si>
    <t>七道湾加油站</t>
  </si>
  <si>
    <t>LA10</t>
  </si>
  <si>
    <t>1-A6501-C001-S021</t>
  </si>
  <si>
    <t>潘天诚</t>
  </si>
  <si>
    <t>七道湾南路1361号</t>
  </si>
  <si>
    <t>水磨沟区核心站</t>
  </si>
  <si>
    <t>过境公路加油站</t>
  </si>
  <si>
    <t>LA08</t>
  </si>
  <si>
    <t>1-A6501-C001-S002</t>
  </si>
  <si>
    <t>杨军</t>
  </si>
  <si>
    <t>沙依巴克区</t>
  </si>
  <si>
    <t>西外环</t>
  </si>
  <si>
    <t>西外环干线，过境车辆必经站</t>
  </si>
  <si>
    <t>黄河路加油站</t>
  </si>
  <si>
    <t>LA0N</t>
  </si>
  <si>
    <t>1-A6501-C001-S011</t>
  </si>
  <si>
    <t>秦旭东</t>
  </si>
  <si>
    <t>黄河路37号</t>
  </si>
  <si>
    <t>城市中心核心站，周边酒店密集</t>
  </si>
  <si>
    <t>宝山路加油站</t>
  </si>
  <si>
    <t>LA07</t>
  </si>
  <si>
    <t>1-A6501-C001-S001</t>
  </si>
  <si>
    <t>石巍</t>
  </si>
  <si>
    <t>宝山路417号</t>
  </si>
  <si>
    <t>核心区域，交通要道</t>
  </si>
  <si>
    <t>明园加油站</t>
  </si>
  <si>
    <t>LA15</t>
  </si>
  <si>
    <t>1-A6501-C001-S024</t>
  </si>
  <si>
    <t>郜宏霞</t>
  </si>
  <si>
    <t>友好北路西巷123号</t>
  </si>
  <si>
    <t>商业中心核心站</t>
  </si>
  <si>
    <t>青峰路加油站</t>
  </si>
  <si>
    <t>LA0S</t>
  </si>
  <si>
    <t>1-A6501-C001-S014</t>
  </si>
  <si>
    <t>谢林君</t>
  </si>
  <si>
    <t>青峰路485号</t>
  </si>
  <si>
    <t>城南区域站</t>
  </si>
  <si>
    <t>和平桥加油站</t>
  </si>
  <si>
    <t>LA0Q</t>
  </si>
  <si>
    <t>1-A6501-C001-S012</t>
  </si>
  <si>
    <t>买买提艾力·阿布来提</t>
  </si>
  <si>
    <t>仓房沟北路188号</t>
  </si>
  <si>
    <t>仓房沟路要道</t>
  </si>
  <si>
    <t>昌鑫加油站</t>
  </si>
  <si>
    <t>LA0T</t>
  </si>
  <si>
    <t>1-A6501-C001-S015</t>
  </si>
  <si>
    <t>邓伟</t>
  </si>
  <si>
    <t>西虹西路946号</t>
  </si>
  <si>
    <t>西虹西路核心站</t>
  </si>
  <si>
    <t>振兴加油站</t>
  </si>
  <si>
    <t>LA0V</t>
  </si>
  <si>
    <t>1-A6501-C001-S017</t>
  </si>
  <si>
    <t>赵兵</t>
  </si>
  <si>
    <t>西山西街281号</t>
  </si>
  <si>
    <t>西山区域站</t>
  </si>
  <si>
    <t>振华加油站</t>
  </si>
  <si>
    <t>LA0U</t>
  </si>
  <si>
    <t>1-A6501-C001-S016</t>
  </si>
  <si>
    <t>蒋雯</t>
  </si>
  <si>
    <t>西山街821号</t>
  </si>
  <si>
    <t>西山区域要道</t>
  </si>
  <si>
    <t>苜蓿沟路加油站</t>
  </si>
  <si>
    <t>LV05</t>
  </si>
  <si>
    <t>1-A6501-C020-S017</t>
  </si>
  <si>
    <t>魏峰</t>
  </si>
  <si>
    <t>苜蓿沟南路168号</t>
  </si>
  <si>
    <t>南郊旅游通道站</t>
  </si>
  <si>
    <t>大浦沟加油加气站</t>
  </si>
  <si>
    <t>LV0D</t>
  </si>
  <si>
    <t>1-A6501-C020-S018</t>
  </si>
  <si>
    <t>薛瑞玺</t>
  </si>
  <si>
    <t>十二师104团大浦沟</t>
  </si>
  <si>
    <t>综合补给站</t>
  </si>
  <si>
    <t>苏州路加油站</t>
  </si>
  <si>
    <t>LA1C</t>
  </si>
  <si>
    <t>1-A6501-C001-S030</t>
  </si>
  <si>
    <t>王锋</t>
  </si>
  <si>
    <t>新市区</t>
  </si>
  <si>
    <t>苏州西街35号</t>
  </si>
  <si>
    <t>高新区核心，商务区自驾游客多</t>
  </si>
  <si>
    <t>喀什东路加油站</t>
  </si>
  <si>
    <t>LA17</t>
  </si>
  <si>
    <t>1-A6501-C001-S026</t>
  </si>
  <si>
    <t>王艳</t>
  </si>
  <si>
    <t>喀什东路629号</t>
  </si>
  <si>
    <t>城北主干道，自驾游客服务好</t>
  </si>
  <si>
    <t>迎宾西路加油站</t>
  </si>
  <si>
    <t>LA0E</t>
  </si>
  <si>
    <t>1-A6501-C001-S005</t>
  </si>
  <si>
    <t>强文</t>
  </si>
  <si>
    <t>迎宾路351号</t>
  </si>
  <si>
    <t>机场方向核心站，自驾游客多</t>
  </si>
  <si>
    <t>长春路加油站</t>
  </si>
  <si>
    <t>LA19</t>
  </si>
  <si>
    <t>1-A6501-C001-S099</t>
  </si>
  <si>
    <t>和晓乐</t>
  </si>
  <si>
    <t>长春路南路767号</t>
  </si>
  <si>
    <t>高新区核心，周边酒店林立</t>
  </si>
  <si>
    <t>城北加油站</t>
  </si>
  <si>
    <t>LA35</t>
  </si>
  <si>
    <t>1-A6501-C001-S078</t>
  </si>
  <si>
    <t>赵君宜</t>
  </si>
  <si>
    <t>城北主干道宁波街北十五巷50号</t>
  </si>
  <si>
    <t>城北交通枢纽</t>
  </si>
  <si>
    <t>致富路加油站</t>
  </si>
  <si>
    <t>LA3D</t>
  </si>
  <si>
    <t>1-A6501-C001-S083</t>
  </si>
  <si>
    <t>耿伟健</t>
  </si>
  <si>
    <t>平阳四巷7号</t>
  </si>
  <si>
    <t>城北要道站</t>
  </si>
  <si>
    <t>西站加油站</t>
  </si>
  <si>
    <t>LA38</t>
  </si>
  <si>
    <t>1-A6501-C001-S081</t>
  </si>
  <si>
    <t>张更芸</t>
  </si>
  <si>
    <t>经济技术开发区</t>
  </si>
  <si>
    <t>赛里木湖650号</t>
  </si>
  <si>
    <t>经开区核心，过境车辆多</t>
  </si>
  <si>
    <t>八一路加油站</t>
  </si>
  <si>
    <t>LA1H</t>
  </si>
  <si>
    <t>1-A6501-C001-S035</t>
  </si>
  <si>
    <t>苏北努尔·帕哈提</t>
  </si>
  <si>
    <t>头屯河区</t>
  </si>
  <si>
    <t>头屯河公路908号</t>
  </si>
  <si>
    <t>头屯河核心站</t>
  </si>
  <si>
    <t>祥云加油加气站</t>
  </si>
  <si>
    <t>LA2M</t>
  </si>
  <si>
    <t>1-A6501-C001-S069</t>
  </si>
  <si>
    <t>金伟杰</t>
  </si>
  <si>
    <t>头屯河公路北侧</t>
  </si>
  <si>
    <t>大型综合补给站，规模大</t>
  </si>
  <si>
    <t>八钢东路加油加气站</t>
  </si>
  <si>
    <t>LA3M</t>
  </si>
  <si>
    <t>1-A6501-C001-S087</t>
  </si>
  <si>
    <t>刘晓东</t>
  </si>
  <si>
    <t>头屯河公路5809号</t>
  </si>
  <si>
    <t>城北大型综合站</t>
  </si>
  <si>
    <t>宏和加油加气站</t>
  </si>
  <si>
    <t>LA2L</t>
  </si>
  <si>
    <t>1-A6501-C001-S068</t>
  </si>
  <si>
    <t>赛买提·艾合买提江</t>
  </si>
  <si>
    <t>祥云西街436号</t>
  </si>
  <si>
    <t>综合补给站，规模大</t>
  </si>
  <si>
    <t>永德信加油站</t>
  </si>
  <si>
    <t>LA21</t>
  </si>
  <si>
    <t>1-A6501-C001-S101</t>
  </si>
  <si>
    <t>邓军</t>
  </si>
  <si>
    <t>乌昌路1888号</t>
  </si>
  <si>
    <t>乌昌核心站</t>
  </si>
  <si>
    <t>隆达加油站</t>
  </si>
  <si>
    <t>LA1M</t>
  </si>
  <si>
    <t>1-A6501-C001-S039</t>
  </si>
  <si>
    <t>刘家豪</t>
  </si>
  <si>
    <t>北站西路1175号</t>
  </si>
  <si>
    <t>北站要道站</t>
  </si>
  <si>
    <t>康庄西路加油加气站</t>
  </si>
  <si>
    <t>LV09</t>
  </si>
  <si>
    <t>1-A6501-C020-S004</t>
  </si>
  <si>
    <t>杨麟</t>
  </si>
  <si>
    <t>米东区</t>
  </si>
  <si>
    <t>康庄西路1961号</t>
  </si>
  <si>
    <t>米东区大型综合站</t>
  </si>
  <si>
    <t>米东大道加油站</t>
  </si>
  <si>
    <t>LA24</t>
  </si>
  <si>
    <t>1-A6501-C001-S054</t>
  </si>
  <si>
    <t>徐芮</t>
  </si>
  <si>
    <t>东山街465号</t>
  </si>
  <si>
    <t>米东区主干道站</t>
  </si>
  <si>
    <t>赛马场加油站</t>
  </si>
  <si>
    <t>LA0I</t>
  </si>
  <si>
    <t>1-A6501-C001-S007</t>
  </si>
  <si>
    <t>迪亚尔·艾合买提</t>
  </si>
  <si>
    <t>天山区</t>
  </si>
  <si>
    <t>大湾南路835号</t>
  </si>
  <si>
    <t>城南区域枢纽</t>
  </si>
  <si>
    <t>市政加油站</t>
  </si>
  <si>
    <t>LA0K</t>
  </si>
  <si>
    <t>1-A6501-C001-S009</t>
  </si>
  <si>
    <t>克热满·吐尔逊</t>
  </si>
  <si>
    <t>河滩南路956号</t>
  </si>
  <si>
    <t>河滩快速路节点，出入城必经</t>
  </si>
  <si>
    <t>青年路加油站</t>
  </si>
  <si>
    <t>LA0H</t>
  </si>
  <si>
    <t>1-A6501-C001-S006</t>
  </si>
  <si>
    <t>苏炜</t>
  </si>
  <si>
    <t>青年路416号</t>
  </si>
  <si>
    <t>天山区城市中心站</t>
  </si>
  <si>
    <t>南郊东加油站</t>
  </si>
  <si>
    <t>LA03</t>
  </si>
  <si>
    <t>1-A6501-C001-S093</t>
  </si>
  <si>
    <t>阿丽亚·吾马尔</t>
  </si>
  <si>
    <t>河滩南路1376号</t>
  </si>
  <si>
    <t>河滩快速路节点</t>
  </si>
  <si>
    <t>南郊西加油站</t>
  </si>
  <si>
    <t>LA04</t>
  </si>
  <si>
    <t>1-A6501-C001-S094</t>
  </si>
  <si>
    <t>赵志胜</t>
  </si>
  <si>
    <t>燕尔窝路27号</t>
  </si>
  <si>
    <t>燕尔窝路要道</t>
  </si>
  <si>
    <t>阿克苏32</t>
  </si>
  <si>
    <t>阿克苏</t>
  </si>
  <si>
    <t>库车东城站</t>
  </si>
  <si>
    <t>LI27</t>
  </si>
  <si>
    <t>1-A6501-C008-S037</t>
  </si>
  <si>
    <t>李长信</t>
  </si>
  <si>
    <t>阿克苏地区</t>
  </si>
  <si>
    <t>库车市</t>
  </si>
  <si>
    <t>东城街道长江路社区东城加油站</t>
  </si>
  <si>
    <t>万吨级核心站，独库公路终点/天山大峡谷方向</t>
  </si>
  <si>
    <t>库车人民路站</t>
  </si>
  <si>
    <t>LI29</t>
  </si>
  <si>
    <t>1-A6501-C008-S038</t>
  </si>
  <si>
    <t>阿布力提甫·艾克木</t>
  </si>
  <si>
    <t>老城萨克萨克街道办事处人民路24号</t>
  </si>
  <si>
    <t>库车老城核心站</t>
  </si>
  <si>
    <t>库车文化路站</t>
  </si>
  <si>
    <t>LI2A</t>
  </si>
  <si>
    <t>1-A6501-C008-S039</t>
  </si>
  <si>
    <t>阿依西古丽·亚森</t>
  </si>
  <si>
    <t>萨克萨克街道建设路社区文化路南侧</t>
  </si>
  <si>
    <t>库车城区核心站</t>
  </si>
  <si>
    <t>天山站</t>
  </si>
  <si>
    <t>LI25</t>
  </si>
  <si>
    <t>1-A6501-C008-S035</t>
  </si>
  <si>
    <t>阿布迪热合曼·肉孜</t>
  </si>
  <si>
    <t>伊西哈拉镇红旗社区</t>
  </si>
  <si>
    <t>独库公路南段入口方向</t>
  </si>
  <si>
    <t>东升站</t>
  </si>
  <si>
    <t>LI6C</t>
  </si>
  <si>
    <t>1-A6501-C008-S067</t>
  </si>
  <si>
    <t>张国宇</t>
  </si>
  <si>
    <t>阿格乡阿格村天缘煤焦化厂对面</t>
  </si>
  <si>
    <t>独库公路南段重要补给站</t>
  </si>
  <si>
    <t>天山东路站</t>
  </si>
  <si>
    <t>LI2N</t>
  </si>
  <si>
    <t>1-A6501-C008-S202</t>
  </si>
  <si>
    <t>古力怕斯旦·尼扎木</t>
  </si>
  <si>
    <t>天山东路五眼泉片区管委会园艺场社区</t>
  </si>
  <si>
    <t>库车天山东路要道</t>
  </si>
  <si>
    <t>塔里木站</t>
  </si>
  <si>
    <t>LI26</t>
  </si>
  <si>
    <t>1-A6501-C008-S036</t>
  </si>
  <si>
    <t>黎元华</t>
  </si>
  <si>
    <t>东城街道长江路社区天山东路6号</t>
  </si>
  <si>
    <t>库车东线核心站</t>
  </si>
  <si>
    <t>康村站</t>
  </si>
  <si>
    <t>LI2M</t>
  </si>
  <si>
    <t>1-A6501-C008-S135</t>
  </si>
  <si>
    <t>于散江·买买提</t>
  </si>
  <si>
    <t>阿格乡康村国道217线1047公里西侧</t>
  </si>
  <si>
    <t>喇叭口站</t>
  </si>
  <si>
    <t>LI2B</t>
  </si>
  <si>
    <t>1-A6501-C008-S040</t>
  </si>
  <si>
    <t>刘晓宝</t>
  </si>
  <si>
    <t>314国道747公里处</t>
  </si>
  <si>
    <t>G217/G314交汇节点</t>
  </si>
  <si>
    <t>牙哈站</t>
  </si>
  <si>
    <t>LI67</t>
  </si>
  <si>
    <t>1-A6501-C008-S062</t>
  </si>
  <si>
    <t>艾尼瓦尔·尼亚孜</t>
  </si>
  <si>
    <t>牙哈镇团结村</t>
  </si>
  <si>
    <t>库车G314国道节点</t>
  </si>
  <si>
    <t>哈尼喀塔木站</t>
  </si>
  <si>
    <t>LI6E</t>
  </si>
  <si>
    <t>1-A6501-C008-S069</t>
  </si>
  <si>
    <t>居尔艾提·买米提明</t>
  </si>
  <si>
    <t>哈尼喀塔木乡英吐尔村1组165号</t>
  </si>
  <si>
    <t>库车乡镇节点</t>
  </si>
  <si>
    <t>齐满站</t>
  </si>
  <si>
    <t>LI6D</t>
  </si>
  <si>
    <t>1-A6501-C008-S068</t>
  </si>
  <si>
    <t>阿布都日扎克·亚森</t>
  </si>
  <si>
    <t>齐满镇白杨社区二组104号</t>
  </si>
  <si>
    <t>库车乡镇核心站</t>
  </si>
  <si>
    <t>阳光站</t>
  </si>
  <si>
    <t>LI21</t>
  </si>
  <si>
    <t>1-A6501-C008-S032</t>
  </si>
  <si>
    <t>马学武</t>
  </si>
  <si>
    <t>牙哈镇恰其库木村牙哈收费站以西200米处</t>
  </si>
  <si>
    <t>G3012高速服务区站</t>
  </si>
  <si>
    <t>北郊站</t>
  </si>
  <si>
    <t>LI23</t>
  </si>
  <si>
    <t>1-A6501-C008-S033</t>
  </si>
  <si>
    <t>吐松·斯马依</t>
  </si>
  <si>
    <t>伊西哈拉镇红旗社区新国道314与国道217线交汇处</t>
  </si>
  <si>
    <t>库车北郊交通枢纽</t>
  </si>
  <si>
    <t>绿洲加油站</t>
  </si>
  <si>
    <t>LI05</t>
  </si>
  <si>
    <t>1-A6501-C008-S004</t>
  </si>
  <si>
    <t>阿不拉·阿不都热依木</t>
  </si>
  <si>
    <t>阿克苏市</t>
  </si>
  <si>
    <t>阿克苏市上海路72号</t>
  </si>
  <si>
    <t>阿克苏市中心站</t>
  </si>
  <si>
    <t>解放中路加油站</t>
  </si>
  <si>
    <t>LI06</t>
  </si>
  <si>
    <t>1-A6501-C008-S005</t>
  </si>
  <si>
    <t>牛廷旭</t>
  </si>
  <si>
    <t>阿克苏市乌喀中路57-1号</t>
  </si>
  <si>
    <t>阿克苏城市核心站</t>
  </si>
  <si>
    <t>南城加油站</t>
  </si>
  <si>
    <t>LI01</t>
  </si>
  <si>
    <t>1-A6501-C008-S001</t>
  </si>
  <si>
    <t>刘春花</t>
  </si>
  <si>
    <t>新疆阿克苏市塔南路7号</t>
  </si>
  <si>
    <t>阿克苏南部入口站</t>
  </si>
  <si>
    <t>LI04</t>
  </si>
  <si>
    <t>1-A6501-C008-S003</t>
  </si>
  <si>
    <t>阿米娜·艾尼玩</t>
  </si>
  <si>
    <t>乌喀中路上海东路72号</t>
  </si>
  <si>
    <t>阿克苏城区要道</t>
  </si>
  <si>
    <t>红旗坡加油站</t>
  </si>
  <si>
    <t>LI02</t>
  </si>
  <si>
    <t>1-A6501-C008-S002</t>
  </si>
  <si>
    <t>胡永斌</t>
  </si>
  <si>
    <t>红旗坡农场314国道984公里处</t>
  </si>
  <si>
    <t>G314入阿克苏方向</t>
  </si>
  <si>
    <t>阿温公路加油站</t>
  </si>
  <si>
    <t>LI0F</t>
  </si>
  <si>
    <t>1-A6501-C008-S013</t>
  </si>
  <si>
    <t>朱辉军</t>
  </si>
  <si>
    <t>红桥区阿温公路5号</t>
  </si>
  <si>
    <t>东八路加油站</t>
  </si>
  <si>
    <t>LI0X</t>
  </si>
  <si>
    <t>1-A6501-C008-S027</t>
  </si>
  <si>
    <t>石信慧</t>
  </si>
  <si>
    <t>阿克苏市顺达路2号</t>
  </si>
  <si>
    <t>阿克苏东线站</t>
  </si>
  <si>
    <t>交通路加油站</t>
  </si>
  <si>
    <t>LI0W</t>
  </si>
  <si>
    <t>1-A6501-C008-S026</t>
  </si>
  <si>
    <t>李志坚</t>
  </si>
  <si>
    <t>阿克苏市交通西路北侧</t>
  </si>
  <si>
    <t>阿克苏城区交通要道</t>
  </si>
  <si>
    <t>英阿瓦提东路站</t>
  </si>
  <si>
    <t>LI0E</t>
  </si>
  <si>
    <t>1-A6501-C008-S012</t>
  </si>
  <si>
    <t>李利蓉</t>
  </si>
  <si>
    <t>阿克苏市栏杆区英阿瓦提东路51号</t>
  </si>
  <si>
    <t>阿克苏城北站</t>
  </si>
  <si>
    <t>文化路加油站</t>
  </si>
  <si>
    <t>LI08</t>
  </si>
  <si>
    <t>1-A6501-C008-S007</t>
  </si>
  <si>
    <t>于志成</t>
  </si>
  <si>
    <t>新城区文化路13号</t>
  </si>
  <si>
    <t>阿克苏城区核心</t>
  </si>
  <si>
    <t>解放南路加油站</t>
  </si>
  <si>
    <t>LI07</t>
  </si>
  <si>
    <t>1-A6501-C008-S006</t>
  </si>
  <si>
    <t>阿依乔丽盘·艾山</t>
  </si>
  <si>
    <t>阿克苏市实验林场六队</t>
  </si>
  <si>
    <t>阿克苏南部站</t>
  </si>
  <si>
    <t>库勒东服务区加油站</t>
  </si>
  <si>
    <t>LI0L</t>
  </si>
  <si>
    <t>1-A6501-C008-S018</t>
  </si>
  <si>
    <t>屈宝昆</t>
  </si>
  <si>
    <t>高速公路库勒服务区上行线</t>
  </si>
  <si>
    <t>高速服务区站</t>
  </si>
  <si>
    <t>库勒西加油站</t>
  </si>
  <si>
    <t>LI0M</t>
  </si>
  <si>
    <t>1-A6501-C008-S019</t>
  </si>
  <si>
    <t>唐太玉</t>
  </si>
  <si>
    <t>高速公路库勒服务区下行线</t>
  </si>
  <si>
    <t>高速服务区对站</t>
  </si>
  <si>
    <t>西大桥站</t>
  </si>
  <si>
    <t>LI0H</t>
  </si>
  <si>
    <t>1-A6501-C008-S015</t>
  </si>
  <si>
    <t>周喜</t>
  </si>
  <si>
    <t>314国道1006公里处</t>
  </si>
  <si>
    <t>G314阿克苏段干线站</t>
  </si>
  <si>
    <t>西郊加油站</t>
  </si>
  <si>
    <t>LI0I</t>
  </si>
  <si>
    <t>1-A6501-C008-S016</t>
  </si>
  <si>
    <t>古力加娜提·吐尔逊</t>
  </si>
  <si>
    <t>阿克苏市红桥路老飞机场处26号</t>
  </si>
  <si>
    <t>西湖加油站</t>
  </si>
  <si>
    <t>LI11</t>
  </si>
  <si>
    <t>1-A6501-C008-S030</t>
  </si>
  <si>
    <t>王强业</t>
  </si>
  <si>
    <t>经济技术开发区西园社区乌什路51号</t>
  </si>
  <si>
    <t>经济技术开发区核心</t>
  </si>
  <si>
    <t>西虹加油站</t>
  </si>
  <si>
    <t>LI0T</t>
  </si>
  <si>
    <t>1-A6501-C008-S023</t>
  </si>
  <si>
    <t>何晓勇</t>
  </si>
  <si>
    <t>经济技术开发区建设路东侧</t>
  </si>
  <si>
    <t>经开区站</t>
  </si>
  <si>
    <t>阿拉尔</t>
  </si>
  <si>
    <t>阿拉尔迎宾加油站</t>
  </si>
  <si>
    <t>LI0B</t>
  </si>
  <si>
    <t>1-A6501-C008-S010</t>
  </si>
  <si>
    <t>陈辉新</t>
  </si>
  <si>
    <t>阿拉尔市</t>
  </si>
  <si>
    <t>阿拉尔环城北路南1102号</t>
  </si>
  <si>
    <t>全资型五星级加油站，万吨级标杆站</t>
  </si>
  <si>
    <t>昌吉30</t>
  </si>
  <si>
    <t>昌吉</t>
  </si>
  <si>
    <t>长宁加油站</t>
  </si>
  <si>
    <t>LC0J</t>
  </si>
  <si>
    <t>1-A6501-C002-S017</t>
  </si>
  <si>
    <t>裴友金</t>
  </si>
  <si>
    <t>昌吉市</t>
  </si>
  <si>
    <t>乌伊西路20号</t>
  </si>
  <si>
    <t>昌吉核心城区站</t>
  </si>
  <si>
    <t>北京南路加油站</t>
  </si>
  <si>
    <t>LC0D</t>
  </si>
  <si>
    <t>1-A6501-C002-S012</t>
  </si>
  <si>
    <t>李旭</t>
  </si>
  <si>
    <t>昌吉市北京南路11号</t>
  </si>
  <si>
    <t>昌吉城市中心</t>
  </si>
  <si>
    <t>延安南路加油站</t>
  </si>
  <si>
    <t>LC0A</t>
  </si>
  <si>
    <t>1-A6501-C002-S010</t>
  </si>
  <si>
    <t>付小龙</t>
  </si>
  <si>
    <t>昌吉市延安南路52号</t>
  </si>
  <si>
    <t>城市主干道核心站</t>
  </si>
  <si>
    <t>屯河北路加油站</t>
  </si>
  <si>
    <t>LC09</t>
  </si>
  <si>
    <t>1-A6501-C002-S009</t>
  </si>
  <si>
    <t>赵琦</t>
  </si>
  <si>
    <t>昌吉市屯河北路33号</t>
  </si>
  <si>
    <t>城北核心站</t>
  </si>
  <si>
    <t>西城加油加气站</t>
  </si>
  <si>
    <t>LC12</t>
  </si>
  <si>
    <t>1-A6501-C002-S164</t>
  </si>
  <si>
    <t>杨雪薇</t>
  </si>
  <si>
    <t>昌吉市三工镇常胜村九队</t>
  </si>
  <si>
    <t>昌吉城西大型站</t>
  </si>
  <si>
    <t>北过境服务区加油加气站</t>
  </si>
  <si>
    <t>LC0T</t>
  </si>
  <si>
    <t>1-A6501-C002-S156</t>
  </si>
  <si>
    <t>王磊</t>
  </si>
  <si>
    <t>北绕城公路与昌滨路交汇处</t>
  </si>
  <si>
    <t>北过境服务区站</t>
  </si>
  <si>
    <t>二六工加油加气站</t>
  </si>
  <si>
    <t>LC0Z</t>
  </si>
  <si>
    <t>1-A6501-C002-S162</t>
  </si>
  <si>
    <t>高建华</t>
  </si>
  <si>
    <t>二六工镇北绕城公路西侧</t>
  </si>
  <si>
    <t>绕城公路节点</t>
  </si>
  <si>
    <t>南城加油加气站</t>
  </si>
  <si>
    <t>LC11</t>
  </si>
  <si>
    <t>1-A6501-C002-S163</t>
  </si>
  <si>
    <t>陈晨</t>
  </si>
  <si>
    <t>昌吉市三工镇长丰村六片区</t>
  </si>
  <si>
    <t>大型综合补给站</t>
  </si>
  <si>
    <t>城西大型综合站</t>
  </si>
  <si>
    <t>阜康城北加油加气站</t>
  </si>
  <si>
    <t>LC4L</t>
  </si>
  <si>
    <t>1-A6501-C002-S188</t>
  </si>
  <si>
    <t>田静</t>
  </si>
  <si>
    <t>阜康市</t>
  </si>
  <si>
    <t>阜康市宁朔路61号</t>
  </si>
  <si>
    <t>阜康城区大型站，天池旅游节点</t>
  </si>
  <si>
    <t>阜康市加油站</t>
  </si>
  <si>
    <t>LC43</t>
  </si>
  <si>
    <t>1-A6501-C002-S039</t>
  </si>
  <si>
    <t>于疆兰</t>
  </si>
  <si>
    <t>阜康市准噶尔路461号</t>
  </si>
  <si>
    <t>阜康城区核心站</t>
  </si>
  <si>
    <t>南外环加油站</t>
  </si>
  <si>
    <t>LC6G</t>
  </si>
  <si>
    <t>1-A6501-C002-S056</t>
  </si>
  <si>
    <t>候涛</t>
  </si>
  <si>
    <t>吉木萨尔县</t>
  </si>
  <si>
    <t>G335国道北侧</t>
  </si>
  <si>
    <t>89.13.33</t>
  </si>
  <si>
    <t>43.58.44</t>
  </si>
  <si>
    <t>G335国道节点</t>
  </si>
  <si>
    <t>G7吉木萨尔服务区北区站</t>
  </si>
  <si>
    <t>LC6B</t>
  </si>
  <si>
    <t>1-A6501-C002-S053</t>
  </si>
  <si>
    <t>张建丽</t>
  </si>
  <si>
    <t>大奇高速吉木萨尔服务区北区</t>
  </si>
  <si>
    <t>G7高速服务区，自驾要道</t>
  </si>
  <si>
    <t>G7吉木萨尔服务区南区站</t>
  </si>
  <si>
    <t>LC6C</t>
  </si>
  <si>
    <t>1-A6501-C002-S054</t>
  </si>
  <si>
    <t>郭文理</t>
  </si>
  <si>
    <t>大奇高速吉木萨尔服务区南区</t>
  </si>
  <si>
    <t>G7高速服务区南侧</t>
  </si>
  <si>
    <t>吉木萨尔神州加油站</t>
  </si>
  <si>
    <t>LC6D</t>
  </si>
  <si>
    <t>1-A6501-C002-S055</t>
  </si>
  <si>
    <t>王英惠</t>
  </si>
  <si>
    <t>吉木萨尔县南环</t>
  </si>
  <si>
    <t>吉木萨尔城区核心站</t>
  </si>
  <si>
    <t>吉木萨尔县城加油站</t>
  </si>
  <si>
    <t>LC62</t>
  </si>
  <si>
    <t>1-A6501-C002-S046</t>
  </si>
  <si>
    <t>李娥</t>
  </si>
  <si>
    <t>吉木萨尔县县城4公里处</t>
  </si>
  <si>
    <t>89.8.45</t>
  </si>
  <si>
    <t>43.581.58</t>
  </si>
  <si>
    <t>县城入口站</t>
  </si>
  <si>
    <t>吉木萨尔头工加油站</t>
  </si>
  <si>
    <t>LC66</t>
  </si>
  <si>
    <t>1-A6501-C002-S049</t>
  </si>
  <si>
    <t>李晓毅</t>
  </si>
  <si>
    <t>二工镇头工街东村</t>
  </si>
  <si>
    <t>吉木萨尔区域站</t>
  </si>
  <si>
    <t>三台加油站</t>
  </si>
  <si>
    <t>LC61</t>
  </si>
  <si>
    <t>1-A6501-C002-S045</t>
  </si>
  <si>
    <t>候建新</t>
  </si>
  <si>
    <t>吉木萨尔县三台镇南街</t>
  </si>
  <si>
    <t>88.53.14</t>
  </si>
  <si>
    <t>44.4.52</t>
  </si>
  <si>
    <t>三台镇节点</t>
  </si>
  <si>
    <t>呼图壁大丰加油站</t>
  </si>
  <si>
    <t>LC26</t>
  </si>
  <si>
    <t>1-A6501-C002-S031</t>
  </si>
  <si>
    <t>刘达新</t>
  </si>
  <si>
    <t>呼图壁</t>
  </si>
  <si>
    <t>大丰镇4产区39院</t>
  </si>
  <si>
    <t>大丰镇节点</t>
  </si>
  <si>
    <t>呼图壁建设路加油站</t>
  </si>
  <si>
    <t>LC21</t>
  </si>
  <si>
    <t>1-A6501-C002-S026</t>
  </si>
  <si>
    <t>马雪婷</t>
  </si>
  <si>
    <t>呼图壁县六街33产区128院</t>
  </si>
  <si>
    <t>呼图壁城区核心</t>
  </si>
  <si>
    <t>呼图壁呼克路加油站</t>
  </si>
  <si>
    <t>LC20</t>
  </si>
  <si>
    <t>1-A6501-C002-S025</t>
  </si>
  <si>
    <t>金立兵</t>
  </si>
  <si>
    <t>呼图壁县五工台乱山子5队1院</t>
  </si>
  <si>
    <t>呼图壁核心站</t>
  </si>
  <si>
    <t>奇台江布拉克服务区加油站</t>
  </si>
  <si>
    <t>LC93</t>
  </si>
  <si>
    <t>1-A6501-C002-S088</t>
  </si>
  <si>
    <t>沈慧林</t>
  </si>
  <si>
    <t>奇台县</t>
  </si>
  <si>
    <t>奇台县半截沟镇新户梁六组</t>
  </si>
  <si>
    <t>江布拉克景区服务区</t>
  </si>
  <si>
    <t>奇台碧流河加油站</t>
  </si>
  <si>
    <t>LC8C</t>
  </si>
  <si>
    <t>1-A6501-C002-S070</t>
  </si>
  <si>
    <t>李容</t>
  </si>
  <si>
    <t>碧流河乡</t>
  </si>
  <si>
    <t>江布拉克景区补给站</t>
  </si>
  <si>
    <t>奇台东地加油站</t>
  </si>
  <si>
    <t>LC8G</t>
  </si>
  <si>
    <t>1-A6501-C002-S074</t>
  </si>
  <si>
    <t>马清梅</t>
  </si>
  <si>
    <t>西地镇东地村转弯桥</t>
  </si>
  <si>
    <t>89.48.18</t>
  </si>
  <si>
    <t>44.3.57</t>
  </si>
  <si>
    <t>奇台区域站</t>
  </si>
  <si>
    <t>奇台开垦河北加油站</t>
  </si>
  <si>
    <t>LC8N</t>
  </si>
  <si>
    <t>1-A6501-C002-S077</t>
  </si>
  <si>
    <t>张莉梅</t>
  </si>
  <si>
    <t>老奇台镇开垦河东侧</t>
  </si>
  <si>
    <t>奇台区域大型站</t>
  </si>
  <si>
    <t>奇台东湾加油站</t>
  </si>
  <si>
    <t>LC88</t>
  </si>
  <si>
    <t>1-A6501-C002-S066</t>
  </si>
  <si>
    <t>武鹏辉</t>
  </si>
  <si>
    <t>东湾镇中渠五村</t>
  </si>
  <si>
    <t>89.21.2</t>
  </si>
  <si>
    <t>43.50.53</t>
  </si>
  <si>
    <t>奇台西地加油站</t>
  </si>
  <si>
    <t>LC81</t>
  </si>
  <si>
    <t>1-A6501-C002-S060</t>
  </si>
  <si>
    <t>王维杰</t>
  </si>
  <si>
    <t>奇台县西地镇33-49</t>
  </si>
  <si>
    <t>木垒木巴路加油站</t>
  </si>
  <si>
    <t>LC85</t>
  </si>
  <si>
    <t>1-A6501-C002-S063</t>
  </si>
  <si>
    <t>热依兰</t>
  </si>
  <si>
    <t>木垒县</t>
  </si>
  <si>
    <t>木巴公路苗圃南侧</t>
  </si>
  <si>
    <t>木垒核心站</t>
  </si>
  <si>
    <t>木垒迎宾路加油站</t>
  </si>
  <si>
    <t>LC80</t>
  </si>
  <si>
    <t>1-A6501-C002-S059</t>
  </si>
  <si>
    <t>田海岩</t>
  </si>
  <si>
    <t>木垒县四区三段</t>
  </si>
  <si>
    <t>木垒迎宾要道</t>
  </si>
  <si>
    <t>木垒老君庙加油站</t>
  </si>
  <si>
    <t>LC8J</t>
  </si>
  <si>
    <t>1-A6501-C002-S075</t>
  </si>
  <si>
    <t>殷斌</t>
  </si>
  <si>
    <t>木垒县老君庙工业园区</t>
  </si>
  <si>
    <t>木垒工业园区站</t>
  </si>
  <si>
    <t>阿勒泰28</t>
  </si>
  <si>
    <t>阿勒泰</t>
  </si>
  <si>
    <t>幸福路加油站</t>
  </si>
  <si>
    <t>LL41</t>
  </si>
  <si>
    <t>1-A6501-C011-S013</t>
  </si>
  <si>
    <t>蔡文彬</t>
  </si>
  <si>
    <t>布尔津县</t>
  </si>
  <si>
    <t>神湖西路8号</t>
  </si>
  <si>
    <t>五星级加油站，喀纳斯方向重要补给站</t>
  </si>
  <si>
    <t>LL42</t>
  </si>
  <si>
    <t>1-A6501-C011-S014</t>
  </si>
  <si>
    <t>张青梅</t>
  </si>
  <si>
    <t>东郊路5号</t>
  </si>
  <si>
    <t>布尔津城区核心站</t>
  </si>
  <si>
    <t>城南加油站</t>
  </si>
  <si>
    <t>LL47</t>
  </si>
  <si>
    <t>1-A6501-C011-S017</t>
  </si>
  <si>
    <t>郭欣宇</t>
  </si>
  <si>
    <t>青秋路221号</t>
  </si>
  <si>
    <t>布尔津县城入口站</t>
  </si>
  <si>
    <t>喀纳斯黑流滩加油站</t>
  </si>
  <si>
    <t>LL49</t>
  </si>
  <si>
    <t>1-A6501-C011-S019</t>
  </si>
  <si>
    <t>也斯太·纳孜木</t>
  </si>
  <si>
    <t>黑流滩收费站旁边</t>
  </si>
  <si>
    <t>喀纳斯景区门户补给站</t>
  </si>
  <si>
    <t>哈纳斯加油站</t>
  </si>
  <si>
    <t>LL43</t>
  </si>
  <si>
    <t>1-A6501-C011-S015</t>
  </si>
  <si>
    <t>玉素甫江·切克斯</t>
  </si>
  <si>
    <t>贾登峪景区</t>
  </si>
  <si>
    <t>喀纳斯景区内核心补给站</t>
  </si>
  <si>
    <t>窝依莫克加油站</t>
  </si>
  <si>
    <t>LL40</t>
  </si>
  <si>
    <t>1-A6501-C011-S012</t>
  </si>
  <si>
    <t>梁立富</t>
  </si>
  <si>
    <t>窝依莫克镇团结路139号</t>
  </si>
  <si>
    <t>布尔津乡镇节点站</t>
  </si>
  <si>
    <t>迎宾路加油站</t>
  </si>
  <si>
    <t>LL23</t>
  </si>
  <si>
    <t>1-A6501-C011-S010</t>
  </si>
  <si>
    <t>乔丽</t>
  </si>
  <si>
    <t>北屯市</t>
  </si>
  <si>
    <t>多尔布尔津街与迎宾路交汇</t>
  </si>
  <si>
    <t>北屯核心站</t>
  </si>
  <si>
    <t>西北路加油站</t>
  </si>
  <si>
    <t>LL21</t>
  </si>
  <si>
    <t>1-A6501-C011-S008</t>
  </si>
  <si>
    <t>郑惠丽</t>
  </si>
  <si>
    <t>北屯镇西北路工行对面</t>
  </si>
  <si>
    <t>北屯城区站</t>
  </si>
  <si>
    <t>阿福路加油站</t>
  </si>
  <si>
    <t>LL24</t>
  </si>
  <si>
    <t>1-A6501-C011-S011</t>
  </si>
  <si>
    <t>李伟</t>
  </si>
  <si>
    <t>北屯镇阿福路</t>
  </si>
  <si>
    <t>北屯重要节点站</t>
  </si>
  <si>
    <t>红墩路加油站</t>
  </si>
  <si>
    <t>LL07</t>
  </si>
  <si>
    <t>1-A6501-C011-S004</t>
  </si>
  <si>
    <t>王鹏涛</t>
  </si>
  <si>
    <t>阿勒泰市</t>
  </si>
  <si>
    <t>红墩路156号</t>
  </si>
  <si>
    <t>阿勒泰市核心站</t>
  </si>
  <si>
    <t>团结路加油站</t>
  </si>
  <si>
    <t>LL02</t>
  </si>
  <si>
    <t>1-A6501-C011-S002</t>
  </si>
  <si>
    <t>刘伟</t>
  </si>
  <si>
    <t>团结路5区105栋</t>
  </si>
  <si>
    <t>阿勒泰市中心站</t>
  </si>
  <si>
    <t>县城加油站</t>
  </si>
  <si>
    <t>LLA4</t>
  </si>
  <si>
    <t>1-A6501-C011-S039</t>
  </si>
  <si>
    <t>王岩</t>
  </si>
  <si>
    <t>富蕴县</t>
  </si>
  <si>
    <t>团结北路交叉处向北80米路东</t>
  </si>
  <si>
    <t>可可托海方向重要补给站</t>
  </si>
  <si>
    <t>新桥加油站</t>
  </si>
  <si>
    <t>LLA1</t>
  </si>
  <si>
    <t>1-A6501-C011-S036</t>
  </si>
  <si>
    <t>张羽</t>
  </si>
  <si>
    <t>幸福路1号</t>
  </si>
  <si>
    <t>可可托海方向节点</t>
  </si>
  <si>
    <t>可可托海加油站</t>
  </si>
  <si>
    <t>LLA7</t>
  </si>
  <si>
    <t>1-A6501-C011-S042</t>
  </si>
  <si>
    <t>魏欣</t>
  </si>
  <si>
    <t>可可托海镇团结路9号</t>
  </si>
  <si>
    <t>可可托海景区核心补给站</t>
  </si>
  <si>
    <t>杜热加油站</t>
  </si>
  <si>
    <t>LLA6</t>
  </si>
  <si>
    <t>1-A6501-C011-S041</t>
  </si>
  <si>
    <t>关升</t>
  </si>
  <si>
    <t>杜热镇光明路13号</t>
  </si>
  <si>
    <t>富蕴乡镇节点</t>
  </si>
  <si>
    <t>永安西路加油站</t>
  </si>
  <si>
    <t>LL60</t>
  </si>
  <si>
    <t>1-A6501-C011-S020</t>
  </si>
  <si>
    <t>王冬梅</t>
  </si>
  <si>
    <t>福海县</t>
  </si>
  <si>
    <t>永安西路26号</t>
  </si>
  <si>
    <t>福海城区核心站</t>
  </si>
  <si>
    <t>建北路加油站</t>
  </si>
  <si>
    <t>LL61</t>
  </si>
  <si>
    <t>1-A6501-C011-S021</t>
  </si>
  <si>
    <t>沈海波</t>
  </si>
  <si>
    <t>福民路西158号</t>
  </si>
  <si>
    <t>福海主要站</t>
  </si>
  <si>
    <t>LL82</t>
  </si>
  <si>
    <t>1-A6501-C011-S030</t>
  </si>
  <si>
    <t>李萍</t>
  </si>
  <si>
    <t>哈巴河县</t>
  </si>
  <si>
    <t>过境东路南侧</t>
  </si>
  <si>
    <t>哈巴河核心站</t>
  </si>
  <si>
    <t>LL87</t>
  </si>
  <si>
    <t>1-A6501-C011-S035</t>
  </si>
  <si>
    <t>赵晖</t>
  </si>
  <si>
    <t>团结路55号</t>
  </si>
  <si>
    <t>哈巴河城区站</t>
  </si>
  <si>
    <t>阿舍勒铜矿加油站</t>
  </si>
  <si>
    <t>LL83</t>
  </si>
  <si>
    <t>1-A6501-C011-S031</t>
  </si>
  <si>
    <t>刘明发</t>
  </si>
  <si>
    <t>阿舍勒铜矿门口</t>
  </si>
  <si>
    <t>哈巴河矿区/景区节点</t>
  </si>
  <si>
    <t>LLE1</t>
  </si>
  <si>
    <t>1-A6501-C011-S056</t>
  </si>
  <si>
    <t>李少昆</t>
  </si>
  <si>
    <t>吉木乃县</t>
  </si>
  <si>
    <t>北京路北十五区36号</t>
  </si>
  <si>
    <t>吉木乃核心站</t>
  </si>
  <si>
    <t>LLE5</t>
  </si>
  <si>
    <t>1-A6501-C011-S070</t>
  </si>
  <si>
    <t>吕月红</t>
  </si>
  <si>
    <t>乌拉斯特镇吐尕力阿尕什村一组</t>
  </si>
  <si>
    <t>吉木乃西郊方向</t>
  </si>
  <si>
    <t>托斯特加油站</t>
  </si>
  <si>
    <t>LLE3</t>
  </si>
  <si>
    <t>1-A6501-C011-S058</t>
  </si>
  <si>
    <t>努尔波拉提·库力木汗</t>
  </si>
  <si>
    <t>托斯特乡旅游街50号</t>
  </si>
  <si>
    <t>吉木乃乡镇节点</t>
  </si>
  <si>
    <t>黑山头加油站</t>
  </si>
  <si>
    <t>LLE2</t>
  </si>
  <si>
    <t>1-A6501-C011-S057</t>
  </si>
  <si>
    <t>217国道176公里处</t>
  </si>
  <si>
    <t>217国道节点</t>
  </si>
  <si>
    <t>友好南路加油站</t>
  </si>
  <si>
    <t>LLC6</t>
  </si>
  <si>
    <t>1-A6501-C011-S053</t>
  </si>
  <si>
    <t>胡热勒别克·阿吾克什</t>
  </si>
  <si>
    <t>青河县</t>
  </si>
  <si>
    <t>县城友好南路</t>
  </si>
  <si>
    <t>青河核心站</t>
  </si>
  <si>
    <t>团结西路加油站</t>
  </si>
  <si>
    <t>LLC1</t>
  </si>
  <si>
    <t>1-A6501-C011-S049</t>
  </si>
  <si>
    <t>赵卫华</t>
  </si>
  <si>
    <t>青河镇团结西路111号</t>
  </si>
  <si>
    <t>青河城区站</t>
  </si>
  <si>
    <t>阿格达拉加油站</t>
  </si>
  <si>
    <t>LLC9</t>
  </si>
  <si>
    <t>1-A6501-C011-S055</t>
  </si>
  <si>
    <t>古丽加孜·阿合力别克</t>
  </si>
  <si>
    <t>阿格达拉镇环城南路20号</t>
  </si>
  <si>
    <t>青河S320线节点</t>
  </si>
  <si>
    <t>阿尕什敖包加油站</t>
  </si>
  <si>
    <t>LLC5</t>
  </si>
  <si>
    <t>1-A6501-C011-S052</t>
  </si>
  <si>
    <t>袁平</t>
  </si>
  <si>
    <t>S320省道59公里处</t>
  </si>
  <si>
    <t>巴州27</t>
  </si>
  <si>
    <t>巴州</t>
  </si>
  <si>
    <t>草原加油站</t>
  </si>
  <si>
    <t>LJ8K</t>
  </si>
  <si>
    <t>1-A6501-C009-S095</t>
  </si>
  <si>
    <t>陈伟</t>
  </si>
  <si>
    <t>和静县</t>
  </si>
  <si>
    <t>巴音布鲁克区</t>
  </si>
  <si>
    <t>巴音布鲁克景区核心补给站</t>
  </si>
  <si>
    <t>巩乃斯加油站</t>
  </si>
  <si>
    <t>LJ8J</t>
  </si>
  <si>
    <t>1-A6501-C009-S094</t>
  </si>
  <si>
    <t>陈熙平</t>
  </si>
  <si>
    <t>巩乃斯镇</t>
  </si>
  <si>
    <t>独库公路与G218交汇节点，知名自驾打卡站</t>
  </si>
  <si>
    <t>巴仑台加油站</t>
  </si>
  <si>
    <t>LJ8I</t>
  </si>
  <si>
    <t>1-A6501-C009-S093</t>
  </si>
  <si>
    <t>刘新</t>
  </si>
  <si>
    <t>巴仑台镇</t>
  </si>
  <si>
    <t>G218南疆重要补给站</t>
  </si>
  <si>
    <t>金泉加油站</t>
  </si>
  <si>
    <t>LJ8R</t>
  </si>
  <si>
    <t>1-A6501-C009-S100</t>
  </si>
  <si>
    <t>李睿琦</t>
  </si>
  <si>
    <t>天鹅湖北路3887号（G218l道645公里处）</t>
  </si>
  <si>
    <t>G218国道节点</t>
  </si>
  <si>
    <t>LJ8G</t>
  </si>
  <si>
    <t>1-A6501-C009-S092</t>
  </si>
  <si>
    <t>曾丽</t>
  </si>
  <si>
    <t>206省道以西</t>
  </si>
  <si>
    <t>和静城区站</t>
  </si>
  <si>
    <t>城东加油站</t>
  </si>
  <si>
    <t>LJ1C</t>
  </si>
  <si>
    <t>1-A6501-C009-S036</t>
  </si>
  <si>
    <t>杨云</t>
  </si>
  <si>
    <t>库尔勒</t>
  </si>
  <si>
    <t>新城辖区库尉路东北侧</t>
  </si>
  <si>
    <t>库尔勒城东核心站</t>
  </si>
  <si>
    <t>兴达加油加气站</t>
  </si>
  <si>
    <t>LJ0L</t>
  </si>
  <si>
    <t>1-A6501-C009-S018</t>
  </si>
  <si>
    <t>赵新生</t>
  </si>
  <si>
    <t>G3012高速357公里</t>
  </si>
  <si>
    <t>G3012高速干线站</t>
  </si>
  <si>
    <t>金城加油加气站</t>
  </si>
  <si>
    <t>LJ0K</t>
  </si>
  <si>
    <t>1-A6501-C009-S017</t>
  </si>
  <si>
    <t>程仁利</t>
  </si>
  <si>
    <t>314国道475公里处</t>
  </si>
  <si>
    <t>314国道与G3012高速交汇站</t>
  </si>
  <si>
    <t>金星站</t>
  </si>
  <si>
    <t>LJ0W</t>
  </si>
  <si>
    <t>1-A6501-C009-S025</t>
  </si>
  <si>
    <t>李俊岭</t>
  </si>
  <si>
    <t>314国道524公里处</t>
  </si>
  <si>
    <t>G3012库尔勒段重要站</t>
  </si>
  <si>
    <t>昆泰加油加气站</t>
  </si>
  <si>
    <t>LJ1A</t>
  </si>
  <si>
    <t>1-A6501-C009-S034</t>
  </si>
  <si>
    <t>柴安琪</t>
  </si>
  <si>
    <t>石化大道、农二师武警支队西侧</t>
  </si>
  <si>
    <t>库尔勒石化大道核心站</t>
  </si>
  <si>
    <t>梨城加油站</t>
  </si>
  <si>
    <t>LJ07</t>
  </si>
  <si>
    <t>1-A6501-C009-S006</t>
  </si>
  <si>
    <t>马伊隆</t>
  </si>
  <si>
    <t>石化大道123号</t>
  </si>
  <si>
    <t>86.10.55</t>
  </si>
  <si>
    <t>41.43.45</t>
  </si>
  <si>
    <t>库尔勒城市中心站</t>
  </si>
  <si>
    <t>城市中心加油站</t>
  </si>
  <si>
    <t>LJ05</t>
  </si>
  <si>
    <t>1-A6501-C009-S004</t>
  </si>
  <si>
    <t>邵慧</t>
  </si>
  <si>
    <t>石化大道西侧</t>
  </si>
  <si>
    <t>86°9′20″</t>
  </si>
  <si>
    <t>41°44′48″</t>
  </si>
  <si>
    <t>库尔勒城市中心，周边酒店密集</t>
  </si>
  <si>
    <t>新华桥加油站</t>
  </si>
  <si>
    <t>LJ04</t>
  </si>
  <si>
    <t>1-A6501-C009-S003</t>
  </si>
  <si>
    <t>解开源</t>
  </si>
  <si>
    <t>新华路34号</t>
  </si>
  <si>
    <t>腾龙加油站</t>
  </si>
  <si>
    <t>LJ0H</t>
  </si>
  <si>
    <t>1-A6501-C009-S015</t>
  </si>
  <si>
    <t>侯军旗</t>
  </si>
  <si>
    <t>新218国道南侧</t>
  </si>
  <si>
    <t>G218入库尔勒方向站</t>
  </si>
  <si>
    <t>焉耆中心加油站</t>
  </si>
  <si>
    <t>LJ84</t>
  </si>
  <si>
    <t>1-A6501-C009-S082</t>
  </si>
  <si>
    <t>马伟欣</t>
  </si>
  <si>
    <t>焉耆县</t>
  </si>
  <si>
    <t>新桥路</t>
  </si>
  <si>
    <t>焉耆城区核心站</t>
  </si>
  <si>
    <t>和硕中心加油站</t>
  </si>
  <si>
    <t>LJ8B</t>
  </si>
  <si>
    <t>1-A6501-C009-S088</t>
  </si>
  <si>
    <t>阿利亚·艾合买提</t>
  </si>
  <si>
    <t>和硕县</t>
  </si>
  <si>
    <t>1区-01号-134</t>
  </si>
  <si>
    <t>和硕城区核心站</t>
  </si>
  <si>
    <t>和硕北加油站</t>
  </si>
  <si>
    <t>LJ8E</t>
  </si>
  <si>
    <t>1-A6501-C009-S091</t>
  </si>
  <si>
    <t>哈力克.热合曼</t>
  </si>
  <si>
    <t>经济开发区314国道以北</t>
  </si>
  <si>
    <t>G314/G3012干线节点</t>
  </si>
  <si>
    <t>和硕南加油站</t>
  </si>
  <si>
    <t>LJ8D</t>
  </si>
  <si>
    <t>1-A6501-C009-S090</t>
  </si>
  <si>
    <t>G314干线南站</t>
  </si>
  <si>
    <t>轮台拉依苏加油站</t>
  </si>
  <si>
    <t>LJ6D</t>
  </si>
  <si>
    <t>1-A6501-C009-S075</t>
  </si>
  <si>
    <t>热孜宛古丽·巴依丁</t>
  </si>
  <si>
    <t>轮台县</t>
  </si>
  <si>
    <t>群巴克镇鑫能路144号</t>
  </si>
  <si>
    <t>轮台拉依苏工业园区站</t>
  </si>
  <si>
    <t>阳霞北加油加气站</t>
  </si>
  <si>
    <t>LJ6B</t>
  </si>
  <si>
    <t>1-A6501-C009-S073</t>
  </si>
  <si>
    <t>艾妮萨·阿不力孜</t>
  </si>
  <si>
    <t>阳霞服务区处北侧</t>
  </si>
  <si>
    <t>G3012高速阳霞服务区</t>
  </si>
  <si>
    <t>阳霞南加油加气站</t>
  </si>
  <si>
    <t>LJ6C</t>
  </si>
  <si>
    <t>1-A6501-C009-S074</t>
  </si>
  <si>
    <t>阳霞服务区处南侧</t>
  </si>
  <si>
    <t>米兰加油站</t>
  </si>
  <si>
    <t>LJ45</t>
  </si>
  <si>
    <t>1-A6501-C009-S061</t>
  </si>
  <si>
    <t>李翔</t>
  </si>
  <si>
    <t>若羌县</t>
  </si>
  <si>
    <t>楼兰大道024号</t>
  </si>
  <si>
    <t>88.10.2</t>
  </si>
  <si>
    <t>39.0.37</t>
  </si>
  <si>
    <t>G218/G315交汇点，入疆南线重要站</t>
  </si>
  <si>
    <t>服务区南加油站</t>
  </si>
  <si>
    <t>LJ49</t>
  </si>
  <si>
    <t>1-A6501-C009-S125</t>
  </si>
  <si>
    <t>吴小江</t>
  </si>
  <si>
    <t>G315国道K1584公里+450米处西侧</t>
  </si>
  <si>
    <t>G315服务区南站</t>
  </si>
  <si>
    <t>服务区北加油站</t>
  </si>
  <si>
    <t>LJ48</t>
  </si>
  <si>
    <t>1-A6501-C009-S124</t>
  </si>
  <si>
    <t>吐尔洪江·麦麦提</t>
  </si>
  <si>
    <t>G315国道K1584公里+450米处北侧</t>
  </si>
  <si>
    <t>G315服务区北站</t>
  </si>
  <si>
    <t>博斯腾加油站</t>
  </si>
  <si>
    <t>LJ85</t>
  </si>
  <si>
    <t>1-A6501-C009-S083</t>
  </si>
  <si>
    <t>王前峰</t>
  </si>
  <si>
    <t>博湖县</t>
  </si>
  <si>
    <t>光华路（焉博公路以西）</t>
  </si>
  <si>
    <t>博斯腾湖景区核心补给站</t>
  </si>
  <si>
    <t>本布图加油站</t>
  </si>
  <si>
    <t>LJ87</t>
  </si>
  <si>
    <t>1-A6501-C009-S085</t>
  </si>
  <si>
    <t>阿依努尔·艾力</t>
  </si>
  <si>
    <t>本布图镇</t>
  </si>
  <si>
    <t>博斯腾湖周边节点</t>
  </si>
  <si>
    <t>才坎诺尔加油站</t>
  </si>
  <si>
    <t>LJ86</t>
  </si>
  <si>
    <t>1-A6501-C009-S084</t>
  </si>
  <si>
    <t>李新</t>
  </si>
  <si>
    <t>才坎诺尔乡</t>
  </si>
  <si>
    <t>吐鲁番25</t>
  </si>
  <si>
    <t>吐鲁番</t>
  </si>
  <si>
    <t>小草湖服务区</t>
  </si>
  <si>
    <t>LG1B</t>
  </si>
  <si>
    <t>1-A6501-C006-S040</t>
  </si>
  <si>
    <t>申磊</t>
  </si>
  <si>
    <t>高昌区</t>
  </si>
  <si>
    <t>吐鲁番市东避险服务区出口处</t>
  </si>
  <si>
    <t>G30小草湖服务区</t>
  </si>
  <si>
    <t>小草湖服务区南</t>
  </si>
  <si>
    <t>LG1P</t>
  </si>
  <si>
    <t>1-A6501-C006-S046</t>
  </si>
  <si>
    <t>戚玉林</t>
  </si>
  <si>
    <t>吐鲁番高昌区南环路</t>
  </si>
  <si>
    <t>南环路城区站</t>
  </si>
  <si>
    <t>葡萄沟服务区北加油加气站</t>
  </si>
  <si>
    <t>LG1C</t>
  </si>
  <si>
    <t>1-A6501-C006-S041</t>
  </si>
  <si>
    <t>王建忠</t>
  </si>
  <si>
    <t>G30高速葡萄沟服务区北侧</t>
  </si>
  <si>
    <t>葡萄沟景区服务区</t>
  </si>
  <si>
    <t>葡萄沟服务区南加油加气站</t>
  </si>
  <si>
    <t>LG1D</t>
  </si>
  <si>
    <t>1-A6501-C006-S042</t>
  </si>
  <si>
    <t>努热曼古丽</t>
  </si>
  <si>
    <t>G30高速葡萄沟服务区南侧</t>
  </si>
  <si>
    <t>葡萄沟口加油站</t>
  </si>
  <si>
    <t>LG04</t>
  </si>
  <si>
    <t>1-A6501-C006-S002</t>
  </si>
  <si>
    <t>马金宝</t>
  </si>
  <si>
    <t>葡萄沟312国道旁4010公里处</t>
  </si>
  <si>
    <t>葡萄沟景区入口站</t>
  </si>
  <si>
    <t>葡城加油站</t>
  </si>
  <si>
    <t>LG01</t>
  </si>
  <si>
    <t>1-A6501-C006-S063</t>
  </si>
  <si>
    <t>田元伟</t>
  </si>
  <si>
    <t>葡萄沟312国道旁4015公里处</t>
  </si>
  <si>
    <t>G312节点站</t>
  </si>
  <si>
    <t>新区加油站</t>
  </si>
  <si>
    <t>LG05</t>
  </si>
  <si>
    <t>1-A6501-C006-S003</t>
  </si>
  <si>
    <t>彭浩</t>
  </si>
  <si>
    <t>城区新区站</t>
  </si>
  <si>
    <t>LG08</t>
  </si>
  <si>
    <t>1-A6501-C006-S006</t>
  </si>
  <si>
    <t>姚玲</t>
  </si>
  <si>
    <t>吐鲁番市西环北路3466号</t>
  </si>
  <si>
    <t>吐鲁番城市中心站</t>
  </si>
  <si>
    <t>西环北路加油站</t>
  </si>
  <si>
    <t>LG09</t>
  </si>
  <si>
    <t>1-A6501-C006-S007</t>
  </si>
  <si>
    <t>朱广生</t>
  </si>
  <si>
    <t>吐鲁番市西环北路</t>
  </si>
  <si>
    <t>城区干线站</t>
  </si>
  <si>
    <t>高昌路加油站</t>
  </si>
  <si>
    <t>LG07</t>
  </si>
  <si>
    <t>1-A6501-C006-S005</t>
  </si>
  <si>
    <t>阿迪力</t>
  </si>
  <si>
    <t>吐鲁番市高昌北路</t>
  </si>
  <si>
    <t>吐鲁番市中心核心站</t>
  </si>
  <si>
    <t>托克逊西北路加油加气站</t>
  </si>
  <si>
    <t>LG0R</t>
  </si>
  <si>
    <t>1-A6501-C006-S022</t>
  </si>
  <si>
    <t>艾尔沙提</t>
  </si>
  <si>
    <t>托克逊县</t>
  </si>
  <si>
    <t>托克逊县西北路（金泉路）路口</t>
  </si>
  <si>
    <t>托克逊城区综合站</t>
  </si>
  <si>
    <t>托克逊库米什南加油加气站</t>
  </si>
  <si>
    <t>LG0X</t>
  </si>
  <si>
    <t>1-A6501-C006-S028</t>
  </si>
  <si>
    <t>艾克拜尔</t>
  </si>
  <si>
    <t>库米什收费站东侧国道314路南</t>
  </si>
  <si>
    <t>G314干线节点</t>
  </si>
  <si>
    <t>托克逊赛尔墩西加油站</t>
  </si>
  <si>
    <t>LG0U</t>
  </si>
  <si>
    <t>1-A6501-C006-S025</t>
  </si>
  <si>
    <t>巴合提亚尔</t>
  </si>
  <si>
    <t>托克逊县314国道西侧</t>
  </si>
  <si>
    <t>G314干线西侧站</t>
  </si>
  <si>
    <t>托克逊赛尔墩加油站</t>
  </si>
  <si>
    <t>LG0T</t>
  </si>
  <si>
    <t>1-A6501-C006-S024</t>
  </si>
  <si>
    <t>阿瑞孜</t>
  </si>
  <si>
    <t>托克逊县314国道东侧</t>
  </si>
  <si>
    <t>G314干线东侧对站</t>
  </si>
  <si>
    <t>托克逊库米什北加油加气站</t>
  </si>
  <si>
    <t>LG0Y</t>
  </si>
  <si>
    <t>1-A6501-C006-S029</t>
  </si>
  <si>
    <t>邱冬冬</t>
  </si>
  <si>
    <t>库米什收费站东侧国道314路北</t>
  </si>
  <si>
    <t>G314干线节点北站</t>
  </si>
  <si>
    <t>托克逊煤矿路加油站</t>
  </si>
  <si>
    <t>LG18</t>
  </si>
  <si>
    <t>1-A6501-C006-S038</t>
  </si>
  <si>
    <t>哈里丹</t>
  </si>
  <si>
    <t>吐鲁番托克逊县煤矿路</t>
  </si>
  <si>
    <t>工业区节点</t>
  </si>
  <si>
    <t>托克逊夏乡加油站</t>
  </si>
  <si>
    <t>LG1E</t>
  </si>
  <si>
    <t>1-A6501-C006-S043</t>
  </si>
  <si>
    <t>艾合提然木·尔西丁</t>
  </si>
  <si>
    <t>吐鲁番市托克逊县夏乡</t>
  </si>
  <si>
    <t>乡镇节点站</t>
  </si>
  <si>
    <t>托克逊伊拉湖加油站</t>
  </si>
  <si>
    <t>LG0V</t>
  </si>
  <si>
    <t>1-A6501-C006-S026</t>
  </si>
  <si>
    <t>艾尼娃·阿不都热衣木</t>
  </si>
  <si>
    <t>托克逊县伊拉湖乡</t>
  </si>
  <si>
    <t>伊拉湖节点</t>
  </si>
  <si>
    <t>鄯善县新城西路加油站</t>
  </si>
  <si>
    <t>LG0G</t>
  </si>
  <si>
    <t>1-A6501-C006-S012</t>
  </si>
  <si>
    <t>王鹏程</t>
  </si>
  <si>
    <t>鄯善县</t>
  </si>
  <si>
    <t>鄯善县新城西路312国道3898公里处</t>
  </si>
  <si>
    <t>鄯善城区核心站</t>
  </si>
  <si>
    <t>鄯善县石材园区加油站</t>
  </si>
  <si>
    <t>LG0K</t>
  </si>
  <si>
    <t>1-A6501-C006-S016</t>
  </si>
  <si>
    <t>吾斯曼</t>
  </si>
  <si>
    <t>鄯善县新城区312国道3900公里处</t>
  </si>
  <si>
    <t>石材园区节点</t>
  </si>
  <si>
    <t>鄯善县吐峪沟加油站</t>
  </si>
  <si>
    <t>LG12</t>
  </si>
  <si>
    <t>1-A6501-C006-S032</t>
  </si>
  <si>
    <t>买买提</t>
  </si>
  <si>
    <t>鄯善县吐峪沟乡</t>
  </si>
  <si>
    <t>吐峪沟景区节点</t>
  </si>
  <si>
    <t>鄯善县鲁克沁加油站</t>
  </si>
  <si>
    <t>LG0N</t>
  </si>
  <si>
    <t>1-A6501-C006-S018</t>
  </si>
  <si>
    <t>马卫明</t>
  </si>
  <si>
    <t>鄯善县鲁克沁镇</t>
  </si>
  <si>
    <t>鲁克沁核心站</t>
  </si>
  <si>
    <t>鄯善县东环路加油站</t>
  </si>
  <si>
    <t>LG0I</t>
  </si>
  <si>
    <t>1-A6501-C006-S014</t>
  </si>
  <si>
    <t>苏小芬</t>
  </si>
  <si>
    <t>鄯善县东环路东侧3497号</t>
  </si>
  <si>
    <t>鄯善东环路节点</t>
  </si>
  <si>
    <t>鄯善县苏巴什北加油站</t>
  </si>
  <si>
    <t>LG10</t>
  </si>
  <si>
    <t>1-A6501-C006-S030</t>
  </si>
  <si>
    <t>杜强</t>
  </si>
  <si>
    <t>G30高速吐峪沟服务北侧</t>
  </si>
  <si>
    <t>G30服务区北侧</t>
  </si>
  <si>
    <t>鄯善县苏巴什南加油站</t>
  </si>
  <si>
    <t>LG11</t>
  </si>
  <si>
    <t>1-A6501-C006-S031</t>
  </si>
  <si>
    <t>黄燕</t>
  </si>
  <si>
    <t>G30高速吐峪沟服务南侧</t>
  </si>
  <si>
    <t>G30服务区南侧</t>
  </si>
  <si>
    <t xml:space="preserve">
喀什22</t>
  </si>
  <si>
    <t>喀什</t>
  </si>
  <si>
    <t>金草滩加油站</t>
  </si>
  <si>
    <t>LP0L</t>
  </si>
  <si>
    <t>1-A6501-C014-S018</t>
  </si>
  <si>
    <t>西尔艾力·沙迪尔</t>
  </si>
  <si>
    <t>塔县</t>
  </si>
  <si>
    <t>塔什库尔干县中巴友谊路</t>
  </si>
  <si>
    <t>盘龙古道/帕米尔高原方向门户站</t>
  </si>
  <si>
    <t>县友谊加油站</t>
  </si>
  <si>
    <t>LP0N</t>
  </si>
  <si>
    <t>1-A6501-C014-S019</t>
  </si>
  <si>
    <t>冯建成</t>
  </si>
  <si>
    <t>塔什库尔干县中巴友谊路54号</t>
  </si>
  <si>
    <t>塔县城市中心站</t>
  </si>
  <si>
    <t>西域加油站</t>
  </si>
  <si>
    <t>LP08</t>
  </si>
  <si>
    <t>1-A6501-C014-S008</t>
  </si>
  <si>
    <t>李丽</t>
  </si>
  <si>
    <t>喀什市</t>
  </si>
  <si>
    <t>西公园街道园丁社区西域大道060号</t>
  </si>
  <si>
    <t>喀什西域大道核心站</t>
  </si>
  <si>
    <t>丝路加油站</t>
  </si>
  <si>
    <t>LP0X</t>
  </si>
  <si>
    <t>1-A6501-C014-S025</t>
  </si>
  <si>
    <t>王晴</t>
  </si>
  <si>
    <t>多来特巴格乡深喀大道039号院</t>
  </si>
  <si>
    <t>喀什深喀大道核心</t>
  </si>
  <si>
    <t>东城加油站</t>
  </si>
  <si>
    <t>LP0A</t>
  </si>
  <si>
    <t>1-A6501-C014-S009</t>
  </si>
  <si>
    <t>依力夏提·依拉木</t>
  </si>
  <si>
    <t>英吾斯坦乡22村4组057号</t>
  </si>
  <si>
    <t>喀什东城要道</t>
  </si>
  <si>
    <t>迎宾加油站</t>
  </si>
  <si>
    <t>LP05</t>
  </si>
  <si>
    <t>1-A6501-C014-S005</t>
  </si>
  <si>
    <t>杨建军</t>
  </si>
  <si>
    <t>乃则尔巴格镇樱桃1村8组001号</t>
  </si>
  <si>
    <t>喀什迎宾大道核心站，入城主干道</t>
  </si>
  <si>
    <t>信德加油站</t>
  </si>
  <si>
    <t>LP07</t>
  </si>
  <si>
    <t>1-A6501-C014-S007</t>
  </si>
  <si>
    <t>帕孜江·那斯尔</t>
  </si>
  <si>
    <t>夏马勒巴格镇昆仑大道34号</t>
  </si>
  <si>
    <t>喀什昆仑大道核心</t>
  </si>
  <si>
    <t>世纪加油站</t>
  </si>
  <si>
    <t>LP06</t>
  </si>
  <si>
    <t>1-A6501-C014-S006</t>
  </si>
  <si>
    <t>刘奇娟</t>
  </si>
  <si>
    <t>迎宾大道街道英努尔社区阔纳机场路127号</t>
  </si>
  <si>
    <t>机场方向要道</t>
  </si>
  <si>
    <t>疏附喀麦南加油站</t>
  </si>
  <si>
    <t>LP0R</t>
  </si>
  <si>
    <t>1-A6501-C014-S022</t>
  </si>
  <si>
    <t>阿孜古·麦麦吐孙</t>
  </si>
  <si>
    <t>至麦盖提高速喀什服务区南侧</t>
  </si>
  <si>
    <t>喀麦高速服务区</t>
  </si>
  <si>
    <t>疏附喀麦北加油站</t>
  </si>
  <si>
    <t>LP0S</t>
  </si>
  <si>
    <t>1-A6501-C014-S023</t>
  </si>
  <si>
    <t>周炜</t>
  </si>
  <si>
    <t>至麦盖提高速喀什服务区北侧</t>
  </si>
  <si>
    <t>红海加油站</t>
  </si>
  <si>
    <t>LP2F</t>
  </si>
  <si>
    <t>1-A6501-C014-S040</t>
  </si>
  <si>
    <t>安外尔·克热木</t>
  </si>
  <si>
    <t>巴楚</t>
  </si>
  <si>
    <t>巴楚县巴楚镇迎宾路</t>
  </si>
  <si>
    <t>巴楚城区核心</t>
  </si>
  <si>
    <t>LP20</t>
  </si>
  <si>
    <t>1-A6501-C014-S026</t>
  </si>
  <si>
    <t>艾买提·艾海提</t>
  </si>
  <si>
    <t>阿克萨克马热勒乡</t>
  </si>
  <si>
    <t>G3012/G314交汇关键节点</t>
  </si>
  <si>
    <t>和谐加油站</t>
  </si>
  <si>
    <t>LP66</t>
  </si>
  <si>
    <t>1-A6501-C014-S062</t>
  </si>
  <si>
    <t>魏玉花</t>
  </si>
  <si>
    <t>莎车</t>
  </si>
  <si>
    <t>艾斯提皮尔路72号</t>
  </si>
  <si>
    <t>莎车城区核心</t>
  </si>
  <si>
    <t>新藏西加油站</t>
  </si>
  <si>
    <t>LP47</t>
  </si>
  <si>
    <t>1-A6501-C014-S049</t>
  </si>
  <si>
    <t>吐逊江·买买提</t>
  </si>
  <si>
    <t>叶城</t>
  </si>
  <si>
    <t>喀格勒克镇雪域大道35号院72</t>
  </si>
  <si>
    <t>新藏公路G219起点核心补给站</t>
  </si>
  <si>
    <t>新藏东加油站</t>
  </si>
  <si>
    <t>LP45</t>
  </si>
  <si>
    <t>1-A6501-C014-S048</t>
  </si>
  <si>
    <t>努尔曼古丽·艾木都拉</t>
  </si>
  <si>
    <t>喀格勒克镇雪域大道35号院</t>
  </si>
  <si>
    <t>新藏公路G219方向重要站</t>
  </si>
  <si>
    <t>天路加油站</t>
  </si>
  <si>
    <t>LP4E</t>
  </si>
  <si>
    <t>1-A6501-C014-S055</t>
  </si>
  <si>
    <t>阿布都黑尼·买提尼牙孜</t>
  </si>
  <si>
    <t>219国道240公里处</t>
  </si>
  <si>
    <t>新藏公路沿线重要补给站</t>
  </si>
  <si>
    <t>库地加油站</t>
  </si>
  <si>
    <t>LP4D</t>
  </si>
  <si>
    <t>1-A6501-C014-S054</t>
  </si>
  <si>
    <t>开萨尔·努尔艾合买提</t>
  </si>
  <si>
    <t>库地165公里处</t>
  </si>
  <si>
    <t>新藏公路G219沿线关键补给站</t>
  </si>
  <si>
    <t>棋盘路加油站</t>
  </si>
  <si>
    <t>LP49</t>
  </si>
  <si>
    <t>1-A6501-C014-S051</t>
  </si>
  <si>
    <t>马木提·艾海提</t>
  </si>
  <si>
    <t>新藏公路沿线节点</t>
  </si>
  <si>
    <t>达瓦昆加油站</t>
  </si>
  <si>
    <t>LP8M</t>
  </si>
  <si>
    <t>1-A6501-C014-S086</t>
  </si>
  <si>
    <t>艾孜提艾力·阿不力米提</t>
  </si>
  <si>
    <t>岳普湖</t>
  </si>
  <si>
    <t>巴依阿瓦提乡阿热盖买村（4村）3组107号</t>
  </si>
  <si>
    <t>达瓦昆景区方向</t>
  </si>
  <si>
    <t>宏运加油站</t>
  </si>
  <si>
    <t>LPE5</t>
  </si>
  <si>
    <t>1-A6501-C014-S100</t>
  </si>
  <si>
    <t>买合布热提·艾买尔</t>
  </si>
  <si>
    <t>麦盖提</t>
  </si>
  <si>
    <t>巴扎吉米乡阔什艾肯村1组301号</t>
  </si>
  <si>
    <t>麦盖提城区核心</t>
  </si>
  <si>
    <t>商贸园加气站</t>
  </si>
  <si>
    <t>LPI7</t>
  </si>
  <si>
    <t>1-A6501-C014-S149</t>
  </si>
  <si>
    <t>张柯</t>
  </si>
  <si>
    <t>疏附县</t>
  </si>
  <si>
    <t>商贸园区吾库萨克镇7村（五羊大道85号）</t>
  </si>
  <si>
    <t>喀什疏附商贸园区</t>
  </si>
  <si>
    <t>伽师大巴扎加油站</t>
  </si>
  <si>
    <t>LP82</t>
  </si>
  <si>
    <t>1-A6501-C014-S070</t>
  </si>
  <si>
    <t>张怀进</t>
  </si>
  <si>
    <t>伽师县</t>
  </si>
  <si>
    <t>胜利北路23号</t>
  </si>
  <si>
    <t>伽师城区核心</t>
  </si>
  <si>
    <t>哈密20</t>
  </si>
  <si>
    <t>哈密</t>
  </si>
  <si>
    <t>一碗泉南加油站</t>
  </si>
  <si>
    <t>LQ0U</t>
  </si>
  <si>
    <t>1-A6501-C015-S022</t>
  </si>
  <si>
    <t>高丽华</t>
  </si>
  <si>
    <t>哈密市</t>
  </si>
  <si>
    <t>伊州区</t>
  </si>
  <si>
    <t>哈密G30连霍高速一碗泉服务区南侧</t>
  </si>
  <si>
    <t>G30哈密段核心服务区，入疆重要补给站</t>
  </si>
  <si>
    <t>一碗泉北加油站</t>
  </si>
  <si>
    <t>LQ0V</t>
  </si>
  <si>
    <t>1-A6501-C015-S023</t>
  </si>
  <si>
    <t>郑庭源</t>
  </si>
  <si>
    <t>G30连霍高速一碗泉服务区北侧</t>
  </si>
  <si>
    <t>入疆重要补给站</t>
  </si>
  <si>
    <t>白山泉北加油加气站</t>
  </si>
  <si>
    <t>LQ1S</t>
  </si>
  <si>
    <t>1-A6501-C015-S048</t>
  </si>
  <si>
    <t>李月年</t>
  </si>
  <si>
    <t>白山泉服务区K12+100处北侧</t>
  </si>
  <si>
    <t>甘新交界核心服务区，入疆首站</t>
  </si>
  <si>
    <t>白山泉南加油加气站</t>
  </si>
  <si>
    <t>LQ1R</t>
  </si>
  <si>
    <t>1-A6501-C015-S047</t>
  </si>
  <si>
    <t>吴秀云</t>
  </si>
  <si>
    <t>G7高速白山泉服务区南侧</t>
  </si>
  <si>
    <t>入疆首站，自驾游客群集中</t>
  </si>
  <si>
    <t>过境公路北加油站</t>
  </si>
  <si>
    <t>LQ0T</t>
  </si>
  <si>
    <t>1-A6501-C015-S021</t>
  </si>
  <si>
    <t>郑燕萍</t>
  </si>
  <si>
    <t>G30连霍高速哈密段距哈密市16公里</t>
  </si>
  <si>
    <t>G30过境站，哈密入城前补给</t>
  </si>
  <si>
    <t>过境公路南加油站</t>
  </si>
  <si>
    <t>LQ0S</t>
  </si>
  <si>
    <t>1-A6501-C015-S020</t>
  </si>
  <si>
    <t>候新江</t>
  </si>
  <si>
    <t>连霍高速公路哈密段距哈密市16公里</t>
  </si>
  <si>
    <t>哈密入城前主要补给站</t>
  </si>
  <si>
    <t>烟墩南加油站</t>
  </si>
  <si>
    <t>LQ1M</t>
  </si>
  <si>
    <t>1-A6501-C015-S043</t>
  </si>
  <si>
    <t>李成云</t>
  </si>
  <si>
    <t>G30连霍高速烟墩收费站以东1公里</t>
  </si>
  <si>
    <t>G30哈密段核心服务区</t>
  </si>
  <si>
    <t>烟墩北加油站</t>
  </si>
  <si>
    <t>LQ1N</t>
  </si>
  <si>
    <t>1-A6501-C015-S044</t>
  </si>
  <si>
    <t>张霖婷</t>
  </si>
  <si>
    <t>连霍高速公路烟墩收费站以东1公里</t>
  </si>
  <si>
    <t>G30高速服务区对站</t>
  </si>
  <si>
    <t>新疆销售西出口加油加气站</t>
  </si>
  <si>
    <t>LQ1T</t>
  </si>
  <si>
    <t>1-A6501-C015-S049</t>
  </si>
  <si>
    <t>李梓</t>
  </si>
  <si>
    <t>老哈巴公路S302线距连霍高速1.3公里</t>
  </si>
  <si>
    <t>哈密城区出入口节点</t>
  </si>
  <si>
    <t>新民六路加油加气站</t>
  </si>
  <si>
    <t>LQ1C</t>
  </si>
  <si>
    <t>1-A6501-C015-S038</t>
  </si>
  <si>
    <t>刘建婷</t>
  </si>
  <si>
    <t>哈密市伊州区新民六路</t>
  </si>
  <si>
    <t>哈密城区重要站</t>
  </si>
  <si>
    <t>建国北路加油站</t>
  </si>
  <si>
    <t>LQ01</t>
  </si>
  <si>
    <t>1-A6501-C015-S001</t>
  </si>
  <si>
    <t>赵晓云</t>
  </si>
  <si>
    <t>哈密市伊州区建国北路</t>
  </si>
  <si>
    <t>哈密市中心核心站</t>
  </si>
  <si>
    <t>前进西路加油站</t>
  </si>
  <si>
    <t>LQ17</t>
  </si>
  <si>
    <t>1-A6501-C015-S033</t>
  </si>
  <si>
    <t>沈飞燕</t>
  </si>
  <si>
    <t>哈密市伊州区前进西路</t>
  </si>
  <si>
    <t>哈密城区要道站</t>
  </si>
  <si>
    <t>迎宾大道加油加气站</t>
  </si>
  <si>
    <t>LQ02</t>
  </si>
  <si>
    <t>1-A6501-C015-S002</t>
  </si>
  <si>
    <t>王晓伟</t>
  </si>
  <si>
    <t>哈密市伊州区迎宾大道42号</t>
  </si>
  <si>
    <t>93.32.26</t>
  </si>
  <si>
    <t>42.50.26</t>
  </si>
  <si>
    <t>哈密城市迎宾要道</t>
  </si>
  <si>
    <t>LQ06</t>
  </si>
  <si>
    <t>1-A6501-C015-S005</t>
  </si>
  <si>
    <t>袁媛</t>
  </si>
  <si>
    <t>哈密市伊州区八一南路119号</t>
  </si>
  <si>
    <t>哈密城区核心站</t>
  </si>
  <si>
    <t>石油基地加油加气站</t>
  </si>
  <si>
    <t>LQ0B</t>
  </si>
  <si>
    <t>1-A6501-C015-S007</t>
  </si>
  <si>
    <t>任亚妮</t>
  </si>
  <si>
    <t>312国道3595公里处</t>
  </si>
  <si>
    <t>312国道加油站</t>
  </si>
  <si>
    <t>LQ12</t>
  </si>
  <si>
    <t>1-A6501-C015-S028</t>
  </si>
  <si>
    <t>徐艳</t>
  </si>
  <si>
    <t>312国道北侧八一大道东</t>
  </si>
  <si>
    <t>G312国道要道站</t>
  </si>
  <si>
    <t>北郊路银星加油站</t>
  </si>
  <si>
    <t>LQ0X</t>
  </si>
  <si>
    <t>1-A6501-C015-S025</t>
  </si>
  <si>
    <t>王建国</t>
  </si>
  <si>
    <t>哈密市伊州区北郊路1号</t>
  </si>
  <si>
    <t>哈密北部区域核心站</t>
  </si>
  <si>
    <t>二堡北加油站</t>
  </si>
  <si>
    <t>LQ1Q</t>
  </si>
  <si>
    <t>1-A6501-C015-S046</t>
  </si>
  <si>
    <t>刘浩</t>
  </si>
  <si>
    <t>G30哈密段二堡收费站以西800米处北侧</t>
  </si>
  <si>
    <t>G30高速二堡节点</t>
  </si>
  <si>
    <t>二堡南加油站</t>
  </si>
  <si>
    <t>LQ1P</t>
  </si>
  <si>
    <t>1-A6501-C015-S045</t>
  </si>
  <si>
    <t>刘玉龙</t>
  </si>
  <si>
    <t>G30连霍高速二堡收费站南侧400处</t>
  </si>
  <si>
    <t>G30高速对站</t>
  </si>
  <si>
    <t>红星一场加气站</t>
  </si>
  <si>
    <t>LQ35</t>
  </si>
  <si>
    <t>1-A6501-C015-S123</t>
  </si>
  <si>
    <t>刘阳</t>
  </si>
  <si>
    <t>新星市红星一场红星大道工业园区</t>
  </si>
  <si>
    <t>兵团新区重要站</t>
  </si>
  <si>
    <t>克拉玛依18</t>
  </si>
  <si>
    <t>克拉玛依</t>
  </si>
  <si>
    <t>西环加油站</t>
  </si>
  <si>
    <t>LF01</t>
  </si>
  <si>
    <t>1-A6501-C005-S001</t>
  </si>
  <si>
    <t>何新成</t>
  </si>
  <si>
    <t>克拉玛依区</t>
  </si>
  <si>
    <t>西环路94号</t>
  </si>
  <si>
    <t>克拉玛依西环核心</t>
  </si>
  <si>
    <t>世纪大道南加油站</t>
  </si>
  <si>
    <t>LF03</t>
  </si>
  <si>
    <t>1-A6501-C005-S003</t>
  </si>
  <si>
    <t>景锐</t>
  </si>
  <si>
    <t>世纪大道99号</t>
  </si>
  <si>
    <t>城南大型综合站</t>
  </si>
  <si>
    <t>LF04</t>
  </si>
  <si>
    <t>1-A6501-C005-S004</t>
  </si>
  <si>
    <t>李海梅</t>
  </si>
  <si>
    <t>胜利路38号</t>
  </si>
  <si>
    <t>克拉玛依城区核心站</t>
  </si>
  <si>
    <t>中心加油站</t>
  </si>
  <si>
    <t>LF0E</t>
  </si>
  <si>
    <t>1-A6501-C005-S011</t>
  </si>
  <si>
    <t>魏颖莉</t>
  </si>
  <si>
    <t>东郊路32号</t>
  </si>
  <si>
    <t>克拉玛依市中心站</t>
  </si>
  <si>
    <t>奎阿高速克南服务区北加油站</t>
  </si>
  <si>
    <t>LF1E</t>
  </si>
  <si>
    <t>1-A6501-C005-S033</t>
  </si>
  <si>
    <t>薛亚文</t>
  </si>
  <si>
    <t>奎阿高速公路1269号</t>
  </si>
  <si>
    <t>G3014高速服务区，南北疆要道</t>
  </si>
  <si>
    <t>奎阿高速克南服务区南加油站</t>
  </si>
  <si>
    <t>LF1F</t>
  </si>
  <si>
    <t>1-A6501-C005-S034</t>
  </si>
  <si>
    <t>奎阿高速公路1270号</t>
  </si>
  <si>
    <t>G3014高速服务区南站</t>
  </si>
  <si>
    <t>胜利路南加油站</t>
  </si>
  <si>
    <t>LF20</t>
  </si>
  <si>
    <t>1-A6501-C005-S043</t>
  </si>
  <si>
    <t>华锦梅</t>
  </si>
  <si>
    <t>胜利路13号</t>
  </si>
  <si>
    <t>克拉玛依城南节点</t>
  </si>
  <si>
    <t>克阿高速乌尔禾东加油站</t>
  </si>
  <si>
    <t>LF1G</t>
  </si>
  <si>
    <t>1-A6501-C005-S035</t>
  </si>
  <si>
    <t>杨鹏军</t>
  </si>
  <si>
    <t>乌尔禾区</t>
  </si>
  <si>
    <t>奎阿高速240公里处2400号</t>
  </si>
  <si>
    <t>魔鬼城方向高速站</t>
  </si>
  <si>
    <t>克阿高速乌尔禾西加油站</t>
  </si>
  <si>
    <t>LF1L</t>
  </si>
  <si>
    <t>1-A6501-C005-S037</t>
  </si>
  <si>
    <t>乌尔禾区服务区</t>
  </si>
  <si>
    <t>乌尔禾加油站</t>
  </si>
  <si>
    <t>LF0D</t>
  </si>
  <si>
    <t>1-A6501-C005-S010</t>
  </si>
  <si>
    <t>苗仲伟</t>
  </si>
  <si>
    <t>137团</t>
  </si>
  <si>
    <t>137团217国道以东</t>
  </si>
  <si>
    <t>魔鬼城景区节点站</t>
  </si>
  <si>
    <t>独库第一加油站</t>
  </si>
  <si>
    <t>LF0P</t>
  </si>
  <si>
    <t>1-A6501-C005-S021</t>
  </si>
  <si>
    <t>李海幸</t>
  </si>
  <si>
    <t>独山子区</t>
  </si>
  <si>
    <t>独山子区北京路甲4-8号</t>
  </si>
  <si>
    <t>距独库公路入口300米，独库自驾第一站</t>
  </si>
  <si>
    <t>独山子加油站</t>
  </si>
  <si>
    <t>LF0M</t>
  </si>
  <si>
    <t>1-A6501-C005-S019</t>
  </si>
  <si>
    <t>王文武</t>
  </si>
  <si>
    <t>韶山路21号</t>
  </si>
  <si>
    <t>独山子城区核心，独库公路补给</t>
  </si>
  <si>
    <t>韶山路加油站</t>
  </si>
  <si>
    <t>LF0N</t>
  </si>
  <si>
    <t>1-A6501-C005-S020</t>
  </si>
  <si>
    <t>韶山路16号</t>
  </si>
  <si>
    <t>独山子重要站</t>
  </si>
  <si>
    <t>独山子区城北加油站</t>
  </si>
  <si>
    <t>LF1W</t>
  </si>
  <si>
    <t>1-A6501-C005-S041</t>
  </si>
  <si>
    <t>王旭德</t>
  </si>
  <si>
    <t>新北区昆山路1661号</t>
  </si>
  <si>
    <t>独山子城北入口</t>
  </si>
  <si>
    <t>永盛路加油站</t>
  </si>
  <si>
    <t>LF0B</t>
  </si>
  <si>
    <t>1-A6501-C005-S008</t>
  </si>
  <si>
    <t>曾胜</t>
  </si>
  <si>
    <t>白碱滩区</t>
  </si>
  <si>
    <t>217国道以北2.8千米处</t>
  </si>
  <si>
    <t>白碱滩核心站</t>
  </si>
  <si>
    <t>迎春路加油站</t>
  </si>
  <si>
    <t>LF0C</t>
  </si>
  <si>
    <t>1-A6501-C005-S009</t>
  </si>
  <si>
    <t>杨良</t>
  </si>
  <si>
    <t>迎春路1号</t>
  </si>
  <si>
    <t>白碱滩要道站</t>
  </si>
  <si>
    <t>奎屯西区加油站</t>
  </si>
  <si>
    <t>LF0W</t>
  </si>
  <si>
    <t>1-A6501-C005-S027</t>
  </si>
  <si>
    <t>刘勇</t>
  </si>
  <si>
    <t>奎屯</t>
  </si>
  <si>
    <t>北京西路313区</t>
  </si>
  <si>
    <t>奎屯西核心站</t>
  </si>
  <si>
    <t>奎屯天北新区加油站</t>
  </si>
  <si>
    <t>LF17</t>
  </si>
  <si>
    <t>1-A6501-C005-S029</t>
  </si>
  <si>
    <t>孟涛</t>
  </si>
  <si>
    <t>天北经济技术开发区</t>
  </si>
  <si>
    <t>奎屯新区核心站</t>
  </si>
  <si>
    <t>博州9</t>
  </si>
  <si>
    <t>博州</t>
  </si>
  <si>
    <t>LK03</t>
  </si>
  <si>
    <t>1-A6501-C010-S002</t>
  </si>
  <si>
    <t>王红敏</t>
  </si>
  <si>
    <t>博乐片区</t>
  </si>
  <si>
    <t>博乐市北京南路472号</t>
  </si>
  <si>
    <t>赛里木湖方向要道</t>
  </si>
  <si>
    <t>LK05</t>
  </si>
  <si>
    <t>1-A6501-C010-S004</t>
  </si>
  <si>
    <t>刘娟</t>
  </si>
  <si>
    <t>新疆博乐市团结路4号</t>
  </si>
  <si>
    <t>博乐市中心站</t>
  </si>
  <si>
    <t>赛里木湖服务区南加油站</t>
  </si>
  <si>
    <t>LK14</t>
  </si>
  <si>
    <t>1-A6501-C010-S033</t>
  </si>
  <si>
    <t>李勇</t>
  </si>
  <si>
    <t>温泉片区</t>
  </si>
  <si>
    <t>G30高速赛里木湖南侧服务区</t>
  </si>
  <si>
    <t>赛里木湖服务区南站</t>
  </si>
  <si>
    <t>赛里木湖服务区北加油站</t>
  </si>
  <si>
    <t>LK15</t>
  </si>
  <si>
    <t>1-A6501-C010-S043</t>
  </si>
  <si>
    <t>G30高速赛里木湖北侧服务区</t>
  </si>
  <si>
    <t>赛里木湖服务区北站</t>
  </si>
  <si>
    <t>温泉县城加油站</t>
  </si>
  <si>
    <t>LK09</t>
  </si>
  <si>
    <t>1-A6501-C010-S008</t>
  </si>
  <si>
    <t>巴特尔</t>
  </si>
  <si>
    <t>温泉县博格达镇孟特克街</t>
  </si>
  <si>
    <t>温泉县核心站</t>
  </si>
  <si>
    <t>精河加油站</t>
  </si>
  <si>
    <t>LK0G</t>
  </si>
  <si>
    <t>1-A6501-C010-S015</t>
  </si>
  <si>
    <t>祝文彬</t>
  </si>
  <si>
    <t>精河片区</t>
  </si>
  <si>
    <t>精河县乌鲁木齐路19号</t>
  </si>
  <si>
    <t>精河城区核心站</t>
  </si>
  <si>
    <t>建江加油站</t>
  </si>
  <si>
    <t>LK0H</t>
  </si>
  <si>
    <t>1-A6501-C010-S016</t>
  </si>
  <si>
    <t>王金龙</t>
  </si>
  <si>
    <t>精河县八十二团路口</t>
  </si>
  <si>
    <t>精河区域节点</t>
  </si>
  <si>
    <t>五台南加油站</t>
  </si>
  <si>
    <t>LK0K</t>
  </si>
  <si>
    <t>1-A6501-C010-S019</t>
  </si>
  <si>
    <t>赵彩霞</t>
  </si>
  <si>
    <t>精河县五台收费站东</t>
  </si>
  <si>
    <t>G30五台服务区南</t>
  </si>
  <si>
    <t>五台北加油站</t>
  </si>
  <si>
    <t>LK0L</t>
  </si>
  <si>
    <t>1-A6501-C010-S020</t>
  </si>
  <si>
    <t>精河县五台收费站西</t>
  </si>
  <si>
    <t>G30五台服务区北</t>
  </si>
  <si>
    <t>石河子5</t>
  </si>
  <si>
    <t>石河子</t>
  </si>
  <si>
    <t>天山路加油加气站</t>
  </si>
  <si>
    <t>LD1F</t>
  </si>
  <si>
    <t>1-A6501-C003-S031</t>
  </si>
  <si>
    <t>范鲁文</t>
  </si>
  <si>
    <t>东城街道</t>
  </si>
  <si>
    <t>开发区天山路南侧、东七路西侧</t>
  </si>
  <si>
    <t>石河子南线大型综合站</t>
  </si>
  <si>
    <t>明珠加油站</t>
  </si>
  <si>
    <t>LD03</t>
  </si>
  <si>
    <t>1-A6501-C003-S002</t>
  </si>
  <si>
    <t>周建新</t>
  </si>
  <si>
    <t>老街街道</t>
  </si>
  <si>
    <t>312国道4315公里处北侧</t>
  </si>
  <si>
    <t>石河子G312节点站</t>
  </si>
  <si>
    <t>新城加油站</t>
  </si>
  <si>
    <t>LD02</t>
  </si>
  <si>
    <t>1-A6501-C003-S001</t>
  </si>
  <si>
    <t>毕亚鹏</t>
  </si>
  <si>
    <t>新城街道</t>
  </si>
  <si>
    <t>城区东环路123号</t>
  </si>
  <si>
    <t>石河子市中心站</t>
  </si>
  <si>
    <t>北六路加油站</t>
  </si>
  <si>
    <t>LD04</t>
  </si>
  <si>
    <t>1-A6501-C003-S003</t>
  </si>
  <si>
    <t>李松</t>
  </si>
  <si>
    <t>石河子市</t>
  </si>
  <si>
    <t>向阳街道</t>
  </si>
  <si>
    <t>北六路201号</t>
  </si>
  <si>
    <t>石河子北部重要站</t>
  </si>
  <si>
    <t>乌伊南加油站</t>
  </si>
  <si>
    <t>LD19</t>
  </si>
  <si>
    <t>1-A6501-C003-S021</t>
  </si>
  <si>
    <t>杨新成</t>
  </si>
  <si>
    <t>北一路21-1号</t>
  </si>
  <si>
    <t>石河子南部站</t>
  </si>
  <si>
    <t>克州3</t>
  </si>
  <si>
    <t>克州</t>
  </si>
  <si>
    <t>西极加油站</t>
  </si>
  <si>
    <t>LT0K</t>
  </si>
  <si>
    <t>1-A6501-C018-S016</t>
  </si>
  <si>
    <t>热孜耶古丽·阿卜杜热西提</t>
  </si>
  <si>
    <t>乌恰县</t>
  </si>
  <si>
    <t>康苏镇喀康路10号院</t>
  </si>
  <si>
    <t>中国西极打卡站，帕米尔旅游节点</t>
  </si>
  <si>
    <t>托帕加油站</t>
  </si>
  <si>
    <t>LT0L</t>
  </si>
  <si>
    <t>1-A6501-C018-S017</t>
  </si>
  <si>
    <t>张祖涛</t>
  </si>
  <si>
    <t>吐尔尕特口岸S309省道45公里处</t>
  </si>
  <si>
    <t>吐尔尕特口岸方向站</t>
  </si>
  <si>
    <t>LT0C</t>
  </si>
  <si>
    <t>1-A6501-C018-S008</t>
  </si>
  <si>
    <t>依马木·提力瓦尔地</t>
  </si>
  <si>
    <t>阿图什市</t>
  </si>
  <si>
    <t>松他克镇肖鲁克村乌喀东路11号</t>
  </si>
  <si>
    <t>阿图什核心站</t>
  </si>
  <si>
    <t>天润 优斯麦尔有机浓缩纯牛奶康美砖 250G（沙漠有机）</t>
    <phoneticPr fontId="100" type="noConversion"/>
  </si>
  <si>
    <t>优斯麦尔果汁1L（6款通用）</t>
    <phoneticPr fontId="100" type="noConversion"/>
  </si>
  <si>
    <t>好客蓝月亮薰衣草亮白增艳洗衣液3.08kg</t>
    <phoneticPr fontId="100" type="noConversion"/>
  </si>
  <si>
    <t>泸州老窖青酝头曲 500ml</t>
    <phoneticPr fontId="100" type="noConversion"/>
  </si>
  <si>
    <t>甘源 蟹黄蚕豆 75g</t>
    <phoneticPr fontId="100" type="noConversion"/>
  </si>
  <si>
    <t>无穷 盐焗鸡翅 15g</t>
    <phoneticPr fontId="100" type="noConversion"/>
  </si>
  <si>
    <t>红牛 250ML（2款通用）</t>
    <phoneticPr fontId="100" type="noConversion"/>
  </si>
  <si>
    <t>170元参天地（精酿）券（加226元换购2瓶）</t>
    <phoneticPr fontId="100" type="noConversion"/>
  </si>
  <si>
    <t>卧龙花椒锅巴麻辣味138g</t>
    <phoneticPr fontId="100" type="noConversion"/>
  </si>
  <si>
    <r>
      <t xml:space="preserve">【伊力特】会员用户消费：
</t>
    </r>
    <r>
      <rPr>
        <b/>
        <sz val="10"/>
        <rFont val="Segoe UI Symbol"/>
        <family val="2"/>
      </rPr>
      <t>①</t>
    </r>
    <r>
      <rPr>
        <b/>
        <sz val="10"/>
        <rFont val="方正仿宋简体"/>
        <charset val="134"/>
      </rPr>
      <t xml:space="preserve">伊力特46度（优斯麦尔佳藏）250ML，促销价116元/2瓶，赠1张12元非油券（满50元可用）；
</t>
    </r>
    <r>
      <rPr>
        <b/>
        <sz val="10"/>
        <rFont val="Segoe UI Symbol"/>
        <family val="2"/>
      </rPr>
      <t>②</t>
    </r>
    <r>
      <rPr>
        <b/>
        <sz val="10"/>
        <rFont val="方正仿宋简体"/>
        <charset val="134"/>
      </rPr>
      <t xml:space="preserve">伊力特46度（优斯麦尔佳藏）500ML，促销价216元/2瓶，赠1张12元非油券（满50元可用）；
</t>
    </r>
    <r>
      <rPr>
        <b/>
        <sz val="10"/>
        <rFont val="Segoe UI Symbol"/>
        <family val="2"/>
      </rPr>
      <t>③</t>
    </r>
    <r>
      <rPr>
        <b/>
        <sz val="10"/>
        <rFont val="方正仿宋简体"/>
        <charset val="134"/>
      </rPr>
      <t>伊力特52度（优斯麦尔礼藏）500ML，促销价516元/2瓶，赠2张12元非油券（满50元可用）；</t>
    </r>
    <phoneticPr fontId="100" type="noConversion"/>
  </si>
  <si>
    <t>36元自有品牌水1件-武夷山333ml/格桑泉500ml/格桑泉蓝格500ml</t>
    <phoneticPr fontId="100" type="noConversion"/>
  </si>
  <si>
    <t xml:space="preserve">15元好客壹生 纸面巾(软抽) 3包装 </t>
    <phoneticPr fontId="100" type="noConversion"/>
  </si>
  <si>
    <t>泉韵 苏打水 350ML</t>
    <phoneticPr fontId="100" type="noConversion"/>
  </si>
  <si>
    <t>蓝月亮茶清天然绿茶洗洁精1kg</t>
    <phoneticPr fontId="100" type="noConversion"/>
  </si>
  <si>
    <t>香烟消费满555元，赠1瓶 46度伊力特优斯麦尔（佳藏）250ML；
香烟消费满888元，赠1瓶 46度伊力特优斯麦尔（佳藏）500ML；
香烟满200元，赠2瓶优斯麦尔果汁/2个自有奶；
便利店商品满36元，赠1盒英九庄园茶叶/1个自有奶；
棉包膜消费9卷，赠2件伊力特（佳藏）250ml、1件M枕牛奶、4件红牛、100副手套。</t>
    <phoneticPr fontId="100" type="noConversion"/>
  </si>
  <si>
    <t>奥利奥 夹心云朵蛋糕粒粒草莓味4枚装 88g</t>
    <phoneticPr fontId="100" type="noConversion"/>
  </si>
  <si>
    <t>好客三酉 精酿98 750ML/好客三酉 艾尔92 500ML/好客三酉 精酿95 750ML</t>
    <phoneticPr fontId="100" type="noConversion"/>
  </si>
  <si>
    <t>好客壹生 纸面巾(软抽) 3包装3*120抽3层133mm*195mm/好客壹生 纸面巾(软抽) 单包装120抽3层133mm*195mm</t>
    <phoneticPr fontId="100" type="noConversion"/>
  </si>
  <si>
    <t>88元（得孚）汽车清洁养护商品现金券-MAX</t>
    <phoneticPr fontId="100" type="noConversion"/>
  </si>
  <si>
    <t>【9.9零食专柜】针对省区互采、集采亿滋、好丽友等品牌零食，开展9.9元专区销售。</t>
    <phoneticPr fontId="100" type="noConversion"/>
  </si>
  <si>
    <r>
      <t xml:space="preserve">【伊力特】购买整件优斯麦尔 46度伊力特（佳藏）250ml/500ml，赠100元汽油券2张（满201可用）；购买整件优斯麦尔 </t>
    </r>
    <r>
      <rPr>
        <b/>
        <sz val="10"/>
        <rFont val="Calibri"/>
        <family val="2"/>
      </rPr>
      <t>x</t>
    </r>
    <r>
      <rPr>
        <b/>
        <sz val="10"/>
        <rFont val="方正仿宋简体"/>
        <charset val="134"/>
      </rPr>
      <t>（礼藏） 500ml，赠100元汽油券4张（满201可用）；
【翼卡通】399元购买1张翼卡通（实体），赠2张100元汽油券（满101元可用）。</t>
    </r>
    <phoneticPr fontId="100" type="noConversion"/>
  </si>
  <si>
    <t>金龙鱼御品珍珠米5KG</t>
    <phoneticPr fontId="100" type="noConversion"/>
  </si>
  <si>
    <t>70365218</t>
    <phoneticPr fontId="100" type="noConversion"/>
  </si>
  <si>
    <t>70559369</t>
    <phoneticPr fontId="100" type="noConversion"/>
  </si>
  <si>
    <t>70559364</t>
    <phoneticPr fontId="100" type="noConversion"/>
  </si>
  <si>
    <t>70304619</t>
    <phoneticPr fontId="100" type="noConversion"/>
  </si>
  <si>
    <t>2袋惊爆价12.9元</t>
    <phoneticPr fontId="100" type="noConversion"/>
  </si>
  <si>
    <t>70656933</t>
    <phoneticPr fontId="100" type="noConversion"/>
  </si>
  <si>
    <t>【会员用户】680元购买整件酒（10瓶），赠100元汽油券2张（满201可用）；708元购买整件酒（6瓶），赠100元汽油券2张；1788元购买整件酒（6瓶），赠100元汽油券4张</t>
    <phoneticPr fontId="100" type="noConversion"/>
  </si>
  <si>
    <t>格桑泉 330ML（2款通用）</t>
    <phoneticPr fontId="100" type="noConversion"/>
  </si>
  <si>
    <t>棉包膜</t>
    <phoneticPr fontId="100" type="noConversion"/>
  </si>
  <si>
    <t>东鹏 特饮罐装 250ML</t>
    <phoneticPr fontId="100" type="noConversion"/>
  </si>
  <si>
    <t>昆仑好客福临门 压榨一级花生油 5L</t>
    <phoneticPr fontId="100" type="noConversion"/>
  </si>
  <si>
    <t>优斯麦尔 46度伊力特（佳藏） 250ML/优斯麦尔 46度伊力特（佳藏） 500ML/优斯麦尔 52度伊力特（礼藏） 500ML</t>
    <phoneticPr fontId="100" type="noConversion"/>
  </si>
  <si>
    <t>便利店商品满40元送-自有奶/昆仑好客＆英九庄园茶</t>
    <phoneticPr fontId="100" type="noConversion"/>
  </si>
  <si>
    <t>全品类</t>
    <phoneticPr fontId="100" type="noConversion"/>
  </si>
  <si>
    <t>香烟满200元-自有奶/248ml果汁</t>
    <phoneticPr fontId="100" type="noConversion"/>
  </si>
  <si>
    <t>优斯麦尔雪莲辣椒丝</t>
    <phoneticPr fontId="100" type="noConversion"/>
  </si>
  <si>
    <t>蛋黄派原味6P</t>
    <phoneticPr fontId="100" type="noConversion"/>
  </si>
  <si>
    <t>OCOCO 日式无蔗糖咸苏打饼干（浓爆香葱味+经典海盐味）280g</t>
    <phoneticPr fontId="100" type="noConversion"/>
  </si>
  <si>
    <t>优斯麦尔 南瓜籽酥</t>
    <phoneticPr fontId="100" type="noConversion"/>
  </si>
  <si>
    <t>卷心小面包</t>
    <phoneticPr fontId="100" type="noConversion"/>
  </si>
  <si>
    <t>咔滋客黄金玉米棒原味</t>
    <phoneticPr fontId="100" type="noConversion"/>
  </si>
  <si>
    <r>
      <t>新客、低频客户、小站客户电子券有效期60天；流失客户电子券有效期80天；汽油券满</t>
    </r>
    <r>
      <rPr>
        <b/>
        <sz val="10"/>
        <color rgb="FFFF0000"/>
        <rFont val="方正仿宋简体"/>
        <charset val="134"/>
      </rPr>
      <t>220</t>
    </r>
    <r>
      <rPr>
        <b/>
        <sz val="10"/>
        <color theme="1"/>
        <rFont val="方正仿宋简体"/>
        <charset val="134"/>
      </rPr>
      <t>元可用。核销规则：核销第一张券后派发第二张券，依次顺延，自第三张券起限昆仑e享卡支付。</t>
    </r>
    <phoneticPr fontId="10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</si>
</sst>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F400]h:mm:ss\ AM/PM"/>
    <numFmt numFmtId="177" formatCode="0.000_ "/>
    <numFmt numFmtId="178" formatCode="0.00_ "/>
    <numFmt numFmtId="179" formatCode="0.0_ "/>
    <numFmt numFmtId="180" formatCode="0_ "/>
    <numFmt numFmtId="181" formatCode="0.0%"/>
    <numFmt numFmtId="182" formatCode="0.00_);[Red]\(0.00\)"/>
    <numFmt numFmtId="183" formatCode="0_);[Red]\(0\)"/>
    <numFmt numFmtId="184" formatCode="#0.00"/>
  </numFmts>
  <fonts count="10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rgb="FF0F1115"/>
      <name val="微软雅黑"/>
      <charset val="134"/>
    </font>
    <font>
      <b/>
      <sz val="11"/>
      <color rgb="FF0F1115"/>
      <name val="微软雅黑"/>
      <charset val="134"/>
    </font>
    <font>
      <sz val="11"/>
      <color rgb="FF0F1115"/>
      <name val="微软雅黑"/>
      <charset val="134"/>
    </font>
    <font>
      <sz val="11"/>
      <color rgb="FFFF0000"/>
      <name val="宋体"/>
      <charset val="134"/>
      <scheme val="minor"/>
    </font>
    <font>
      <sz val="9"/>
      <color theme="1"/>
      <name val="宋体"/>
      <charset val="134"/>
    </font>
    <font>
      <b/>
      <sz val="16"/>
      <color theme="1"/>
      <name val="Microsoft YaHei"/>
      <charset val="134"/>
    </font>
    <font>
      <b/>
      <sz val="16"/>
      <color theme="1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b/>
      <sz val="11"/>
      <color rgb="FFFF0000"/>
      <name val="微软雅黑"/>
      <charset val="134"/>
    </font>
    <font>
      <b/>
      <sz val="1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8"/>
      <color theme="1"/>
      <name val="微软雅黑"/>
      <charset val="134"/>
    </font>
    <font>
      <b/>
      <sz val="22"/>
      <color theme="0"/>
      <name val="微软雅黑"/>
      <charset val="134"/>
    </font>
    <font>
      <b/>
      <sz val="14"/>
      <name val="微软雅黑"/>
      <charset val="134"/>
    </font>
    <font>
      <b/>
      <sz val="12"/>
      <name val="微软雅黑"/>
      <charset val="134"/>
    </font>
    <font>
      <b/>
      <sz val="14"/>
      <color rgb="FFFF0000"/>
      <name val="微软雅黑"/>
      <charset val="134"/>
    </font>
    <font>
      <b/>
      <sz val="16"/>
      <name val="微软雅黑"/>
      <charset val="134"/>
    </font>
    <font>
      <sz val="12"/>
      <color rgb="FFFF0000"/>
      <name val="微软雅黑"/>
      <charset val="134"/>
    </font>
    <font>
      <b/>
      <sz val="12"/>
      <color rgb="FFFFFF00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2"/>
      <color theme="0"/>
      <name val="微软雅黑"/>
      <charset val="134"/>
    </font>
    <font>
      <b/>
      <sz val="11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9"/>
      <name val="微软雅黑"/>
      <charset val="134"/>
    </font>
    <font>
      <sz val="9"/>
      <color rgb="FF00B050"/>
      <name val="微软雅黑"/>
      <charset val="134"/>
    </font>
    <font>
      <b/>
      <sz val="26"/>
      <color theme="0"/>
      <name val="微软雅黑"/>
      <charset val="134"/>
    </font>
    <font>
      <b/>
      <sz val="11"/>
      <color theme="0"/>
      <name val="微软雅黑"/>
      <charset val="134"/>
    </font>
    <font>
      <b/>
      <sz val="9"/>
      <color theme="0"/>
      <name val="微软雅黑"/>
      <charset val="134"/>
    </font>
    <font>
      <b/>
      <sz val="14"/>
      <color rgb="FF9E5FCF"/>
      <name val="微软雅黑"/>
      <charset val="134"/>
    </font>
    <font>
      <sz val="11"/>
      <color rgb="FFC00000"/>
      <name val="微软雅黑"/>
      <charset val="134"/>
    </font>
    <font>
      <sz val="10.5"/>
      <color rgb="FF606266"/>
      <name val="Helvetica"/>
      <family val="2"/>
    </font>
    <font>
      <sz val="11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4"/>
      <color rgb="FFD3B9EA"/>
      <name val="微软雅黑"/>
      <charset val="134"/>
    </font>
    <font>
      <sz val="36"/>
      <color theme="1"/>
      <name val="微软雅黑"/>
      <charset val="134"/>
    </font>
    <font>
      <b/>
      <sz val="14"/>
      <color rgb="FFC00000"/>
      <name val="微软雅黑"/>
      <charset val="134"/>
    </font>
    <font>
      <b/>
      <sz val="48"/>
      <color rgb="FFC00000"/>
      <name val="微软雅黑"/>
      <charset val="134"/>
    </font>
    <font>
      <b/>
      <sz val="11"/>
      <color rgb="FFC00000"/>
      <name val="微软雅黑"/>
      <charset val="134"/>
    </font>
    <font>
      <b/>
      <sz val="14"/>
      <color rgb="FF00B050"/>
      <name val="微软雅黑"/>
      <charset val="134"/>
    </font>
    <font>
      <b/>
      <sz val="48"/>
      <color rgb="FF00B050"/>
      <name val="微软雅黑"/>
      <charset val="134"/>
    </font>
    <font>
      <b/>
      <sz val="16"/>
      <color rgb="FF00B050"/>
      <name val="微软雅黑"/>
      <charset val="134"/>
    </font>
    <font>
      <b/>
      <sz val="14"/>
      <color rgb="FF7030A0"/>
      <name val="微软雅黑"/>
      <charset val="134"/>
    </font>
    <font>
      <b/>
      <sz val="48"/>
      <color rgb="FF7030A0"/>
      <name val="微软雅黑"/>
      <charset val="134"/>
    </font>
    <font>
      <b/>
      <sz val="48"/>
      <color rgb="FFD3B9EA"/>
      <name val="微软雅黑"/>
      <charset val="134"/>
    </font>
    <font>
      <b/>
      <sz val="20"/>
      <color theme="1"/>
      <name val="微软雅黑"/>
      <charset val="134"/>
    </font>
    <font>
      <b/>
      <sz val="11"/>
      <color rgb="FFFFFFFF"/>
      <name val="微软雅黑"/>
      <charset val="134"/>
    </font>
    <font>
      <b/>
      <sz val="26"/>
      <color rgb="FFD0FFFF"/>
      <name val="微软雅黑"/>
      <charset val="134"/>
    </font>
    <font>
      <b/>
      <sz val="14"/>
      <color rgb="FF10A0E0"/>
      <name val="微软雅黑"/>
      <charset val="134"/>
    </font>
    <font>
      <b/>
      <sz val="14"/>
      <color rgb="FF000000"/>
      <name val="微软雅黑"/>
      <charset val="134"/>
    </font>
    <font>
      <sz val="11"/>
      <color rgb="FFC02020"/>
      <name val="微软雅黑"/>
      <charset val="134"/>
    </font>
    <font>
      <sz val="26"/>
      <color rgb="FF000000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26"/>
      <color rgb="FFFFFFFF"/>
      <name val="微软雅黑"/>
      <charset val="134"/>
    </font>
    <font>
      <b/>
      <sz val="26"/>
      <color rgb="FFB0FFFF"/>
      <name val="微软雅黑"/>
      <charset val="134"/>
    </font>
    <font>
      <b/>
      <sz val="14"/>
      <color rgb="FF00B0F0"/>
      <name val="微软雅黑"/>
      <charset val="134"/>
    </font>
    <font>
      <b/>
      <sz val="11"/>
      <color theme="1"/>
      <name val="方正仿宋简体"/>
      <charset val="134"/>
    </font>
    <font>
      <b/>
      <sz val="10"/>
      <color theme="1"/>
      <name val="方正仿宋简体"/>
      <charset val="134"/>
    </font>
    <font>
      <sz val="12"/>
      <color theme="1"/>
      <name val="方正黑体简体"/>
      <family val="3"/>
      <charset val="134"/>
    </font>
    <font>
      <b/>
      <sz val="10"/>
      <name val="方正仿宋简体"/>
      <charset val="134"/>
    </font>
    <font>
      <b/>
      <sz val="10"/>
      <color rgb="FFFF0000"/>
      <name val="方正仿宋简体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color theme="1"/>
      <name val="Arial"/>
      <family val="2"/>
    </font>
    <font>
      <b/>
      <sz val="8"/>
      <color rgb="FFFFFF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0"/>
      <color rgb="FF00B050"/>
      <name val="微软雅黑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4"/>
      <color rgb="FFC00000"/>
      <name val="微软雅黑"/>
      <family val="2"/>
      <charset val="134"/>
    </font>
    <font>
      <b/>
      <sz val="14"/>
      <name val="微软雅黑"/>
      <family val="2"/>
      <charset val="134"/>
    </font>
    <font>
      <b/>
      <sz val="12"/>
      <color rgb="FFFFFF00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name val="微软雅黑"/>
      <family val="2"/>
      <charset val="134"/>
    </font>
    <font>
      <b/>
      <sz val="14"/>
      <color rgb="FFFF0000"/>
      <name val="微软雅黑"/>
      <family val="2"/>
      <charset val="134"/>
    </font>
    <font>
      <b/>
      <sz val="12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name val="微软雅黑"/>
      <family val="2"/>
      <charset val="134"/>
    </font>
    <font>
      <sz val="1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0"/>
      <name val="Segoe UI Symbol"/>
      <family val="2"/>
    </font>
    <font>
      <b/>
      <sz val="10"/>
      <name val="Calibri"/>
      <family val="2"/>
    </font>
    <font>
      <sz val="12"/>
      <color theme="1"/>
      <name val="微软雅黑"/>
      <family val="2"/>
      <charset val="134"/>
    </font>
  </fonts>
  <fills count="1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DE1FC"/>
        <bgColor rgb="FFCDE1FC"/>
      </patternFill>
    </fill>
    <fill>
      <patternFill patternType="solid">
        <fgColor rgb="FF7030A0"/>
        <bgColor indexed="64"/>
      </patternFill>
    </fill>
    <fill>
      <patternFill patternType="solid">
        <fgColor rgb="FFD3B9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5">
    <xf numFmtId="0" fontId="0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176" fontId="81" fillId="0" borderId="0"/>
    <xf numFmtId="0" fontId="89" fillId="0" borderId="0">
      <alignment vertical="center"/>
    </xf>
    <xf numFmtId="0" fontId="82" fillId="0" borderId="0">
      <protection locked="0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1" fillId="0" borderId="0">
      <alignment vertical="center"/>
    </xf>
    <xf numFmtId="0" fontId="89" fillId="0" borderId="0"/>
    <xf numFmtId="0" fontId="89" fillId="0" borderId="0">
      <alignment vertical="center"/>
    </xf>
    <xf numFmtId="176" fontId="89" fillId="0" borderId="0">
      <alignment vertical="center"/>
    </xf>
    <xf numFmtId="0" fontId="89" fillId="0" borderId="0">
      <alignment vertical="center"/>
    </xf>
    <xf numFmtId="0" fontId="83" fillId="0" borderId="0"/>
    <xf numFmtId="0" fontId="89" fillId="0" borderId="0">
      <alignment vertical="center"/>
    </xf>
  </cellStyleXfs>
  <cellXfs count="5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0" fontId="11" fillId="0" borderId="1" xfId="9" applyFont="1" applyBorder="1" applyAlignment="1">
      <alignment horizontal="center" vertical="center"/>
    </xf>
    <xf numFmtId="179" fontId="5" fillId="0" borderId="0" xfId="0" applyNumberFormat="1" applyFont="1">
      <alignment vertical="center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178" fontId="12" fillId="0" borderId="2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178" fontId="11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9" applyFont="1" applyBorder="1" applyAlignment="1">
      <alignment horizontal="left" vertical="center" wrapText="1"/>
    </xf>
    <xf numFmtId="0" fontId="11" fillId="0" borderId="1" xfId="9" applyFont="1" applyBorder="1" applyAlignment="1">
      <alignment horizontal="left" vertical="center" wrapText="1"/>
    </xf>
    <xf numFmtId="49" fontId="13" fillId="0" borderId="1" xfId="0" applyNumberFormat="1" applyFont="1" applyBorder="1" applyAlignment="1">
      <alignment horizontal="center" vertical="center"/>
    </xf>
    <xf numFmtId="178" fontId="12" fillId="0" borderId="1" xfId="9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11" fillId="0" borderId="2" xfId="9" applyFont="1" applyBorder="1" applyAlignment="1">
      <alignment horizontal="left" vertical="center" wrapText="1"/>
    </xf>
    <xf numFmtId="178" fontId="12" fillId="0" borderId="2" xfId="9" applyNumberFormat="1" applyFont="1" applyBorder="1" applyAlignment="1">
      <alignment horizontal="center" vertical="center"/>
    </xf>
    <xf numFmtId="0" fontId="11" fillId="0" borderId="2" xfId="9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4" fillId="0" borderId="0" xfId="0" applyFont="1">
      <alignment vertical="center"/>
    </xf>
    <xf numFmtId="9" fontId="0" fillId="0" borderId="0" xfId="0" applyNumberForma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178" fontId="16" fillId="0" borderId="1" xfId="0" applyNumberFormat="1" applyFont="1" applyBorder="1" applyAlignment="1">
      <alignment horizontal="center" vertical="center" wrapText="1"/>
    </xf>
    <xf numFmtId="9" fontId="16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 wrapText="1"/>
    </xf>
    <xf numFmtId="181" fontId="18" fillId="0" borderId="8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left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>
      <alignment vertical="center"/>
    </xf>
    <xf numFmtId="0" fontId="18" fillId="0" borderId="1" xfId="0" applyFont="1" applyBorder="1" applyAlignment="1">
      <alignment horizontal="left" vertical="center" wrapText="1"/>
    </xf>
    <xf numFmtId="49" fontId="18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182" fontId="11" fillId="0" borderId="1" xfId="0" applyNumberFormat="1" applyFont="1" applyBorder="1" applyAlignment="1">
      <alignment horizontal="center" vertical="center" wrapText="1"/>
    </xf>
    <xf numFmtId="180" fontId="11" fillId="0" borderId="1" xfId="0" applyNumberFormat="1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81" fontId="11" fillId="0" borderId="2" xfId="0" applyNumberFormat="1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2" fontId="21" fillId="0" borderId="0" xfId="0" applyNumberFormat="1" applyFont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181" fontId="11" fillId="0" borderId="4" xfId="0" applyNumberFormat="1" applyFont="1" applyBorder="1" applyAlignment="1">
      <alignment horizontal="center" vertical="center" wrapText="1"/>
    </xf>
    <xf numFmtId="180" fontId="12" fillId="0" borderId="1" xfId="0" applyNumberFormat="1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182" fontId="12" fillId="0" borderId="1" xfId="0" applyNumberFormat="1" applyFont="1" applyBorder="1" applyAlignment="1">
      <alignment horizontal="center" vertical="center" wrapText="1"/>
    </xf>
    <xf numFmtId="178" fontId="12" fillId="0" borderId="4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181" fontId="11" fillId="0" borderId="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 wrapText="1"/>
    </xf>
    <xf numFmtId="178" fontId="12" fillId="0" borderId="7" xfId="0" applyNumberFormat="1" applyFont="1" applyBorder="1" applyAlignment="1">
      <alignment horizontal="center" vertical="center" wrapText="1"/>
    </xf>
    <xf numFmtId="181" fontId="11" fillId="0" borderId="7" xfId="0" applyNumberFormat="1" applyFont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181" fontId="12" fillId="0" borderId="1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9" fontId="12" fillId="0" borderId="4" xfId="0" applyNumberFormat="1" applyFont="1" applyBorder="1" applyAlignment="1">
      <alignment horizontal="center" vertical="center" wrapText="1"/>
    </xf>
    <xf numFmtId="0" fontId="12" fillId="0" borderId="1" xfId="0" applyFont="1" applyBorder="1">
      <alignment vertical="center"/>
    </xf>
    <xf numFmtId="0" fontId="12" fillId="0" borderId="7" xfId="0" applyFont="1" applyBorder="1">
      <alignment vertical="center"/>
    </xf>
    <xf numFmtId="0" fontId="12" fillId="0" borderId="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9" fillId="5" borderId="15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 wrapText="1"/>
    </xf>
    <xf numFmtId="49" fontId="29" fillId="5" borderId="1" xfId="0" applyNumberFormat="1" applyFont="1" applyFill="1" applyBorder="1" applyAlignment="1">
      <alignment horizontal="center" vertical="center" wrapText="1"/>
    </xf>
    <xf numFmtId="0" fontId="25" fillId="5" borderId="16" xfId="0" applyFont="1" applyFill="1" applyBorder="1" applyAlignment="1">
      <alignment horizontal="center" vertical="center" wrapText="1"/>
    </xf>
    <xf numFmtId="180" fontId="30" fillId="0" borderId="15" xfId="0" applyNumberFormat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178" fontId="25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49" fontId="25" fillId="0" borderId="1" xfId="0" applyNumberFormat="1" applyFont="1" applyBorder="1" applyAlignment="1">
      <alignment horizontal="center" vertical="center" wrapText="1"/>
    </xf>
    <xf numFmtId="0" fontId="29" fillId="0" borderId="16" xfId="0" applyFont="1" applyBorder="1" applyAlignment="1">
      <alignment horizontal="left" vertical="center" wrapText="1"/>
    </xf>
    <xf numFmtId="182" fontId="26" fillId="0" borderId="0" xfId="0" applyNumberFormat="1" applyFont="1" applyAlignment="1">
      <alignment horizontal="center" vertical="center" wrapText="1"/>
    </xf>
    <xf numFmtId="178" fontId="29" fillId="0" borderId="1" xfId="0" applyNumberFormat="1" applyFont="1" applyBorder="1" applyAlignment="1">
      <alignment horizontal="center" vertical="center" wrapText="1"/>
    </xf>
    <xf numFmtId="180" fontId="30" fillId="0" borderId="17" xfId="0" applyNumberFormat="1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left" vertical="center" wrapText="1"/>
    </xf>
    <xf numFmtId="0" fontId="32" fillId="0" borderId="15" xfId="0" applyFont="1" applyBorder="1" applyAlignment="1">
      <alignment horizontal="center" vertical="center" wrapText="1"/>
    </xf>
    <xf numFmtId="178" fontId="22" fillId="0" borderId="1" xfId="0" applyNumberFormat="1" applyFont="1" applyBorder="1" applyAlignment="1">
      <alignment horizontal="center" vertical="center" wrapText="1"/>
    </xf>
    <xf numFmtId="49" fontId="23" fillId="0" borderId="1" xfId="0" applyNumberFormat="1" applyFont="1" applyBorder="1" applyAlignment="1">
      <alignment horizontal="center" vertical="center" wrapText="1"/>
    </xf>
    <xf numFmtId="49" fontId="30" fillId="0" borderId="1" xfId="0" applyNumberFormat="1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178" fontId="23" fillId="0" borderId="1" xfId="0" applyNumberFormat="1" applyFont="1" applyBorder="1" applyAlignment="1">
      <alignment horizontal="center" vertical="center" wrapText="1"/>
    </xf>
    <xf numFmtId="181" fontId="23" fillId="0" borderId="1" xfId="0" applyNumberFormat="1" applyFont="1" applyBorder="1" applyAlignment="1">
      <alignment horizontal="center" vertical="center" wrapText="1"/>
    </xf>
    <xf numFmtId="0" fontId="30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30" fillId="0" borderId="16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left" vertical="center" wrapText="1"/>
    </xf>
    <xf numFmtId="181" fontId="22" fillId="0" borderId="1" xfId="1" applyNumberFormat="1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center" vertical="center" wrapText="1"/>
    </xf>
    <xf numFmtId="2" fontId="22" fillId="0" borderId="1" xfId="0" applyNumberFormat="1" applyFont="1" applyBorder="1" applyAlignment="1">
      <alignment horizontal="left" vertical="center" wrapText="1"/>
    </xf>
    <xf numFmtId="2" fontId="22" fillId="0" borderId="16" xfId="0" applyNumberFormat="1" applyFont="1" applyBorder="1" applyAlignment="1">
      <alignment horizontal="left" vertical="center" wrapText="1"/>
    </xf>
    <xf numFmtId="49" fontId="22" fillId="0" borderId="1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22" fillId="0" borderId="1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 wrapText="1"/>
    </xf>
    <xf numFmtId="181" fontId="33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9" fontId="23" fillId="0" borderId="1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49" fontId="23" fillId="0" borderId="18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left" vertical="center" wrapText="1"/>
    </xf>
    <xf numFmtId="49" fontId="22" fillId="0" borderId="18" xfId="0" applyNumberFormat="1" applyFont="1" applyBorder="1" applyAlignment="1">
      <alignment horizontal="center" vertical="center" wrapText="1"/>
    </xf>
    <xf numFmtId="178" fontId="23" fillId="0" borderId="18" xfId="0" applyNumberFormat="1" applyFont="1" applyBorder="1" applyAlignment="1">
      <alignment horizontal="center" vertical="center" wrapText="1"/>
    </xf>
    <xf numFmtId="181" fontId="23" fillId="0" borderId="18" xfId="0" applyNumberFormat="1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17" fillId="5" borderId="1" xfId="0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183" fontId="10" fillId="7" borderId="1" xfId="0" applyNumberFormat="1" applyFont="1" applyFill="1" applyBorder="1" applyAlignment="1">
      <alignment horizontal="center" vertical="center" wrapText="1"/>
    </xf>
    <xf numFmtId="178" fontId="10" fillId="7" borderId="1" xfId="0" applyNumberFormat="1" applyFont="1" applyFill="1" applyBorder="1" applyAlignment="1">
      <alignment horizontal="center" vertical="center" wrapText="1"/>
    </xf>
    <xf numFmtId="181" fontId="10" fillId="7" borderId="1" xfId="0" applyNumberFormat="1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82" fontId="22" fillId="0" borderId="0" xfId="0" applyNumberFormat="1" applyFont="1" applyAlignment="1">
      <alignment horizontal="center" vertical="center" wrapText="1"/>
    </xf>
    <xf numFmtId="182" fontId="10" fillId="7" borderId="1" xfId="0" applyNumberFormat="1" applyFont="1" applyFill="1" applyBorder="1" applyAlignment="1">
      <alignment horizontal="center" vertical="center" wrapText="1"/>
    </xf>
    <xf numFmtId="181" fontId="10" fillId="7" borderId="1" xfId="1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5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10" fillId="0" borderId="1" xfId="0" applyNumberFormat="1" applyFont="1" applyBorder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180" fontId="36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vertical="center" wrapText="1"/>
    </xf>
    <xf numFmtId="178" fontId="37" fillId="0" borderId="0" xfId="0" applyNumberFormat="1" applyFont="1" applyAlignment="1">
      <alignment horizontal="center" vertical="center" wrapText="1"/>
    </xf>
    <xf numFmtId="49" fontId="9" fillId="0" borderId="2" xfId="0" applyNumberFormat="1" applyFont="1" applyBorder="1" applyAlignment="1">
      <alignment horizontal="left" vertical="center" wrapText="1"/>
    </xf>
    <xf numFmtId="181" fontId="12" fillId="0" borderId="2" xfId="1" applyNumberFormat="1" applyFont="1" applyFill="1" applyBorder="1" applyAlignment="1">
      <alignment horizontal="center" vertical="center" wrapText="1"/>
    </xf>
    <xf numFmtId="0" fontId="36" fillId="0" borderId="0" xfId="0" applyFont="1">
      <alignment vertical="center"/>
    </xf>
    <xf numFmtId="49" fontId="23" fillId="0" borderId="0" xfId="0" applyNumberFormat="1" applyFont="1" applyAlignment="1">
      <alignment horizontal="center" vertical="center" wrapText="1"/>
    </xf>
    <xf numFmtId="182" fontId="10" fillId="0" borderId="2" xfId="0" applyNumberFormat="1" applyFont="1" applyBorder="1" applyAlignment="1">
      <alignment horizontal="left" vertical="center" wrapText="1"/>
    </xf>
    <xf numFmtId="0" fontId="17" fillId="0" borderId="0" xfId="0" applyFont="1">
      <alignment vertical="center"/>
    </xf>
    <xf numFmtId="0" fontId="38" fillId="8" borderId="12" xfId="0" applyFont="1" applyFill="1" applyBorder="1" applyAlignment="1">
      <alignment horizontal="center" vertical="center" wrapText="1"/>
    </xf>
    <xf numFmtId="0" fontId="38" fillId="8" borderId="13" xfId="0" applyFont="1" applyFill="1" applyBorder="1" applyAlignment="1">
      <alignment horizontal="center" vertical="center" wrapText="1"/>
    </xf>
    <xf numFmtId="0" fontId="38" fillId="8" borderId="14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41" fillId="0" borderId="16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1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left" vertical="center" wrapText="1"/>
    </xf>
    <xf numFmtId="0" fontId="41" fillId="0" borderId="19" xfId="0" applyFont="1" applyBorder="1" applyAlignment="1">
      <alignment horizontal="center" vertical="center" wrapText="1"/>
    </xf>
    <xf numFmtId="0" fontId="46" fillId="9" borderId="13" xfId="10" applyFont="1" applyFill="1" applyBorder="1">
      <alignment vertical="center"/>
    </xf>
    <xf numFmtId="0" fontId="47" fillId="9" borderId="13" xfId="10" applyFont="1" applyFill="1" applyBorder="1">
      <alignment vertical="center"/>
    </xf>
    <xf numFmtId="0" fontId="46" fillId="9" borderId="14" xfId="10" applyFont="1" applyFill="1" applyBorder="1" applyAlignment="1">
      <alignment horizontal="center" vertical="center"/>
    </xf>
    <xf numFmtId="0" fontId="29" fillId="0" borderId="0" xfId="10" applyFont="1" applyAlignment="1">
      <alignment horizontal="center" vertical="center" wrapText="1"/>
    </xf>
    <xf numFmtId="0" fontId="1" fillId="0" borderId="1" xfId="10" applyFont="1" applyBorder="1">
      <alignment vertical="center"/>
    </xf>
    <xf numFmtId="0" fontId="17" fillId="0" borderId="1" xfId="10" applyFont="1" applyBorder="1" applyAlignment="1">
      <alignment horizontal="center" vertical="center"/>
    </xf>
    <xf numFmtId="0" fontId="1" fillId="0" borderId="16" xfId="10" applyFont="1" applyBorder="1" applyAlignment="1">
      <alignment horizontal="center" vertical="center"/>
    </xf>
    <xf numFmtId="0" fontId="50" fillId="0" borderId="0" xfId="0" applyFont="1">
      <alignment vertical="center"/>
    </xf>
    <xf numFmtId="0" fontId="18" fillId="0" borderId="1" xfId="10" applyFont="1" applyBorder="1">
      <alignment vertical="center"/>
    </xf>
    <xf numFmtId="0" fontId="17" fillId="3" borderId="1" xfId="10" applyFont="1" applyFill="1" applyBorder="1" applyAlignment="1">
      <alignment horizontal="center" vertical="center"/>
    </xf>
    <xf numFmtId="0" fontId="1" fillId="3" borderId="16" xfId="10" applyFont="1" applyFill="1" applyBorder="1" applyAlignment="1">
      <alignment horizontal="center" vertical="center"/>
    </xf>
    <xf numFmtId="0" fontId="16" fillId="0" borderId="1" xfId="10" applyFont="1" applyBorder="1" applyAlignment="1">
      <alignment horizontal="center" vertical="center"/>
    </xf>
    <xf numFmtId="0" fontId="18" fillId="0" borderId="16" xfId="10" applyFont="1" applyBorder="1" applyAlignment="1">
      <alignment horizontal="center" vertical="center"/>
    </xf>
    <xf numFmtId="0" fontId="1" fillId="0" borderId="1" xfId="10" applyFont="1" applyBorder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1" fillId="0" borderId="1" xfId="10" applyFont="1" applyBorder="1">
      <alignment vertical="center"/>
    </xf>
    <xf numFmtId="0" fontId="52" fillId="0" borderId="1" xfId="10" applyFont="1" applyBorder="1" applyAlignment="1">
      <alignment horizontal="center" vertical="center"/>
    </xf>
    <xf numFmtId="0" fontId="51" fillId="0" borderId="16" xfId="10" applyFont="1" applyBorder="1" applyAlignment="1">
      <alignment horizontal="center" vertical="center"/>
    </xf>
    <xf numFmtId="0" fontId="46" fillId="10" borderId="1" xfId="10" applyFont="1" applyFill="1" applyBorder="1">
      <alignment vertical="center"/>
    </xf>
    <xf numFmtId="0" fontId="46" fillId="10" borderId="16" xfId="10" applyFont="1" applyFill="1" applyBorder="1" applyAlignment="1">
      <alignment horizontal="center" vertical="center"/>
    </xf>
    <xf numFmtId="0" fontId="51" fillId="0" borderId="18" xfId="10" applyFont="1" applyBorder="1">
      <alignment vertical="center"/>
    </xf>
    <xf numFmtId="0" fontId="52" fillId="0" borderId="18" xfId="10" applyFont="1" applyBorder="1" applyAlignment="1">
      <alignment horizontal="center" vertical="center"/>
    </xf>
    <xf numFmtId="0" fontId="51" fillId="0" borderId="19" xfId="10" applyFont="1" applyBorder="1" applyAlignment="1">
      <alignment horizontal="center" vertical="center"/>
    </xf>
    <xf numFmtId="0" fontId="1" fillId="0" borderId="0" xfId="10" applyFont="1">
      <alignment vertical="center"/>
    </xf>
    <xf numFmtId="0" fontId="54" fillId="0" borderId="0" xfId="10" applyFont="1" applyAlignment="1">
      <alignment horizontal="center" vertical="center"/>
    </xf>
    <xf numFmtId="0" fontId="1" fillId="0" borderId="0" xfId="10" applyFont="1" applyAlignment="1">
      <alignment horizontal="left" vertical="center"/>
    </xf>
    <xf numFmtId="0" fontId="1" fillId="0" borderId="0" xfId="10" applyFont="1" applyAlignment="1">
      <alignment horizontal="center" vertical="center"/>
    </xf>
    <xf numFmtId="0" fontId="1" fillId="0" borderId="0" xfId="10" applyFont="1" applyAlignment="1">
      <alignment horizontal="left" vertical="center" wrapText="1"/>
    </xf>
    <xf numFmtId="0" fontId="17" fillId="0" borderId="0" xfId="10" applyFont="1">
      <alignment vertical="center"/>
    </xf>
    <xf numFmtId="0" fontId="46" fillId="6" borderId="1" xfId="10" applyFont="1" applyFill="1" applyBorder="1" applyAlignment="1">
      <alignment horizontal="center" vertical="center"/>
    </xf>
    <xf numFmtId="0" fontId="46" fillId="6" borderId="1" xfId="10" applyFont="1" applyFill="1" applyBorder="1" applyAlignment="1">
      <alignment horizontal="left" vertical="center"/>
    </xf>
    <xf numFmtId="181" fontId="24" fillId="0" borderId="0" xfId="10" applyNumberFormat="1" applyFont="1" applyAlignment="1">
      <alignment horizontal="left" vertical="center"/>
    </xf>
    <xf numFmtId="0" fontId="49" fillId="0" borderId="1" xfId="10" applyFont="1" applyBorder="1" applyAlignment="1">
      <alignment horizontal="center" vertical="center" wrapText="1"/>
    </xf>
    <xf numFmtId="0" fontId="1" fillId="0" borderId="1" xfId="10" applyFont="1" applyBorder="1" applyAlignment="1">
      <alignment horizontal="left" vertical="center" wrapText="1"/>
    </xf>
    <xf numFmtId="0" fontId="49" fillId="0" borderId="1" xfId="10" applyFont="1" applyBorder="1" applyAlignment="1">
      <alignment horizontal="center" vertical="center"/>
    </xf>
    <xf numFmtId="0" fontId="18" fillId="0" borderId="1" xfId="10" applyFont="1" applyBorder="1" applyAlignment="1">
      <alignment horizontal="center" vertical="center"/>
    </xf>
    <xf numFmtId="17" fontId="1" fillId="0" borderId="0" xfId="10" applyNumberFormat="1" applyFont="1">
      <alignment vertical="center"/>
    </xf>
    <xf numFmtId="0" fontId="1" fillId="0" borderId="1" xfId="10" applyFont="1" applyBorder="1" applyAlignment="1">
      <alignment horizontal="center" vertical="center"/>
    </xf>
    <xf numFmtId="0" fontId="49" fillId="11" borderId="1" xfId="10" applyFont="1" applyFill="1" applyBorder="1">
      <alignment vertical="center"/>
    </xf>
    <xf numFmtId="0" fontId="57" fillId="11" borderId="1" xfId="10" applyFont="1" applyFill="1" applyBorder="1" applyAlignment="1">
      <alignment horizontal="center" vertical="center"/>
    </xf>
    <xf numFmtId="0" fontId="49" fillId="11" borderId="1" xfId="10" applyFont="1" applyFill="1" applyBorder="1" applyAlignment="1">
      <alignment horizontal="center" vertical="center"/>
    </xf>
    <xf numFmtId="0" fontId="46" fillId="11" borderId="0" xfId="10" applyFont="1" applyFill="1">
      <alignment vertical="center"/>
    </xf>
    <xf numFmtId="0" fontId="55" fillId="0" borderId="0" xfId="10" applyFont="1" applyAlignment="1">
      <alignment horizontal="center" vertical="center" wrapText="1"/>
    </xf>
    <xf numFmtId="0" fontId="49" fillId="0" borderId="0" xfId="10" applyFont="1">
      <alignment vertical="center"/>
    </xf>
    <xf numFmtId="0" fontId="57" fillId="0" borderId="0" xfId="10" applyFont="1" applyAlignment="1">
      <alignment horizontal="center" vertical="center"/>
    </xf>
    <xf numFmtId="0" fontId="49" fillId="0" borderId="0" xfId="10" applyFont="1" applyAlignment="1">
      <alignment horizontal="center" vertical="center"/>
    </xf>
    <xf numFmtId="0" fontId="24" fillId="0" borderId="0" xfId="10" applyFont="1">
      <alignment vertical="center"/>
    </xf>
    <xf numFmtId="0" fontId="56" fillId="0" borderId="0" xfId="10" applyFont="1" applyAlignment="1">
      <alignment horizontal="center" vertical="center" wrapText="1"/>
    </xf>
    <xf numFmtId="0" fontId="1" fillId="0" borderId="1" xfId="10" applyFont="1" applyBorder="1" applyAlignment="1">
      <alignment vertical="center" wrapText="1"/>
    </xf>
    <xf numFmtId="9" fontId="1" fillId="0" borderId="0" xfId="1" applyFont="1" applyFill="1" applyBorder="1" applyAlignment="1" applyProtection="1">
      <alignment vertical="center"/>
    </xf>
    <xf numFmtId="0" fontId="49" fillId="0" borderId="1" xfId="10" applyFont="1" applyBorder="1">
      <alignment vertical="center"/>
    </xf>
    <xf numFmtId="0" fontId="57" fillId="0" borderId="1" xfId="10" applyFont="1" applyBorder="1" applyAlignment="1">
      <alignment horizontal="center" vertical="center"/>
    </xf>
    <xf numFmtId="0" fontId="46" fillId="4" borderId="1" xfId="10" applyFont="1" applyFill="1" applyBorder="1" applyAlignment="1">
      <alignment horizontal="center" vertical="center"/>
    </xf>
    <xf numFmtId="0" fontId="46" fillId="4" borderId="1" xfId="10" applyFont="1" applyFill="1" applyBorder="1" applyAlignment="1">
      <alignment horizontal="left" vertical="center"/>
    </xf>
    <xf numFmtId="181" fontId="24" fillId="0" borderId="0" xfId="1" applyNumberFormat="1" applyFont="1" applyFill="1" applyBorder="1" applyAlignment="1" applyProtection="1">
      <alignment horizontal="left" vertical="center" wrapText="1"/>
    </xf>
    <xf numFmtId="0" fontId="1" fillId="3" borderId="1" xfId="10" applyFont="1" applyFill="1" applyBorder="1">
      <alignment vertical="center"/>
    </xf>
    <xf numFmtId="0" fontId="60" fillId="0" borderId="0" xfId="10" applyFont="1" applyAlignment="1">
      <alignment horizontal="left" vertical="center" wrapText="1"/>
    </xf>
    <xf numFmtId="0" fontId="1" fillId="3" borderId="1" xfId="10" applyFont="1" applyFill="1" applyBorder="1" applyAlignment="1">
      <alignment horizontal="center" vertical="center"/>
    </xf>
    <xf numFmtId="0" fontId="18" fillId="3" borderId="1" xfId="10" applyFont="1" applyFill="1" applyBorder="1">
      <alignment vertical="center"/>
    </xf>
    <xf numFmtId="0" fontId="51" fillId="3" borderId="1" xfId="10" applyFont="1" applyFill="1" applyBorder="1">
      <alignment vertical="center"/>
    </xf>
    <xf numFmtId="0" fontId="52" fillId="3" borderId="1" xfId="10" applyFont="1" applyFill="1" applyBorder="1" applyAlignment="1">
      <alignment horizontal="center" vertical="center"/>
    </xf>
    <xf numFmtId="0" fontId="51" fillId="3" borderId="1" xfId="10" applyFont="1" applyFill="1" applyBorder="1" applyAlignment="1">
      <alignment horizontal="center" vertical="center"/>
    </xf>
    <xf numFmtId="0" fontId="46" fillId="9" borderId="1" xfId="10" applyFont="1" applyFill="1" applyBorder="1" applyAlignment="1">
      <alignment horizontal="center" vertical="center"/>
    </xf>
    <xf numFmtId="0" fontId="46" fillId="9" borderId="1" xfId="10" applyFont="1" applyFill="1" applyBorder="1">
      <alignment vertical="center"/>
    </xf>
    <xf numFmtId="181" fontId="24" fillId="0" borderId="0" xfId="1" applyNumberFormat="1" applyFont="1" applyFill="1" applyBorder="1" applyAlignment="1" applyProtection="1">
      <alignment horizontal="left" vertical="center"/>
    </xf>
    <xf numFmtId="0" fontId="51" fillId="0" borderId="1" xfId="10" applyFont="1" applyBorder="1" applyAlignment="1">
      <alignment horizontal="center" vertical="center"/>
    </xf>
    <xf numFmtId="0" fontId="46" fillId="10" borderId="1" xfId="10" applyFont="1" applyFill="1" applyBorder="1" applyAlignment="1">
      <alignment horizontal="center" vertical="center"/>
    </xf>
    <xf numFmtId="0" fontId="1" fillId="12" borderId="0" xfId="10" applyFont="1" applyFill="1">
      <alignment vertical="center"/>
    </xf>
    <xf numFmtId="0" fontId="46" fillId="13" borderId="2" xfId="10" applyFont="1" applyFill="1" applyBorder="1" applyAlignment="1">
      <alignment horizontal="center" vertical="center"/>
    </xf>
    <xf numFmtId="0" fontId="65" fillId="13" borderId="30" xfId="0" applyFont="1" applyFill="1" applyBorder="1" applyAlignment="1">
      <alignment horizontal="center" vertical="center" wrapText="1"/>
    </xf>
    <xf numFmtId="0" fontId="65" fillId="13" borderId="31" xfId="0" applyFont="1" applyFill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180" fontId="19" fillId="0" borderId="31" xfId="0" applyNumberFormat="1" applyFont="1" applyBorder="1" applyAlignment="1">
      <alignment horizontal="center" vertical="center" wrapText="1"/>
    </xf>
    <xf numFmtId="0" fontId="69" fillId="0" borderId="31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0" fontId="65" fillId="13" borderId="32" xfId="0" applyFont="1" applyFill="1" applyBorder="1" applyAlignment="1">
      <alignment horizontal="center" vertical="center" wrapText="1"/>
    </xf>
    <xf numFmtId="0" fontId="69" fillId="0" borderId="30" xfId="0" applyFont="1" applyBorder="1" applyAlignment="1">
      <alignment horizontal="center" vertical="center" wrapText="1"/>
    </xf>
    <xf numFmtId="0" fontId="20" fillId="0" borderId="0" xfId="10" applyFont="1">
      <alignment vertical="center"/>
    </xf>
    <xf numFmtId="0" fontId="20" fillId="0" borderId="0" xfId="0" applyFont="1">
      <alignment vertical="center"/>
    </xf>
    <xf numFmtId="0" fontId="76" fillId="0" borderId="0" xfId="10" applyFont="1" applyAlignment="1">
      <alignment horizontal="center" vertical="center"/>
    </xf>
    <xf numFmtId="0" fontId="77" fillId="0" borderId="0" xfId="10" applyFont="1" applyAlignment="1">
      <alignment horizontal="left" vertical="center"/>
    </xf>
    <xf numFmtId="0" fontId="77" fillId="0" borderId="0" xfId="10" applyFont="1" applyAlignment="1">
      <alignment horizontal="center" vertical="center"/>
    </xf>
    <xf numFmtId="0" fontId="77" fillId="0" borderId="0" xfId="0" applyFont="1" applyAlignment="1">
      <alignment horizontal="left" vertical="center"/>
    </xf>
    <xf numFmtId="0" fontId="77" fillId="0" borderId="0" xfId="10" applyFont="1">
      <alignment vertical="center"/>
    </xf>
    <xf numFmtId="0" fontId="77" fillId="0" borderId="0" xfId="10" applyFont="1" applyAlignment="1">
      <alignment horizontal="center" vertical="center" wrapText="1"/>
    </xf>
    <xf numFmtId="178" fontId="77" fillId="0" borderId="0" xfId="10" applyNumberFormat="1" applyFont="1" applyAlignment="1">
      <alignment vertical="center" wrapText="1"/>
    </xf>
    <xf numFmtId="178" fontId="77" fillId="0" borderId="0" xfId="10" applyNumberFormat="1" applyFont="1" applyAlignment="1">
      <alignment horizontal="center" vertical="center" wrapText="1"/>
    </xf>
    <xf numFmtId="178" fontId="77" fillId="0" borderId="0" xfId="10" applyNumberFormat="1" applyFont="1" applyAlignment="1">
      <alignment horizontal="left" vertical="center" wrapText="1"/>
    </xf>
    <xf numFmtId="0" fontId="78" fillId="0" borderId="0" xfId="10" applyFont="1" applyAlignment="1">
      <alignment horizontal="left" vertical="center" wrapText="1"/>
    </xf>
    <xf numFmtId="178" fontId="20" fillId="0" borderId="0" xfId="10" applyNumberFormat="1" applyFont="1" applyAlignment="1">
      <alignment vertical="center" wrapText="1"/>
    </xf>
    <xf numFmtId="178" fontId="20" fillId="0" borderId="0" xfId="10" applyNumberFormat="1" applyFont="1" applyAlignment="1">
      <alignment horizontal="center" vertical="center" wrapText="1"/>
    </xf>
    <xf numFmtId="178" fontId="20" fillId="0" borderId="0" xfId="10" applyNumberFormat="1" applyFont="1" applyAlignment="1">
      <alignment horizontal="left" vertical="center" wrapText="1"/>
    </xf>
    <xf numFmtId="0" fontId="76" fillId="5" borderId="2" xfId="10" applyFont="1" applyFill="1" applyBorder="1" applyAlignment="1">
      <alignment horizontal="center" vertical="center" wrapText="1"/>
    </xf>
    <xf numFmtId="178" fontId="76" fillId="5" borderId="1" xfId="10" applyNumberFormat="1" applyFont="1" applyFill="1" applyBorder="1" applyAlignment="1">
      <alignment horizontal="center" vertical="center" wrapText="1"/>
    </xf>
    <xf numFmtId="180" fontId="77" fillId="0" borderId="1" xfId="10" applyNumberFormat="1" applyFont="1" applyBorder="1" applyAlignment="1">
      <alignment horizontal="left" vertical="center" wrapText="1"/>
    </xf>
    <xf numFmtId="178" fontId="77" fillId="0" borderId="8" xfId="10" applyNumberFormat="1" applyFont="1" applyBorder="1" applyAlignment="1">
      <alignment horizontal="left" vertical="center" wrapText="1"/>
    </xf>
    <xf numFmtId="178" fontId="77" fillId="0" borderId="1" xfId="10" applyNumberFormat="1" applyFont="1" applyBorder="1" applyAlignment="1">
      <alignment vertical="center" wrapText="1"/>
    </xf>
    <xf numFmtId="178" fontId="77" fillId="0" borderId="1" xfId="10" applyNumberFormat="1" applyFont="1" applyBorder="1" applyAlignment="1">
      <alignment horizontal="left" vertical="center" wrapText="1"/>
    </xf>
    <xf numFmtId="178" fontId="79" fillId="0" borderId="1" xfId="10" applyNumberFormat="1" applyFont="1" applyBorder="1" applyAlignment="1">
      <alignment horizontal="left" vertical="center" wrapText="1"/>
    </xf>
    <xf numFmtId="0" fontId="77" fillId="5" borderId="1" xfId="10" applyFont="1" applyFill="1" applyBorder="1" applyAlignment="1">
      <alignment horizontal="center" vertical="center" wrapText="1"/>
    </xf>
    <xf numFmtId="178" fontId="77" fillId="5" borderId="1" xfId="10" applyNumberFormat="1" applyFont="1" applyFill="1" applyBorder="1" applyAlignment="1">
      <alignment horizontal="center" vertical="center" wrapText="1"/>
    </xf>
    <xf numFmtId="0" fontId="77" fillId="0" borderId="1" xfId="10" applyFont="1" applyBorder="1" applyAlignment="1">
      <alignment horizontal="center" vertical="center" wrapText="1"/>
    </xf>
    <xf numFmtId="178" fontId="79" fillId="0" borderId="1" xfId="10" applyNumberFormat="1" applyFont="1" applyBorder="1" applyAlignment="1">
      <alignment vertical="center" wrapText="1"/>
    </xf>
    <xf numFmtId="0" fontId="77" fillId="5" borderId="1" xfId="10" applyFont="1" applyFill="1" applyBorder="1" applyAlignment="1">
      <alignment horizontal="right" vertical="center" wrapText="1"/>
    </xf>
    <xf numFmtId="49" fontId="18" fillId="0" borderId="1" xfId="0" quotePrefix="1" applyNumberFormat="1" applyFont="1" applyBorder="1" applyAlignment="1">
      <alignment horizontal="center" vertical="center" wrapText="1"/>
    </xf>
    <xf numFmtId="0" fontId="101" fillId="0" borderId="1" xfId="0" applyFont="1" applyBorder="1" applyAlignment="1">
      <alignment horizontal="left" vertical="center" wrapText="1"/>
    </xf>
    <xf numFmtId="49" fontId="93" fillId="0" borderId="1" xfId="0" applyNumberFormat="1" applyFont="1" applyBorder="1" applyAlignment="1">
      <alignment horizontal="left" vertical="center" wrapText="1"/>
    </xf>
    <xf numFmtId="0" fontId="93" fillId="0" borderId="1" xfId="0" applyFont="1" applyBorder="1" applyAlignment="1">
      <alignment horizontal="left" vertical="center" wrapText="1"/>
    </xf>
    <xf numFmtId="49" fontId="102" fillId="0" borderId="1" xfId="0" applyNumberFormat="1" applyFont="1" applyBorder="1" applyAlignment="1">
      <alignment horizontal="left" vertical="center" wrapText="1"/>
    </xf>
    <xf numFmtId="0" fontId="103" fillId="0" borderId="1" xfId="10" applyFont="1" applyBorder="1">
      <alignment vertical="center"/>
    </xf>
    <xf numFmtId="0" fontId="93" fillId="0" borderId="1" xfId="0" applyFont="1" applyBorder="1" applyAlignment="1">
      <alignment horizontal="left" vertical="center"/>
    </xf>
    <xf numFmtId="0" fontId="103" fillId="0" borderId="1" xfId="10" applyFont="1" applyBorder="1" applyAlignment="1">
      <alignment horizontal="left" vertical="center"/>
    </xf>
    <xf numFmtId="49" fontId="93" fillId="0" borderId="1" xfId="0" applyNumberFormat="1" applyFont="1" applyBorder="1" applyAlignment="1">
      <alignment horizontal="center" vertical="center" wrapText="1"/>
    </xf>
    <xf numFmtId="0" fontId="93" fillId="0" borderId="2" xfId="0" applyFont="1" applyBorder="1" applyAlignment="1">
      <alignment horizontal="center" vertical="center" wrapText="1"/>
    </xf>
    <xf numFmtId="0" fontId="96" fillId="0" borderId="1" xfId="0" applyFont="1" applyBorder="1">
      <alignment vertical="center"/>
    </xf>
    <xf numFmtId="0" fontId="99" fillId="0" borderId="1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06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32" fillId="0" borderId="1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31" fillId="0" borderId="18" xfId="0" applyFont="1" applyBorder="1" applyAlignment="1">
      <alignment horizontal="left" vertical="center" wrapText="1"/>
    </xf>
    <xf numFmtId="0" fontId="29" fillId="0" borderId="18" xfId="0" applyFont="1" applyBorder="1" applyAlignment="1">
      <alignment horizontal="left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8" fillId="4" borderId="13" xfId="0" applyFont="1" applyFill="1" applyBorder="1" applyAlignment="1">
      <alignment horizontal="center" vertical="center" wrapText="1"/>
    </xf>
    <xf numFmtId="0" fontId="28" fillId="4" borderId="14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49" fontId="29" fillId="5" borderId="1" xfId="0" applyNumberFormat="1" applyFont="1" applyFill="1" applyBorder="1" applyAlignment="1">
      <alignment horizontal="center" vertical="center" wrapText="1"/>
    </xf>
    <xf numFmtId="178" fontId="25" fillId="0" borderId="1" xfId="0" applyNumberFormat="1" applyFont="1" applyBorder="1" applyAlignment="1">
      <alignment horizontal="center" vertical="center" wrapText="1"/>
    </xf>
    <xf numFmtId="178" fontId="77" fillId="0" borderId="1" xfId="10" applyNumberFormat="1" applyFont="1" applyBorder="1" applyAlignment="1">
      <alignment horizontal="left" vertical="center" wrapText="1"/>
    </xf>
    <xf numFmtId="178" fontId="79" fillId="0" borderId="1" xfId="10" applyNumberFormat="1" applyFont="1" applyBorder="1" applyAlignment="1">
      <alignment horizontal="left" vertical="center" wrapText="1"/>
    </xf>
    <xf numFmtId="178" fontId="79" fillId="0" borderId="2" xfId="10" applyNumberFormat="1" applyFont="1" applyBorder="1" applyAlignment="1">
      <alignment horizontal="left" vertical="center" wrapText="1"/>
    </xf>
    <xf numFmtId="178" fontId="79" fillId="0" borderId="3" xfId="10" applyNumberFormat="1" applyFont="1" applyBorder="1" applyAlignment="1">
      <alignment horizontal="left" vertical="center" wrapText="1"/>
    </xf>
    <xf numFmtId="178" fontId="79" fillId="0" borderId="4" xfId="10" applyNumberFormat="1" applyFont="1" applyBorder="1" applyAlignment="1">
      <alignment horizontal="left" vertical="center" wrapText="1"/>
    </xf>
    <xf numFmtId="178" fontId="77" fillId="0" borderId="1" xfId="10" applyNumberFormat="1" applyFont="1" applyBorder="1" applyAlignment="1">
      <alignment horizontal="center" vertical="center" wrapText="1"/>
    </xf>
    <xf numFmtId="178" fontId="79" fillId="0" borderId="8" xfId="10" applyNumberFormat="1" applyFont="1" applyBorder="1" applyAlignment="1">
      <alignment horizontal="left" vertical="center" wrapText="1"/>
    </xf>
    <xf numFmtId="178" fontId="79" fillId="0" borderId="6" xfId="10" applyNumberFormat="1" applyFont="1" applyBorder="1" applyAlignment="1">
      <alignment horizontal="left" vertical="center" wrapText="1"/>
    </xf>
    <xf numFmtId="178" fontId="77" fillId="5" borderId="8" xfId="10" applyNumberFormat="1" applyFont="1" applyFill="1" applyBorder="1" applyAlignment="1">
      <alignment horizontal="right" vertical="center" wrapText="1"/>
    </xf>
    <xf numFmtId="178" fontId="77" fillId="5" borderId="10" xfId="10" applyNumberFormat="1" applyFont="1" applyFill="1" applyBorder="1" applyAlignment="1">
      <alignment horizontal="right" vertical="center" wrapText="1"/>
    </xf>
    <xf numFmtId="178" fontId="77" fillId="5" borderId="6" xfId="10" applyNumberFormat="1" applyFont="1" applyFill="1" applyBorder="1" applyAlignment="1">
      <alignment horizontal="right" vertical="center" wrapText="1"/>
    </xf>
    <xf numFmtId="178" fontId="77" fillId="5" borderId="8" xfId="10" applyNumberFormat="1" applyFont="1" applyFill="1" applyBorder="1" applyAlignment="1">
      <alignment horizontal="center" vertical="center" wrapText="1"/>
    </xf>
    <xf numFmtId="178" fontId="77" fillId="5" borderId="6" xfId="10" applyNumberFormat="1" applyFont="1" applyFill="1" applyBorder="1" applyAlignment="1">
      <alignment horizontal="center" vertical="center" wrapText="1"/>
    </xf>
    <xf numFmtId="178" fontId="79" fillId="0" borderId="1" xfId="10" applyNumberFormat="1" applyFont="1" applyBorder="1" applyAlignment="1">
      <alignment horizontal="center" vertical="center" wrapText="1"/>
    </xf>
    <xf numFmtId="0" fontId="77" fillId="0" borderId="1" xfId="10" applyFont="1" applyBorder="1" applyAlignment="1">
      <alignment horizontal="center" vertical="center" wrapText="1"/>
    </xf>
    <xf numFmtId="178" fontId="77" fillId="0" borderId="8" xfId="10" applyNumberFormat="1" applyFont="1" applyBorder="1" applyAlignment="1">
      <alignment horizontal="center" vertical="center" wrapText="1"/>
    </xf>
    <xf numFmtId="178" fontId="77" fillId="0" borderId="10" xfId="10" applyNumberFormat="1" applyFont="1" applyBorder="1" applyAlignment="1">
      <alignment horizontal="center" vertical="center" wrapText="1"/>
    </xf>
    <xf numFmtId="178" fontId="79" fillId="14" borderId="1" xfId="10" applyNumberFormat="1" applyFont="1" applyFill="1" applyBorder="1" applyAlignment="1">
      <alignment horizontal="left" vertical="center" wrapText="1"/>
    </xf>
    <xf numFmtId="178" fontId="77" fillId="0" borderId="2" xfId="10" applyNumberFormat="1" applyFont="1" applyBorder="1" applyAlignment="1">
      <alignment horizontal="left" vertical="center" wrapText="1"/>
    </xf>
    <xf numFmtId="178" fontId="77" fillId="0" borderId="4" xfId="10" applyNumberFormat="1" applyFont="1" applyBorder="1" applyAlignment="1">
      <alignment horizontal="left" vertical="center" wrapText="1"/>
    </xf>
    <xf numFmtId="178" fontId="77" fillId="5" borderId="10" xfId="10" applyNumberFormat="1" applyFont="1" applyFill="1" applyBorder="1" applyAlignment="1">
      <alignment horizontal="center" vertical="center" wrapText="1"/>
    </xf>
    <xf numFmtId="180" fontId="77" fillId="0" borderId="1" xfId="10" applyNumberFormat="1" applyFont="1" applyBorder="1" applyAlignment="1">
      <alignment horizontal="left" vertical="center" wrapText="1"/>
    </xf>
    <xf numFmtId="178" fontId="77" fillId="0" borderId="1" xfId="10" applyNumberFormat="1" applyFont="1" applyBorder="1" applyAlignment="1">
      <alignment vertical="center" wrapText="1"/>
    </xf>
    <xf numFmtId="178" fontId="77" fillId="0" borderId="8" xfId="10" applyNumberFormat="1" applyFont="1" applyBorder="1" applyAlignment="1">
      <alignment horizontal="left" vertical="center" wrapText="1"/>
    </xf>
    <xf numFmtId="178" fontId="77" fillId="0" borderId="6" xfId="10" applyNumberFormat="1" applyFont="1" applyBorder="1" applyAlignment="1">
      <alignment horizontal="left" vertical="center" wrapText="1"/>
    </xf>
    <xf numFmtId="178" fontId="77" fillId="0" borderId="33" xfId="10" applyNumberFormat="1" applyFont="1" applyBorder="1" applyAlignment="1">
      <alignment horizontal="left" vertical="center" wrapText="1"/>
    </xf>
    <xf numFmtId="178" fontId="77" fillId="0" borderId="36" xfId="10" applyNumberFormat="1" applyFont="1" applyBorder="1" applyAlignment="1">
      <alignment horizontal="left" vertical="center" wrapText="1"/>
    </xf>
    <xf numFmtId="178" fontId="80" fillId="0" borderId="34" xfId="10" applyNumberFormat="1" applyFont="1" applyBorder="1" applyAlignment="1">
      <alignment horizontal="left" vertical="center" wrapText="1"/>
    </xf>
    <xf numFmtId="178" fontId="80" fillId="0" borderId="35" xfId="10" applyNumberFormat="1" applyFont="1" applyBorder="1" applyAlignment="1">
      <alignment horizontal="left" vertical="center" wrapText="1"/>
    </xf>
    <xf numFmtId="178" fontId="80" fillId="0" borderId="8" xfId="10" applyNumberFormat="1" applyFont="1" applyBorder="1" applyAlignment="1">
      <alignment horizontal="left" vertical="center" wrapText="1"/>
    </xf>
    <xf numFmtId="178" fontId="80" fillId="0" borderId="6" xfId="10" applyNumberFormat="1" applyFont="1" applyBorder="1" applyAlignment="1">
      <alignment horizontal="left" vertical="center" wrapText="1"/>
    </xf>
    <xf numFmtId="0" fontId="8" fillId="0" borderId="0" xfId="10" applyFont="1" applyAlignment="1">
      <alignment horizontal="center" vertical="center" wrapText="1"/>
    </xf>
    <xf numFmtId="0" fontId="8" fillId="0" borderId="0" xfId="10" applyFont="1" applyAlignment="1">
      <alignment horizontal="left" vertical="center" wrapText="1"/>
    </xf>
    <xf numFmtId="178" fontId="76" fillId="5" borderId="33" xfId="10" applyNumberFormat="1" applyFont="1" applyFill="1" applyBorder="1" applyAlignment="1">
      <alignment horizontal="center" vertical="center" wrapText="1"/>
    </xf>
    <xf numFmtId="178" fontId="76" fillId="5" borderId="10" xfId="10" applyNumberFormat="1" applyFont="1" applyFill="1" applyBorder="1" applyAlignment="1">
      <alignment horizontal="center" vertical="center" wrapText="1"/>
    </xf>
    <xf numFmtId="178" fontId="76" fillId="5" borderId="6" xfId="10" applyNumberFormat="1" applyFont="1" applyFill="1" applyBorder="1" applyAlignment="1">
      <alignment horizontal="center" vertical="center" wrapText="1"/>
    </xf>
    <xf numFmtId="178" fontId="76" fillId="5" borderId="8" xfId="10" applyNumberFormat="1" applyFont="1" applyFill="1" applyBorder="1" applyAlignment="1">
      <alignment horizontal="center" vertical="center" wrapText="1"/>
    </xf>
    <xf numFmtId="179" fontId="68" fillId="0" borderId="32" xfId="0" applyNumberFormat="1" applyFont="1" applyBorder="1" applyAlignment="1">
      <alignment horizontal="center" vertical="center" wrapText="1"/>
    </xf>
    <xf numFmtId="0" fontId="71" fillId="0" borderId="32" xfId="0" applyFont="1" applyBorder="1" applyAlignment="1">
      <alignment horizontal="center" vertical="center" wrapText="1"/>
    </xf>
    <xf numFmtId="0" fontId="69" fillId="0" borderId="31" xfId="0" applyFont="1" applyBorder="1" applyAlignment="1">
      <alignment horizontal="center" vertical="center" wrapText="1"/>
    </xf>
    <xf numFmtId="0" fontId="72" fillId="0" borderId="31" xfId="0" applyFont="1" applyBorder="1" applyAlignment="1">
      <alignment horizontal="center" vertical="center" wrapText="1"/>
    </xf>
    <xf numFmtId="179" fontId="71" fillId="0" borderId="32" xfId="0" applyNumberFormat="1" applyFont="1" applyBorder="1" applyAlignment="1">
      <alignment horizontal="center" vertical="center" wrapText="1"/>
    </xf>
    <xf numFmtId="180" fontId="68" fillId="0" borderId="32" xfId="0" applyNumberFormat="1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 vertical="center" wrapText="1"/>
    </xf>
    <xf numFmtId="0" fontId="75" fillId="0" borderId="1" xfId="0" applyFont="1" applyBorder="1" applyAlignment="1">
      <alignment horizontal="center" vertical="center" wrapText="1"/>
    </xf>
    <xf numFmtId="0" fontId="29" fillId="0" borderId="1" xfId="10" applyFont="1" applyBorder="1" applyAlignment="1">
      <alignment horizontal="center" vertical="center" wrapText="1"/>
    </xf>
    <xf numFmtId="0" fontId="29" fillId="3" borderId="1" xfId="10" applyFont="1" applyFill="1" applyBorder="1" applyAlignment="1">
      <alignment horizontal="center" vertical="center" wrapText="1"/>
    </xf>
    <xf numFmtId="0" fontId="29" fillId="3" borderId="1" xfId="10" applyFont="1" applyFill="1" applyBorder="1" applyAlignment="1">
      <alignment vertical="center" wrapText="1"/>
    </xf>
    <xf numFmtId="180" fontId="74" fillId="13" borderId="1" xfId="0" applyNumberFormat="1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80" fontId="73" fillId="13" borderId="1" xfId="0" applyNumberFormat="1" applyFont="1" applyFill="1" applyBorder="1" applyAlignment="1">
      <alignment horizontal="center" vertical="center" wrapText="1"/>
    </xf>
    <xf numFmtId="0" fontId="55" fillId="0" borderId="1" xfId="10" applyFont="1" applyBorder="1" applyAlignment="1">
      <alignment horizontal="center" vertical="center" wrapText="1"/>
    </xf>
    <xf numFmtId="0" fontId="58" fillId="3" borderId="1" xfId="10" applyFont="1" applyFill="1" applyBorder="1" applyAlignment="1">
      <alignment horizontal="center" vertical="center" wrapText="1"/>
    </xf>
    <xf numFmtId="0" fontId="58" fillId="3" borderId="1" xfId="10" applyFont="1" applyFill="1" applyBorder="1" applyAlignment="1">
      <alignment vertical="center" wrapText="1"/>
    </xf>
    <xf numFmtId="0" fontId="48" fillId="0" borderId="1" xfId="10" applyFont="1" applyBorder="1" applyAlignment="1">
      <alignment horizontal="center" vertical="center" wrapText="1"/>
    </xf>
    <xf numFmtId="0" fontId="53" fillId="0" borderId="1" xfId="10" applyFont="1" applyBorder="1" applyAlignment="1">
      <alignment horizontal="center" vertical="center" wrapText="1"/>
    </xf>
    <xf numFmtId="0" fontId="45" fillId="13" borderId="1" xfId="10" applyFont="1" applyFill="1" applyBorder="1" applyAlignment="1">
      <alignment horizontal="center" vertical="center" wrapText="1"/>
    </xf>
    <xf numFmtId="0" fontId="56" fillId="0" borderId="1" xfId="10" applyFont="1" applyBorder="1" applyAlignment="1">
      <alignment horizontal="center" vertical="center" wrapText="1"/>
    </xf>
    <xf numFmtId="0" fontId="59" fillId="3" borderId="1" xfId="10" applyFont="1" applyFill="1" applyBorder="1" applyAlignment="1">
      <alignment horizontal="center" vertical="center" wrapText="1"/>
    </xf>
    <xf numFmtId="0" fontId="62" fillId="0" borderId="1" xfId="10" applyFont="1" applyBorder="1" applyAlignment="1">
      <alignment horizontal="center" vertical="center" wrapText="1"/>
    </xf>
    <xf numFmtId="0" fontId="63" fillId="0" borderId="1" xfId="10" applyFont="1" applyBorder="1" applyAlignment="1">
      <alignment horizontal="center" vertical="center" wrapText="1"/>
    </xf>
    <xf numFmtId="180" fontId="66" fillId="13" borderId="1" xfId="0" applyNumberFormat="1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61" fillId="0" borderId="1" xfId="10" applyFont="1" applyBorder="1" applyAlignment="1">
      <alignment horizontal="center" vertical="center" wrapText="1"/>
    </xf>
    <xf numFmtId="178" fontId="37" fillId="0" borderId="0" xfId="0" applyNumberFormat="1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34" fillId="6" borderId="0" xfId="0" applyFont="1" applyFill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6" fillId="5" borderId="8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49" fillId="0" borderId="20" xfId="10" applyFont="1" applyBorder="1" applyAlignment="1">
      <alignment horizontal="center" vertical="center"/>
    </xf>
    <xf numFmtId="0" fontId="49" fillId="0" borderId="28" xfId="10" applyFont="1" applyBorder="1" applyAlignment="1">
      <alignment horizontal="center" vertical="center"/>
    </xf>
    <xf numFmtId="0" fontId="49" fillId="0" borderId="29" xfId="10" applyFont="1" applyBorder="1" applyAlignment="1">
      <alignment horizontal="center" vertical="center"/>
    </xf>
    <xf numFmtId="0" fontId="29" fillId="0" borderId="27" xfId="10" applyFont="1" applyBorder="1" applyAlignment="1">
      <alignment horizontal="center" vertical="center" wrapText="1"/>
    </xf>
    <xf numFmtId="0" fontId="29" fillId="0" borderId="0" xfId="10" applyFont="1" applyAlignment="1">
      <alignment horizontal="center" vertical="center" wrapText="1"/>
    </xf>
    <xf numFmtId="0" fontId="29" fillId="0" borderId="18" xfId="1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84" fontId="41" fillId="0" borderId="1" xfId="0" applyNumberFormat="1" applyFont="1" applyBorder="1" applyAlignment="1">
      <alignment horizontal="center" vertical="center" wrapText="1"/>
    </xf>
    <xf numFmtId="184" fontId="41" fillId="0" borderId="18" xfId="0" applyNumberFormat="1" applyFont="1" applyBorder="1" applyAlignment="1">
      <alignment horizontal="center" vertical="center" wrapText="1"/>
    </xf>
    <xf numFmtId="0" fontId="46" fillId="9" borderId="25" xfId="10" applyFont="1" applyFill="1" applyBorder="1" applyAlignment="1">
      <alignment horizontal="center" vertical="center"/>
    </xf>
    <xf numFmtId="0" fontId="46" fillId="9" borderId="26" xfId="10" applyFont="1" applyFill="1" applyBorder="1" applyAlignment="1">
      <alignment horizontal="center" vertical="center"/>
    </xf>
    <xf numFmtId="0" fontId="46" fillId="10" borderId="27" xfId="10" applyFont="1" applyFill="1" applyBorder="1" applyAlignment="1">
      <alignment horizontal="center" vertical="center"/>
    </xf>
    <xf numFmtId="0" fontId="46" fillId="10" borderId="0" xfId="10" applyFont="1" applyFill="1" applyAlignment="1">
      <alignment horizontal="center" vertical="center"/>
    </xf>
    <xf numFmtId="0" fontId="39" fillId="9" borderId="15" xfId="0" applyFont="1" applyFill="1" applyBorder="1" applyAlignment="1">
      <alignment horizontal="center" vertical="center"/>
    </xf>
    <xf numFmtId="0" fontId="39" fillId="10" borderId="15" xfId="10" applyFont="1" applyFill="1" applyBorder="1" applyAlignment="1">
      <alignment horizontal="center" vertical="center" wrapText="1"/>
    </xf>
    <xf numFmtId="0" fontId="39" fillId="10" borderId="17" xfId="10" applyFont="1" applyFill="1" applyBorder="1" applyAlignment="1">
      <alignment horizontal="center" vertical="center" wrapText="1"/>
    </xf>
    <xf numFmtId="0" fontId="45" fillId="9" borderId="12" xfId="10" applyFont="1" applyFill="1" applyBorder="1" applyAlignment="1">
      <alignment horizontal="center" vertical="center" wrapText="1"/>
    </xf>
    <xf numFmtId="0" fontId="45" fillId="9" borderId="15" xfId="10" applyFont="1" applyFill="1" applyBorder="1" applyAlignment="1">
      <alignment horizontal="center" vertical="center" wrapText="1"/>
    </xf>
    <xf numFmtId="0" fontId="45" fillId="10" borderId="15" xfId="10" applyFont="1" applyFill="1" applyBorder="1" applyAlignment="1">
      <alignment horizontal="center" vertical="center" wrapText="1"/>
    </xf>
    <xf numFmtId="0" fontId="45" fillId="10" borderId="17" xfId="1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18" xfId="0" applyFont="1" applyBorder="1" applyAlignment="1">
      <alignment horizontal="center" vertical="center" wrapText="1"/>
    </xf>
    <xf numFmtId="0" fontId="48" fillId="0" borderId="2" xfId="10" applyFont="1" applyBorder="1" applyAlignment="1">
      <alignment horizontal="center" vertical="center" wrapText="1"/>
    </xf>
    <xf numFmtId="0" fontId="53" fillId="0" borderId="18" xfId="1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81" fontId="11" fillId="0" borderId="3" xfId="0" applyNumberFormat="1" applyFont="1" applyBorder="1" applyAlignment="1">
      <alignment horizontal="center" vertical="center" wrapText="1"/>
    </xf>
    <xf numFmtId="181" fontId="11" fillId="0" borderId="4" xfId="0" applyNumberFormat="1" applyFont="1" applyBorder="1" applyAlignment="1">
      <alignment horizontal="center" vertical="center" wrapText="1"/>
    </xf>
    <xf numFmtId="181" fontId="11" fillId="0" borderId="2" xfId="0" applyNumberFormat="1" applyFont="1" applyBorder="1" applyAlignment="1">
      <alignment horizontal="center" vertical="center" wrapText="1"/>
    </xf>
    <xf numFmtId="178" fontId="12" fillId="0" borderId="3" xfId="0" applyNumberFormat="1" applyFont="1" applyBorder="1" applyAlignment="1">
      <alignment horizontal="center" vertical="center" wrapText="1"/>
    </xf>
    <xf numFmtId="178" fontId="12" fillId="0" borderId="4" xfId="0" applyNumberFormat="1" applyFont="1" applyBorder="1" applyAlignment="1">
      <alignment horizontal="center" vertical="center" wrapText="1"/>
    </xf>
    <xf numFmtId="178" fontId="12" fillId="0" borderId="2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4" fillId="0" borderId="8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178" fontId="11" fillId="0" borderId="2" xfId="0" applyNumberFormat="1" applyFont="1" applyBorder="1" applyAlignment="1">
      <alignment horizontal="center" vertical="center" wrapText="1"/>
    </xf>
    <xf numFmtId="178" fontId="11" fillId="0" borderId="4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178" fontId="18" fillId="3" borderId="9" xfId="0" applyNumberFormat="1" applyFont="1" applyFill="1" applyBorder="1" applyAlignment="1">
      <alignment horizontal="center" vertical="center" wrapText="1"/>
    </xf>
    <xf numFmtId="178" fontId="18" fillId="3" borderId="0" xfId="0" applyNumberFormat="1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8" fontId="106" fillId="0" borderId="1" xfId="0" applyNumberFormat="1" applyFont="1" applyBorder="1" applyAlignment="1">
      <alignment horizontal="center" vertical="center" wrapText="1"/>
    </xf>
  </cellXfs>
  <cellStyles count="15">
    <cellStyle name="0,0_x000d__x000a_NA_x000d__x000a_" xfId="4" xr:uid="{00000000-0005-0000-0000-000033000000}"/>
    <cellStyle name="Normal" xfId="13" xr:uid="{00000000-0005-0000-0000-00003D000000}"/>
    <cellStyle name="百分比" xfId="1" builtinId="5"/>
    <cellStyle name="常规" xfId="0" builtinId="0"/>
    <cellStyle name="常规 2" xfId="9" xr:uid="{00000000-0005-0000-0000-000038000000}"/>
    <cellStyle name="常规 2 2" xfId="8" xr:uid="{00000000-0005-0000-0000-000037000000}"/>
    <cellStyle name="常规 29 2" xfId="14" xr:uid="{00000000-0005-0000-0000-00003E000000}"/>
    <cellStyle name="常规 3" xfId="10" xr:uid="{00000000-0005-0000-0000-000039000000}"/>
    <cellStyle name="常规 30" xfId="3" xr:uid="{00000000-0005-0000-0000-000032000000}"/>
    <cellStyle name="常规 42" xfId="6" xr:uid="{00000000-0005-0000-0000-000035000000}"/>
    <cellStyle name="常规 5" xfId="12" xr:uid="{00000000-0005-0000-0000-00003C000000}"/>
    <cellStyle name="常规 5 2 2" xfId="5" xr:uid="{00000000-0005-0000-0000-000034000000}"/>
    <cellStyle name="常规 50" xfId="7" xr:uid="{00000000-0005-0000-0000-000036000000}"/>
    <cellStyle name="常规 6" xfId="2" xr:uid="{00000000-0005-0000-0000-000031000000}"/>
    <cellStyle name="常规 7" xfId="11" xr:uid="{00000000-0005-0000-0000-00003A000000}"/>
  </cellStyles>
  <dxfs count="14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5B9BD5"/>
      <color rgb="FF9E5FCF"/>
      <color rgb="FF00B0F0"/>
      <color rgb="FFD3B9EA"/>
      <color rgb="FFC00000"/>
      <color rgb="FFFFFF00"/>
      <color rgb="FFFFFFFF"/>
      <color rgb="FF00B050"/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98</xdr:row>
      <xdr:rowOff>0</xdr:rowOff>
    </xdr:from>
    <xdr:to>
      <xdr:col>8</xdr:col>
      <xdr:colOff>12700</xdr:colOff>
      <xdr:row>98</xdr:row>
      <xdr:rowOff>10160</xdr:rowOff>
    </xdr:to>
    <xdr:pic>
      <xdr:nvPicPr>
        <xdr:cNvPr id="2" name="Picture 5" descr="clip_image114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0564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12700</xdr:colOff>
      <xdr:row>98</xdr:row>
      <xdr:rowOff>169545</xdr:rowOff>
    </xdr:to>
    <xdr:pic>
      <xdr:nvPicPr>
        <xdr:cNvPr id="3" name="Picture 5" descr="clip_image114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0564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10160</xdr:rowOff>
    </xdr:to>
    <xdr:pic>
      <xdr:nvPicPr>
        <xdr:cNvPr id="4" name="Picture 5" descr="clip_image1140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169545</xdr:rowOff>
    </xdr:to>
    <xdr:pic>
      <xdr:nvPicPr>
        <xdr:cNvPr id="5" name="Picture 5" descr="clip_image1140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10160</xdr:rowOff>
    </xdr:to>
    <xdr:pic>
      <xdr:nvPicPr>
        <xdr:cNvPr id="6" name="Picture 5" descr="clip_image114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169545</xdr:rowOff>
    </xdr:to>
    <xdr:pic>
      <xdr:nvPicPr>
        <xdr:cNvPr id="7" name="Picture 5" descr="clip_image1140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12700</xdr:colOff>
      <xdr:row>108</xdr:row>
      <xdr:rowOff>10160</xdr:rowOff>
    </xdr:to>
    <xdr:pic>
      <xdr:nvPicPr>
        <xdr:cNvPr id="8" name="Picture 5" descr="clip_image114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2850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12700</xdr:colOff>
      <xdr:row>108</xdr:row>
      <xdr:rowOff>169545</xdr:rowOff>
    </xdr:to>
    <xdr:pic>
      <xdr:nvPicPr>
        <xdr:cNvPr id="9" name="Picture 5" descr="clip_image1140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2850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12700</xdr:colOff>
      <xdr:row>120</xdr:row>
      <xdr:rowOff>10160</xdr:rowOff>
    </xdr:to>
    <xdr:pic>
      <xdr:nvPicPr>
        <xdr:cNvPr id="10" name="Picture 5" descr="clip_image1140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53650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12700</xdr:colOff>
      <xdr:row>120</xdr:row>
      <xdr:rowOff>169545</xdr:rowOff>
    </xdr:to>
    <xdr:pic>
      <xdr:nvPicPr>
        <xdr:cNvPr id="11" name="Picture 5" descr="clip_image114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53650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12" name="Picture 5" descr="clip_image1140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168910</xdr:rowOff>
    </xdr:to>
    <xdr:pic>
      <xdr:nvPicPr>
        <xdr:cNvPr id="13" name="Picture 5" descr="clip_image1140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14" name="Picture 5" descr="clip_image114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168910</xdr:rowOff>
    </xdr:to>
    <xdr:pic>
      <xdr:nvPicPr>
        <xdr:cNvPr id="15" name="Picture 5" descr="clip_image114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10160</xdr:rowOff>
    </xdr:to>
    <xdr:pic>
      <xdr:nvPicPr>
        <xdr:cNvPr id="16" name="Picture 5" descr="clip_image1140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168910</xdr:rowOff>
    </xdr:to>
    <xdr:pic>
      <xdr:nvPicPr>
        <xdr:cNvPr id="17" name="Picture 5" descr="clip_image1140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10160</xdr:rowOff>
    </xdr:to>
    <xdr:pic>
      <xdr:nvPicPr>
        <xdr:cNvPr id="18" name="Picture 5" descr="clip_image1140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168910</xdr:rowOff>
    </xdr:to>
    <xdr:pic>
      <xdr:nvPicPr>
        <xdr:cNvPr id="19" name="Picture 5" descr="clip_image1140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20" name="Picture 5" descr="clip_image114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21" name="Picture 5" descr="clip_image114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22" name="Picture 5" descr="clip_image1140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23" name="Picture 5" descr="clip_image1140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24" name="Picture 5" descr="clip_image1140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25" name="Picture 5" descr="clip_image1140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26" name="Picture 5" descr="clip_image1140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27" name="Picture 5" descr="clip_image1140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28" name="Picture 5" descr="clip_image114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29" name="Picture 5" descr="clip_image1140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30" name="Picture 5" descr="clip_image1140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31" name="Picture 5" descr="clip_image114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32" name="Picture 5" descr="clip_image1140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33" name="Picture 5" descr="clip_image1140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34" name="Picture 5" descr="clip_image114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35" name="Picture 5" descr="clip_image1140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10160</xdr:rowOff>
    </xdr:to>
    <xdr:pic>
      <xdr:nvPicPr>
        <xdr:cNvPr id="36" name="Picture 5" descr="clip_image1140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167640</xdr:rowOff>
    </xdr:to>
    <xdr:pic>
      <xdr:nvPicPr>
        <xdr:cNvPr id="37" name="Picture 5" descr="clip_image1140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10160</xdr:rowOff>
    </xdr:to>
    <xdr:pic>
      <xdr:nvPicPr>
        <xdr:cNvPr id="38" name="Picture 5" descr="clip_image1140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167640</xdr:rowOff>
    </xdr:to>
    <xdr:pic>
      <xdr:nvPicPr>
        <xdr:cNvPr id="39" name="Picture 5" descr="clip_image1140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12700</xdr:colOff>
      <xdr:row>98</xdr:row>
      <xdr:rowOff>10160</xdr:rowOff>
    </xdr:to>
    <xdr:pic>
      <xdr:nvPicPr>
        <xdr:cNvPr id="40" name="Picture 5" descr="clip_image1140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0564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98</xdr:row>
      <xdr:rowOff>0</xdr:rowOff>
    </xdr:from>
    <xdr:to>
      <xdr:col>8</xdr:col>
      <xdr:colOff>12700</xdr:colOff>
      <xdr:row>98</xdr:row>
      <xdr:rowOff>169545</xdr:rowOff>
    </xdr:to>
    <xdr:pic>
      <xdr:nvPicPr>
        <xdr:cNvPr id="41" name="Picture 5" descr="clip_image11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0564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10160</xdr:rowOff>
    </xdr:to>
    <xdr:pic>
      <xdr:nvPicPr>
        <xdr:cNvPr id="42" name="Picture 5" descr="clip_image1140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169545</xdr:rowOff>
    </xdr:to>
    <xdr:pic>
      <xdr:nvPicPr>
        <xdr:cNvPr id="43" name="Picture 5" descr="clip_image1140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10160</xdr:rowOff>
    </xdr:to>
    <xdr:pic>
      <xdr:nvPicPr>
        <xdr:cNvPr id="44" name="Picture 5" descr="clip_image1140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139</xdr:row>
      <xdr:rowOff>0</xdr:rowOff>
    </xdr:from>
    <xdr:to>
      <xdr:col>8</xdr:col>
      <xdr:colOff>12700</xdr:colOff>
      <xdr:row>139</xdr:row>
      <xdr:rowOff>169545</xdr:rowOff>
    </xdr:to>
    <xdr:pic>
      <xdr:nvPicPr>
        <xdr:cNvPr id="45" name="Picture 5" descr="clip_image1140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9540200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12700</xdr:colOff>
      <xdr:row>108</xdr:row>
      <xdr:rowOff>10160</xdr:rowOff>
    </xdr:to>
    <xdr:pic>
      <xdr:nvPicPr>
        <xdr:cNvPr id="46" name="Picture 5" descr="clip_image1140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2850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108</xdr:row>
      <xdr:rowOff>0</xdr:rowOff>
    </xdr:from>
    <xdr:to>
      <xdr:col>8</xdr:col>
      <xdr:colOff>12700</xdr:colOff>
      <xdr:row>108</xdr:row>
      <xdr:rowOff>169545</xdr:rowOff>
    </xdr:to>
    <xdr:pic>
      <xdr:nvPicPr>
        <xdr:cNvPr id="47" name="Picture 5" descr="clip_image1140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2850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12700</xdr:colOff>
      <xdr:row>120</xdr:row>
      <xdr:rowOff>10160</xdr:rowOff>
    </xdr:to>
    <xdr:pic>
      <xdr:nvPicPr>
        <xdr:cNvPr id="48" name="Picture 5" descr="clip_image1140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53650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120</xdr:row>
      <xdr:rowOff>0</xdr:rowOff>
    </xdr:from>
    <xdr:to>
      <xdr:col>8</xdr:col>
      <xdr:colOff>12700</xdr:colOff>
      <xdr:row>120</xdr:row>
      <xdr:rowOff>169545</xdr:rowOff>
    </xdr:to>
    <xdr:pic>
      <xdr:nvPicPr>
        <xdr:cNvPr id="49" name="Picture 5" descr="clip_image1140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53650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50" name="Picture 5" descr="clip_image1140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168910</xdr:rowOff>
    </xdr:to>
    <xdr:pic>
      <xdr:nvPicPr>
        <xdr:cNvPr id="51" name="Picture 5" descr="clip_image114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52" name="Picture 5" descr="clip_image1140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168910</xdr:rowOff>
    </xdr:to>
    <xdr:pic>
      <xdr:nvPicPr>
        <xdr:cNvPr id="53" name="Picture 5" descr="clip_image1140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10160</xdr:rowOff>
    </xdr:to>
    <xdr:pic>
      <xdr:nvPicPr>
        <xdr:cNvPr id="54" name="Picture 5" descr="clip_image1140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168910</xdr:rowOff>
    </xdr:to>
    <xdr:pic>
      <xdr:nvPicPr>
        <xdr:cNvPr id="55" name="Picture 5" descr="clip_image1140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10160</xdr:rowOff>
    </xdr:to>
    <xdr:pic>
      <xdr:nvPicPr>
        <xdr:cNvPr id="56" name="Picture 5" descr="clip_image1140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8</xdr:col>
      <xdr:colOff>12700</xdr:colOff>
      <xdr:row>143</xdr:row>
      <xdr:rowOff>168910</xdr:rowOff>
    </xdr:to>
    <xdr:pic>
      <xdr:nvPicPr>
        <xdr:cNvPr id="57" name="Picture 5" descr="clip_image1140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0378400"/>
          <a:ext cx="12700" cy="16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58" name="Picture 5" descr="clip_image1140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59" name="Picture 5" descr="clip_image1140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60" name="Picture 5" descr="clip_image1140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61" name="Picture 5" descr="clip_image114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62" name="Picture 5" descr="clip_image1140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63" name="Picture 5" descr="clip_image1140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64" name="Picture 5" descr="clip_image1140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65" name="Picture 5" descr="clip_image1140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66" name="Picture 5" descr="clip_image1140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67" name="Picture 5" descr="clip_image1140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68" name="Picture 5" descr="clip_image1140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69" name="Picture 5" descr="clip_image1140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70" name="Picture 5" descr="clip_image1140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71" name="Picture 5" descr="clip_image114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10160</xdr:rowOff>
    </xdr:to>
    <xdr:pic>
      <xdr:nvPicPr>
        <xdr:cNvPr id="72" name="Picture 5" descr="clip_image1140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146</xdr:row>
      <xdr:rowOff>0</xdr:rowOff>
    </xdr:from>
    <xdr:to>
      <xdr:col>8</xdr:col>
      <xdr:colOff>12700</xdr:colOff>
      <xdr:row>146</xdr:row>
      <xdr:rowOff>167640</xdr:rowOff>
    </xdr:to>
    <xdr:pic>
      <xdr:nvPicPr>
        <xdr:cNvPr id="73" name="Picture 5" descr="clip_image1140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0070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10160</xdr:rowOff>
    </xdr:to>
    <xdr:pic>
      <xdr:nvPicPr>
        <xdr:cNvPr id="74" name="Picture 5" descr="clip_image1140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167640</xdr:rowOff>
    </xdr:to>
    <xdr:pic>
      <xdr:nvPicPr>
        <xdr:cNvPr id="75" name="Picture 5" descr="clip_image1140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10160</xdr:rowOff>
    </xdr:to>
    <xdr:pic>
      <xdr:nvPicPr>
        <xdr:cNvPr id="76" name="Picture 5" descr="clip_image1140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148</xdr:row>
      <xdr:rowOff>0</xdr:rowOff>
    </xdr:from>
    <xdr:to>
      <xdr:col>8</xdr:col>
      <xdr:colOff>12700</xdr:colOff>
      <xdr:row>148</xdr:row>
      <xdr:rowOff>167640</xdr:rowOff>
    </xdr:to>
    <xdr:pic>
      <xdr:nvPicPr>
        <xdr:cNvPr id="77" name="Picture 5" descr="clip_image1140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31426150"/>
          <a:ext cx="12700" cy="167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12700</xdr:colOff>
      <xdr:row>128</xdr:row>
      <xdr:rowOff>10160</xdr:rowOff>
    </xdr:to>
    <xdr:pic>
      <xdr:nvPicPr>
        <xdr:cNvPr id="78" name="Picture 5" descr="clip_image1140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7041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12700</xdr:colOff>
      <xdr:row>128</xdr:row>
      <xdr:rowOff>169545</xdr:rowOff>
    </xdr:to>
    <xdr:pic>
      <xdr:nvPicPr>
        <xdr:cNvPr id="79" name="Picture 5" descr="clip_image1140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7041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12700</xdr:colOff>
      <xdr:row>128</xdr:row>
      <xdr:rowOff>10160</xdr:rowOff>
    </xdr:to>
    <xdr:pic>
      <xdr:nvPicPr>
        <xdr:cNvPr id="80" name="Picture 5" descr="clip_image1140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7041475"/>
          <a:ext cx="12700" cy="10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128</xdr:row>
      <xdr:rowOff>0</xdr:rowOff>
    </xdr:from>
    <xdr:to>
      <xdr:col>8</xdr:col>
      <xdr:colOff>12700</xdr:colOff>
      <xdr:row>128</xdr:row>
      <xdr:rowOff>169545</xdr:rowOff>
    </xdr:to>
    <xdr:pic>
      <xdr:nvPicPr>
        <xdr:cNvPr id="81" name="Picture 5" descr="clip_image114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33375" y="27041475"/>
          <a:ext cx="12700" cy="1695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npc%20program\data\&#25104;&#26412;-&#31449;&#32423;&#21830;&#21697;&#36827;&#38144;&#23384;&#32479;&#35745;(2026-06-0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26&#24180;&#38750;&#27833;\&#37319;&#36141;&#27169;&#26495;\&#38598;&#37319;&#35746;&#36135;&#30446;&#24405;2026_6&#26376;-&#65288;&#26356;&#26032;&#33267;2026_06_03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站级商品进销存统计(2026-06-06)"/>
    </sheetNames>
    <sheetDataSet>
      <sheetData sheetId="0">
        <row r="1">
          <cell r="B1" t="str">
            <v>商品编码</v>
          </cell>
          <cell r="C1" t="str">
            <v>商品名称</v>
          </cell>
          <cell r="D1" t="str">
            <v>期末库存数量</v>
          </cell>
          <cell r="E1" t="str">
            <v>期末库存金额</v>
          </cell>
        </row>
        <row r="2">
          <cell r="D2">
            <v>39522117.273000002</v>
          </cell>
          <cell r="E2">
            <v>267230834.53999999</v>
          </cell>
        </row>
        <row r="3">
          <cell r="B3" t="str">
            <v>70002658</v>
          </cell>
          <cell r="C3" t="str">
            <v>利群 (软长嘴)香烟 20支</v>
          </cell>
          <cell r="D3">
            <v>16909</v>
          </cell>
          <cell r="E3">
            <v>475859.33</v>
          </cell>
          <cell r="F3">
            <v>31.800877810633398</v>
          </cell>
        </row>
        <row r="4">
          <cell r="B4" t="str">
            <v>70002660</v>
          </cell>
          <cell r="C4" t="str">
            <v>利群 (长嘴)香烟 20支</v>
          </cell>
          <cell r="D4">
            <v>7437</v>
          </cell>
          <cell r="E4">
            <v>125584.2</v>
          </cell>
          <cell r="F4">
            <v>19.081638563937101</v>
          </cell>
        </row>
        <row r="5">
          <cell r="B5" t="str">
            <v>70002699</v>
          </cell>
          <cell r="C5" t="str">
            <v>双喜 硬经典醇香（包）13mg</v>
          </cell>
          <cell r="D5">
            <v>70</v>
          </cell>
          <cell r="E5">
            <v>800.97</v>
          </cell>
          <cell r="F5">
            <v>12.929944285714299</v>
          </cell>
        </row>
        <row r="6">
          <cell r="B6" t="str">
            <v>70002704</v>
          </cell>
          <cell r="C6" t="str">
            <v>真龍 20支</v>
          </cell>
          <cell r="D6">
            <v>43</v>
          </cell>
          <cell r="E6">
            <v>181.54</v>
          </cell>
          <cell r="F6">
            <v>4.7707023255813903</v>
          </cell>
        </row>
        <row r="7">
          <cell r="B7" t="str">
            <v>70002705</v>
          </cell>
          <cell r="C7" t="str">
            <v>真龙(娇子) 20支</v>
          </cell>
          <cell r="D7">
            <v>3996</v>
          </cell>
          <cell r="E7">
            <v>20243.259999999998</v>
          </cell>
          <cell r="F7">
            <v>5.7244453953953904</v>
          </cell>
        </row>
        <row r="8">
          <cell r="B8" t="str">
            <v>70002706</v>
          </cell>
          <cell r="C8" t="str">
            <v>娇子 (X) 20支</v>
          </cell>
          <cell r="D8">
            <v>5065</v>
          </cell>
          <cell r="E8">
            <v>43481.66</v>
          </cell>
          <cell r="F8">
            <v>9.7007454689042394</v>
          </cell>
        </row>
        <row r="9">
          <cell r="B9" t="str">
            <v>70002710</v>
          </cell>
          <cell r="C9" t="str">
            <v>娇子 (软阳光) 20支</v>
          </cell>
          <cell r="D9">
            <v>502</v>
          </cell>
          <cell r="E9">
            <v>3909.78</v>
          </cell>
          <cell r="F9">
            <v>8.8008992031872495</v>
          </cell>
        </row>
        <row r="10">
          <cell r="B10" t="str">
            <v>70002711</v>
          </cell>
          <cell r="C10" t="str">
            <v>娇子 时代阳光 20支</v>
          </cell>
          <cell r="D10">
            <v>9912</v>
          </cell>
          <cell r="E10">
            <v>62285.120000000003</v>
          </cell>
          <cell r="F10">
            <v>7.1007047619047601</v>
          </cell>
        </row>
        <row r="11">
          <cell r="B11" t="str">
            <v>70002725</v>
          </cell>
          <cell r="C11" t="str">
            <v>云烟 (软珍品) 20支</v>
          </cell>
          <cell r="D11">
            <v>108305</v>
          </cell>
          <cell r="E11">
            <v>1981282.78</v>
          </cell>
          <cell r="F11">
            <v>20.671709906283201</v>
          </cell>
        </row>
        <row r="12">
          <cell r="B12" t="str">
            <v>70002727</v>
          </cell>
          <cell r="C12" t="str">
            <v>云烟 12mg</v>
          </cell>
          <cell r="D12">
            <v>69207</v>
          </cell>
          <cell r="E12">
            <v>701323.68</v>
          </cell>
          <cell r="F12">
            <v>11.451092496423801</v>
          </cell>
        </row>
        <row r="13">
          <cell r="B13" t="str">
            <v>70002739</v>
          </cell>
          <cell r="C13" t="str">
            <v>红河 (软甲) 20支</v>
          </cell>
          <cell r="D13">
            <v>22771</v>
          </cell>
          <cell r="E13">
            <v>115274.07</v>
          </cell>
          <cell r="F13">
            <v>5.7204206710289398</v>
          </cell>
        </row>
        <row r="14">
          <cell r="B14" t="str">
            <v>70002740</v>
          </cell>
          <cell r="C14" t="str">
            <v>红河 (硬甲) 20支</v>
          </cell>
          <cell r="D14">
            <v>472</v>
          </cell>
          <cell r="E14">
            <v>2569.0700000000002</v>
          </cell>
          <cell r="F14">
            <v>6.1505277542372898</v>
          </cell>
        </row>
        <row r="15">
          <cell r="B15" t="str">
            <v>70002750</v>
          </cell>
          <cell r="C15" t="str">
            <v>兰州 吉祥 16支</v>
          </cell>
          <cell r="D15">
            <v>2574</v>
          </cell>
          <cell r="E15">
            <v>38633.769999999997</v>
          </cell>
          <cell r="F15">
            <v>16.960435159285201</v>
          </cell>
        </row>
        <row r="16">
          <cell r="B16" t="str">
            <v>70002758</v>
          </cell>
          <cell r="C16" t="str">
            <v>中华 (硬) 20支</v>
          </cell>
          <cell r="D16">
            <v>133866</v>
          </cell>
          <cell r="E16">
            <v>4520665.09</v>
          </cell>
          <cell r="F16">
            <v>38.160186691915797</v>
          </cell>
        </row>
        <row r="17">
          <cell r="B17" t="str">
            <v>70002759</v>
          </cell>
          <cell r="C17" t="str">
            <v>中华 (软) 20支</v>
          </cell>
          <cell r="D17">
            <v>132010</v>
          </cell>
          <cell r="E17">
            <v>6810761.9400000004</v>
          </cell>
          <cell r="F17">
            <v>58.2998332868722</v>
          </cell>
        </row>
        <row r="18">
          <cell r="B18" t="str">
            <v>70002762</v>
          </cell>
          <cell r="C18" t="str">
            <v>牡丹香烟  20支</v>
          </cell>
          <cell r="D18">
            <v>30</v>
          </cell>
          <cell r="E18">
            <v>330.63</v>
          </cell>
          <cell r="F18">
            <v>12.45373</v>
          </cell>
        </row>
        <row r="19">
          <cell r="B19" t="str">
            <v>70002785</v>
          </cell>
          <cell r="C19" t="str">
            <v>苏烟 (软金砂) 20支</v>
          </cell>
          <cell r="D19">
            <v>17521</v>
          </cell>
          <cell r="E19">
            <v>591689.92000000004</v>
          </cell>
          <cell r="F19">
            <v>38.160470840705401</v>
          </cell>
        </row>
        <row r="20">
          <cell r="B20" t="str">
            <v>70002790</v>
          </cell>
          <cell r="C20" t="str">
            <v>利群 (特醇软蓝) 20支</v>
          </cell>
          <cell r="D20">
            <v>16800</v>
          </cell>
          <cell r="E20">
            <v>236402.43</v>
          </cell>
          <cell r="F20">
            <v>15.9008777321429</v>
          </cell>
        </row>
        <row r="21">
          <cell r="B21" t="str">
            <v>70002791</v>
          </cell>
          <cell r="C21" t="str">
            <v>利群 (新版) 20支</v>
          </cell>
          <cell r="D21">
            <v>13948</v>
          </cell>
          <cell r="E21">
            <v>176642.35</v>
          </cell>
          <cell r="F21">
            <v>14.310715192142199</v>
          </cell>
        </row>
        <row r="22">
          <cell r="B22" t="str">
            <v>70002792</v>
          </cell>
          <cell r="C22" t="str">
            <v>利群 (新版) 条</v>
          </cell>
          <cell r="D22">
            <v>350</v>
          </cell>
          <cell r="E22">
            <v>4432.49</v>
          </cell>
          <cell r="F22">
            <v>14.310610571428599</v>
          </cell>
        </row>
        <row r="23">
          <cell r="B23" t="str">
            <v>70002832</v>
          </cell>
          <cell r="C23" t="str">
            <v>泰山 望岳 8MG</v>
          </cell>
          <cell r="D23">
            <v>17166</v>
          </cell>
          <cell r="E23">
            <v>254434.3</v>
          </cell>
          <cell r="F23">
            <v>16.748849994174499</v>
          </cell>
        </row>
        <row r="24">
          <cell r="B24" t="str">
            <v>70002850</v>
          </cell>
          <cell r="C24" t="str">
            <v>黄鹤楼 软蓝(包) 12mg</v>
          </cell>
          <cell r="D24">
            <v>22657</v>
          </cell>
          <cell r="E24">
            <v>329431.02</v>
          </cell>
          <cell r="F24">
            <v>16.430112221388502</v>
          </cell>
        </row>
        <row r="25">
          <cell r="B25" t="str">
            <v>70002854</v>
          </cell>
          <cell r="C25" t="str">
            <v>白沙 (硬) 20支</v>
          </cell>
          <cell r="D25">
            <v>634</v>
          </cell>
          <cell r="E25">
            <v>3983.91</v>
          </cell>
          <cell r="F25">
            <v>7.1006597791798098</v>
          </cell>
        </row>
        <row r="26">
          <cell r="B26" t="str">
            <v>70002855</v>
          </cell>
          <cell r="C26" t="str">
            <v>白沙 (精品二代) 20支</v>
          </cell>
          <cell r="D26">
            <v>415</v>
          </cell>
          <cell r="E26">
            <v>3562.77</v>
          </cell>
          <cell r="F26">
            <v>9.7010363855421708</v>
          </cell>
        </row>
        <row r="27">
          <cell r="B27" t="str">
            <v>70002859</v>
          </cell>
          <cell r="C27" t="str">
            <v>芙蓉王 (硬) 20支</v>
          </cell>
          <cell r="D27">
            <v>118201</v>
          </cell>
          <cell r="E27">
            <v>2284296.4700000002</v>
          </cell>
          <cell r="F27">
            <v>21.837844105379801</v>
          </cell>
        </row>
        <row r="28">
          <cell r="B28" t="str">
            <v>70002861</v>
          </cell>
          <cell r="C28" t="str">
            <v>芙蓉王 (蓝) 20支</v>
          </cell>
          <cell r="D28">
            <v>534</v>
          </cell>
          <cell r="E28">
            <v>14528.19</v>
          </cell>
          <cell r="F28">
            <v>30.743173595505599</v>
          </cell>
        </row>
        <row r="29">
          <cell r="B29" t="str">
            <v>70002862</v>
          </cell>
          <cell r="C29" t="str">
            <v>芙蓉王 (软蓝) 20支</v>
          </cell>
          <cell r="D29">
            <v>236</v>
          </cell>
          <cell r="E29">
            <v>10218.34</v>
          </cell>
          <cell r="F29">
            <v>48.926797457627103</v>
          </cell>
        </row>
        <row r="30">
          <cell r="B30" t="str">
            <v>70002866</v>
          </cell>
          <cell r="C30" t="str">
            <v>利群  20支</v>
          </cell>
          <cell r="D30">
            <v>112</v>
          </cell>
          <cell r="E30">
            <v>1418.39</v>
          </cell>
          <cell r="F30">
            <v>14.310541964285701</v>
          </cell>
        </row>
        <row r="31">
          <cell r="B31" t="str">
            <v>70002888</v>
          </cell>
          <cell r="C31" t="str">
            <v>云烟 (软如意) 20支</v>
          </cell>
          <cell r="D31">
            <v>15604</v>
          </cell>
          <cell r="E31">
            <v>128833.2</v>
          </cell>
          <cell r="F31">
            <v>9.3297562163547791</v>
          </cell>
        </row>
        <row r="32">
          <cell r="B32" t="str">
            <v>70002892</v>
          </cell>
          <cell r="C32" t="str">
            <v>红塔山 (经典1956) 20支</v>
          </cell>
          <cell r="D32">
            <v>8703</v>
          </cell>
          <cell r="E32">
            <v>57767.45</v>
          </cell>
          <cell r="F32">
            <v>7.5005421693668799</v>
          </cell>
        </row>
        <row r="33">
          <cell r="B33" t="str">
            <v>70002893</v>
          </cell>
          <cell r="C33" t="str">
            <v>红塔山 (软经典) 20支</v>
          </cell>
          <cell r="D33">
            <v>15826</v>
          </cell>
          <cell r="E33">
            <v>112045.86</v>
          </cell>
          <cell r="F33">
            <v>8.0002414886895004</v>
          </cell>
        </row>
        <row r="34">
          <cell r="B34" t="str">
            <v>70002894</v>
          </cell>
          <cell r="C34" t="str">
            <v>红塔山 (软) 20支</v>
          </cell>
          <cell r="D34">
            <v>0</v>
          </cell>
          <cell r="E34">
            <v>0</v>
          </cell>
          <cell r="F34" t="e">
            <v>#DIV/0!</v>
          </cell>
        </row>
        <row r="35">
          <cell r="B35" t="str">
            <v>70002898</v>
          </cell>
          <cell r="C35" t="str">
            <v>红塔山 (硬经典100) 20支</v>
          </cell>
          <cell r="D35">
            <v>838</v>
          </cell>
          <cell r="E35">
            <v>5562.13</v>
          </cell>
          <cell r="F35">
            <v>7.5002468973746996</v>
          </cell>
        </row>
        <row r="36">
          <cell r="B36" t="str">
            <v>70002902</v>
          </cell>
          <cell r="C36" t="str">
            <v>玉溪 (软) 20支</v>
          </cell>
          <cell r="D36">
            <v>121734</v>
          </cell>
          <cell r="E36">
            <v>2169819.38</v>
          </cell>
          <cell r="F36">
            <v>20.141422276438799</v>
          </cell>
        </row>
        <row r="37">
          <cell r="B37" t="str">
            <v>70022593</v>
          </cell>
          <cell r="C37" t="str">
            <v>泰山 儒风 20支</v>
          </cell>
          <cell r="D37">
            <v>625</v>
          </cell>
          <cell r="E37">
            <v>25039.55</v>
          </cell>
          <cell r="F37">
            <v>45.2715064</v>
          </cell>
        </row>
        <row r="38">
          <cell r="B38" t="str">
            <v>70022888</v>
          </cell>
          <cell r="C38" t="str">
            <v>黄果树（长征）香烟</v>
          </cell>
          <cell r="D38">
            <v>5926</v>
          </cell>
          <cell r="E38">
            <v>32253.26</v>
          </cell>
          <cell r="F38">
            <v>6.1502166385420196</v>
          </cell>
        </row>
        <row r="39">
          <cell r="B39" t="str">
            <v>70023149</v>
          </cell>
          <cell r="C39" t="str">
            <v>黄鹤楼(软1916)15MMG</v>
          </cell>
          <cell r="D39">
            <v>2734</v>
          </cell>
          <cell r="E39">
            <v>205171.16</v>
          </cell>
          <cell r="F39">
            <v>84.800077103145597</v>
          </cell>
        </row>
        <row r="40">
          <cell r="B40" t="str">
            <v>70023161</v>
          </cell>
          <cell r="C40" t="str">
            <v>南京(九五之尊)硬12MMG</v>
          </cell>
          <cell r="D40">
            <v>569</v>
          </cell>
          <cell r="E40">
            <v>42925.43</v>
          </cell>
          <cell r="F40">
            <v>85.247339015817204</v>
          </cell>
        </row>
        <row r="41">
          <cell r="B41" t="str">
            <v>70023800</v>
          </cell>
          <cell r="C41" t="str">
            <v>玉溪 (和谐)硬盒香烟(包) 11mg</v>
          </cell>
          <cell r="D41">
            <v>8797</v>
          </cell>
          <cell r="E41">
            <v>264084.03999999998</v>
          </cell>
          <cell r="F41">
            <v>33.922355939524799</v>
          </cell>
        </row>
        <row r="42">
          <cell r="B42" t="str">
            <v>70025315</v>
          </cell>
          <cell r="C42" t="str">
            <v>七匹狼 (蓝色)硬盒香烟 8MG</v>
          </cell>
          <cell r="D42">
            <v>1399</v>
          </cell>
          <cell r="E42">
            <v>8784.1</v>
          </cell>
          <cell r="F42">
            <v>7.0950914939242304</v>
          </cell>
        </row>
        <row r="43">
          <cell r="B43" t="str">
            <v>70026581</v>
          </cell>
          <cell r="C43" t="str">
            <v>红河 (精品99)软盒香烟(包) 12MG</v>
          </cell>
          <cell r="D43">
            <v>607</v>
          </cell>
          <cell r="E43">
            <v>6150.67</v>
          </cell>
          <cell r="F43">
            <v>11.4501764415156</v>
          </cell>
        </row>
        <row r="44">
          <cell r="B44" t="str">
            <v>70026585</v>
          </cell>
          <cell r="C44" t="str">
            <v>兰州 硬盒香烟(包) 11MG</v>
          </cell>
          <cell r="D44">
            <v>4495</v>
          </cell>
          <cell r="E44">
            <v>61660.2</v>
          </cell>
          <cell r="F44">
            <v>15.5007844271413</v>
          </cell>
        </row>
        <row r="45">
          <cell r="B45" t="str">
            <v>70026588</v>
          </cell>
          <cell r="C45" t="str">
            <v>黄鹤楼 (1916)软盒香烟(包) 13MG</v>
          </cell>
          <cell r="D45">
            <v>20</v>
          </cell>
          <cell r="E45">
            <v>1501</v>
          </cell>
          <cell r="F45">
            <v>84.8065</v>
          </cell>
        </row>
        <row r="46">
          <cell r="B46" t="str">
            <v>70027016</v>
          </cell>
          <cell r="C46" t="str">
            <v>真龙 海韵硬盒香烟8MG 1包</v>
          </cell>
          <cell r="D46">
            <v>8596</v>
          </cell>
          <cell r="E46">
            <v>338437.39</v>
          </cell>
          <cell r="F46">
            <v>44.489791845044202</v>
          </cell>
        </row>
        <row r="47">
          <cell r="B47" t="str">
            <v>70027021</v>
          </cell>
          <cell r="C47" t="str">
            <v>白沙 和天下香烟(包) 10MG</v>
          </cell>
          <cell r="D47">
            <v>4152</v>
          </cell>
          <cell r="E47">
            <v>311583.09000000003</v>
          </cell>
          <cell r="F47">
            <v>84.799829407514494</v>
          </cell>
        </row>
        <row r="48">
          <cell r="B48" t="str">
            <v>70030041</v>
          </cell>
          <cell r="C48" t="str">
            <v>黄山 金皖硬盒香烟(包) 13MG</v>
          </cell>
          <cell r="D48">
            <v>45436</v>
          </cell>
          <cell r="E48">
            <v>997157.48</v>
          </cell>
          <cell r="F48">
            <v>24.799453129676898</v>
          </cell>
        </row>
        <row r="49">
          <cell r="B49" t="str">
            <v>70030043</v>
          </cell>
          <cell r="C49" t="str">
            <v>黄山 新制皖烟硬盒香烟(包) 13MG</v>
          </cell>
          <cell r="D49">
            <v>15665</v>
          </cell>
          <cell r="E49">
            <v>169003.56</v>
          </cell>
          <cell r="F49">
            <v>12.191128171081999</v>
          </cell>
        </row>
        <row r="50">
          <cell r="B50" t="str">
            <v>70037130</v>
          </cell>
          <cell r="C50" t="str">
            <v>真龙 (软娇子) 20支</v>
          </cell>
          <cell r="D50">
            <v>7488</v>
          </cell>
          <cell r="E50">
            <v>37922.379999999997</v>
          </cell>
          <cell r="F50">
            <v>5.7227950587606804</v>
          </cell>
        </row>
        <row r="51">
          <cell r="B51" t="str">
            <v>70037138</v>
          </cell>
          <cell r="C51" t="str">
            <v>南京 (九五) 20支</v>
          </cell>
          <cell r="D51">
            <v>83</v>
          </cell>
          <cell r="E51">
            <v>6228.86</v>
          </cell>
          <cell r="F51">
            <v>84.802551807228895</v>
          </cell>
        </row>
        <row r="52">
          <cell r="B52" t="str">
            <v>70043932</v>
          </cell>
          <cell r="C52" t="str">
            <v>兰州 硬精品 20支</v>
          </cell>
          <cell r="D52">
            <v>10175</v>
          </cell>
          <cell r="E52">
            <v>59179.46</v>
          </cell>
          <cell r="F52">
            <v>6.5722643538083503</v>
          </cell>
        </row>
        <row r="53">
          <cell r="B53" t="str">
            <v>70047412</v>
          </cell>
          <cell r="C53" t="str">
            <v>牡丹 (软)(包) 13MG</v>
          </cell>
          <cell r="D53">
            <v>30</v>
          </cell>
          <cell r="E53">
            <v>323.63</v>
          </cell>
          <cell r="F53">
            <v>12.190063333333301</v>
          </cell>
        </row>
        <row r="54">
          <cell r="B54" t="str">
            <v>70054268</v>
          </cell>
          <cell r="C54" t="str">
            <v>真龙 硬盒海韵 20支</v>
          </cell>
          <cell r="D54">
            <v>349</v>
          </cell>
          <cell r="E54">
            <v>13750.36</v>
          </cell>
          <cell r="F54">
            <v>44.521222922636099</v>
          </cell>
        </row>
        <row r="55">
          <cell r="B55" t="str">
            <v>70054284</v>
          </cell>
          <cell r="C55" t="str">
            <v>泰山 望岳 20支</v>
          </cell>
          <cell r="D55">
            <v>369</v>
          </cell>
          <cell r="E55">
            <v>5469.07</v>
          </cell>
          <cell r="F55">
            <v>16.7481005420054</v>
          </cell>
        </row>
        <row r="56">
          <cell r="B56" t="str">
            <v>70057427</v>
          </cell>
          <cell r="C56" t="str">
            <v>红河 软盒99 10包</v>
          </cell>
          <cell r="D56">
            <v>117</v>
          </cell>
          <cell r="E56">
            <v>1185.3900000000001</v>
          </cell>
          <cell r="F56">
            <v>11.448638461538501</v>
          </cell>
        </row>
        <row r="57">
          <cell r="B57" t="str">
            <v>70058321</v>
          </cell>
          <cell r="C57" t="str">
            <v>长城 (金南极) 5支</v>
          </cell>
          <cell r="D57">
            <v>119</v>
          </cell>
          <cell r="E57">
            <v>2156.35</v>
          </cell>
          <cell r="F57">
            <v>20.4762647058824</v>
          </cell>
        </row>
        <row r="58">
          <cell r="B58" t="str">
            <v>70061152</v>
          </cell>
          <cell r="C58" t="str">
            <v>黄果树 (长征)条 10包</v>
          </cell>
          <cell r="D58">
            <v>246</v>
          </cell>
          <cell r="E58">
            <v>1338.83</v>
          </cell>
          <cell r="F58">
            <v>6.1499101626016301</v>
          </cell>
        </row>
        <row r="59">
          <cell r="B59" t="str">
            <v>70062994</v>
          </cell>
          <cell r="C59" t="str">
            <v>白沙 和天下香烟(包) 13MG</v>
          </cell>
          <cell r="D59">
            <v>936</v>
          </cell>
          <cell r="E59">
            <v>70242.02</v>
          </cell>
          <cell r="F59">
            <v>84.800729273504302</v>
          </cell>
        </row>
        <row r="60">
          <cell r="B60" t="str">
            <v>70065399</v>
          </cell>
          <cell r="C60" t="str">
            <v>双喜 (硬经典1906) 11mg</v>
          </cell>
          <cell r="D60">
            <v>32526</v>
          </cell>
          <cell r="E60">
            <v>433258.28</v>
          </cell>
          <cell r="F60">
            <v>15.0520155075939</v>
          </cell>
        </row>
        <row r="61">
          <cell r="B61" t="str">
            <v>70065417</v>
          </cell>
          <cell r="C61" t="str">
            <v>烟草公司 扁中华(盒) 20支</v>
          </cell>
          <cell r="D61">
            <v>491</v>
          </cell>
          <cell r="E61">
            <v>16581.07</v>
          </cell>
          <cell r="F61">
            <v>38.1601</v>
          </cell>
        </row>
        <row r="62">
          <cell r="B62" t="str">
            <v>70067435</v>
          </cell>
          <cell r="C62" t="str">
            <v>真龙 软祥云 20支</v>
          </cell>
          <cell r="D62">
            <v>573</v>
          </cell>
          <cell r="E62">
            <v>5806.03</v>
          </cell>
          <cell r="F62">
            <v>11.449936998254801</v>
          </cell>
        </row>
        <row r="63">
          <cell r="B63" t="str">
            <v>70068087</v>
          </cell>
          <cell r="C63" t="str">
            <v>黄鹤楼 (硬1916) 13MG</v>
          </cell>
          <cell r="D63">
            <v>1803</v>
          </cell>
          <cell r="E63">
            <v>135305.20000000001</v>
          </cell>
          <cell r="F63">
            <v>84.800264004436997</v>
          </cell>
        </row>
        <row r="64">
          <cell r="B64" t="str">
            <v>70079170</v>
          </cell>
          <cell r="C64" t="str">
            <v>兰州 飞天 20支</v>
          </cell>
          <cell r="D64">
            <v>378</v>
          </cell>
          <cell r="E64">
            <v>16772.22</v>
          </cell>
          <cell r="F64">
            <v>50.139176190476199</v>
          </cell>
        </row>
        <row r="65">
          <cell r="B65" t="str">
            <v>70084274</v>
          </cell>
          <cell r="C65" t="str">
            <v>云烟 (福) 14MG</v>
          </cell>
          <cell r="D65">
            <v>5719</v>
          </cell>
          <cell r="E65">
            <v>86258.17</v>
          </cell>
          <cell r="F65">
            <v>17.043492236405001</v>
          </cell>
        </row>
        <row r="66">
          <cell r="B66" t="str">
            <v>70085059</v>
          </cell>
          <cell r="C66" t="str">
            <v>长城 雪茄(大号铝管5支) 13MG</v>
          </cell>
          <cell r="D66">
            <v>75</v>
          </cell>
          <cell r="E66">
            <v>4539.8</v>
          </cell>
          <cell r="F66">
            <v>68.399653333333305</v>
          </cell>
        </row>
        <row r="67">
          <cell r="B67" t="str">
            <v>70090034</v>
          </cell>
          <cell r="C67" t="str">
            <v>长城 (大号铝管5支) -</v>
          </cell>
          <cell r="D67">
            <v>270</v>
          </cell>
          <cell r="E67">
            <v>11634.04</v>
          </cell>
          <cell r="F67">
            <v>48.690611851851799</v>
          </cell>
        </row>
        <row r="68">
          <cell r="B68" t="str">
            <v>70094372</v>
          </cell>
          <cell r="C68" t="str">
            <v>长城 迷你咖啡 12MG</v>
          </cell>
          <cell r="D68">
            <v>7</v>
          </cell>
          <cell r="E68">
            <v>123.9</v>
          </cell>
          <cell r="F68">
            <v>20.001000000000001</v>
          </cell>
        </row>
        <row r="69">
          <cell r="B69" t="str">
            <v>70094878</v>
          </cell>
          <cell r="C69" t="str">
            <v>南京 (炫赫门) 20</v>
          </cell>
          <cell r="D69">
            <v>10177</v>
          </cell>
          <cell r="E69">
            <v>139601.5</v>
          </cell>
          <cell r="F69">
            <v>15.500608725557599</v>
          </cell>
        </row>
        <row r="70">
          <cell r="B70" t="str">
            <v>70104528</v>
          </cell>
          <cell r="C70" t="str">
            <v>中华 全开式84S翻盖 1包</v>
          </cell>
          <cell r="D70">
            <v>26</v>
          </cell>
          <cell r="E70">
            <v>878.02</v>
          </cell>
          <cell r="F70">
            <v>38.1601</v>
          </cell>
        </row>
        <row r="71">
          <cell r="B71" t="str">
            <v>70114977</v>
          </cell>
          <cell r="C71" t="str">
            <v>雪莲 王蓝翻盖 13MG</v>
          </cell>
          <cell r="D71">
            <v>50065</v>
          </cell>
          <cell r="E71">
            <v>429620.08</v>
          </cell>
          <cell r="F71">
            <v>9.6968079576550501</v>
          </cell>
        </row>
        <row r="72">
          <cell r="B72" t="str">
            <v>70119173</v>
          </cell>
          <cell r="C72" t="str">
            <v>雪莲王 蓝翻盖 13MG</v>
          </cell>
          <cell r="D72">
            <v>2876</v>
          </cell>
          <cell r="E72">
            <v>24689.75</v>
          </cell>
          <cell r="F72">
            <v>9.7007710361613295</v>
          </cell>
        </row>
        <row r="73">
          <cell r="B73" t="str">
            <v>70121337</v>
          </cell>
          <cell r="C73" t="str">
            <v>苏烟 五星红杉树 20支</v>
          </cell>
          <cell r="D73">
            <v>8298</v>
          </cell>
          <cell r="E73">
            <v>138562.01999999999</v>
          </cell>
          <cell r="F73">
            <v>18.8690145336226</v>
          </cell>
        </row>
        <row r="74">
          <cell r="B74" t="str">
            <v>70135163</v>
          </cell>
          <cell r="C74" t="str">
            <v>苏烟 苏烟五星红杉树 香烟? 20支</v>
          </cell>
          <cell r="D74">
            <v>259</v>
          </cell>
          <cell r="E74">
            <v>4325.12</v>
          </cell>
          <cell r="F74">
            <v>18.870214671814701</v>
          </cell>
        </row>
        <row r="75">
          <cell r="B75" t="str">
            <v>70140299</v>
          </cell>
          <cell r="C75" t="str">
            <v>黄金叶 黄金眼 13MG</v>
          </cell>
          <cell r="D75">
            <v>70</v>
          </cell>
          <cell r="E75">
            <v>755.13</v>
          </cell>
          <cell r="F75">
            <v>12.1899557142857</v>
          </cell>
        </row>
        <row r="76">
          <cell r="B76" t="str">
            <v>70142119</v>
          </cell>
          <cell r="C76" t="str">
            <v>黄鹤楼(1916)  包</v>
          </cell>
          <cell r="D76">
            <v>434</v>
          </cell>
          <cell r="E76">
            <v>32618.04</v>
          </cell>
          <cell r="F76">
            <v>84.927154838709697</v>
          </cell>
        </row>
        <row r="77">
          <cell r="B77" t="str">
            <v>70144420</v>
          </cell>
          <cell r="C77" t="str">
            <v>泰山 (红将军) 20支</v>
          </cell>
          <cell r="D77">
            <v>8150</v>
          </cell>
          <cell r="E77">
            <v>63470.42</v>
          </cell>
          <cell r="F77">
            <v>8.8001932024539897</v>
          </cell>
        </row>
        <row r="78">
          <cell r="B78" t="str">
            <v>70149471</v>
          </cell>
          <cell r="C78" t="str">
            <v>娇子 (软黄天子)盒 12MG</v>
          </cell>
          <cell r="D78">
            <v>15</v>
          </cell>
          <cell r="E78">
            <v>474.37</v>
          </cell>
          <cell r="F78">
            <v>35.735873333333302</v>
          </cell>
        </row>
        <row r="79">
          <cell r="B79" t="str">
            <v>70151463</v>
          </cell>
          <cell r="C79" t="str">
            <v>贵烟（硬黄精品）20支</v>
          </cell>
          <cell r="D79">
            <v>28654</v>
          </cell>
          <cell r="E79">
            <v>290367.99</v>
          </cell>
          <cell r="F79">
            <v>11.450960727996099</v>
          </cell>
        </row>
        <row r="80">
          <cell r="B80" t="str">
            <v>70154144</v>
          </cell>
          <cell r="C80" t="str">
            <v>黄金叶 金满堂(包) 13MG</v>
          </cell>
          <cell r="D80">
            <v>4518</v>
          </cell>
          <cell r="E80">
            <v>37298.03</v>
          </cell>
          <cell r="F80">
            <v>9.3286352146967708</v>
          </cell>
        </row>
        <row r="81">
          <cell r="B81" t="str">
            <v>70154335</v>
          </cell>
          <cell r="C81" t="str">
            <v>黄金叶 天叶 20支</v>
          </cell>
          <cell r="D81">
            <v>8705</v>
          </cell>
          <cell r="E81">
            <v>522611.19</v>
          </cell>
          <cell r="F81">
            <v>67.840395715106297</v>
          </cell>
        </row>
        <row r="82">
          <cell r="B82" t="str">
            <v>70154926</v>
          </cell>
          <cell r="C82" t="str">
            <v>好猫 猴王磨砂 12MG</v>
          </cell>
          <cell r="D82">
            <v>821</v>
          </cell>
          <cell r="E82">
            <v>7623.13</v>
          </cell>
          <cell r="F82">
            <v>10.4922495736906</v>
          </cell>
        </row>
        <row r="83">
          <cell r="B83" t="str">
            <v>70157864</v>
          </cell>
          <cell r="C83" t="str">
            <v>黄金叶 (金满堂) 硬盒香烟(包) 12MG</v>
          </cell>
          <cell r="D83">
            <v>11</v>
          </cell>
          <cell r="E83">
            <v>90.81</v>
          </cell>
          <cell r="F83">
            <v>9.3286636363636397</v>
          </cell>
        </row>
        <row r="84">
          <cell r="B84" t="str">
            <v>70159060</v>
          </cell>
          <cell r="C84" t="str">
            <v>南京 硬十二钗薄荷(包) 6MG</v>
          </cell>
          <cell r="D84">
            <v>5099</v>
          </cell>
          <cell r="E84">
            <v>85145.44</v>
          </cell>
          <cell r="F84">
            <v>18.869258129044901</v>
          </cell>
        </row>
        <row r="85">
          <cell r="B85" t="str">
            <v>70160726</v>
          </cell>
          <cell r="C85" t="str">
            <v>泰山 白将军 12MG</v>
          </cell>
          <cell r="D85">
            <v>7674</v>
          </cell>
          <cell r="E85">
            <v>77764.100000000006</v>
          </cell>
          <cell r="F85">
            <v>11.450799192077101</v>
          </cell>
        </row>
        <row r="86">
          <cell r="B86" t="str">
            <v>70164671</v>
          </cell>
          <cell r="C86" t="str">
            <v>红河 硬盒香烟(包) 13MG</v>
          </cell>
          <cell r="D86">
            <v>4691</v>
          </cell>
          <cell r="E86">
            <v>25531.83</v>
          </cell>
          <cell r="F86">
            <v>6.1502809422298004</v>
          </cell>
        </row>
        <row r="87">
          <cell r="B87" t="str">
            <v>70175729</v>
          </cell>
          <cell r="C87" t="str">
            <v>南京 金陵十二钗 0.6MG</v>
          </cell>
          <cell r="D87">
            <v>37356</v>
          </cell>
          <cell r="E87">
            <v>805990.81</v>
          </cell>
          <cell r="F87">
            <v>24.380812059642398</v>
          </cell>
        </row>
        <row r="88">
          <cell r="B88" t="str">
            <v>70182651</v>
          </cell>
          <cell r="C88" t="str">
            <v>南京 (十二钗薄荷) 5MG</v>
          </cell>
          <cell r="D88">
            <v>684</v>
          </cell>
          <cell r="E88">
            <v>11421.34</v>
          </cell>
          <cell r="F88">
            <v>18.868588011695898</v>
          </cell>
        </row>
        <row r="89">
          <cell r="B89" t="str">
            <v>70191058</v>
          </cell>
          <cell r="C89" t="str">
            <v>长城 盛世六号 12MG</v>
          </cell>
          <cell r="D89">
            <v>16</v>
          </cell>
          <cell r="E89">
            <v>2254.86</v>
          </cell>
          <cell r="F89">
            <v>159.24948749999999</v>
          </cell>
        </row>
        <row r="90">
          <cell r="B90" t="str">
            <v>70191896</v>
          </cell>
          <cell r="C90" t="str">
            <v>云烟 (软大重九) 8MG</v>
          </cell>
          <cell r="D90">
            <v>4225</v>
          </cell>
          <cell r="E90">
            <v>269505.09000000003</v>
          </cell>
          <cell r="F90">
            <v>72.080651289940803</v>
          </cell>
        </row>
        <row r="91">
          <cell r="B91" t="str">
            <v>70192932</v>
          </cell>
          <cell r="C91" t="str">
            <v>长城 传奇1号(5支) 12MG</v>
          </cell>
          <cell r="D91">
            <v>18</v>
          </cell>
          <cell r="E91">
            <v>5734.45</v>
          </cell>
          <cell r="F91">
            <v>359.99602777777801</v>
          </cell>
        </row>
        <row r="92">
          <cell r="B92" t="str">
            <v>70204889</v>
          </cell>
          <cell r="C92" t="str">
            <v>黄鹤楼天下名楼8MG</v>
          </cell>
          <cell r="D92">
            <v>12552</v>
          </cell>
          <cell r="E92">
            <v>155422.06</v>
          </cell>
          <cell r="F92">
            <v>13.991947721478599</v>
          </cell>
        </row>
        <row r="93">
          <cell r="B93" t="str">
            <v>70205290</v>
          </cell>
          <cell r="C93" t="str">
            <v>黄山 小红方印 12MG</v>
          </cell>
          <cell r="D93">
            <v>53</v>
          </cell>
          <cell r="E93">
            <v>870.19</v>
          </cell>
          <cell r="F93">
            <v>18.553107547169802</v>
          </cell>
        </row>
        <row r="94">
          <cell r="B94" t="str">
            <v>70208406</v>
          </cell>
          <cell r="C94" t="str">
            <v>兰州 硬如意 8MG</v>
          </cell>
          <cell r="D94">
            <v>50</v>
          </cell>
          <cell r="E94">
            <v>412.74</v>
          </cell>
          <cell r="F94">
            <v>9.3279239999999994</v>
          </cell>
        </row>
        <row r="95">
          <cell r="B95" t="str">
            <v>70212101</v>
          </cell>
          <cell r="C95" t="str">
            <v>七匹狼 纯境(包) 8MG</v>
          </cell>
          <cell r="D95">
            <v>162</v>
          </cell>
          <cell r="E95">
            <v>2398.88</v>
          </cell>
          <cell r="F95">
            <v>16.732928395061698</v>
          </cell>
        </row>
        <row r="96">
          <cell r="B96" t="str">
            <v>70215666</v>
          </cell>
          <cell r="C96" t="str">
            <v>555 金锐 8MG</v>
          </cell>
          <cell r="D96">
            <v>20</v>
          </cell>
          <cell r="E96">
            <v>243.91</v>
          </cell>
          <cell r="F96">
            <v>13.780915</v>
          </cell>
        </row>
        <row r="97">
          <cell r="B97" t="str">
            <v>70217288</v>
          </cell>
          <cell r="C97" t="str">
            <v>雪莲 岁月软盒香烟(包) 8MG</v>
          </cell>
          <cell r="D97">
            <v>769</v>
          </cell>
          <cell r="E97">
            <v>49049.46</v>
          </cell>
          <cell r="F97">
            <v>72.075279323797105</v>
          </cell>
        </row>
        <row r="98">
          <cell r="B98" t="str">
            <v>70219756</v>
          </cell>
          <cell r="C98" t="str">
            <v>庐山 (金圣) 焦油含量 8MG</v>
          </cell>
          <cell r="D98">
            <v>3269</v>
          </cell>
          <cell r="E98">
            <v>17792.23</v>
          </cell>
          <cell r="F98">
            <v>6.1502661058427703</v>
          </cell>
        </row>
        <row r="99">
          <cell r="B99" t="str">
            <v>70223441</v>
          </cell>
          <cell r="C99" t="str">
            <v>南京 雨花石 5MG</v>
          </cell>
          <cell r="D99">
            <v>39023</v>
          </cell>
          <cell r="E99">
            <v>1574065.94</v>
          </cell>
          <cell r="F99">
            <v>45.580670686518197</v>
          </cell>
        </row>
        <row r="100">
          <cell r="B100" t="str">
            <v>70227684</v>
          </cell>
          <cell r="C100" t="str">
            <v>真龙 (起源) 11MG</v>
          </cell>
          <cell r="D100">
            <v>51156</v>
          </cell>
          <cell r="E100">
            <v>959753.47</v>
          </cell>
          <cell r="F100">
            <v>21.200277994761102</v>
          </cell>
        </row>
        <row r="101">
          <cell r="B101" t="str">
            <v>70228062</v>
          </cell>
          <cell r="C101" t="str">
            <v>黄金叶 (天叶)硬盒 11MG</v>
          </cell>
          <cell r="D101">
            <v>116</v>
          </cell>
          <cell r="E101">
            <v>6964.15</v>
          </cell>
          <cell r="F101">
            <v>67.840426724137899</v>
          </cell>
        </row>
        <row r="102">
          <cell r="B102" t="str">
            <v>70228084</v>
          </cell>
          <cell r="C102" t="str">
            <v>王冠 经典铝2支全叶卷 15MG</v>
          </cell>
          <cell r="D102">
            <v>246</v>
          </cell>
          <cell r="E102">
            <v>14931.94</v>
          </cell>
          <cell r="F102">
            <v>68.589805691056895</v>
          </cell>
        </row>
        <row r="103">
          <cell r="B103" t="str">
            <v>70229874</v>
          </cell>
          <cell r="C103" t="str">
            <v>黄鹤楼 天骄圣地硬盒 10MG</v>
          </cell>
          <cell r="D103">
            <v>10</v>
          </cell>
          <cell r="E103">
            <v>349.74</v>
          </cell>
          <cell r="F103">
            <v>39.520620000000001</v>
          </cell>
        </row>
        <row r="104">
          <cell r="B104" t="str">
            <v>70230173</v>
          </cell>
          <cell r="C104" t="str">
            <v>贵烟 硬新贵(包) 11MG</v>
          </cell>
          <cell r="D104">
            <v>1785</v>
          </cell>
          <cell r="E104">
            <v>14736.7</v>
          </cell>
          <cell r="F104">
            <v>9.3291154061624706</v>
          </cell>
        </row>
        <row r="105">
          <cell r="B105" t="str">
            <v>70231798</v>
          </cell>
          <cell r="C105" t="str">
            <v>贵烟 国酒香30 10MG</v>
          </cell>
          <cell r="D105">
            <v>1230</v>
          </cell>
          <cell r="E105">
            <v>78158.31</v>
          </cell>
          <cell r="F105">
            <v>71.8039758536585</v>
          </cell>
        </row>
        <row r="106">
          <cell r="B106" t="str">
            <v>70232185</v>
          </cell>
          <cell r="C106" t="str">
            <v>苏烟 沉香硬盒 6MG</v>
          </cell>
          <cell r="D106">
            <v>7</v>
          </cell>
          <cell r="E106">
            <v>450.2</v>
          </cell>
          <cell r="F106">
            <v>72.675142857142902</v>
          </cell>
        </row>
        <row r="107">
          <cell r="B107" t="str">
            <v>70232589</v>
          </cell>
          <cell r="C107" t="str">
            <v>长城 盛世5号 2支</v>
          </cell>
          <cell r="D107">
            <v>268</v>
          </cell>
          <cell r="E107">
            <v>10078.040000000001</v>
          </cell>
          <cell r="F107">
            <v>42.493228358209002</v>
          </cell>
        </row>
        <row r="108">
          <cell r="B108" t="str">
            <v>70235137</v>
          </cell>
          <cell r="C108" t="str">
            <v>长城 (盛世3号) 12MG</v>
          </cell>
          <cell r="D108">
            <v>7</v>
          </cell>
          <cell r="E108">
            <v>1771.68</v>
          </cell>
          <cell r="F108">
            <v>285.99977142857102</v>
          </cell>
        </row>
        <row r="109">
          <cell r="B109" t="str">
            <v>70237455</v>
          </cell>
          <cell r="C109" t="str">
            <v>好猫 长乐 20支</v>
          </cell>
          <cell r="D109">
            <v>2683</v>
          </cell>
          <cell r="E109">
            <v>28945.98</v>
          </cell>
          <cell r="F109">
            <v>12.191187998509101</v>
          </cell>
        </row>
        <row r="110">
          <cell r="B110" t="str">
            <v>70237895</v>
          </cell>
          <cell r="C110" t="str">
            <v>利群 (西子阳光) 5MG</v>
          </cell>
          <cell r="D110">
            <v>15483</v>
          </cell>
          <cell r="E110">
            <v>377624.29</v>
          </cell>
          <cell r="F110">
            <v>27.5602562617064</v>
          </cell>
        </row>
        <row r="111">
          <cell r="B111" t="str">
            <v>70237937</v>
          </cell>
          <cell r="C111" t="str">
            <v>王冠 原味3号 （雪茄）110MM 盒</v>
          </cell>
          <cell r="D111">
            <v>1</v>
          </cell>
          <cell r="E111">
            <v>123.9</v>
          </cell>
          <cell r="F111">
            <v>140.00700000000001</v>
          </cell>
        </row>
        <row r="112">
          <cell r="B112" t="str">
            <v>70238004</v>
          </cell>
          <cell r="C112" t="str">
            <v>将军 战神 5支</v>
          </cell>
          <cell r="D112">
            <v>728</v>
          </cell>
          <cell r="E112">
            <v>25031.46</v>
          </cell>
          <cell r="F112">
            <v>38.853777197802202</v>
          </cell>
        </row>
        <row r="113">
          <cell r="B113" t="str">
            <v>70238119</v>
          </cell>
          <cell r="C113" t="str">
            <v>黄金叶（爱尚）</v>
          </cell>
          <cell r="D113">
            <v>8047</v>
          </cell>
          <cell r="E113">
            <v>99642.880000000005</v>
          </cell>
          <cell r="F113">
            <v>13.9923517335653</v>
          </cell>
        </row>
        <row r="114">
          <cell r="B114" t="str">
            <v>70239795</v>
          </cell>
          <cell r="C114" t="str">
            <v>黄金叶 爱尚 6MG 1盒</v>
          </cell>
          <cell r="D114">
            <v>563</v>
          </cell>
          <cell r="E114">
            <v>6971.51</v>
          </cell>
          <cell r="F114">
            <v>13.9925511545293</v>
          </cell>
        </row>
        <row r="115">
          <cell r="B115" t="str">
            <v>70239821</v>
          </cell>
          <cell r="C115" t="str">
            <v>兰州 (桥) 硬盒香烟(包) 6MG</v>
          </cell>
          <cell r="D115">
            <v>936</v>
          </cell>
          <cell r="E115">
            <v>15365.98</v>
          </cell>
          <cell r="F115">
            <v>18.550809188034201</v>
          </cell>
        </row>
        <row r="116">
          <cell r="B116" t="str">
            <v>70240091</v>
          </cell>
          <cell r="C116" t="str">
            <v>红云红河 云烟(软大重九) 8MG</v>
          </cell>
          <cell r="D116">
            <v>4</v>
          </cell>
          <cell r="E116">
            <v>255.16</v>
          </cell>
          <cell r="F116">
            <v>72.082700000000003</v>
          </cell>
        </row>
        <row r="117">
          <cell r="B117" t="str">
            <v>70240092</v>
          </cell>
          <cell r="C117" t="str">
            <v>长白山 777 7MG</v>
          </cell>
          <cell r="D117">
            <v>1484</v>
          </cell>
          <cell r="E117">
            <v>16010.25</v>
          </cell>
          <cell r="F117">
            <v>12.191093328840999</v>
          </cell>
        </row>
        <row r="118">
          <cell r="B118" t="str">
            <v>70240977</v>
          </cell>
          <cell r="C118" t="str">
            <v>南京 雨花石 5MG</v>
          </cell>
          <cell r="D118">
            <v>2894</v>
          </cell>
          <cell r="E118">
            <v>116735.48</v>
          </cell>
          <cell r="F118">
            <v>45.5808888735314</v>
          </cell>
        </row>
        <row r="119">
          <cell r="B119" t="str">
            <v>70241239</v>
          </cell>
          <cell r="C119" t="str">
            <v>王冠 原味1号 10只装</v>
          </cell>
          <cell r="D119">
            <v>53</v>
          </cell>
          <cell r="E119">
            <v>289.05</v>
          </cell>
          <cell r="F119">
            <v>6.1627641509434001</v>
          </cell>
        </row>
        <row r="120">
          <cell r="B120" t="str">
            <v>70242015</v>
          </cell>
          <cell r="C120" t="str">
            <v>荷花 钻石10MG 20支</v>
          </cell>
          <cell r="D120">
            <v>8283</v>
          </cell>
          <cell r="E120">
            <v>202019.78</v>
          </cell>
          <cell r="F120">
            <v>27.560346661837499</v>
          </cell>
        </row>
        <row r="121">
          <cell r="B121" t="str">
            <v>70242519</v>
          </cell>
          <cell r="C121" t="str">
            <v>好猫 细支长乐6MG 20支</v>
          </cell>
          <cell r="D121">
            <v>5233</v>
          </cell>
          <cell r="E121">
            <v>64797.42</v>
          </cell>
          <cell r="F121">
            <v>13.9921812726925</v>
          </cell>
        </row>
        <row r="122">
          <cell r="B122" t="str">
            <v>70245171</v>
          </cell>
          <cell r="C122" t="str">
            <v>黄山 记忆 10MG</v>
          </cell>
          <cell r="D122">
            <v>6743</v>
          </cell>
          <cell r="E122">
            <v>72750.06</v>
          </cell>
          <cell r="F122">
            <v>12.191542013940399</v>
          </cell>
        </row>
        <row r="123">
          <cell r="B123" t="str">
            <v>70248644</v>
          </cell>
          <cell r="C123" t="str">
            <v>真龙 凌云(包) 8MG</v>
          </cell>
          <cell r="D123">
            <v>6783</v>
          </cell>
          <cell r="E123">
            <v>73177.19</v>
          </cell>
          <cell r="F123">
            <v>12.1908041721952</v>
          </cell>
        </row>
        <row r="124">
          <cell r="B124" t="str">
            <v>70249778</v>
          </cell>
          <cell r="C124" t="str">
            <v>兰州 桥 6MG</v>
          </cell>
          <cell r="D124">
            <v>50</v>
          </cell>
          <cell r="E124">
            <v>820.8</v>
          </cell>
          <cell r="F124">
            <v>18.550080000000001</v>
          </cell>
        </row>
        <row r="125">
          <cell r="B125" t="str">
            <v>70249780</v>
          </cell>
          <cell r="C125" t="str">
            <v>利群 西子阳光 5MG</v>
          </cell>
          <cell r="D125">
            <v>568</v>
          </cell>
          <cell r="E125">
            <v>13853.17</v>
          </cell>
          <cell r="F125">
            <v>27.560003697183099</v>
          </cell>
        </row>
        <row r="126">
          <cell r="B126" t="str">
            <v>70251847</v>
          </cell>
          <cell r="C126" t="str">
            <v>雪莲 尚禧 11MG</v>
          </cell>
          <cell r="D126">
            <v>35049</v>
          </cell>
          <cell r="E126">
            <v>401075.73</v>
          </cell>
          <cell r="F126">
            <v>12.9309131473081</v>
          </cell>
        </row>
        <row r="127">
          <cell r="B127" t="str">
            <v>70252346</v>
          </cell>
          <cell r="C127" t="str">
            <v>黄金叶 天香细支 10MG</v>
          </cell>
          <cell r="D127">
            <v>9304</v>
          </cell>
          <cell r="E127">
            <v>375288.99</v>
          </cell>
          <cell r="F127">
            <v>45.580025655631999</v>
          </cell>
        </row>
        <row r="128">
          <cell r="B128" t="str">
            <v>70253360</v>
          </cell>
          <cell r="C128" t="str">
            <v>娇子 格调（细支） 20支</v>
          </cell>
          <cell r="D128">
            <v>2954</v>
          </cell>
          <cell r="E128">
            <v>33802.28</v>
          </cell>
          <cell r="F128">
            <v>12.930459174001401</v>
          </cell>
        </row>
        <row r="129">
          <cell r="B129" t="str">
            <v>70253504</v>
          </cell>
          <cell r="C129" t="str">
            <v>钻石 荷花细支 1MG</v>
          </cell>
          <cell r="D129">
            <v>14197</v>
          </cell>
          <cell r="E129">
            <v>452810.31</v>
          </cell>
          <cell r="F129">
            <v>36.041110819187097</v>
          </cell>
        </row>
        <row r="130">
          <cell r="B130" t="str">
            <v>70253566</v>
          </cell>
          <cell r="C130" t="str">
            <v>黄鹤楼 (硬平安) 8MG</v>
          </cell>
          <cell r="D130">
            <v>2618</v>
          </cell>
          <cell r="E130">
            <v>166996.67000000001</v>
          </cell>
          <cell r="F130">
            <v>72.080304469060394</v>
          </cell>
        </row>
        <row r="131">
          <cell r="B131" t="str">
            <v>70253672</v>
          </cell>
          <cell r="C131" t="str">
            <v>金圣 11MG 滕王阁细支</v>
          </cell>
          <cell r="D131">
            <v>2165</v>
          </cell>
          <cell r="E131">
            <v>33530.550000000003</v>
          </cell>
          <cell r="F131">
            <v>17.500933718244799</v>
          </cell>
        </row>
        <row r="132">
          <cell r="B132" t="str">
            <v>70253745</v>
          </cell>
          <cell r="C132" t="str">
            <v>七匹狼 锋芒 7MG</v>
          </cell>
          <cell r="D132">
            <v>16089</v>
          </cell>
          <cell r="E132">
            <v>224972</v>
          </cell>
          <cell r="F132">
            <v>15.800755795885401</v>
          </cell>
        </row>
        <row r="133">
          <cell r="B133" t="str">
            <v>70253762</v>
          </cell>
          <cell r="C133" t="str">
            <v>红塔山 细支传奇 20</v>
          </cell>
          <cell r="D133">
            <v>1054</v>
          </cell>
          <cell r="E133">
            <v>14458.25</v>
          </cell>
          <cell r="F133">
            <v>15.5007803605313</v>
          </cell>
        </row>
        <row r="134">
          <cell r="B134" t="str">
            <v>70254773</v>
          </cell>
          <cell r="C134" t="str">
            <v>云烟 硬苁蓉 11MG</v>
          </cell>
          <cell r="D134">
            <v>9057</v>
          </cell>
          <cell r="E134">
            <v>91780.41</v>
          </cell>
          <cell r="F134">
            <v>11.451017257369999</v>
          </cell>
        </row>
        <row r="135">
          <cell r="B135" t="str">
            <v>70254860</v>
          </cell>
          <cell r="C135" t="str">
            <v>云烟 冬虫夏草和润 5MG</v>
          </cell>
          <cell r="D135">
            <v>23190</v>
          </cell>
          <cell r="E135">
            <v>870146.81</v>
          </cell>
          <cell r="F135">
            <v>42.400426705476498</v>
          </cell>
        </row>
        <row r="136">
          <cell r="B136" t="str">
            <v>70255014</v>
          </cell>
          <cell r="C136" t="str">
            <v>黄金叶 黄金叶（天香细支） 6MG</v>
          </cell>
          <cell r="D136">
            <v>5558</v>
          </cell>
          <cell r="E136">
            <v>224185.48</v>
          </cell>
          <cell r="F136">
            <v>45.579271752428902</v>
          </cell>
        </row>
        <row r="137">
          <cell r="B137" t="str">
            <v>70255262</v>
          </cell>
          <cell r="C137" t="str">
            <v>天子 （金） 20支</v>
          </cell>
          <cell r="D137">
            <v>36685</v>
          </cell>
          <cell r="E137">
            <v>543702.41</v>
          </cell>
          <cell r="F137">
            <v>16.747545953386901</v>
          </cell>
        </row>
        <row r="138">
          <cell r="B138" t="str">
            <v>70256222</v>
          </cell>
          <cell r="C138" t="str">
            <v>长城 生肖版雪茄 0MG</v>
          </cell>
          <cell r="D138">
            <v>4</v>
          </cell>
          <cell r="E138">
            <v>3964.6</v>
          </cell>
          <cell r="F138">
            <v>1119.9994999999999</v>
          </cell>
        </row>
        <row r="139">
          <cell r="B139" t="str">
            <v>70256722</v>
          </cell>
          <cell r="C139" t="str">
            <v>白沙 (软和天下) 20支</v>
          </cell>
          <cell r="D139">
            <v>999</v>
          </cell>
          <cell r="E139">
            <v>63724.18</v>
          </cell>
          <cell r="F139">
            <v>72.080403803803804</v>
          </cell>
        </row>
        <row r="140">
          <cell r="B140" t="str">
            <v>70256748</v>
          </cell>
          <cell r="C140" t="str">
            <v>爱喜 幻变 20支</v>
          </cell>
          <cell r="D140">
            <v>40</v>
          </cell>
          <cell r="E140">
            <v>736.23</v>
          </cell>
          <cell r="F140">
            <v>20.7984975</v>
          </cell>
        </row>
        <row r="141">
          <cell r="B141" t="str">
            <v>70257298</v>
          </cell>
          <cell r="C141" t="str">
            <v>好猫 招财猫1600 10MG</v>
          </cell>
          <cell r="D141">
            <v>656</v>
          </cell>
          <cell r="E141">
            <v>9172.61</v>
          </cell>
          <cell r="F141">
            <v>15.800380030487799</v>
          </cell>
        </row>
        <row r="142">
          <cell r="B142" t="str">
            <v>70257396</v>
          </cell>
          <cell r="C142" t="str">
            <v>长白山蓝尚 20支</v>
          </cell>
          <cell r="D142">
            <v>3863</v>
          </cell>
          <cell r="E142">
            <v>54014.720000000001</v>
          </cell>
          <cell r="F142">
            <v>15.8003193373026</v>
          </cell>
        </row>
        <row r="143">
          <cell r="B143" t="str">
            <v>70257421</v>
          </cell>
          <cell r="C143" t="str">
            <v>娇子 软阳光 20支</v>
          </cell>
          <cell r="D143">
            <v>5235</v>
          </cell>
          <cell r="E143">
            <v>40772.6</v>
          </cell>
          <cell r="F143">
            <v>8.8009623686723994</v>
          </cell>
        </row>
        <row r="144">
          <cell r="B144" t="str">
            <v>70258167</v>
          </cell>
          <cell r="C144" t="str">
            <v>长白山 蓝尚 8MG</v>
          </cell>
          <cell r="D144">
            <v>951</v>
          </cell>
          <cell r="E144">
            <v>13297.52</v>
          </cell>
          <cell r="F144">
            <v>15.800418086224999</v>
          </cell>
        </row>
        <row r="145">
          <cell r="B145" t="str">
            <v>70259336</v>
          </cell>
          <cell r="C145" t="str">
            <v>黄山 红方印（包） 8MG</v>
          </cell>
          <cell r="D145">
            <v>3781</v>
          </cell>
          <cell r="E145">
            <v>58559.01</v>
          </cell>
          <cell r="F145">
            <v>17.501105871462599</v>
          </cell>
        </row>
        <row r="146">
          <cell r="B146" t="str">
            <v>70259638</v>
          </cell>
          <cell r="C146" t="str">
            <v>钻石 细枝荷花 6MG</v>
          </cell>
          <cell r="D146">
            <v>123</v>
          </cell>
          <cell r="E146">
            <v>3923.05</v>
          </cell>
          <cell r="F146">
            <v>36.041028455284497</v>
          </cell>
        </row>
        <row r="147">
          <cell r="B147" t="str">
            <v>70259639</v>
          </cell>
          <cell r="C147" t="str">
            <v>王冠 全叶卷手工雪茄150MM*17.8MM 2支</v>
          </cell>
          <cell r="D147">
            <v>9</v>
          </cell>
          <cell r="E147">
            <v>2086.7399999999998</v>
          </cell>
          <cell r="F147">
            <v>262.0018</v>
          </cell>
        </row>
        <row r="148">
          <cell r="B148" t="str">
            <v>70260599</v>
          </cell>
          <cell r="C148" t="str">
            <v>泰山 儒风细支 10支</v>
          </cell>
          <cell r="D148">
            <v>34826</v>
          </cell>
          <cell r="E148">
            <v>810563.98</v>
          </cell>
          <cell r="F148">
            <v>26.300387566760499</v>
          </cell>
        </row>
        <row r="149">
          <cell r="B149" t="str">
            <v>70260984</v>
          </cell>
          <cell r="C149" t="str">
            <v>骄子 宽窄如意 10G</v>
          </cell>
          <cell r="D149">
            <v>2</v>
          </cell>
          <cell r="E149">
            <v>67.540000000000006</v>
          </cell>
          <cell r="F149">
            <v>38.1601</v>
          </cell>
        </row>
        <row r="150">
          <cell r="B150" t="str">
            <v>70261272</v>
          </cell>
          <cell r="C150" t="str">
            <v>白沙 （硬细支和天下） 20支</v>
          </cell>
          <cell r="D150">
            <v>3142</v>
          </cell>
          <cell r="E150">
            <v>200421.71</v>
          </cell>
          <cell r="F150">
            <v>72.080373106301707</v>
          </cell>
        </row>
        <row r="151">
          <cell r="B151" t="str">
            <v>70261823</v>
          </cell>
          <cell r="C151" t="str">
            <v>天子 千里江山 11.0MG</v>
          </cell>
          <cell r="D151">
            <v>20</v>
          </cell>
          <cell r="E151">
            <v>465.49</v>
          </cell>
          <cell r="F151">
            <v>26.300184999999999</v>
          </cell>
        </row>
        <row r="152">
          <cell r="B152" t="str">
            <v>70262830</v>
          </cell>
          <cell r="C152" t="str">
            <v>娇子 格调细支 8MG</v>
          </cell>
          <cell r="D152">
            <v>94</v>
          </cell>
          <cell r="E152">
            <v>1075.6099999999999</v>
          </cell>
          <cell r="F152">
            <v>12.9302053191489</v>
          </cell>
        </row>
        <row r="153">
          <cell r="B153" t="str">
            <v>70262833</v>
          </cell>
          <cell r="C153" t="str">
            <v>七匹狼 锋芒 20支</v>
          </cell>
          <cell r="D153">
            <v>125</v>
          </cell>
          <cell r="E153">
            <v>1747.84</v>
          </cell>
          <cell r="F153">
            <v>15.8004736</v>
          </cell>
        </row>
        <row r="154">
          <cell r="B154" t="str">
            <v>70262935</v>
          </cell>
          <cell r="C154" t="str">
            <v>龙凤呈祥 遇见 7MG</v>
          </cell>
          <cell r="D154">
            <v>0</v>
          </cell>
          <cell r="E154">
            <v>0</v>
          </cell>
          <cell r="F154" t="e">
            <v>#DIV/0!</v>
          </cell>
        </row>
        <row r="155">
          <cell r="B155" t="str">
            <v>70262987</v>
          </cell>
          <cell r="C155" t="str">
            <v>黄鹤楼 （硬峡谷柔情） 84MM</v>
          </cell>
          <cell r="D155">
            <v>22650</v>
          </cell>
          <cell r="E155">
            <v>527173.68999999994</v>
          </cell>
          <cell r="F155">
            <v>26.3004975584989</v>
          </cell>
        </row>
        <row r="156">
          <cell r="B156" t="str">
            <v>70263127</v>
          </cell>
          <cell r="C156" t="str">
            <v>黄鹤楼 硬平安 8MG</v>
          </cell>
          <cell r="D156">
            <v>4321</v>
          </cell>
          <cell r="E156">
            <v>275626.44</v>
          </cell>
          <cell r="F156">
            <v>72.080045637583893</v>
          </cell>
        </row>
        <row r="157">
          <cell r="B157" t="str">
            <v>70263128</v>
          </cell>
          <cell r="C157" t="str">
            <v>白沙 硬细支和天下 6MG</v>
          </cell>
          <cell r="D157">
            <v>81</v>
          </cell>
          <cell r="E157">
            <v>5166.87</v>
          </cell>
          <cell r="F157">
            <v>72.0810259259259</v>
          </cell>
        </row>
        <row r="158">
          <cell r="B158" t="str">
            <v>70263186</v>
          </cell>
          <cell r="C158" t="str">
            <v>天子 千里江山细支 7MG</v>
          </cell>
          <cell r="D158">
            <v>19793</v>
          </cell>
          <cell r="E158">
            <v>460676.99</v>
          </cell>
          <cell r="F158">
            <v>26.300459692820699</v>
          </cell>
        </row>
        <row r="159">
          <cell r="B159" t="str">
            <v>70263498</v>
          </cell>
          <cell r="C159" t="str">
            <v>贵烟 国酒香</v>
          </cell>
          <cell r="D159">
            <v>40</v>
          </cell>
          <cell r="E159">
            <v>2551.48</v>
          </cell>
          <cell r="F159">
            <v>72.079310000000007</v>
          </cell>
        </row>
        <row r="160">
          <cell r="B160" t="str">
            <v>70263724</v>
          </cell>
          <cell r="C160" t="str">
            <v>黄鹤楼 硬峡谷情细支 20支</v>
          </cell>
          <cell r="D160">
            <v>21390</v>
          </cell>
          <cell r="E160">
            <v>497846.22</v>
          </cell>
          <cell r="F160">
            <v>26.300431444600299</v>
          </cell>
        </row>
        <row r="161">
          <cell r="B161" t="str">
            <v>70264957</v>
          </cell>
          <cell r="C161" t="str">
            <v>南京九五细支 5MG</v>
          </cell>
          <cell r="D161">
            <v>1557</v>
          </cell>
          <cell r="E161">
            <v>93474.95</v>
          </cell>
          <cell r="F161">
            <v>67.839880218368606</v>
          </cell>
        </row>
        <row r="162">
          <cell r="B162" t="str">
            <v>70265278</v>
          </cell>
          <cell r="C162" t="str">
            <v>钻石 硬迎宾 11MG</v>
          </cell>
          <cell r="D162">
            <v>959</v>
          </cell>
          <cell r="E162">
            <v>5219.46</v>
          </cell>
          <cell r="F162">
            <v>6.1501457768508896</v>
          </cell>
        </row>
        <row r="163">
          <cell r="B163" t="str">
            <v>70265463</v>
          </cell>
          <cell r="C163" t="str">
            <v>兰州 （细支精品） 8MG</v>
          </cell>
          <cell r="D163">
            <v>2533</v>
          </cell>
          <cell r="E163">
            <v>35418.400000000001</v>
          </cell>
          <cell r="F163">
            <v>15.800549545992901</v>
          </cell>
        </row>
        <row r="164">
          <cell r="B164" t="str">
            <v>70265627</v>
          </cell>
          <cell r="C164" t="str">
            <v>黄金叶 乐途 20支</v>
          </cell>
          <cell r="D164">
            <v>11109</v>
          </cell>
          <cell r="E164">
            <v>119852.53</v>
          </cell>
          <cell r="F164">
            <v>12.191318651543799</v>
          </cell>
        </row>
        <row r="165">
          <cell r="B165" t="str">
            <v>70265855</v>
          </cell>
          <cell r="C165" t="str">
            <v>黄鹤楼 硬侠骨柔情 盒</v>
          </cell>
          <cell r="D165">
            <v>331</v>
          </cell>
          <cell r="E165">
            <v>7703.98</v>
          </cell>
          <cell r="F165">
            <v>26.300596374622401</v>
          </cell>
        </row>
        <row r="166">
          <cell r="B166" t="str">
            <v>70266405</v>
          </cell>
          <cell r="C166" t="str">
            <v>白沙 硬精品三代 11MG</v>
          </cell>
          <cell r="D166">
            <v>1066</v>
          </cell>
          <cell r="E166">
            <v>12198.84</v>
          </cell>
          <cell r="F166">
            <v>12.9312281425891</v>
          </cell>
        </row>
        <row r="167">
          <cell r="B167" t="str">
            <v>70267065</v>
          </cell>
          <cell r="C167" t="str">
            <v>贵烟 跨越 5MG</v>
          </cell>
          <cell r="D167">
            <v>52345</v>
          </cell>
          <cell r="E167">
            <v>932988.3</v>
          </cell>
          <cell r="F167">
            <v>20.140926143853299</v>
          </cell>
        </row>
        <row r="168">
          <cell r="B168" t="str">
            <v>70268030</v>
          </cell>
          <cell r="C168" t="str">
            <v>金桥 冰爆 8MG</v>
          </cell>
          <cell r="D168">
            <v>21627</v>
          </cell>
          <cell r="E168">
            <v>334964.07</v>
          </cell>
          <cell r="F168">
            <v>17.501706158967998</v>
          </cell>
        </row>
        <row r="169">
          <cell r="B169" t="str">
            <v>70268043</v>
          </cell>
          <cell r="C169" t="str">
            <v>金圣 （滕王阁紫光） 20支</v>
          </cell>
          <cell r="D169">
            <v>1405</v>
          </cell>
          <cell r="E169">
            <v>16076.87</v>
          </cell>
          <cell r="F169">
            <v>12.9301516725979</v>
          </cell>
        </row>
        <row r="170">
          <cell r="B170" t="str">
            <v>70269094</v>
          </cell>
          <cell r="C170" t="str">
            <v>玉溪 创客 8MG</v>
          </cell>
          <cell r="D170">
            <v>0</v>
          </cell>
          <cell r="E170">
            <v>0</v>
          </cell>
          <cell r="F170" t="e">
            <v>#DIV/0!</v>
          </cell>
        </row>
        <row r="171">
          <cell r="B171" t="str">
            <v>70269303</v>
          </cell>
          <cell r="C171" t="str">
            <v>黄山6901028123259 记忆硬盒 10MG</v>
          </cell>
          <cell r="D171">
            <v>80</v>
          </cell>
          <cell r="E171">
            <v>623.16999999999996</v>
          </cell>
          <cell r="F171">
            <v>8.8022762500000002</v>
          </cell>
        </row>
        <row r="172">
          <cell r="B172" t="str">
            <v>70269304</v>
          </cell>
          <cell r="C172" t="str">
            <v>新黄鹤楼 软1916 20支</v>
          </cell>
          <cell r="D172">
            <v>5799</v>
          </cell>
          <cell r="E172">
            <v>435181.9</v>
          </cell>
          <cell r="F172">
            <v>84.800059837903106</v>
          </cell>
        </row>
        <row r="173">
          <cell r="B173" t="str">
            <v>70269628</v>
          </cell>
          <cell r="C173" t="str">
            <v>贵烟 （萃） 20支</v>
          </cell>
          <cell r="D173">
            <v>1549</v>
          </cell>
          <cell r="E173">
            <v>21659.21</v>
          </cell>
          <cell r="F173">
            <v>15.800456617172401</v>
          </cell>
        </row>
        <row r="174">
          <cell r="B174" t="str">
            <v>70270455</v>
          </cell>
          <cell r="C174" t="str">
            <v>娇子 宽窄好运 10MG</v>
          </cell>
          <cell r="D174">
            <v>43671</v>
          </cell>
          <cell r="E174">
            <v>1016444.84</v>
          </cell>
          <cell r="F174">
            <v>26.300809901307499</v>
          </cell>
        </row>
        <row r="175">
          <cell r="B175" t="str">
            <v>70271527</v>
          </cell>
          <cell r="C175" t="str">
            <v>兰州 （细支珍品）硬盒香烟（包） 8MG</v>
          </cell>
          <cell r="D175">
            <v>637</v>
          </cell>
          <cell r="E175">
            <v>8907.14</v>
          </cell>
          <cell r="F175">
            <v>15.800735007849299</v>
          </cell>
        </row>
        <row r="176">
          <cell r="B176" t="str">
            <v>70271529</v>
          </cell>
          <cell r="C176" t="str">
            <v>延安 （1935）硬盒香烟（包） 10MG</v>
          </cell>
          <cell r="D176">
            <v>10</v>
          </cell>
          <cell r="E176">
            <v>375.24</v>
          </cell>
          <cell r="F176">
            <v>42.402119999999996</v>
          </cell>
        </row>
        <row r="177">
          <cell r="B177" t="str">
            <v>70271544</v>
          </cell>
          <cell r="C177" t="str">
            <v>利群 西湖恋 20</v>
          </cell>
          <cell r="D177">
            <v>14310</v>
          </cell>
          <cell r="E177">
            <v>255055.47</v>
          </cell>
          <cell r="F177">
            <v>20.140648574423501</v>
          </cell>
        </row>
        <row r="178">
          <cell r="B178" t="str">
            <v>70271545</v>
          </cell>
          <cell r="C178" t="str">
            <v>南京 (梦都)97S硬盒 6MG</v>
          </cell>
          <cell r="D178">
            <v>1387</v>
          </cell>
          <cell r="E178">
            <v>21481.22</v>
          </cell>
          <cell r="F178">
            <v>17.500921845710199</v>
          </cell>
        </row>
        <row r="179">
          <cell r="B179" t="str">
            <v>70271635</v>
          </cell>
          <cell r="C179" t="str">
            <v>黄金叶 （乐途） 74MM</v>
          </cell>
          <cell r="D179">
            <v>234</v>
          </cell>
          <cell r="E179">
            <v>2524.5</v>
          </cell>
          <cell r="F179">
            <v>12.190961538461501</v>
          </cell>
        </row>
        <row r="180">
          <cell r="B180" t="str">
            <v>70271709</v>
          </cell>
          <cell r="C180" t="str">
            <v>云烟 9＋1大重九 1*16</v>
          </cell>
          <cell r="D180">
            <v>458</v>
          </cell>
          <cell r="E180">
            <v>20436.330000000002</v>
          </cell>
          <cell r="F180">
            <v>50.421512882096103</v>
          </cell>
        </row>
        <row r="181">
          <cell r="B181" t="str">
            <v>70271710</v>
          </cell>
          <cell r="C181" t="str">
            <v>云烟 细支大重九 1*10</v>
          </cell>
          <cell r="D181">
            <v>5702</v>
          </cell>
          <cell r="E181">
            <v>427893.07</v>
          </cell>
          <cell r="F181">
            <v>84.798170659417707</v>
          </cell>
        </row>
        <row r="182">
          <cell r="B182" t="str">
            <v>70272317</v>
          </cell>
          <cell r="C182" t="str">
            <v>南京 软九五 1.1MG</v>
          </cell>
          <cell r="D182">
            <v>1940</v>
          </cell>
          <cell r="E182">
            <v>123819.75</v>
          </cell>
          <cell r="F182">
            <v>72.121813144329906</v>
          </cell>
        </row>
        <row r="183">
          <cell r="B183" t="str">
            <v>70272470</v>
          </cell>
          <cell r="C183" t="str">
            <v>黄鹤楼 硬峡谷情细支 6MG</v>
          </cell>
          <cell r="D183">
            <v>2237</v>
          </cell>
          <cell r="E183">
            <v>52065.41</v>
          </cell>
          <cell r="F183">
            <v>26.3003635672776</v>
          </cell>
        </row>
        <row r="184">
          <cell r="B184" t="str">
            <v>70273540</v>
          </cell>
          <cell r="C184" t="str">
            <v>熊猫 硬经典 硬盒</v>
          </cell>
          <cell r="D184">
            <v>1372</v>
          </cell>
          <cell r="E184">
            <v>102961.87</v>
          </cell>
          <cell r="F184">
            <v>84.800957069970806</v>
          </cell>
        </row>
        <row r="185">
          <cell r="B185" t="str">
            <v>70273542</v>
          </cell>
          <cell r="C185" t="str">
            <v>芙蓉王 硬细支 硬盒细支</v>
          </cell>
          <cell r="D185">
            <v>34490</v>
          </cell>
          <cell r="E185">
            <v>686778.04</v>
          </cell>
          <cell r="F185">
            <v>22.500991162655801</v>
          </cell>
        </row>
        <row r="186">
          <cell r="B186" t="str">
            <v>70273585</v>
          </cell>
          <cell r="C186" t="str">
            <v>钓鱼台 (84MM细支) 1*10</v>
          </cell>
          <cell r="D186">
            <v>199</v>
          </cell>
          <cell r="E186">
            <v>7402.64</v>
          </cell>
          <cell r="F186">
            <v>42.035091457286399</v>
          </cell>
        </row>
        <row r="187">
          <cell r="B187" t="str">
            <v>70273586</v>
          </cell>
          <cell r="C187" t="str">
            <v>万宝路 软红 10MG</v>
          </cell>
          <cell r="D187">
            <v>33</v>
          </cell>
          <cell r="E187">
            <v>417.93</v>
          </cell>
          <cell r="F187">
            <v>14.310936363636401</v>
          </cell>
        </row>
        <row r="188">
          <cell r="B188" t="str">
            <v>70273968</v>
          </cell>
          <cell r="C188" t="str">
            <v>白沙 硬新精品二代 10MG</v>
          </cell>
          <cell r="D188">
            <v>3532</v>
          </cell>
          <cell r="E188">
            <v>30321.46</v>
          </cell>
          <cell r="F188">
            <v>9.7008068516421293</v>
          </cell>
        </row>
        <row r="189">
          <cell r="B189" t="str">
            <v>70274475</v>
          </cell>
          <cell r="C189" t="str">
            <v>黄金叶 天叶细支 20支</v>
          </cell>
          <cell r="D189">
            <v>6098</v>
          </cell>
          <cell r="E189">
            <v>457622.29</v>
          </cell>
          <cell r="F189">
            <v>84.800457149885204</v>
          </cell>
        </row>
        <row r="190">
          <cell r="B190" t="str">
            <v>70274900</v>
          </cell>
          <cell r="C190" t="str">
            <v>烟草6901028063371 白沙硬新精品二代/盒 10MG</v>
          </cell>
          <cell r="D190">
            <v>662</v>
          </cell>
          <cell r="E190">
            <v>5682.77</v>
          </cell>
          <cell r="F190">
            <v>9.7001965256797593</v>
          </cell>
        </row>
        <row r="191">
          <cell r="B191" t="str">
            <v>70275142</v>
          </cell>
          <cell r="C191" t="str">
            <v>双喜 (莲香) 12MG</v>
          </cell>
          <cell r="D191">
            <v>11129</v>
          </cell>
          <cell r="E191">
            <v>127350.65</v>
          </cell>
          <cell r="F191">
            <v>12.9307426093989</v>
          </cell>
        </row>
        <row r="192">
          <cell r="B192" t="str">
            <v>70275143</v>
          </cell>
          <cell r="C192" t="str">
            <v>黄鹤楼 雪之梦8号 5支</v>
          </cell>
          <cell r="D192">
            <v>74</v>
          </cell>
          <cell r="E192">
            <v>8146.14</v>
          </cell>
          <cell r="F192">
            <v>124.39375945945901</v>
          </cell>
        </row>
        <row r="193">
          <cell r="B193" t="str">
            <v>70275527</v>
          </cell>
          <cell r="C193" t="str">
            <v>中华 双中支 12MG</v>
          </cell>
          <cell r="D193">
            <v>34787</v>
          </cell>
          <cell r="E193">
            <v>1305290.44</v>
          </cell>
          <cell r="F193">
            <v>42.400270135395402</v>
          </cell>
        </row>
        <row r="194">
          <cell r="B194" t="str">
            <v>70278130</v>
          </cell>
          <cell r="C194" t="str">
            <v>泰山 （颜悦） 硬盒细支</v>
          </cell>
          <cell r="D194">
            <v>4754</v>
          </cell>
          <cell r="E194">
            <v>70461.16</v>
          </cell>
          <cell r="F194">
            <v>16.748235338662202</v>
          </cell>
        </row>
        <row r="195">
          <cell r="B195" t="str">
            <v>70278875</v>
          </cell>
          <cell r="C195" t="str">
            <v>真龙 美人香草 1.1MG</v>
          </cell>
          <cell r="D195">
            <v>58427</v>
          </cell>
          <cell r="E195">
            <v>866008.73</v>
          </cell>
          <cell r="F195">
            <v>16.7489322556352</v>
          </cell>
        </row>
        <row r="196">
          <cell r="B196" t="str">
            <v>70279265</v>
          </cell>
          <cell r="C196" t="str">
            <v>南京 软九五 20支</v>
          </cell>
          <cell r="D196">
            <v>719</v>
          </cell>
          <cell r="E196">
            <v>45863.47</v>
          </cell>
          <cell r="F196">
            <v>72.080279694019495</v>
          </cell>
        </row>
        <row r="197">
          <cell r="B197" t="str">
            <v>70279453</v>
          </cell>
          <cell r="C197" t="str">
            <v>黄山 印象一品 1*20</v>
          </cell>
          <cell r="D197">
            <v>8945</v>
          </cell>
          <cell r="E197">
            <v>56175.18</v>
          </cell>
          <cell r="F197">
            <v>7.09647326998323</v>
          </cell>
        </row>
        <row r="198">
          <cell r="B198" t="str">
            <v>70280112</v>
          </cell>
          <cell r="C198" t="str">
            <v>王冠 小国粹 5只装</v>
          </cell>
          <cell r="D198">
            <v>26</v>
          </cell>
          <cell r="E198">
            <v>2611.54</v>
          </cell>
          <cell r="F198">
            <v>113.50154615384599</v>
          </cell>
        </row>
        <row r="199">
          <cell r="B199" t="str">
            <v>70280336</v>
          </cell>
          <cell r="C199" t="str">
            <v>中华 （金中支） 20支/盒</v>
          </cell>
          <cell r="D199">
            <v>14744</v>
          </cell>
          <cell r="E199">
            <v>885165.97</v>
          </cell>
          <cell r="F199">
            <v>67.8403110485621</v>
          </cell>
        </row>
        <row r="200">
          <cell r="B200" t="str">
            <v>70280337</v>
          </cell>
          <cell r="C200" t="str">
            <v>兰州 （细支飞天梦） 20支/盒</v>
          </cell>
          <cell r="D200">
            <v>13</v>
          </cell>
          <cell r="E200">
            <v>487.8</v>
          </cell>
          <cell r="F200">
            <v>42.4010769230769</v>
          </cell>
        </row>
        <row r="201">
          <cell r="B201" t="str">
            <v>70280397</v>
          </cell>
          <cell r="C201" t="str">
            <v>555 （双冰） 20支/盒</v>
          </cell>
          <cell r="D201">
            <v>1589</v>
          </cell>
          <cell r="E201">
            <v>37594.68</v>
          </cell>
          <cell r="F201">
            <v>26.7350461925739</v>
          </cell>
        </row>
        <row r="202">
          <cell r="B202" t="str">
            <v>70280491</v>
          </cell>
          <cell r="C202" t="str">
            <v>贵烟 萃 20支</v>
          </cell>
          <cell r="D202">
            <v>101</v>
          </cell>
          <cell r="E202">
            <v>1412.28</v>
          </cell>
          <cell r="F202">
            <v>15.800756435643599</v>
          </cell>
        </row>
        <row r="203">
          <cell r="B203" t="str">
            <v>70281202</v>
          </cell>
          <cell r="C203" t="str">
            <v>中南海 典8 8MG</v>
          </cell>
          <cell r="D203">
            <v>1531</v>
          </cell>
          <cell r="E203">
            <v>13142.92</v>
          </cell>
          <cell r="F203">
            <v>9.7005222730241698</v>
          </cell>
        </row>
        <row r="204">
          <cell r="B204" t="str">
            <v>70281203</v>
          </cell>
          <cell r="C204" t="str">
            <v>芙蓉王 硬细支 10MG</v>
          </cell>
          <cell r="D204">
            <v>2149</v>
          </cell>
          <cell r="E204">
            <v>42791.49</v>
          </cell>
          <cell r="F204">
            <v>22.5008765472313</v>
          </cell>
        </row>
        <row r="205">
          <cell r="B205" t="str">
            <v>70281388</v>
          </cell>
          <cell r="C205" t="str">
            <v>云烟 74MM大团结 1.0MG</v>
          </cell>
          <cell r="D205">
            <v>0</v>
          </cell>
          <cell r="E205">
            <v>0</v>
          </cell>
          <cell r="F205" t="e">
            <v>#DIV/0!</v>
          </cell>
        </row>
        <row r="206">
          <cell r="B206" t="str">
            <v>70281389</v>
          </cell>
          <cell r="C206" t="str">
            <v>云烟 细支软珍 0.8MG</v>
          </cell>
          <cell r="D206">
            <v>54</v>
          </cell>
          <cell r="E206">
            <v>1070.49</v>
          </cell>
          <cell r="F206">
            <v>22.4009944444444</v>
          </cell>
        </row>
        <row r="207">
          <cell r="B207" t="str">
            <v>70282677</v>
          </cell>
          <cell r="C207" t="str">
            <v>钻石 荷花 6MG</v>
          </cell>
          <cell r="D207">
            <v>158</v>
          </cell>
          <cell r="E207">
            <v>3853.53</v>
          </cell>
          <cell r="F207">
            <v>27.560056329113898</v>
          </cell>
        </row>
        <row r="208">
          <cell r="B208" t="str">
            <v>70282678</v>
          </cell>
          <cell r="C208" t="str">
            <v>云烟 （细支云龙） 0.8MG</v>
          </cell>
          <cell r="D208">
            <v>53239</v>
          </cell>
          <cell r="E208">
            <v>609240.44999999995</v>
          </cell>
          <cell r="F208">
            <v>12.9311540130356</v>
          </cell>
        </row>
        <row r="209">
          <cell r="B209" t="str">
            <v>70283055</v>
          </cell>
          <cell r="C209" t="str">
            <v>贵烟 新贵 20支</v>
          </cell>
          <cell r="D209">
            <v>196</v>
          </cell>
          <cell r="E209">
            <v>1618.2</v>
          </cell>
          <cell r="F209">
            <v>9.3294183673469409</v>
          </cell>
        </row>
        <row r="210">
          <cell r="B210" t="str">
            <v>70283397</v>
          </cell>
          <cell r="C210" t="str">
            <v>娇子 宽窄逍遥细支 8MG</v>
          </cell>
          <cell r="D210">
            <v>327</v>
          </cell>
          <cell r="E210">
            <v>22085.49</v>
          </cell>
          <cell r="F210">
            <v>76.319888990825703</v>
          </cell>
        </row>
        <row r="211">
          <cell r="B211" t="str">
            <v>70283710</v>
          </cell>
          <cell r="C211" t="str">
            <v>玉溪 （高配版） 20支</v>
          </cell>
          <cell r="D211">
            <v>30</v>
          </cell>
          <cell r="E211">
            <v>534.69000000000005</v>
          </cell>
          <cell r="F211">
            <v>20.139990000000001</v>
          </cell>
        </row>
        <row r="212">
          <cell r="B212" t="str">
            <v>70283711</v>
          </cell>
          <cell r="C212" t="str">
            <v>黄鹤楼 硬奇景 10MG</v>
          </cell>
          <cell r="D212">
            <v>33882</v>
          </cell>
          <cell r="E212">
            <v>715142.59</v>
          </cell>
          <cell r="F212">
            <v>23.850750448615798</v>
          </cell>
        </row>
        <row r="213">
          <cell r="B213" t="str">
            <v>70284108</v>
          </cell>
          <cell r="C213" t="str">
            <v>芙蓉王 硬蓝新版 20支</v>
          </cell>
          <cell r="D213">
            <v>107</v>
          </cell>
          <cell r="E213">
            <v>2840.5</v>
          </cell>
          <cell r="F213">
            <v>29.997803738317799</v>
          </cell>
        </row>
        <row r="214">
          <cell r="B214" t="str">
            <v>70284109</v>
          </cell>
          <cell r="C214" t="str">
            <v>七匹狼 金砖中支 20支</v>
          </cell>
          <cell r="D214">
            <v>10</v>
          </cell>
          <cell r="E214">
            <v>675.4</v>
          </cell>
          <cell r="F214">
            <v>76.3202</v>
          </cell>
        </row>
        <row r="215">
          <cell r="B215" t="str">
            <v>70284154</v>
          </cell>
          <cell r="C215" t="str">
            <v>黄金叶 商鼎 10MG</v>
          </cell>
          <cell r="D215">
            <v>3200</v>
          </cell>
          <cell r="E215">
            <v>49563.55</v>
          </cell>
          <cell r="F215">
            <v>17.502128593750001</v>
          </cell>
        </row>
        <row r="216">
          <cell r="B216" t="str">
            <v>70285673</v>
          </cell>
          <cell r="C216" t="str">
            <v>天子 细支传奇 6MG</v>
          </cell>
          <cell r="D216">
            <v>579</v>
          </cell>
          <cell r="E216">
            <v>21725.24</v>
          </cell>
          <cell r="F216">
            <v>42.399863903281499</v>
          </cell>
        </row>
        <row r="217">
          <cell r="B217" t="str">
            <v>70285828</v>
          </cell>
          <cell r="C217" t="str">
            <v>王冠 小国粹 10MG</v>
          </cell>
          <cell r="D217">
            <v>4</v>
          </cell>
          <cell r="E217">
            <v>401.77</v>
          </cell>
          <cell r="F217">
            <v>113.50002499999999</v>
          </cell>
        </row>
        <row r="218">
          <cell r="B218" t="str">
            <v>70287998</v>
          </cell>
          <cell r="C218" t="str">
            <v>中华 金中支 10MG</v>
          </cell>
          <cell r="D218">
            <v>5478</v>
          </cell>
          <cell r="E218">
            <v>323360.7</v>
          </cell>
          <cell r="F218">
            <v>66.702736582694399</v>
          </cell>
        </row>
        <row r="219">
          <cell r="B219" t="str">
            <v>70288000</v>
          </cell>
          <cell r="C219" t="str">
            <v>冬春夏草 和润 5MG</v>
          </cell>
          <cell r="D219">
            <v>1166</v>
          </cell>
          <cell r="E219">
            <v>43751.199999999997</v>
          </cell>
          <cell r="F219">
            <v>42.400391080617503</v>
          </cell>
        </row>
        <row r="220">
          <cell r="B220" t="str">
            <v>70288622</v>
          </cell>
          <cell r="C220" t="str">
            <v>娇子 宽窄好运细支 盒</v>
          </cell>
          <cell r="D220">
            <v>4210</v>
          </cell>
          <cell r="E220">
            <v>83831.179999999993</v>
          </cell>
          <cell r="F220">
            <v>22.501005558194802</v>
          </cell>
        </row>
        <row r="221">
          <cell r="B221" t="str">
            <v>70288754</v>
          </cell>
          <cell r="C221" t="str">
            <v>泰山 (琥珀) 20支/盒</v>
          </cell>
          <cell r="D221">
            <v>6611</v>
          </cell>
          <cell r="E221">
            <v>75649.820000000007</v>
          </cell>
          <cell r="F221">
            <v>12.9306151263046</v>
          </cell>
        </row>
        <row r="222">
          <cell r="B222" t="str">
            <v>70288902</v>
          </cell>
          <cell r="C222" t="str">
            <v>芙蓉王 硬新版 20支</v>
          </cell>
          <cell r="D222">
            <v>20</v>
          </cell>
          <cell r="E222">
            <v>465.48</v>
          </cell>
          <cell r="F222">
            <v>26.299620000000001</v>
          </cell>
        </row>
        <row r="223">
          <cell r="B223" t="str">
            <v>70288920</v>
          </cell>
          <cell r="C223" t="str">
            <v>娇子 宽窄好运细支 20支</v>
          </cell>
          <cell r="D223">
            <v>40897</v>
          </cell>
          <cell r="E223">
            <v>827972.8</v>
          </cell>
          <cell r="F223">
            <v>22.877210162114601</v>
          </cell>
        </row>
        <row r="224">
          <cell r="B224" t="str">
            <v>70288946</v>
          </cell>
          <cell r="C224" t="str">
            <v>云烟 小熊猫家园 1*10</v>
          </cell>
          <cell r="D224">
            <v>19539</v>
          </cell>
          <cell r="E224">
            <v>273216.92</v>
          </cell>
          <cell r="F224">
            <v>15.8009682992988</v>
          </cell>
        </row>
        <row r="225">
          <cell r="B225" t="str">
            <v>70289335</v>
          </cell>
          <cell r="C225" t="str">
            <v>娇子 五粮浓香中支 10MG</v>
          </cell>
          <cell r="D225">
            <v>292</v>
          </cell>
          <cell r="E225">
            <v>10956.83</v>
          </cell>
          <cell r="F225">
            <v>42.401431164383602</v>
          </cell>
        </row>
        <row r="226">
          <cell r="B226" t="str">
            <v>70289725</v>
          </cell>
          <cell r="C226" t="str">
            <v>天子 天子 千里江山细支</v>
          </cell>
          <cell r="D226">
            <v>4761</v>
          </cell>
          <cell r="E226">
            <v>110811.04</v>
          </cell>
          <cell r="F226">
            <v>26.300456878807001</v>
          </cell>
        </row>
        <row r="227">
          <cell r="B227" t="str">
            <v>70290476</v>
          </cell>
          <cell r="C227" t="str">
            <v>云烟 (细支大重九) 20支</v>
          </cell>
          <cell r="D227">
            <v>415</v>
          </cell>
          <cell r="E227">
            <v>31143.37</v>
          </cell>
          <cell r="F227">
            <v>84.800019518072304</v>
          </cell>
        </row>
        <row r="228">
          <cell r="B228" t="str">
            <v>70290524</v>
          </cell>
          <cell r="C228" t="str">
            <v>七匹狼 金砖时代 10MG</v>
          </cell>
          <cell r="D228">
            <v>96</v>
          </cell>
          <cell r="E228">
            <v>3602.36</v>
          </cell>
          <cell r="F228">
            <v>42.402779166666697</v>
          </cell>
        </row>
        <row r="229">
          <cell r="B229" t="str">
            <v>70291060</v>
          </cell>
          <cell r="C229" t="str">
            <v>黄山 徽商新概念细支 0.7MG</v>
          </cell>
          <cell r="D229">
            <v>9531</v>
          </cell>
          <cell r="E229">
            <v>286104.42</v>
          </cell>
          <cell r="F229">
            <v>33.920679320113301</v>
          </cell>
        </row>
        <row r="230">
          <cell r="B230" t="str">
            <v>70291093</v>
          </cell>
          <cell r="C230" t="str">
            <v>山东中烟 将军战神3号 1*10支</v>
          </cell>
          <cell r="D230">
            <v>222</v>
          </cell>
          <cell r="E230">
            <v>12321.19</v>
          </cell>
          <cell r="F230">
            <v>62.715967117117103</v>
          </cell>
        </row>
        <row r="231">
          <cell r="B231" t="str">
            <v>70291771</v>
          </cell>
          <cell r="C231" t="str">
            <v>贵烟 细支国酒香30 1*1</v>
          </cell>
          <cell r="D231">
            <v>131</v>
          </cell>
          <cell r="E231">
            <v>7864.73</v>
          </cell>
          <cell r="F231">
            <v>67.8408007633588</v>
          </cell>
        </row>
        <row r="232">
          <cell r="B232" t="str">
            <v>70292075</v>
          </cell>
          <cell r="C232" t="str">
            <v>雪莲 74MM天韵 包</v>
          </cell>
          <cell r="D232">
            <v>39</v>
          </cell>
          <cell r="E232">
            <v>1035.45</v>
          </cell>
          <cell r="F232">
            <v>30.0015</v>
          </cell>
        </row>
        <row r="233">
          <cell r="B233" t="str">
            <v>70292076</v>
          </cell>
          <cell r="C233" t="str">
            <v>雪莲 细支1960 包</v>
          </cell>
          <cell r="D233">
            <v>54289</v>
          </cell>
          <cell r="E233">
            <v>1263571.1399999999</v>
          </cell>
          <cell r="F233">
            <v>26.300638954484299</v>
          </cell>
        </row>
        <row r="234">
          <cell r="B234" t="str">
            <v>70292140</v>
          </cell>
          <cell r="C234" t="str">
            <v>长城 (盛世5号) 10支</v>
          </cell>
          <cell r="D234">
            <v>679</v>
          </cell>
          <cell r="E234">
            <v>15024.38</v>
          </cell>
          <cell r="F234">
            <v>25.003754639175298</v>
          </cell>
        </row>
        <row r="235">
          <cell r="B235" t="str">
            <v>70293746</v>
          </cell>
          <cell r="C235" t="str">
            <v>白沙 和天下(软) 1*10</v>
          </cell>
          <cell r="D235">
            <v>654</v>
          </cell>
          <cell r="E235">
            <v>41717.120000000003</v>
          </cell>
          <cell r="F235">
            <v>72.0800391437309</v>
          </cell>
        </row>
        <row r="236">
          <cell r="B236" t="str">
            <v>70294204</v>
          </cell>
          <cell r="C236" t="str">
            <v>龙凤呈祥 (遇见) 0MG</v>
          </cell>
          <cell r="D236">
            <v>11</v>
          </cell>
          <cell r="E236">
            <v>125.87</v>
          </cell>
          <cell r="F236">
            <v>12.9302818181818</v>
          </cell>
        </row>
        <row r="237">
          <cell r="B237" t="str">
            <v>70294814</v>
          </cell>
          <cell r="C237" t="str">
            <v>555 冰炫 5ML</v>
          </cell>
          <cell r="D237">
            <v>6319</v>
          </cell>
          <cell r="E237">
            <v>120826.86</v>
          </cell>
          <cell r="F237">
            <v>21.606955499287899</v>
          </cell>
        </row>
        <row r="238">
          <cell r="B238" t="str">
            <v>70295523</v>
          </cell>
          <cell r="C238" t="str">
            <v>钻石 软荷花 10MG</v>
          </cell>
          <cell r="D238">
            <v>8954</v>
          </cell>
          <cell r="E238">
            <v>268787.94</v>
          </cell>
          <cell r="F238">
            <v>33.921194125530498</v>
          </cell>
        </row>
        <row r="239">
          <cell r="B239" t="str">
            <v>70298235</v>
          </cell>
          <cell r="C239" t="str">
            <v>娇子 宽窄平安中支 -</v>
          </cell>
          <cell r="D239">
            <v>21461</v>
          </cell>
          <cell r="E239">
            <v>644232.23</v>
          </cell>
          <cell r="F239">
            <v>33.921178877964699</v>
          </cell>
        </row>
        <row r="240">
          <cell r="B240" t="str">
            <v>70298541</v>
          </cell>
          <cell r="C240" t="str">
            <v>中南海 (京韵细支烤烟) 8.0MG</v>
          </cell>
          <cell r="D240">
            <v>432</v>
          </cell>
          <cell r="E240">
            <v>10053.89</v>
          </cell>
          <cell r="F240">
            <v>26.298369675925901</v>
          </cell>
        </row>
        <row r="241">
          <cell r="B241" t="str">
            <v>70299848</v>
          </cell>
          <cell r="C241" t="str">
            <v>雪莲 雪莲(岁月) 8MG</v>
          </cell>
          <cell r="D241">
            <v>79</v>
          </cell>
          <cell r="E241">
            <v>5039.41</v>
          </cell>
          <cell r="F241">
            <v>72.082700000000003</v>
          </cell>
        </row>
        <row r="242">
          <cell r="B242" t="str">
            <v>70300392</v>
          </cell>
          <cell r="C242" t="str">
            <v>黄鹤楼 雪之梦9号 113MM</v>
          </cell>
          <cell r="D242">
            <v>7</v>
          </cell>
          <cell r="E242">
            <v>867.29</v>
          </cell>
          <cell r="F242">
            <v>140.00538571428601</v>
          </cell>
        </row>
        <row r="243">
          <cell r="B243" t="str">
            <v>70300928</v>
          </cell>
          <cell r="C243" t="str">
            <v>中华 (金短支) 10MG</v>
          </cell>
          <cell r="D243">
            <v>1577</v>
          </cell>
          <cell r="E243">
            <v>94833.41</v>
          </cell>
          <cell r="F243">
            <v>67.9529190234623</v>
          </cell>
        </row>
        <row r="244">
          <cell r="B244" t="str">
            <v>70300936</v>
          </cell>
          <cell r="C244" t="str">
            <v>黄山 (徽商新视界细支) 8MG</v>
          </cell>
          <cell r="D244">
            <v>1277</v>
          </cell>
          <cell r="E244">
            <v>76665.95</v>
          </cell>
          <cell r="F244">
            <v>67.840660532498006</v>
          </cell>
        </row>
        <row r="245">
          <cell r="B245" t="str">
            <v>70300942</v>
          </cell>
          <cell r="C245" t="str">
            <v>云烟 (中支大重九) 9MG</v>
          </cell>
          <cell r="D245">
            <v>3393</v>
          </cell>
          <cell r="E245">
            <v>254624.81</v>
          </cell>
          <cell r="F245">
            <v>84.799892513999396</v>
          </cell>
        </row>
        <row r="246">
          <cell r="B246" t="str">
            <v>70301544</v>
          </cell>
          <cell r="C246" t="str">
            <v>黄鹤楼 雪之梦6号 10*10</v>
          </cell>
          <cell r="D246">
            <v>60</v>
          </cell>
          <cell r="E246">
            <v>4757.5600000000004</v>
          </cell>
          <cell r="F246">
            <v>89.600713333333303</v>
          </cell>
        </row>
        <row r="247">
          <cell r="B247" t="str">
            <v>70301648</v>
          </cell>
          <cell r="C247" t="str">
            <v>中华 金短支10MG 1*1</v>
          </cell>
          <cell r="D247">
            <v>195</v>
          </cell>
          <cell r="E247">
            <v>11707</v>
          </cell>
          <cell r="F247">
            <v>67.840564102564102</v>
          </cell>
        </row>
        <row r="248">
          <cell r="B248" t="str">
            <v>70301950</v>
          </cell>
          <cell r="C248" t="str">
            <v>七匹狼 (乘风启航) 7MG</v>
          </cell>
          <cell r="D248">
            <v>107</v>
          </cell>
          <cell r="E248">
            <v>2130.6799999999998</v>
          </cell>
          <cell r="F248">
            <v>22.501573831775701</v>
          </cell>
        </row>
        <row r="249">
          <cell r="B249" t="str">
            <v>70301968</v>
          </cell>
          <cell r="C249" t="str">
            <v>利群 阳光橙中支 包</v>
          </cell>
          <cell r="D249">
            <v>24</v>
          </cell>
          <cell r="E249">
            <v>900.65</v>
          </cell>
          <cell r="F249">
            <v>42.405604166666699</v>
          </cell>
        </row>
        <row r="250">
          <cell r="B250" t="str">
            <v>70301969</v>
          </cell>
          <cell r="C250" t="str">
            <v>将军 战神4号 包</v>
          </cell>
          <cell r="D250">
            <v>368</v>
          </cell>
          <cell r="E250">
            <v>24076.07</v>
          </cell>
          <cell r="F250">
            <v>73.929236684782595</v>
          </cell>
        </row>
        <row r="251">
          <cell r="B251" t="str">
            <v>70303157</v>
          </cell>
          <cell r="C251" t="str">
            <v>南京 硬大观园爆冰 6MG</v>
          </cell>
          <cell r="D251">
            <v>10995</v>
          </cell>
          <cell r="E251">
            <v>255907.84</v>
          </cell>
          <cell r="F251">
            <v>26.300669322419299</v>
          </cell>
        </row>
        <row r="252">
          <cell r="B252" t="str">
            <v>70303158</v>
          </cell>
          <cell r="C252" t="str">
            <v>黄鹤楼 1916硬15细支 -</v>
          </cell>
          <cell r="D252">
            <v>10</v>
          </cell>
          <cell r="E252">
            <v>750.44</v>
          </cell>
          <cell r="F252">
            <v>84.799719999999994</v>
          </cell>
        </row>
        <row r="253">
          <cell r="B253" t="str">
            <v>70303159</v>
          </cell>
          <cell r="C253" t="str">
            <v>天子 天子(中支) 20支</v>
          </cell>
          <cell r="D253">
            <v>28592</v>
          </cell>
          <cell r="E253">
            <v>509625.38</v>
          </cell>
          <cell r="F253">
            <v>20.1411821278679</v>
          </cell>
        </row>
        <row r="254">
          <cell r="B254" t="str">
            <v>70307838</v>
          </cell>
          <cell r="C254" t="str">
            <v>泰山 茉莉香韵8MG 20支</v>
          </cell>
          <cell r="D254">
            <v>13341</v>
          </cell>
          <cell r="E254">
            <v>500584.54</v>
          </cell>
          <cell r="F254">
            <v>42.4001596731879</v>
          </cell>
        </row>
        <row r="255">
          <cell r="B255" t="str">
            <v>70308052</v>
          </cell>
          <cell r="C255" t="str">
            <v>利群 (楼外楼) 20支</v>
          </cell>
          <cell r="D255">
            <v>13130</v>
          </cell>
          <cell r="E255">
            <v>203358.28</v>
          </cell>
          <cell r="F255">
            <v>17.501512292459999</v>
          </cell>
        </row>
        <row r="256">
          <cell r="B256" t="str">
            <v>70308458</v>
          </cell>
          <cell r="C256" t="str">
            <v>中南海 (京韵细支烤烟) 1*20</v>
          </cell>
          <cell r="D256">
            <v>11</v>
          </cell>
          <cell r="E256">
            <v>256.02</v>
          </cell>
          <cell r="F256">
            <v>26.300236363636401</v>
          </cell>
        </row>
        <row r="257">
          <cell r="B257" t="str">
            <v>70308462</v>
          </cell>
          <cell r="C257" t="str">
            <v>钻石 (软荷花) 1*20</v>
          </cell>
          <cell r="D257">
            <v>179</v>
          </cell>
          <cell r="E257">
            <v>5373.4</v>
          </cell>
          <cell r="F257">
            <v>33.921463687150798</v>
          </cell>
        </row>
        <row r="258">
          <cell r="B258" t="str">
            <v>70308477</v>
          </cell>
          <cell r="C258" t="str">
            <v>云烟 (小熊猫家园) 1*20</v>
          </cell>
          <cell r="D258">
            <v>59</v>
          </cell>
          <cell r="E258">
            <v>825.01</v>
          </cell>
          <cell r="F258">
            <v>15.8010389830508</v>
          </cell>
        </row>
        <row r="259">
          <cell r="B259" t="str">
            <v>70308712</v>
          </cell>
          <cell r="C259" t="str">
            <v>黄山 微商新概念细致 20支</v>
          </cell>
          <cell r="D259">
            <v>96</v>
          </cell>
          <cell r="E259">
            <v>2881.75</v>
          </cell>
          <cell r="F259">
            <v>33.920598958333301</v>
          </cell>
        </row>
        <row r="260">
          <cell r="B260" t="str">
            <v>70308806</v>
          </cell>
          <cell r="C260" t="str">
            <v>兰州 黑中支 8MG</v>
          </cell>
          <cell r="D260">
            <v>14631</v>
          </cell>
          <cell r="E260">
            <v>340535.15</v>
          </cell>
          <cell r="F260">
            <v>26.300643804251202</v>
          </cell>
        </row>
        <row r="261">
          <cell r="B261" t="str">
            <v>70309682</v>
          </cell>
          <cell r="C261" t="str">
            <v>将军 (战神07)硬盒香烟 包</v>
          </cell>
          <cell r="D261">
            <v>79</v>
          </cell>
          <cell r="E261">
            <v>3728.32</v>
          </cell>
          <cell r="F261">
            <v>53.329134177215202</v>
          </cell>
        </row>
        <row r="262">
          <cell r="B262" t="str">
            <v>70309687</v>
          </cell>
          <cell r="C262" t="str">
            <v>云烟 (黑金刚印象) 1.0MG</v>
          </cell>
          <cell r="D262">
            <v>520</v>
          </cell>
          <cell r="E262">
            <v>21463.05</v>
          </cell>
          <cell r="F262">
            <v>46.640858653846102</v>
          </cell>
        </row>
        <row r="263">
          <cell r="B263" t="str">
            <v>70311775</v>
          </cell>
          <cell r="C263" t="str">
            <v>好猫 金猴王10MG 20支</v>
          </cell>
          <cell r="D263">
            <v>1690</v>
          </cell>
          <cell r="E263">
            <v>10619.29</v>
          </cell>
          <cell r="F263">
            <v>7.1004720118343201</v>
          </cell>
        </row>
        <row r="264">
          <cell r="B264" t="str">
            <v>70314472</v>
          </cell>
          <cell r="C264" t="str">
            <v>南京 (细支九五) 盒</v>
          </cell>
          <cell r="D264">
            <v>555</v>
          </cell>
          <cell r="E264">
            <v>33319.699999999997</v>
          </cell>
          <cell r="F264">
            <v>67.840109909909899</v>
          </cell>
        </row>
        <row r="265">
          <cell r="B265" t="str">
            <v>70314977</v>
          </cell>
          <cell r="C265" t="str">
            <v>芙蓉王 (硬中支) 10MG</v>
          </cell>
          <cell r="D265">
            <v>29587</v>
          </cell>
          <cell r="E265">
            <v>688636.77</v>
          </cell>
          <cell r="F265">
            <v>26.300724983945599</v>
          </cell>
        </row>
        <row r="266">
          <cell r="B266" t="str">
            <v>70316930</v>
          </cell>
          <cell r="C266" t="str">
            <v>云烟（黑金刚印象） 16支</v>
          </cell>
          <cell r="D266">
            <v>8378</v>
          </cell>
          <cell r="E266">
            <v>345799.22</v>
          </cell>
          <cell r="F266">
            <v>46.640381785629003</v>
          </cell>
        </row>
        <row r="267">
          <cell r="B267" t="str">
            <v>70317861</v>
          </cell>
          <cell r="C267" t="str">
            <v>真龙 起源 包</v>
          </cell>
          <cell r="D267">
            <v>15254</v>
          </cell>
          <cell r="E267">
            <v>286185.07</v>
          </cell>
          <cell r="F267">
            <v>21.200283800970201</v>
          </cell>
        </row>
        <row r="268">
          <cell r="B268" t="str">
            <v>70318497</v>
          </cell>
          <cell r="C268" t="str">
            <v>黄山 徽商新视界细支硬盒 97S</v>
          </cell>
          <cell r="D268">
            <v>20</v>
          </cell>
          <cell r="E268">
            <v>1200.74</v>
          </cell>
          <cell r="F268">
            <v>67.841809999999995</v>
          </cell>
        </row>
        <row r="269">
          <cell r="B269" t="str">
            <v>70319361</v>
          </cell>
          <cell r="C269" t="str">
            <v>娇子 (宽窄平安中支) 1*10</v>
          </cell>
          <cell r="D269">
            <v>1595</v>
          </cell>
          <cell r="E269">
            <v>47879.51</v>
          </cell>
          <cell r="F269">
            <v>33.920906771159899</v>
          </cell>
        </row>
        <row r="270">
          <cell r="B270" t="str">
            <v>70319363</v>
          </cell>
          <cell r="C270" t="str">
            <v>黄金叶 (天叶细支) 1*10</v>
          </cell>
          <cell r="D270">
            <v>28</v>
          </cell>
          <cell r="E270">
            <v>2101.25</v>
          </cell>
          <cell r="F270">
            <v>84.800446428571405</v>
          </cell>
        </row>
        <row r="271">
          <cell r="B271" t="str">
            <v>70319365</v>
          </cell>
          <cell r="C271" t="str">
            <v>天子 (中支) 1*10</v>
          </cell>
          <cell r="D271">
            <v>7843</v>
          </cell>
          <cell r="E271">
            <v>139791.73000000001</v>
          </cell>
          <cell r="F271">
            <v>20.140845964554401</v>
          </cell>
        </row>
        <row r="272">
          <cell r="B272" t="str">
            <v>70320068</v>
          </cell>
          <cell r="C272" t="str">
            <v>黄鹤楼 雪之梦9号 包</v>
          </cell>
          <cell r="D272">
            <v>59</v>
          </cell>
          <cell r="E272">
            <v>9292.11</v>
          </cell>
          <cell r="F272">
            <v>177.96753050847499</v>
          </cell>
        </row>
        <row r="273">
          <cell r="B273" t="str">
            <v>70321102</v>
          </cell>
          <cell r="C273" t="str">
            <v>黄鹤楼 雪之梦8号 盒</v>
          </cell>
          <cell r="D273">
            <v>121</v>
          </cell>
          <cell r="E273">
            <v>6424.91</v>
          </cell>
          <cell r="F273">
            <v>60.001225619834699</v>
          </cell>
        </row>
        <row r="274">
          <cell r="B274" t="str">
            <v>70321589</v>
          </cell>
          <cell r="C274" t="str">
            <v>娇子 五粮浓香中支 1*10</v>
          </cell>
          <cell r="D274">
            <v>15</v>
          </cell>
          <cell r="E274">
            <v>562.84</v>
          </cell>
          <cell r="F274">
            <v>42.400613333333297</v>
          </cell>
        </row>
        <row r="275">
          <cell r="B275" t="str">
            <v>70321827</v>
          </cell>
          <cell r="C275" t="str">
            <v>万宝路 硬冰爵2.0 8MG</v>
          </cell>
          <cell r="D275">
            <v>419</v>
          </cell>
          <cell r="E275">
            <v>8343.09</v>
          </cell>
          <cell r="F275">
            <v>22.5004575178998</v>
          </cell>
        </row>
        <row r="276">
          <cell r="B276" t="str">
            <v>70322181</v>
          </cell>
          <cell r="C276" t="str">
            <v>万宝路 硬金3.0 1</v>
          </cell>
          <cell r="D276">
            <v>10</v>
          </cell>
          <cell r="E276">
            <v>178.23</v>
          </cell>
          <cell r="F276">
            <v>20.139990000000001</v>
          </cell>
        </row>
        <row r="277">
          <cell r="B277" t="str">
            <v>70323053</v>
          </cell>
          <cell r="C277" t="str">
            <v>天子 C位 8MG</v>
          </cell>
          <cell r="D277">
            <v>9047</v>
          </cell>
          <cell r="E277">
            <v>161248.82999999999</v>
          </cell>
          <cell r="F277">
            <v>20.140508223720602</v>
          </cell>
        </row>
        <row r="278">
          <cell r="B278" t="str">
            <v>70324127</v>
          </cell>
          <cell r="C278" t="str">
            <v>黄山 黄山(小红方印) 10MG</v>
          </cell>
          <cell r="D278">
            <v>5636</v>
          </cell>
          <cell r="E278">
            <v>92528.79</v>
          </cell>
          <cell r="F278">
            <v>18.551726880766498</v>
          </cell>
        </row>
        <row r="279">
          <cell r="B279" t="str">
            <v>70324465</v>
          </cell>
          <cell r="C279" t="str">
            <v>七匹狼 (纯境) 8.0MG</v>
          </cell>
          <cell r="D279">
            <v>2359</v>
          </cell>
          <cell r="E279">
            <v>29852.240000000002</v>
          </cell>
          <cell r="F279">
            <v>14.2997164900382</v>
          </cell>
        </row>
        <row r="280">
          <cell r="B280" t="str">
            <v>70324836</v>
          </cell>
          <cell r="C280" t="str">
            <v>七匹狼 七匹狼(古田金中支) 10MG</v>
          </cell>
          <cell r="D280">
            <v>24</v>
          </cell>
          <cell r="E280">
            <v>900.57</v>
          </cell>
          <cell r="F280">
            <v>42.401837499999999</v>
          </cell>
        </row>
        <row r="281">
          <cell r="B281" t="str">
            <v>70325660</v>
          </cell>
          <cell r="C281" t="str">
            <v>长城 红色132 8MG</v>
          </cell>
          <cell r="D281">
            <v>813</v>
          </cell>
          <cell r="E281">
            <v>32722.73</v>
          </cell>
          <cell r="F281">
            <v>45.481777244772402</v>
          </cell>
        </row>
        <row r="282">
          <cell r="B282" t="str">
            <v>70325974</v>
          </cell>
          <cell r="C282" t="str">
            <v>天子 中国心中支 0.9MG</v>
          </cell>
          <cell r="D282">
            <v>38</v>
          </cell>
          <cell r="E282">
            <v>1283.26</v>
          </cell>
          <cell r="F282">
            <v>38.1601</v>
          </cell>
        </row>
        <row r="283">
          <cell r="B283" t="str">
            <v>70326153</v>
          </cell>
          <cell r="C283" t="str">
            <v>黄金叶 商鼎 -</v>
          </cell>
          <cell r="D283">
            <v>18961</v>
          </cell>
          <cell r="E283">
            <v>293670.3</v>
          </cell>
          <cell r="F283">
            <v>17.501578977902</v>
          </cell>
        </row>
        <row r="284">
          <cell r="B284" t="str">
            <v>70326165</v>
          </cell>
          <cell r="C284" t="str">
            <v>冬虫夏草 （双中支） 10MG</v>
          </cell>
          <cell r="D284">
            <v>21979</v>
          </cell>
          <cell r="E284">
            <v>659774</v>
          </cell>
          <cell r="F284">
            <v>33.920770735702298</v>
          </cell>
        </row>
        <row r="285">
          <cell r="B285" t="str">
            <v>70328057</v>
          </cell>
          <cell r="C285" t="str">
            <v>王冠 蓝色假日 110S</v>
          </cell>
          <cell r="D285">
            <v>237</v>
          </cell>
          <cell r="E285">
            <v>31669.96</v>
          </cell>
          <cell r="F285">
            <v>151.00023122362899</v>
          </cell>
        </row>
        <row r="286">
          <cell r="B286" t="str">
            <v>70329819</v>
          </cell>
          <cell r="C286" t="str">
            <v>万宝路 硬冰爵2.0 1包</v>
          </cell>
          <cell r="D286">
            <v>4</v>
          </cell>
          <cell r="E286">
            <v>79.66</v>
          </cell>
          <cell r="F286">
            <v>22.50395</v>
          </cell>
        </row>
        <row r="287">
          <cell r="B287" t="str">
            <v>70334353</v>
          </cell>
          <cell r="C287" t="str">
            <v>黄鹤楼 雪之韵2号 8ML</v>
          </cell>
          <cell r="D287">
            <v>525</v>
          </cell>
          <cell r="E287">
            <v>10760.56</v>
          </cell>
          <cell r="F287">
            <v>23.160824380952398</v>
          </cell>
        </row>
        <row r="288">
          <cell r="B288" t="str">
            <v>70334354</v>
          </cell>
          <cell r="C288" t="str">
            <v>苏烟 硬彩中 8MG</v>
          </cell>
          <cell r="D288">
            <v>10</v>
          </cell>
          <cell r="E288">
            <v>337.7</v>
          </cell>
          <cell r="F288">
            <v>38.1601</v>
          </cell>
        </row>
        <row r="289">
          <cell r="B289" t="str">
            <v>70335560</v>
          </cell>
          <cell r="C289" t="str">
            <v>金圣 圣地中国红中支 10MG</v>
          </cell>
          <cell r="D289">
            <v>355</v>
          </cell>
          <cell r="E289">
            <v>14766.09</v>
          </cell>
          <cell r="F289">
            <v>47.001920281690097</v>
          </cell>
        </row>
        <row r="290">
          <cell r="B290" t="str">
            <v>70336036</v>
          </cell>
          <cell r="C290" t="str">
            <v>兰州 兰州(黑中支) 1包</v>
          </cell>
          <cell r="D290">
            <v>34</v>
          </cell>
          <cell r="E290">
            <v>791.34</v>
          </cell>
          <cell r="F290">
            <v>26.300417647058801</v>
          </cell>
        </row>
        <row r="291">
          <cell r="B291" t="str">
            <v>70337124</v>
          </cell>
          <cell r="C291" t="str">
            <v>贵烟 红中支 1*1</v>
          </cell>
          <cell r="D291">
            <v>21814</v>
          </cell>
          <cell r="E291">
            <v>507716.69</v>
          </cell>
          <cell r="F291">
            <v>26.300534505363501</v>
          </cell>
        </row>
        <row r="292">
          <cell r="B292" t="str">
            <v>70342019</v>
          </cell>
          <cell r="C292" t="str">
            <v>金圣 （青瓷） 20支</v>
          </cell>
          <cell r="D292">
            <v>1858</v>
          </cell>
          <cell r="E292">
            <v>25981.08</v>
          </cell>
          <cell r="F292">
            <v>15.801195048439199</v>
          </cell>
        </row>
        <row r="293">
          <cell r="B293" t="str">
            <v>70342996</v>
          </cell>
          <cell r="C293" t="str">
            <v>金圣 圣地中国红中支 包</v>
          </cell>
          <cell r="D293">
            <v>347</v>
          </cell>
          <cell r="E293">
            <v>14433.48</v>
          </cell>
          <cell r="F293">
            <v>47.002398847262199</v>
          </cell>
        </row>
        <row r="294">
          <cell r="B294" t="str">
            <v>70347689</v>
          </cell>
          <cell r="C294" t="str">
            <v>黄鹤楼 雪之韵6号 0ML</v>
          </cell>
          <cell r="D294">
            <v>25</v>
          </cell>
          <cell r="E294">
            <v>2300.92</v>
          </cell>
          <cell r="F294">
            <v>104.00158399999999</v>
          </cell>
        </row>
        <row r="295">
          <cell r="B295" t="str">
            <v>70349261</v>
          </cell>
          <cell r="C295" t="str">
            <v>黄鹤楼 雪之梦5号 0ML</v>
          </cell>
          <cell r="D295">
            <v>64</v>
          </cell>
          <cell r="E295">
            <v>9862.0400000000009</v>
          </cell>
          <cell r="F295">
            <v>174.12664375</v>
          </cell>
        </row>
        <row r="296">
          <cell r="B296" t="str">
            <v>70349411</v>
          </cell>
          <cell r="C296" t="str">
            <v>天子 重庆印象 0.9MG</v>
          </cell>
          <cell r="D296">
            <v>24</v>
          </cell>
          <cell r="E296">
            <v>637.16</v>
          </cell>
          <cell r="F296">
            <v>29.9996166666667</v>
          </cell>
        </row>
        <row r="297">
          <cell r="B297" t="str">
            <v>70350119</v>
          </cell>
          <cell r="C297" t="str">
            <v>牡丹 蓝中支 包</v>
          </cell>
          <cell r="D297">
            <v>3480</v>
          </cell>
          <cell r="E297">
            <v>80995.97</v>
          </cell>
          <cell r="F297">
            <v>26.300415545977</v>
          </cell>
        </row>
        <row r="298">
          <cell r="B298" t="str">
            <v>70351277</v>
          </cell>
          <cell r="C298" t="str">
            <v>中华 细支 包</v>
          </cell>
          <cell r="D298">
            <v>27816</v>
          </cell>
          <cell r="E298">
            <v>1043721.89</v>
          </cell>
          <cell r="F298">
            <v>42.400263722318101</v>
          </cell>
        </row>
        <row r="299">
          <cell r="B299" t="str">
            <v>70351574</v>
          </cell>
          <cell r="C299" t="str">
            <v>长城 揽胜3号经典 10G</v>
          </cell>
          <cell r="D299">
            <v>71</v>
          </cell>
          <cell r="E299">
            <v>9026.5</v>
          </cell>
          <cell r="F299">
            <v>143.66119718309901</v>
          </cell>
        </row>
        <row r="300">
          <cell r="B300" t="str">
            <v>70352602</v>
          </cell>
          <cell r="C300" t="str">
            <v>双喜 (春天细支) 1次</v>
          </cell>
          <cell r="D300">
            <v>1059</v>
          </cell>
          <cell r="E300">
            <v>21087.13</v>
          </cell>
          <cell r="F300">
            <v>22.5009035882908</v>
          </cell>
        </row>
        <row r="301">
          <cell r="B301" t="str">
            <v>70353190</v>
          </cell>
          <cell r="C301" t="str">
            <v>金圣 青瓷 1ML</v>
          </cell>
          <cell r="D301">
            <v>10413</v>
          </cell>
          <cell r="E301">
            <v>145606.17000000001</v>
          </cell>
          <cell r="F301">
            <v>15.800919245174301</v>
          </cell>
        </row>
        <row r="302">
          <cell r="B302" t="str">
            <v>70355006</v>
          </cell>
          <cell r="C302" t="str">
            <v>王冠 蓝色假日 包</v>
          </cell>
          <cell r="D302">
            <v>19</v>
          </cell>
          <cell r="E302">
            <v>1149.21</v>
          </cell>
          <cell r="F302">
            <v>68.347752631578899</v>
          </cell>
        </row>
        <row r="303">
          <cell r="B303" t="str">
            <v>70355007</v>
          </cell>
          <cell r="C303" t="str">
            <v>中华 金细支 包</v>
          </cell>
          <cell r="D303">
            <v>11005</v>
          </cell>
          <cell r="E303">
            <v>660684.38</v>
          </cell>
          <cell r="F303">
            <v>67.839468368923207</v>
          </cell>
        </row>
        <row r="304">
          <cell r="B304" t="str">
            <v>70356033</v>
          </cell>
          <cell r="C304" t="str">
            <v>中华 细支 1*20</v>
          </cell>
          <cell r="D304">
            <v>19</v>
          </cell>
          <cell r="E304">
            <v>857.53</v>
          </cell>
          <cell r="F304">
            <v>51.000468421052602</v>
          </cell>
        </row>
        <row r="305">
          <cell r="B305" t="str">
            <v>70357423</v>
          </cell>
          <cell r="C305" t="str">
            <v>双喜 春天中支 20支</v>
          </cell>
          <cell r="D305">
            <v>4276</v>
          </cell>
          <cell r="E305">
            <v>99527.08</v>
          </cell>
          <cell r="F305">
            <v>26.3015903648269</v>
          </cell>
        </row>
        <row r="306">
          <cell r="B306" t="str">
            <v>70358846</v>
          </cell>
          <cell r="C306" t="str">
            <v>利群 软蓝 20支</v>
          </cell>
          <cell r="D306">
            <v>6376</v>
          </cell>
          <cell r="E306">
            <v>89718.18</v>
          </cell>
          <cell r="F306">
            <v>15.9004930050188</v>
          </cell>
        </row>
        <row r="307">
          <cell r="B307" t="str">
            <v>70360305</v>
          </cell>
          <cell r="C307" t="str">
            <v>狮牌 加勒比阳光 4支</v>
          </cell>
          <cell r="D307">
            <v>117</v>
          </cell>
          <cell r="E307">
            <v>9360</v>
          </cell>
          <cell r="F307">
            <v>90.4</v>
          </cell>
        </row>
        <row r="308">
          <cell r="B308" t="str">
            <v>70361043</v>
          </cell>
          <cell r="C308" t="str">
            <v>七匹狼 鼓浪扬帆 8MG</v>
          </cell>
          <cell r="D308">
            <v>2152</v>
          </cell>
          <cell r="E308">
            <v>38357.51</v>
          </cell>
          <cell r="F308">
            <v>20.1412575743494</v>
          </cell>
        </row>
        <row r="309">
          <cell r="B309" t="str">
            <v>70362801</v>
          </cell>
          <cell r="C309" t="str">
            <v>真龙 硬刘三姐 8MG</v>
          </cell>
          <cell r="D309">
            <v>2075</v>
          </cell>
          <cell r="E309">
            <v>41318.230000000003</v>
          </cell>
          <cell r="F309">
            <v>22.501011999999999</v>
          </cell>
        </row>
        <row r="310">
          <cell r="B310" t="str">
            <v>70363266</v>
          </cell>
          <cell r="C310" t="str">
            <v>真龙 （刘三姐） 6MG</v>
          </cell>
          <cell r="D310">
            <v>2244</v>
          </cell>
          <cell r="E310">
            <v>44683.13</v>
          </cell>
          <cell r="F310">
            <v>22.5008631461676</v>
          </cell>
        </row>
        <row r="311">
          <cell r="B311" t="str">
            <v>70363289</v>
          </cell>
          <cell r="C311" t="str">
            <v>中华 (金细支) 1包</v>
          </cell>
          <cell r="D311">
            <v>1194</v>
          </cell>
          <cell r="E311">
            <v>68582.509999999995</v>
          </cell>
          <cell r="F311">
            <v>64.906395561139007</v>
          </cell>
        </row>
        <row r="312">
          <cell r="B312" t="str">
            <v>70365520</v>
          </cell>
          <cell r="C312" t="str">
            <v>黄鹤楼 1916如意 10ML</v>
          </cell>
          <cell r="D312">
            <v>1825</v>
          </cell>
          <cell r="E312">
            <v>123260.49</v>
          </cell>
          <cell r="F312">
            <v>76.320193808219202</v>
          </cell>
        </row>
        <row r="313">
          <cell r="B313" t="str">
            <v>70365521</v>
          </cell>
          <cell r="C313" t="str">
            <v>黄鹤楼 1916红爆 10ML</v>
          </cell>
          <cell r="D313">
            <v>495</v>
          </cell>
          <cell r="E313">
            <v>31575.06</v>
          </cell>
          <cell r="F313">
            <v>72.080439999999996</v>
          </cell>
        </row>
        <row r="314">
          <cell r="B314" t="str">
            <v>70365708</v>
          </cell>
          <cell r="C314" t="str">
            <v>娇子 宽窄醇香中支 18支</v>
          </cell>
          <cell r="D314">
            <v>12702</v>
          </cell>
          <cell r="E314">
            <v>227622.75</v>
          </cell>
          <cell r="F314">
            <v>20.249858880491299</v>
          </cell>
        </row>
        <row r="315">
          <cell r="B315" t="str">
            <v>70366631</v>
          </cell>
          <cell r="C315" t="str">
            <v>玉溪 （鑫中支） 20支</v>
          </cell>
          <cell r="D315">
            <v>50572</v>
          </cell>
          <cell r="E315">
            <v>1007009.83</v>
          </cell>
          <cell r="F315">
            <v>22.5010105967729</v>
          </cell>
        </row>
        <row r="316">
          <cell r="B316" t="str">
            <v>70368731</v>
          </cell>
          <cell r="C316" t="str">
            <v>黄鹤楼 硬蓝 1包</v>
          </cell>
          <cell r="D316">
            <v>10</v>
          </cell>
          <cell r="E316">
            <v>154.87</v>
          </cell>
          <cell r="F316">
            <v>17.500309999999999</v>
          </cell>
        </row>
        <row r="317">
          <cell r="B317" t="str">
            <v>70371140</v>
          </cell>
          <cell r="C317" t="str">
            <v>黄鹤楼 1916红爆 -</v>
          </cell>
          <cell r="D317">
            <v>2853</v>
          </cell>
          <cell r="E317">
            <v>181986.59</v>
          </cell>
          <cell r="F317">
            <v>72.080212653347303</v>
          </cell>
        </row>
        <row r="318">
          <cell r="B318" t="str">
            <v>70374527</v>
          </cell>
          <cell r="C318" t="str">
            <v>王冠 假日黄金海岸 包</v>
          </cell>
          <cell r="D318">
            <v>71</v>
          </cell>
          <cell r="E318">
            <v>5457.51</v>
          </cell>
          <cell r="F318">
            <v>86.858961971830993</v>
          </cell>
        </row>
        <row r="319">
          <cell r="B319" t="str">
            <v>70374850</v>
          </cell>
          <cell r="C319" t="str">
            <v>钻石 荷花经典中支 12MG</v>
          </cell>
          <cell r="D319">
            <v>6</v>
          </cell>
          <cell r="E319">
            <v>180.12</v>
          </cell>
          <cell r="F319">
            <v>33.922600000000003</v>
          </cell>
        </row>
        <row r="320">
          <cell r="B320" t="str">
            <v>70376306</v>
          </cell>
          <cell r="C320" t="str">
            <v>黄鹤楼 雪之梦7号 包</v>
          </cell>
          <cell r="D320">
            <v>3</v>
          </cell>
          <cell r="E320">
            <v>244.26</v>
          </cell>
          <cell r="F320">
            <v>92.004599999999996</v>
          </cell>
        </row>
        <row r="321">
          <cell r="B321" t="str">
            <v>70379183</v>
          </cell>
          <cell r="C321" t="str">
            <v>王冠 (假日黄金海岸) 包</v>
          </cell>
          <cell r="D321">
            <v>264</v>
          </cell>
          <cell r="E321">
            <v>31736.38</v>
          </cell>
          <cell r="F321">
            <v>135.841323484848</v>
          </cell>
        </row>
        <row r="322">
          <cell r="B322" t="str">
            <v>70379278</v>
          </cell>
          <cell r="C322" t="str">
            <v>南京 （梦都） 6MG</v>
          </cell>
          <cell r="D322">
            <v>3150</v>
          </cell>
          <cell r="E322">
            <v>48785.05</v>
          </cell>
          <cell r="F322">
            <v>17.500668730158701</v>
          </cell>
        </row>
        <row r="323">
          <cell r="B323" t="str">
            <v>70379280</v>
          </cell>
          <cell r="C323" t="str">
            <v>黄鹤楼 硬1916 如意 10MG</v>
          </cell>
          <cell r="D323">
            <v>237</v>
          </cell>
          <cell r="E323">
            <v>16006.98</v>
          </cell>
          <cell r="F323">
            <v>76.3202</v>
          </cell>
        </row>
        <row r="324">
          <cell r="B324" t="str">
            <v>70379386</v>
          </cell>
          <cell r="C324" t="str">
            <v>兰州 小青支 20支</v>
          </cell>
          <cell r="D324">
            <v>23594</v>
          </cell>
          <cell r="E324">
            <v>420536.77</v>
          </cell>
          <cell r="F324">
            <v>20.1409913579724</v>
          </cell>
        </row>
        <row r="325">
          <cell r="B325" t="str">
            <v>70380215</v>
          </cell>
          <cell r="C325" t="str">
            <v>真龙 （海韵）中支 8MG</v>
          </cell>
          <cell r="D325">
            <v>2237</v>
          </cell>
          <cell r="E325">
            <v>67155</v>
          </cell>
          <cell r="F325">
            <v>33.922731336611498</v>
          </cell>
        </row>
        <row r="326">
          <cell r="B326" t="str">
            <v>70381882</v>
          </cell>
          <cell r="C326" t="str">
            <v>七匹狼 观海中支 包</v>
          </cell>
          <cell r="D326">
            <v>20305</v>
          </cell>
          <cell r="E326">
            <v>472595.13</v>
          </cell>
          <cell r="F326">
            <v>26.300541585816301</v>
          </cell>
        </row>
        <row r="327">
          <cell r="B327" t="str">
            <v>70382812</v>
          </cell>
          <cell r="C327" t="str">
            <v>黄鹤楼 1916中支 9ML</v>
          </cell>
          <cell r="D327">
            <v>23</v>
          </cell>
          <cell r="E327">
            <v>2035.42</v>
          </cell>
          <cell r="F327">
            <v>100.00106956521699</v>
          </cell>
        </row>
        <row r="328">
          <cell r="B328" t="str">
            <v>70383332</v>
          </cell>
          <cell r="C328" t="str">
            <v>黄鹤楼 黄鹤楼(雪之梦10号) 1包</v>
          </cell>
          <cell r="D328">
            <v>11</v>
          </cell>
          <cell r="E328">
            <v>1207.24</v>
          </cell>
          <cell r="F328">
            <v>124.016472727273</v>
          </cell>
        </row>
        <row r="329">
          <cell r="B329" t="str">
            <v>70384220</v>
          </cell>
          <cell r="C329" t="str">
            <v>黄金叶 天叶中支 包</v>
          </cell>
          <cell r="D329">
            <v>1117</v>
          </cell>
          <cell r="E329">
            <v>98850.08</v>
          </cell>
          <cell r="F329">
            <v>100.000528558639</v>
          </cell>
        </row>
        <row r="330">
          <cell r="B330" t="str">
            <v>70385188</v>
          </cell>
          <cell r="C330" t="str">
            <v>牡丹 红中支 包</v>
          </cell>
          <cell r="D330">
            <v>3942</v>
          </cell>
          <cell r="E330">
            <v>61050.31</v>
          </cell>
          <cell r="F330">
            <v>17.500469381024899</v>
          </cell>
        </row>
        <row r="331">
          <cell r="B331" t="str">
            <v>70387250</v>
          </cell>
          <cell r="C331" t="str">
            <v>黄鹤楼 雪之韵6号 10MG</v>
          </cell>
          <cell r="D331">
            <v>450</v>
          </cell>
          <cell r="E331">
            <v>15929.82</v>
          </cell>
          <cell r="F331">
            <v>40.001548</v>
          </cell>
        </row>
        <row r="332">
          <cell r="B332" t="str">
            <v>70388827</v>
          </cell>
          <cell r="C332" t="str">
            <v>狮牌 加勒比阳光 5盒装</v>
          </cell>
          <cell r="D332">
            <v>149</v>
          </cell>
          <cell r="E332">
            <v>14032</v>
          </cell>
          <cell r="F332">
            <v>106.417181208054</v>
          </cell>
        </row>
        <row r="333">
          <cell r="B333" t="str">
            <v>70390362</v>
          </cell>
          <cell r="C333" t="str">
            <v>泰山 合悦 20支 7MG</v>
          </cell>
          <cell r="D333">
            <v>13433</v>
          </cell>
          <cell r="E333">
            <v>267483.34999999998</v>
          </cell>
          <cell r="F333">
            <v>22.501018796992501</v>
          </cell>
        </row>
        <row r="334">
          <cell r="B334" t="str">
            <v>70390670</v>
          </cell>
          <cell r="C334" t="str">
            <v>利群 (休闲细支) 7MG</v>
          </cell>
          <cell r="D334">
            <v>2229</v>
          </cell>
          <cell r="E334">
            <v>167273.62</v>
          </cell>
          <cell r="F334">
            <v>84.799995782862297</v>
          </cell>
        </row>
        <row r="335">
          <cell r="B335" t="str">
            <v>70394265</v>
          </cell>
          <cell r="C335" t="str">
            <v>七匹狼 (硬银中支) 9MG</v>
          </cell>
          <cell r="D335">
            <v>21974</v>
          </cell>
          <cell r="E335">
            <v>391661.22</v>
          </cell>
          <cell r="F335">
            <v>20.140947419677801</v>
          </cell>
        </row>
        <row r="336">
          <cell r="B336" t="str">
            <v>70396776</v>
          </cell>
          <cell r="C336" t="str">
            <v>长白山 硬神韵细支 5MG</v>
          </cell>
          <cell r="D336">
            <v>8568</v>
          </cell>
          <cell r="E336">
            <v>170610.03</v>
          </cell>
          <cell r="F336">
            <v>22.501089390756299</v>
          </cell>
        </row>
        <row r="337">
          <cell r="B337" t="str">
            <v>70398622</v>
          </cell>
          <cell r="C337" t="str">
            <v>冬虫夏草 红中支 8MG</v>
          </cell>
          <cell r="D337">
            <v>320</v>
          </cell>
          <cell r="E337">
            <v>12007.7</v>
          </cell>
          <cell r="F337">
            <v>42.402190625000003</v>
          </cell>
        </row>
        <row r="338">
          <cell r="B338" t="str">
            <v>70403811</v>
          </cell>
          <cell r="C338" t="str">
            <v>牡丹 （红中支） 20支</v>
          </cell>
          <cell r="D338">
            <v>235</v>
          </cell>
          <cell r="E338">
            <v>3639.43</v>
          </cell>
          <cell r="F338">
            <v>17.500237872340399</v>
          </cell>
        </row>
        <row r="339">
          <cell r="B339" t="str">
            <v>70405066</v>
          </cell>
          <cell r="C339" t="str">
            <v>利群 阳光橙中支 9MG</v>
          </cell>
          <cell r="D339">
            <v>390</v>
          </cell>
          <cell r="E339">
            <v>14634.82</v>
          </cell>
          <cell r="F339">
            <v>42.403452820512797</v>
          </cell>
        </row>
        <row r="340">
          <cell r="B340" t="str">
            <v>70405503</v>
          </cell>
          <cell r="C340" t="str">
            <v>泰山 合悦 7MG</v>
          </cell>
          <cell r="D340">
            <v>22</v>
          </cell>
          <cell r="E340">
            <v>438.07</v>
          </cell>
          <cell r="F340">
            <v>22.500868181818198</v>
          </cell>
        </row>
        <row r="341">
          <cell r="B341" t="str">
            <v>70406873</v>
          </cell>
          <cell r="C341" t="str">
            <v>黄鹤楼 硬1916中支 9MG</v>
          </cell>
          <cell r="D341">
            <v>12</v>
          </cell>
          <cell r="E341">
            <v>1061.96</v>
          </cell>
          <cell r="F341">
            <v>100.001233333333</v>
          </cell>
        </row>
        <row r="342">
          <cell r="B342" t="str">
            <v>70407214</v>
          </cell>
          <cell r="C342" t="str">
            <v>冬虫夏草 红中支 20支</v>
          </cell>
          <cell r="D342">
            <v>21</v>
          </cell>
          <cell r="E342">
            <v>787.98</v>
          </cell>
          <cell r="F342">
            <v>42.400828571428598</v>
          </cell>
        </row>
        <row r="343">
          <cell r="B343" t="str">
            <v>70408450</v>
          </cell>
          <cell r="C343" t="str">
            <v>中南海 冰耀中支 6MG</v>
          </cell>
          <cell r="D343">
            <v>3997</v>
          </cell>
          <cell r="E343">
            <v>71241.45</v>
          </cell>
          <cell r="F343">
            <v>20.140815236427301</v>
          </cell>
        </row>
        <row r="344">
          <cell r="B344" t="str">
            <v>70409395</v>
          </cell>
          <cell r="C344" t="str">
            <v>泰山 （颜悦） 20支</v>
          </cell>
          <cell r="D344">
            <v>437</v>
          </cell>
          <cell r="E344">
            <v>6476.95</v>
          </cell>
          <cell r="F344">
            <v>16.748177345537801</v>
          </cell>
        </row>
        <row r="345">
          <cell r="B345" t="str">
            <v>70409398</v>
          </cell>
          <cell r="C345" t="str">
            <v>牡丹 （蓝中支） 20支</v>
          </cell>
          <cell r="D345">
            <v>7</v>
          </cell>
          <cell r="E345">
            <v>162.93</v>
          </cell>
          <cell r="F345">
            <v>26.301557142857099</v>
          </cell>
        </row>
        <row r="346">
          <cell r="B346" t="str">
            <v>70410198</v>
          </cell>
          <cell r="C346" t="str">
            <v>长城 (经典3号) 1*10</v>
          </cell>
          <cell r="D346">
            <v>7</v>
          </cell>
          <cell r="E346">
            <v>235.4</v>
          </cell>
          <cell r="F346">
            <v>38.000285714285702</v>
          </cell>
        </row>
        <row r="347">
          <cell r="B347" t="str">
            <v>70410959</v>
          </cell>
          <cell r="C347" t="str">
            <v>冬虫夏草 双中支硬盒（包） 6MG</v>
          </cell>
          <cell r="D347">
            <v>35</v>
          </cell>
          <cell r="E347">
            <v>1050.6600000000001</v>
          </cell>
          <cell r="F347">
            <v>33.921308571428597</v>
          </cell>
        </row>
        <row r="348">
          <cell r="B348" t="str">
            <v>70412438</v>
          </cell>
          <cell r="C348" t="str">
            <v>王冠 原味1号 0MG</v>
          </cell>
          <cell r="D348">
            <v>31</v>
          </cell>
          <cell r="E348">
            <v>529.23</v>
          </cell>
          <cell r="F348">
            <v>19.291287096774202</v>
          </cell>
        </row>
        <row r="349">
          <cell r="B349" t="str">
            <v>70416383</v>
          </cell>
          <cell r="C349" t="str">
            <v>七匹狼 银中支 8MG</v>
          </cell>
          <cell r="D349">
            <v>472</v>
          </cell>
          <cell r="E349">
            <v>8413.35</v>
          </cell>
          <cell r="F349">
            <v>20.142130296610201</v>
          </cell>
        </row>
        <row r="350">
          <cell r="B350" t="str">
            <v>70417219</v>
          </cell>
          <cell r="C350" t="str">
            <v>南京 大观园爆冰 97MM</v>
          </cell>
          <cell r="D350">
            <v>7057</v>
          </cell>
          <cell r="E350">
            <v>164252.34</v>
          </cell>
          <cell r="F350">
            <v>26.3008564829248</v>
          </cell>
        </row>
        <row r="351">
          <cell r="B351" t="str">
            <v>70418296</v>
          </cell>
          <cell r="C351" t="str">
            <v>555 老版细支 -</v>
          </cell>
          <cell r="D351">
            <v>845</v>
          </cell>
          <cell r="E351">
            <v>15875.91</v>
          </cell>
          <cell r="F351">
            <v>21.230506863905301</v>
          </cell>
        </row>
        <row r="352">
          <cell r="B352" t="str">
            <v>70418470</v>
          </cell>
          <cell r="C352" t="str">
            <v>金圣 青瓷中支 10MG</v>
          </cell>
          <cell r="D352">
            <v>133</v>
          </cell>
          <cell r="E352">
            <v>2059.87</v>
          </cell>
          <cell r="F352">
            <v>17.501151127819501</v>
          </cell>
        </row>
        <row r="353">
          <cell r="B353" t="str">
            <v>70418471</v>
          </cell>
          <cell r="C353" t="str">
            <v>黄金叶 炫尚20支 盒</v>
          </cell>
          <cell r="D353">
            <v>7859</v>
          </cell>
          <cell r="E353">
            <v>121717.75999999999</v>
          </cell>
          <cell r="F353">
            <v>17.501090316834201</v>
          </cell>
        </row>
        <row r="354">
          <cell r="B354" t="str">
            <v>70418472</v>
          </cell>
          <cell r="C354" t="str">
            <v>黄鹤楼 硬视窗 8MG</v>
          </cell>
          <cell r="D354">
            <v>3593</v>
          </cell>
          <cell r="E354">
            <v>95391.78</v>
          </cell>
          <cell r="F354">
            <v>30.000754634010601</v>
          </cell>
        </row>
        <row r="355">
          <cell r="B355" t="str">
            <v>70427230</v>
          </cell>
          <cell r="C355" t="str">
            <v>金圣 青瓷中支 1*10</v>
          </cell>
          <cell r="D355">
            <v>2987</v>
          </cell>
          <cell r="E355">
            <v>46263.37</v>
          </cell>
          <cell r="F355">
            <v>17.501710110478701</v>
          </cell>
        </row>
        <row r="356">
          <cell r="B356" t="str">
            <v>70427479</v>
          </cell>
          <cell r="C356" t="str">
            <v>555 国际版 1*10</v>
          </cell>
          <cell r="D356">
            <v>994</v>
          </cell>
          <cell r="E356">
            <v>22424.6</v>
          </cell>
          <cell r="F356">
            <v>25.492754527163001</v>
          </cell>
        </row>
        <row r="357">
          <cell r="B357" t="str">
            <v>70427570</v>
          </cell>
          <cell r="C357" t="str">
            <v>好猫 长乐九美 10MG</v>
          </cell>
          <cell r="D357">
            <v>17088</v>
          </cell>
          <cell r="E357">
            <v>264667.18</v>
          </cell>
          <cell r="F357">
            <v>17.501984632490601</v>
          </cell>
        </row>
        <row r="358">
          <cell r="B358" t="str">
            <v>70430056</v>
          </cell>
          <cell r="C358" t="str">
            <v>玉溪 中支境界 1*1</v>
          </cell>
          <cell r="D358">
            <v>20</v>
          </cell>
          <cell r="E358">
            <v>902.66</v>
          </cell>
          <cell r="F358">
            <v>51.00029</v>
          </cell>
        </row>
        <row r="359">
          <cell r="B359" t="str">
            <v>70430140</v>
          </cell>
          <cell r="C359" t="str">
            <v>555 (冰炫) 1*10</v>
          </cell>
          <cell r="D359">
            <v>51</v>
          </cell>
          <cell r="E359">
            <v>975.12</v>
          </cell>
          <cell r="F359">
            <v>21.605599999999999</v>
          </cell>
        </row>
        <row r="360">
          <cell r="B360" t="str">
            <v>70430635</v>
          </cell>
          <cell r="C360" t="str">
            <v>利群 （休闲细支）硬盒 20支</v>
          </cell>
          <cell r="D360">
            <v>444</v>
          </cell>
          <cell r="E360">
            <v>33319.660000000003</v>
          </cell>
          <cell r="F360">
            <v>84.800035585585604</v>
          </cell>
        </row>
        <row r="361">
          <cell r="B361" t="str">
            <v>70431041</v>
          </cell>
          <cell r="C361" t="str">
            <v>黄金叶 天叶中支 10G</v>
          </cell>
          <cell r="D361">
            <v>90</v>
          </cell>
          <cell r="E361">
            <v>7964.72</v>
          </cell>
          <cell r="F361">
            <v>100.001484444444</v>
          </cell>
        </row>
        <row r="362">
          <cell r="B362" t="str">
            <v>70431463</v>
          </cell>
          <cell r="C362" t="str">
            <v>长白山 (神韵细支) 5MG</v>
          </cell>
          <cell r="D362">
            <v>230</v>
          </cell>
          <cell r="E362">
            <v>4579.95</v>
          </cell>
          <cell r="F362">
            <v>22.501493478260901</v>
          </cell>
        </row>
        <row r="363">
          <cell r="B363" t="str">
            <v>70432605</v>
          </cell>
          <cell r="C363" t="str">
            <v>长城 骑士一号 10G</v>
          </cell>
          <cell r="D363">
            <v>25</v>
          </cell>
          <cell r="E363">
            <v>2831.84</v>
          </cell>
          <cell r="F363">
            <v>127.999168</v>
          </cell>
        </row>
        <row r="364">
          <cell r="B364" t="str">
            <v>70434315</v>
          </cell>
          <cell r="C364" t="str">
            <v>长城 （132奇迹） 10支</v>
          </cell>
          <cell r="D364">
            <v>20</v>
          </cell>
          <cell r="E364">
            <v>11327.4</v>
          </cell>
          <cell r="F364">
            <v>639.99810000000002</v>
          </cell>
        </row>
        <row r="365">
          <cell r="B365" t="str">
            <v>70434318</v>
          </cell>
          <cell r="C365" t="str">
            <v>长城 （唯佳金字塔） 10支</v>
          </cell>
          <cell r="D365">
            <v>16</v>
          </cell>
          <cell r="E365">
            <v>7123.9</v>
          </cell>
          <cell r="F365">
            <v>503.12543749999998</v>
          </cell>
        </row>
        <row r="366">
          <cell r="B366" t="str">
            <v>70436679</v>
          </cell>
          <cell r="C366" t="str">
            <v>兰州 (小青支) 盒</v>
          </cell>
          <cell r="D366">
            <v>3253</v>
          </cell>
          <cell r="E366">
            <v>57980.79</v>
          </cell>
          <cell r="F366">
            <v>20.14088309253</v>
          </cell>
        </row>
        <row r="367">
          <cell r="B367" t="str">
            <v>70436682</v>
          </cell>
          <cell r="C367" t="str">
            <v>云烟 （硬苁蓉） 盒</v>
          </cell>
          <cell r="D367">
            <v>124</v>
          </cell>
          <cell r="E367">
            <v>1256.48</v>
          </cell>
          <cell r="F367">
            <v>11.4501806451613</v>
          </cell>
        </row>
        <row r="368">
          <cell r="B368" t="str">
            <v>70436686</v>
          </cell>
          <cell r="C368" t="str">
            <v>好猫 (金猴王) 盒</v>
          </cell>
          <cell r="D368">
            <v>730</v>
          </cell>
          <cell r="E368">
            <v>4586.95</v>
          </cell>
          <cell r="F368">
            <v>7.1003472602739697</v>
          </cell>
        </row>
        <row r="369">
          <cell r="B369" t="str">
            <v>70441631</v>
          </cell>
          <cell r="C369" t="str">
            <v>利群 阳光尊中支 包</v>
          </cell>
          <cell r="D369">
            <v>7506</v>
          </cell>
          <cell r="E369">
            <v>225318.35</v>
          </cell>
          <cell r="F369">
            <v>33.920828070876603</v>
          </cell>
        </row>
        <row r="370">
          <cell r="B370" t="str">
            <v>70445431</v>
          </cell>
          <cell r="C370" t="str">
            <v>利群 阳光尊中支 0.8MG</v>
          </cell>
          <cell r="D370">
            <v>178</v>
          </cell>
          <cell r="E370">
            <v>5343.27</v>
          </cell>
          <cell r="F370">
            <v>33.920758988764</v>
          </cell>
        </row>
        <row r="371">
          <cell r="B371" t="str">
            <v>70452182</v>
          </cell>
          <cell r="C371" t="str">
            <v>黄鹤楼 雪之韵5号 0MG</v>
          </cell>
          <cell r="D371">
            <v>87</v>
          </cell>
          <cell r="E371">
            <v>4038.15</v>
          </cell>
          <cell r="F371">
            <v>52.449534482758601</v>
          </cell>
        </row>
        <row r="372">
          <cell r="B372" t="str">
            <v>70452918</v>
          </cell>
          <cell r="C372" t="str">
            <v>芙蓉王 荣耀中支 20支</v>
          </cell>
          <cell r="D372">
            <v>13565</v>
          </cell>
          <cell r="E372">
            <v>407202.65</v>
          </cell>
          <cell r="F372">
            <v>33.921046406192403</v>
          </cell>
        </row>
        <row r="373">
          <cell r="B373" t="str">
            <v>70458925</v>
          </cell>
          <cell r="C373" t="str">
            <v>王冠 国粹风度 1*1</v>
          </cell>
          <cell r="D373">
            <v>107</v>
          </cell>
          <cell r="E373">
            <v>10123.94</v>
          </cell>
          <cell r="F373">
            <v>106.91637570093501</v>
          </cell>
        </row>
        <row r="374">
          <cell r="B374" t="str">
            <v>70463274</v>
          </cell>
          <cell r="C374" t="str">
            <v>黄山 金皖烟 20支</v>
          </cell>
          <cell r="D374">
            <v>11855</v>
          </cell>
          <cell r="E374">
            <v>260195.22</v>
          </cell>
          <cell r="F374">
            <v>24.801400134964101</v>
          </cell>
        </row>
        <row r="375">
          <cell r="B375" t="str">
            <v>70465300</v>
          </cell>
          <cell r="C375" t="str">
            <v>白沙 和天下尊品中支 1盒</v>
          </cell>
          <cell r="D375">
            <v>40</v>
          </cell>
          <cell r="E375">
            <v>3539.85</v>
          </cell>
          <cell r="F375">
            <v>100.00076249999999</v>
          </cell>
        </row>
        <row r="376">
          <cell r="B376" t="str">
            <v>70465813</v>
          </cell>
          <cell r="C376" t="str">
            <v>黄金叶 国色双中支 10MG</v>
          </cell>
          <cell r="D376">
            <v>758</v>
          </cell>
          <cell r="E376">
            <v>22754.67</v>
          </cell>
          <cell r="F376">
            <v>33.921869525066001</v>
          </cell>
        </row>
        <row r="377">
          <cell r="B377" t="str">
            <v>70466027</v>
          </cell>
          <cell r="C377" t="str">
            <v>王冠 小国粹 1</v>
          </cell>
          <cell r="D377">
            <v>75</v>
          </cell>
          <cell r="E377">
            <v>11550.85</v>
          </cell>
          <cell r="F377">
            <v>174.032806666667</v>
          </cell>
        </row>
        <row r="378">
          <cell r="B378" t="str">
            <v>70466376</v>
          </cell>
          <cell r="C378" t="str">
            <v>利群 西湖恋7MG 20支</v>
          </cell>
          <cell r="D378">
            <v>19397</v>
          </cell>
          <cell r="E378">
            <v>345725.74</v>
          </cell>
          <cell r="F378">
            <v>20.1407478579162</v>
          </cell>
        </row>
        <row r="379">
          <cell r="B379" t="str">
            <v>70468321</v>
          </cell>
          <cell r="C379" t="str">
            <v>天子 黄中支 1盒</v>
          </cell>
          <cell r="D379">
            <v>4702</v>
          </cell>
          <cell r="E379">
            <v>141146.79999999999</v>
          </cell>
          <cell r="F379">
            <v>33.920860059549099</v>
          </cell>
        </row>
        <row r="380">
          <cell r="B380" t="str">
            <v>70474982</v>
          </cell>
          <cell r="C380" t="str">
            <v>白沙 (和天下尊品中支) 10支</v>
          </cell>
          <cell r="D380">
            <v>27</v>
          </cell>
          <cell r="E380">
            <v>2389.42</v>
          </cell>
          <cell r="F380">
            <v>100.001651851852</v>
          </cell>
        </row>
        <row r="381">
          <cell r="B381" t="str">
            <v>70477919</v>
          </cell>
          <cell r="C381" t="str">
            <v>云烟 云烟中支福8MG 盒</v>
          </cell>
          <cell r="D381">
            <v>37955</v>
          </cell>
          <cell r="E381">
            <v>883394.39</v>
          </cell>
          <cell r="F381">
            <v>26.300504826768499</v>
          </cell>
        </row>
        <row r="382">
          <cell r="B382" t="str">
            <v>70478105</v>
          </cell>
          <cell r="C382" t="str">
            <v>云烟 中支小重九 盒</v>
          </cell>
          <cell r="D382">
            <v>6431</v>
          </cell>
          <cell r="E382">
            <v>241305.7</v>
          </cell>
          <cell r="F382">
            <v>42.400161872181599</v>
          </cell>
        </row>
        <row r="383">
          <cell r="B383" t="str">
            <v>70478316</v>
          </cell>
          <cell r="C383" t="str">
            <v>555 国际版10MG 盒</v>
          </cell>
          <cell r="D383">
            <v>290</v>
          </cell>
          <cell r="E383">
            <v>6542.29</v>
          </cell>
          <cell r="F383">
            <v>25.492371379310299</v>
          </cell>
        </row>
        <row r="384">
          <cell r="B384" t="str">
            <v>70478355</v>
          </cell>
          <cell r="C384" t="str">
            <v>南京 硬雨花石 3MG</v>
          </cell>
          <cell r="D384">
            <v>3268</v>
          </cell>
          <cell r="E384">
            <v>156481.4</v>
          </cell>
          <cell r="F384">
            <v>54.1077056303549</v>
          </cell>
        </row>
        <row r="385">
          <cell r="B385" t="str">
            <v>70478357</v>
          </cell>
          <cell r="C385" t="str">
            <v>南京 （雨花石3MG） 10PAC</v>
          </cell>
          <cell r="D385">
            <v>2167</v>
          </cell>
          <cell r="E385">
            <v>105704.69</v>
          </cell>
          <cell r="F385">
            <v>55.120581310567601</v>
          </cell>
        </row>
        <row r="386">
          <cell r="B386" t="str">
            <v>70478360</v>
          </cell>
          <cell r="C386" t="str">
            <v>黄金叶 （炫尚） 7MG</v>
          </cell>
          <cell r="D386">
            <v>1526</v>
          </cell>
          <cell r="E386">
            <v>23634.87</v>
          </cell>
          <cell r="F386">
            <v>17.5015747706422</v>
          </cell>
        </row>
        <row r="387">
          <cell r="B387" t="str">
            <v>70478366</v>
          </cell>
          <cell r="C387" t="str">
            <v>好猫 （长安印象） 10PAC</v>
          </cell>
          <cell r="D387">
            <v>13210</v>
          </cell>
          <cell r="E387">
            <v>307459.81</v>
          </cell>
          <cell r="F387">
            <v>26.300498508705498</v>
          </cell>
        </row>
        <row r="388">
          <cell r="B388" t="str">
            <v>70480609</v>
          </cell>
          <cell r="C388" t="str">
            <v>泰山 儒风双中支 10MG</v>
          </cell>
          <cell r="D388">
            <v>580</v>
          </cell>
          <cell r="E388">
            <v>17411.13</v>
          </cell>
          <cell r="F388">
            <v>33.921684310344801</v>
          </cell>
        </row>
        <row r="389">
          <cell r="B389" t="str">
            <v>70480775</v>
          </cell>
          <cell r="C389" t="str">
            <v>双喜 （勿忘我） 包</v>
          </cell>
          <cell r="D389">
            <v>41239</v>
          </cell>
          <cell r="E389">
            <v>638719.44999999995</v>
          </cell>
          <cell r="F389">
            <v>17.501709025437101</v>
          </cell>
        </row>
        <row r="390">
          <cell r="B390" t="str">
            <v>70481001</v>
          </cell>
          <cell r="C390" t="str">
            <v>黄鹤楼 （雪之韵2号） 20支</v>
          </cell>
          <cell r="D390">
            <v>1</v>
          </cell>
          <cell r="E390">
            <v>159.29</v>
          </cell>
          <cell r="F390">
            <v>179.99770000000001</v>
          </cell>
        </row>
        <row r="391">
          <cell r="B391" t="str">
            <v>70481756</v>
          </cell>
          <cell r="C391" t="str">
            <v>长城 骑士1号 1*1</v>
          </cell>
          <cell r="D391">
            <v>33</v>
          </cell>
          <cell r="E391">
            <v>1168.1600000000001</v>
          </cell>
          <cell r="F391">
            <v>40.000630303030299</v>
          </cell>
        </row>
        <row r="392">
          <cell r="B392" t="str">
            <v>70483758</v>
          </cell>
          <cell r="C392" t="str">
            <v>兰州 （硬新尚） 13.0MG</v>
          </cell>
          <cell r="D392">
            <v>1397</v>
          </cell>
          <cell r="E392">
            <v>15071.54</v>
          </cell>
          <cell r="F392">
            <v>12.1910094488189</v>
          </cell>
        </row>
        <row r="393">
          <cell r="B393" t="str">
            <v>70487804</v>
          </cell>
          <cell r="C393" t="str">
            <v>黄金叶 硬国色双中支 10MG</v>
          </cell>
          <cell r="D393">
            <v>7004</v>
          </cell>
          <cell r="E393">
            <v>210252.31</v>
          </cell>
          <cell r="F393">
            <v>33.921346416333499</v>
          </cell>
        </row>
        <row r="394">
          <cell r="B394" t="str">
            <v>70490906</v>
          </cell>
          <cell r="C394" t="str">
            <v>天子 黄中支 8MG</v>
          </cell>
          <cell r="D394">
            <v>891</v>
          </cell>
          <cell r="E394">
            <v>26746.880000000001</v>
          </cell>
          <cell r="F394">
            <v>33.921407856341197</v>
          </cell>
        </row>
        <row r="395">
          <cell r="B395" t="str">
            <v>70491545</v>
          </cell>
          <cell r="C395" t="str">
            <v>555 老版细支 盒</v>
          </cell>
          <cell r="D395">
            <v>0</v>
          </cell>
          <cell r="E395">
            <v>0</v>
          </cell>
          <cell r="F395" t="e">
            <v>#DIV/0!</v>
          </cell>
        </row>
        <row r="396">
          <cell r="B396" t="str">
            <v>70494870</v>
          </cell>
          <cell r="C396" t="str">
            <v>黄鹤楼 视窗 20支/包</v>
          </cell>
          <cell r="D396">
            <v>2063</v>
          </cell>
          <cell r="E396">
            <v>54770.68</v>
          </cell>
          <cell r="F396">
            <v>30.000420940378099</v>
          </cell>
        </row>
        <row r="397">
          <cell r="B397" t="str">
            <v>70497524</v>
          </cell>
          <cell r="C397" t="str">
            <v>玉溪 （细支） 1*20</v>
          </cell>
          <cell r="D397">
            <v>61266</v>
          </cell>
          <cell r="E397">
            <v>1425956.26</v>
          </cell>
          <cell r="F397">
            <v>26.300567587242501</v>
          </cell>
        </row>
        <row r="398">
          <cell r="B398" t="str">
            <v>70501640</v>
          </cell>
          <cell r="C398" t="str">
            <v>长城 132迷你3号雪茄 5支</v>
          </cell>
          <cell r="D398">
            <v>160</v>
          </cell>
          <cell r="E398">
            <v>5741.29</v>
          </cell>
          <cell r="F398">
            <v>40.547860624999998</v>
          </cell>
        </row>
        <row r="399">
          <cell r="B399" t="str">
            <v>70502905</v>
          </cell>
          <cell r="C399" t="str">
            <v>云烟 雪莲细支1960 20支</v>
          </cell>
          <cell r="D399">
            <v>98477</v>
          </cell>
          <cell r="E399">
            <v>2292047.02</v>
          </cell>
          <cell r="F399">
            <v>26.300690847609101</v>
          </cell>
        </row>
        <row r="400">
          <cell r="B400" t="str">
            <v>70503347</v>
          </cell>
          <cell r="C400" t="str">
            <v>泰山 3G咖啡二代 盒</v>
          </cell>
          <cell r="D400">
            <v>133</v>
          </cell>
          <cell r="E400">
            <v>7160</v>
          </cell>
          <cell r="F400">
            <v>60.833082706766902</v>
          </cell>
        </row>
        <row r="401">
          <cell r="B401" t="str">
            <v>70503824</v>
          </cell>
          <cell r="C401" t="str">
            <v>长城 国之韵2号 4支</v>
          </cell>
          <cell r="D401">
            <v>32</v>
          </cell>
          <cell r="E401">
            <v>5309.81</v>
          </cell>
          <cell r="F401">
            <v>187.50266562499999</v>
          </cell>
        </row>
        <row r="402">
          <cell r="B402" t="str">
            <v>70506024</v>
          </cell>
          <cell r="C402" t="str">
            <v>泰山 儒风双中支 20支/包</v>
          </cell>
          <cell r="D402">
            <v>326</v>
          </cell>
          <cell r="E402">
            <v>9786.14</v>
          </cell>
          <cell r="F402">
            <v>33.9212828220859</v>
          </cell>
        </row>
        <row r="403">
          <cell r="B403" t="str">
            <v>70507687</v>
          </cell>
          <cell r="C403" t="str">
            <v>长城 （经典3号） 包</v>
          </cell>
          <cell r="D403">
            <v>337</v>
          </cell>
          <cell r="E403">
            <v>14359.18</v>
          </cell>
          <cell r="F403">
            <v>48.147992284866497</v>
          </cell>
        </row>
        <row r="404">
          <cell r="B404" t="str">
            <v>70509088</v>
          </cell>
          <cell r="C404" t="str">
            <v>利群 阳光青中支 20支</v>
          </cell>
          <cell r="D404">
            <v>1912</v>
          </cell>
          <cell r="E404">
            <v>44500.51</v>
          </cell>
          <cell r="F404">
            <v>26.299987604602499</v>
          </cell>
        </row>
        <row r="405">
          <cell r="B405" t="str">
            <v>70513406</v>
          </cell>
          <cell r="C405" t="str">
            <v>泰山 儒风 10MG</v>
          </cell>
          <cell r="D405">
            <v>6753</v>
          </cell>
          <cell r="E405">
            <v>272389.18</v>
          </cell>
          <cell r="F405">
            <v>45.579708781282399</v>
          </cell>
        </row>
        <row r="406">
          <cell r="B406" t="str">
            <v>70514470</v>
          </cell>
          <cell r="C406" t="str">
            <v>利群 阳光青中支 20支/盒</v>
          </cell>
          <cell r="D406">
            <v>14195</v>
          </cell>
          <cell r="E406">
            <v>330385.64</v>
          </cell>
          <cell r="F406">
            <v>26.300512377597698</v>
          </cell>
        </row>
        <row r="407">
          <cell r="B407" t="str">
            <v>70517480</v>
          </cell>
          <cell r="C407" t="str">
            <v>玉溪 （细支） 1*10</v>
          </cell>
          <cell r="D407">
            <v>4601</v>
          </cell>
          <cell r="E407">
            <v>107086.32</v>
          </cell>
          <cell r="F407">
            <v>26.300269854379501</v>
          </cell>
        </row>
        <row r="408">
          <cell r="B408" t="str">
            <v>70518162</v>
          </cell>
          <cell r="C408" t="str">
            <v>云烟 中支小重九 30G</v>
          </cell>
          <cell r="D408">
            <v>3216</v>
          </cell>
          <cell r="E408">
            <v>120671.72</v>
          </cell>
          <cell r="F408">
            <v>42.400200124378102</v>
          </cell>
        </row>
        <row r="409">
          <cell r="B409" t="str">
            <v>70519338</v>
          </cell>
          <cell r="C409" t="str">
            <v>兰州 硬新尚 30G</v>
          </cell>
          <cell r="D409">
            <v>118</v>
          </cell>
          <cell r="E409">
            <v>1273.1600000000001</v>
          </cell>
          <cell r="F409">
            <v>12.1921254237288</v>
          </cell>
        </row>
        <row r="410">
          <cell r="B410" t="str">
            <v>70519429</v>
          </cell>
          <cell r="C410" t="str">
            <v>双喜 （春天魅影） 9MG</v>
          </cell>
          <cell r="D410">
            <v>925</v>
          </cell>
          <cell r="E410">
            <v>34708.5</v>
          </cell>
          <cell r="F410">
            <v>42.400654054054101</v>
          </cell>
        </row>
        <row r="411">
          <cell r="B411" t="str">
            <v>70519508</v>
          </cell>
          <cell r="C411" t="str">
            <v>黄鹤楼 1916中支 1*1</v>
          </cell>
          <cell r="D411">
            <v>8</v>
          </cell>
          <cell r="E411">
            <v>707.97</v>
          </cell>
          <cell r="F411">
            <v>100.00076249999999</v>
          </cell>
        </row>
        <row r="412">
          <cell r="B412" t="str">
            <v>70519510</v>
          </cell>
          <cell r="C412" t="str">
            <v>长城 (盛世6号) 20支</v>
          </cell>
          <cell r="D412">
            <v>57</v>
          </cell>
          <cell r="E412">
            <v>4110.8</v>
          </cell>
          <cell r="F412">
            <v>81.494807017543806</v>
          </cell>
        </row>
        <row r="413">
          <cell r="B413" t="str">
            <v>70520256</v>
          </cell>
          <cell r="C413" t="str">
            <v>黄鹤楼 雪之梦7号 条</v>
          </cell>
          <cell r="D413">
            <v>44</v>
          </cell>
          <cell r="E413">
            <v>6920.36</v>
          </cell>
          <cell r="F413">
            <v>177.727427272727</v>
          </cell>
        </row>
        <row r="414">
          <cell r="B414" t="str">
            <v>70521817</v>
          </cell>
          <cell r="C414" t="str">
            <v>黄鹤楼 逍遥5号 158MM</v>
          </cell>
          <cell r="D414">
            <v>10</v>
          </cell>
          <cell r="E414">
            <v>672.57</v>
          </cell>
          <cell r="F414">
            <v>76.000410000000002</v>
          </cell>
        </row>
        <row r="415">
          <cell r="B415" t="str">
            <v>70522227</v>
          </cell>
          <cell r="C415" t="str">
            <v>金圣 (青瓷细支) 10支</v>
          </cell>
          <cell r="D415">
            <v>9102</v>
          </cell>
          <cell r="E415">
            <v>181244.23</v>
          </cell>
          <cell r="F415">
            <v>22.501206317292901</v>
          </cell>
        </row>
        <row r="416">
          <cell r="B416" t="str">
            <v>70524007</v>
          </cell>
          <cell r="C416" t="str">
            <v>红塔山 （细支传奇） 盒</v>
          </cell>
          <cell r="D416">
            <v>6199</v>
          </cell>
          <cell r="E416">
            <v>85037.46</v>
          </cell>
          <cell r="F416">
            <v>15.501263074689501</v>
          </cell>
        </row>
        <row r="417">
          <cell r="B417" t="str">
            <v>70524940</v>
          </cell>
          <cell r="C417" t="str">
            <v>好猫 长安印象8MG 包</v>
          </cell>
          <cell r="D417">
            <v>14050</v>
          </cell>
          <cell r="E417">
            <v>327006.77</v>
          </cell>
          <cell r="F417">
            <v>26.300188619217099</v>
          </cell>
        </row>
        <row r="418">
          <cell r="B418" t="str">
            <v>70526661</v>
          </cell>
          <cell r="C418" t="str">
            <v>建牌 薄荷紫冰 包</v>
          </cell>
          <cell r="D418">
            <v>20</v>
          </cell>
          <cell r="E418">
            <v>456.2</v>
          </cell>
          <cell r="F418">
            <v>25.775300000000001</v>
          </cell>
        </row>
        <row r="419">
          <cell r="B419" t="str">
            <v>70528265</v>
          </cell>
          <cell r="C419" t="str">
            <v>熊猫 硬经典 1*10</v>
          </cell>
          <cell r="D419">
            <v>3023</v>
          </cell>
          <cell r="E419">
            <v>226858.86</v>
          </cell>
          <cell r="F419">
            <v>84.800036983129303</v>
          </cell>
        </row>
        <row r="420">
          <cell r="B420" t="str">
            <v>70528649</v>
          </cell>
          <cell r="C420" t="str">
            <v>建牌 HD细枝 12MG</v>
          </cell>
          <cell r="D420">
            <v>151</v>
          </cell>
          <cell r="E420">
            <v>3139.23</v>
          </cell>
          <cell r="F420">
            <v>23.4922509933775</v>
          </cell>
        </row>
        <row r="421">
          <cell r="B421" t="str">
            <v>70531367</v>
          </cell>
          <cell r="C421" t="str">
            <v>七匹狼 观海中支90MM 个</v>
          </cell>
          <cell r="D421">
            <v>3136</v>
          </cell>
          <cell r="E421">
            <v>72989.05</v>
          </cell>
          <cell r="F421">
            <v>26.300263552295899</v>
          </cell>
        </row>
        <row r="422">
          <cell r="B422" t="str">
            <v>70531610</v>
          </cell>
          <cell r="C422" t="str">
            <v>红塔山 细支传奇 1个</v>
          </cell>
          <cell r="D422">
            <v>3499</v>
          </cell>
          <cell r="E422">
            <v>47998.85</v>
          </cell>
          <cell r="F422">
            <v>15.501200485853101</v>
          </cell>
        </row>
        <row r="423">
          <cell r="B423" t="str">
            <v>70532024</v>
          </cell>
          <cell r="C423" t="str">
            <v>天子 （C位） 10支</v>
          </cell>
          <cell r="D423">
            <v>2182</v>
          </cell>
          <cell r="E423">
            <v>38891.25</v>
          </cell>
          <cell r="F423">
            <v>20.1407481668194</v>
          </cell>
        </row>
        <row r="424">
          <cell r="B424" t="str">
            <v>70538325</v>
          </cell>
          <cell r="C424" t="str">
            <v>双喜 春天·咖路里 包</v>
          </cell>
          <cell r="D424">
            <v>9211</v>
          </cell>
          <cell r="E424">
            <v>183411.97</v>
          </cell>
          <cell r="F424">
            <v>22.500871360329999</v>
          </cell>
        </row>
        <row r="425">
          <cell r="B425" t="str">
            <v>70538977</v>
          </cell>
          <cell r="C425" t="str">
            <v>建牌 薄荷紫冰1MG 个</v>
          </cell>
          <cell r="D425">
            <v>8</v>
          </cell>
          <cell r="E425">
            <v>182.48</v>
          </cell>
          <cell r="F425">
            <v>25.775300000000001</v>
          </cell>
        </row>
        <row r="426">
          <cell r="B426" t="str">
            <v>70539171</v>
          </cell>
          <cell r="C426" t="str">
            <v>黄金叶 大成细支 5MG/支</v>
          </cell>
          <cell r="D426">
            <v>9082</v>
          </cell>
          <cell r="E426">
            <v>211381.3</v>
          </cell>
          <cell r="F426">
            <v>26.300470050649601</v>
          </cell>
        </row>
        <row r="427">
          <cell r="B427" t="str">
            <v>70539446</v>
          </cell>
          <cell r="C427" t="str">
            <v>黄山 （黄皖） 硬盒 1*10</v>
          </cell>
          <cell r="D427">
            <v>8761</v>
          </cell>
          <cell r="E427">
            <v>135688.09</v>
          </cell>
          <cell r="F427">
            <v>17.501146181942701</v>
          </cell>
        </row>
        <row r="428">
          <cell r="B428" t="str">
            <v>70545149</v>
          </cell>
          <cell r="C428" t="str">
            <v>长城 国之韵2号 包</v>
          </cell>
          <cell r="D428">
            <v>136</v>
          </cell>
          <cell r="E428">
            <v>3716.87</v>
          </cell>
          <cell r="F428">
            <v>30.882816911764699</v>
          </cell>
        </row>
        <row r="429">
          <cell r="B429" t="str">
            <v>70545358</v>
          </cell>
          <cell r="C429" t="str">
            <v>黄鹤楼 (雪之韵8号雪茄) 10MG</v>
          </cell>
          <cell r="D429">
            <v>117</v>
          </cell>
          <cell r="E429">
            <v>5902.7</v>
          </cell>
          <cell r="F429">
            <v>57.008982905982897</v>
          </cell>
        </row>
        <row r="430">
          <cell r="B430" t="str">
            <v>70545499</v>
          </cell>
          <cell r="C430" t="str">
            <v>熊猫 (硬典藏中支) 10MG</v>
          </cell>
          <cell r="D430">
            <v>30</v>
          </cell>
          <cell r="E430">
            <v>2654.88</v>
          </cell>
          <cell r="F430">
            <v>100.00048</v>
          </cell>
        </row>
        <row r="431">
          <cell r="B431" t="str">
            <v>70547488</v>
          </cell>
          <cell r="C431" t="str">
            <v>好猫 (细支长乐吉祥) 20支</v>
          </cell>
          <cell r="D431">
            <v>15777</v>
          </cell>
          <cell r="E431">
            <v>314153.02</v>
          </cell>
          <cell r="F431">
            <v>22.500659986055702</v>
          </cell>
        </row>
        <row r="432">
          <cell r="B432" t="str">
            <v>70547560</v>
          </cell>
          <cell r="C432" t="str">
            <v>钻石 （荷花小雅90MM细支） 包</v>
          </cell>
          <cell r="D432">
            <v>89</v>
          </cell>
          <cell r="E432">
            <v>3701.82</v>
          </cell>
          <cell r="F432">
            <v>47.000635955056197</v>
          </cell>
        </row>
        <row r="433">
          <cell r="B433" t="str">
            <v>70547602</v>
          </cell>
          <cell r="C433" t="str">
            <v>黄金叶 大成细支 15MG</v>
          </cell>
          <cell r="D433">
            <v>5461</v>
          </cell>
          <cell r="E433">
            <v>127102.3</v>
          </cell>
          <cell r="F433">
            <v>26.300237868522199</v>
          </cell>
        </row>
        <row r="434">
          <cell r="B434" t="str">
            <v>70548003</v>
          </cell>
          <cell r="C434" t="str">
            <v>芙蓉王 沁爽细支 5MG</v>
          </cell>
          <cell r="D434">
            <v>2063</v>
          </cell>
          <cell r="E434">
            <v>48015.48</v>
          </cell>
          <cell r="F434">
            <v>26.300287154629199</v>
          </cell>
        </row>
        <row r="435">
          <cell r="B435" t="str">
            <v>70548007</v>
          </cell>
          <cell r="C435" t="str">
            <v>芙蓉王 绽放 8MG</v>
          </cell>
          <cell r="D435">
            <v>2536</v>
          </cell>
          <cell r="E435">
            <v>67329.7</v>
          </cell>
          <cell r="F435">
            <v>30.001009858044199</v>
          </cell>
        </row>
        <row r="436">
          <cell r="B436" t="str">
            <v>70553021</v>
          </cell>
          <cell r="C436" t="str">
            <v>长城 盛世3号 102支*5盒</v>
          </cell>
          <cell r="D436">
            <v>97</v>
          </cell>
          <cell r="E436">
            <v>11708.01</v>
          </cell>
          <cell r="F436">
            <v>136.392281443299</v>
          </cell>
        </row>
        <row r="437">
          <cell r="B437" t="str">
            <v>70553471</v>
          </cell>
          <cell r="C437" t="str">
            <v>天子 C位香烟 10MG</v>
          </cell>
          <cell r="D437">
            <v>14880</v>
          </cell>
          <cell r="E437">
            <v>265215.71000000002</v>
          </cell>
          <cell r="F437">
            <v>20.140709159946201</v>
          </cell>
        </row>
        <row r="438">
          <cell r="B438" t="str">
            <v>70555446</v>
          </cell>
          <cell r="C438" t="str">
            <v>黄鹤楼 逍遥7号 盒</v>
          </cell>
          <cell r="D438">
            <v>40</v>
          </cell>
          <cell r="E438">
            <v>8846.0400000000009</v>
          </cell>
          <cell r="F438">
            <v>249.90063000000001</v>
          </cell>
        </row>
        <row r="439">
          <cell r="B439" t="str">
            <v>70559488</v>
          </cell>
          <cell r="C439" t="str">
            <v>南京 细支九五 3MG</v>
          </cell>
          <cell r="D439">
            <v>150</v>
          </cell>
          <cell r="E439">
            <v>13274.34</v>
          </cell>
          <cell r="F439">
            <v>100.000028</v>
          </cell>
        </row>
        <row r="440">
          <cell r="B440" t="str">
            <v>70559633</v>
          </cell>
          <cell r="C440" t="str">
            <v>云烟 中支大重九 20G</v>
          </cell>
          <cell r="D440">
            <v>185</v>
          </cell>
          <cell r="E440">
            <v>13883.16</v>
          </cell>
          <cell r="F440">
            <v>84.799842162162193</v>
          </cell>
        </row>
        <row r="441">
          <cell r="B441" t="str">
            <v>70564219</v>
          </cell>
          <cell r="C441" t="str">
            <v>云烟 （中支云龙） 20支/盒</v>
          </cell>
          <cell r="D441">
            <v>14098</v>
          </cell>
          <cell r="E441">
            <v>218347.07</v>
          </cell>
          <cell r="F441">
            <v>17.501219258050799</v>
          </cell>
        </row>
        <row r="442">
          <cell r="B442" t="str">
            <v>70564267</v>
          </cell>
          <cell r="C442" t="str">
            <v>玉溪 (细支缤果爆) 20支/盒</v>
          </cell>
          <cell r="D442">
            <v>1244</v>
          </cell>
          <cell r="E442">
            <v>24770.83</v>
          </cell>
          <cell r="F442">
            <v>22.500834324758799</v>
          </cell>
        </row>
        <row r="443">
          <cell r="B443" t="str">
            <v>70564332</v>
          </cell>
          <cell r="C443" t="str">
            <v>芙蓉王 绽放 20G</v>
          </cell>
          <cell r="D443">
            <v>1839</v>
          </cell>
          <cell r="E443">
            <v>48824.72</v>
          </cell>
          <cell r="F443">
            <v>30.001051441000499</v>
          </cell>
        </row>
        <row r="444">
          <cell r="B444" t="str">
            <v>70564674</v>
          </cell>
          <cell r="C444" t="str">
            <v>玉溪 (细支缤果爆) 6MG</v>
          </cell>
          <cell r="D444">
            <v>163</v>
          </cell>
          <cell r="E444">
            <v>3245.67</v>
          </cell>
          <cell r="F444">
            <v>22.500657055214699</v>
          </cell>
        </row>
        <row r="445">
          <cell r="B445" t="str">
            <v>70574017</v>
          </cell>
          <cell r="C445" t="str">
            <v>泰山 超级战神 10支/盒</v>
          </cell>
          <cell r="D445">
            <v>40</v>
          </cell>
          <cell r="E445">
            <v>3185.84</v>
          </cell>
          <cell r="F445">
            <v>89.999979999999994</v>
          </cell>
        </row>
        <row r="446">
          <cell r="B446" t="str">
            <v>70574228</v>
          </cell>
          <cell r="C446" t="str">
            <v>娇子 宽窄锦上细支 包</v>
          </cell>
          <cell r="D446">
            <v>3948</v>
          </cell>
          <cell r="E446">
            <v>91888.72</v>
          </cell>
          <cell r="F446">
            <v>26.3004695035461</v>
          </cell>
        </row>
        <row r="447">
          <cell r="B447" t="str">
            <v>70574976</v>
          </cell>
          <cell r="C447" t="str">
            <v>黄鹤楼 雪之韵8号 盒</v>
          </cell>
          <cell r="D447">
            <v>10</v>
          </cell>
          <cell r="E447">
            <v>569.91999999999996</v>
          </cell>
          <cell r="F447">
            <v>64.400959999999998</v>
          </cell>
        </row>
        <row r="448">
          <cell r="B448" t="str">
            <v>70578781</v>
          </cell>
          <cell r="C448" t="str">
            <v>白沙 硬天天向上细支 5MG</v>
          </cell>
          <cell r="D448">
            <v>1309</v>
          </cell>
          <cell r="E448">
            <v>14978.33</v>
          </cell>
          <cell r="F448">
            <v>12.9301091673033</v>
          </cell>
        </row>
        <row r="449">
          <cell r="B449" t="str">
            <v>70579014</v>
          </cell>
          <cell r="C449" t="str">
            <v>黄鹤楼 3M MG</v>
          </cell>
          <cell r="D449">
            <v>76</v>
          </cell>
          <cell r="E449">
            <v>2851.76</v>
          </cell>
          <cell r="F449">
            <v>42.401168421052603</v>
          </cell>
        </row>
        <row r="450">
          <cell r="B450" t="str">
            <v>70579018</v>
          </cell>
          <cell r="C450" t="str">
            <v>云烟 中支云龙 盒</v>
          </cell>
          <cell r="D450">
            <v>8038</v>
          </cell>
          <cell r="E450">
            <v>124490.07</v>
          </cell>
          <cell r="F450">
            <v>17.501092199552101</v>
          </cell>
        </row>
        <row r="451">
          <cell r="B451" t="str">
            <v>70580443</v>
          </cell>
          <cell r="C451" t="str">
            <v>七匹狼 纯境 20G</v>
          </cell>
          <cell r="D451">
            <v>212</v>
          </cell>
          <cell r="E451">
            <v>2684.85</v>
          </cell>
          <cell r="F451">
            <v>14.310757075471701</v>
          </cell>
        </row>
        <row r="452">
          <cell r="B452" t="str">
            <v>70580446</v>
          </cell>
          <cell r="C452" t="str">
            <v>黄鹤楼 雪之梦7号 0.0MG</v>
          </cell>
          <cell r="D452">
            <v>20</v>
          </cell>
          <cell r="E452">
            <v>1954.02</v>
          </cell>
          <cell r="F452">
            <v>110.40213</v>
          </cell>
        </row>
        <row r="453">
          <cell r="B453" t="str">
            <v>70580467</v>
          </cell>
          <cell r="C453" t="str">
            <v>云烟 黑金刚印象 20G</v>
          </cell>
          <cell r="D453">
            <v>644</v>
          </cell>
          <cell r="E453">
            <v>26580.720000000001</v>
          </cell>
          <cell r="F453">
            <v>46.640083229813698</v>
          </cell>
        </row>
        <row r="454">
          <cell r="B454" t="str">
            <v>70580862</v>
          </cell>
          <cell r="C454" t="str">
            <v>云烟 黑金刚印象 1*10</v>
          </cell>
          <cell r="D454">
            <v>578</v>
          </cell>
          <cell r="E454">
            <v>23856.9</v>
          </cell>
          <cell r="F454">
            <v>46.640652249134902</v>
          </cell>
        </row>
        <row r="455">
          <cell r="B455" t="str">
            <v>70593833</v>
          </cell>
          <cell r="C455" t="str">
            <v>黄鹤楼 （炫彩） 1*1</v>
          </cell>
          <cell r="D455">
            <v>49</v>
          </cell>
          <cell r="E455">
            <v>1833.65</v>
          </cell>
          <cell r="F455">
            <v>42.286214285714301</v>
          </cell>
        </row>
        <row r="456">
          <cell r="B456" t="str">
            <v>70595205</v>
          </cell>
          <cell r="C456" t="str">
            <v>金圣 青瓷细支 包</v>
          </cell>
          <cell r="D456">
            <v>8</v>
          </cell>
          <cell r="E456">
            <v>159.30000000000001</v>
          </cell>
          <cell r="F456">
            <v>22.501124999999998</v>
          </cell>
        </row>
        <row r="457">
          <cell r="B457" t="str">
            <v>70597044</v>
          </cell>
          <cell r="C457" t="str">
            <v>黄鹤楼  (冰咖) 盒</v>
          </cell>
          <cell r="D457">
            <v>504</v>
          </cell>
          <cell r="E457">
            <v>10035.620000000001</v>
          </cell>
          <cell r="F457">
            <v>22.500497222222201</v>
          </cell>
        </row>
        <row r="458">
          <cell r="B458" t="str">
            <v>70638335</v>
          </cell>
          <cell r="C458" t="str">
            <v>双喜 春天咖路里 盒</v>
          </cell>
          <cell r="D458">
            <v>6922</v>
          </cell>
          <cell r="E458">
            <v>137831.14000000001</v>
          </cell>
          <cell r="F458">
            <v>22.500605056342099</v>
          </cell>
        </row>
        <row r="459">
          <cell r="B459" t="str">
            <v>70640138</v>
          </cell>
          <cell r="C459" t="str">
            <v>熊猫 (经典细支) 20支</v>
          </cell>
          <cell r="D459">
            <v>66</v>
          </cell>
          <cell r="E459">
            <v>4952.93</v>
          </cell>
          <cell r="F459">
            <v>84.800165151515102</v>
          </cell>
        </row>
        <row r="460">
          <cell r="B460" t="str">
            <v>70649273</v>
          </cell>
          <cell r="C460" t="str">
            <v>熊猫 熊猫（荣耀中支） 1*10</v>
          </cell>
          <cell r="D460">
            <v>38</v>
          </cell>
          <cell r="E460">
            <v>3362.86</v>
          </cell>
          <cell r="F460">
            <v>100.000836842105</v>
          </cell>
        </row>
        <row r="461">
          <cell r="B461" t="str">
            <v>70654975</v>
          </cell>
          <cell r="C461" t="str">
            <v>中华 硬细支 6MG</v>
          </cell>
          <cell r="D461">
            <v>848</v>
          </cell>
          <cell r="E461">
            <v>38273.22</v>
          </cell>
          <cell r="F461">
            <v>51.000870990566</v>
          </cell>
        </row>
        <row r="462">
          <cell r="B462" t="str">
            <v>70655227</v>
          </cell>
          <cell r="C462" t="str">
            <v>利群 阳光细支 20支</v>
          </cell>
          <cell r="D462">
            <v>1864</v>
          </cell>
          <cell r="E462">
            <v>55954.04</v>
          </cell>
          <cell r="F462">
            <v>33.920635836909902</v>
          </cell>
        </row>
        <row r="463">
          <cell r="B463" t="str">
            <v>70656893</v>
          </cell>
          <cell r="C463" t="str">
            <v>长城 132迷你3号 包</v>
          </cell>
          <cell r="D463">
            <v>1</v>
          </cell>
          <cell r="E463">
            <v>33.19</v>
          </cell>
          <cell r="F463">
            <v>37.5047</v>
          </cell>
        </row>
        <row r="464">
          <cell r="B464" t="str">
            <v>70658671</v>
          </cell>
          <cell r="C464" t="str">
            <v>泰山 白金战神 20支</v>
          </cell>
          <cell r="D464">
            <v>60</v>
          </cell>
          <cell r="E464">
            <v>2548.6799999999998</v>
          </cell>
          <cell r="F464">
            <v>48.000140000000002</v>
          </cell>
        </row>
        <row r="465">
          <cell r="B465" t="str">
            <v>70659658</v>
          </cell>
          <cell r="C465" t="str">
            <v>娇子 （宽窄锦上细支) 10支</v>
          </cell>
          <cell r="D465">
            <v>6235</v>
          </cell>
          <cell r="E465">
            <v>145116.1</v>
          </cell>
          <cell r="F465">
            <v>26.300111146752201</v>
          </cell>
        </row>
        <row r="466">
          <cell r="B466" t="str">
            <v>70674369</v>
          </cell>
          <cell r="C466" t="str">
            <v>七匹狼 (观海中支)新版 20支</v>
          </cell>
          <cell r="D466">
            <v>52</v>
          </cell>
          <cell r="E466">
            <v>1210.3</v>
          </cell>
          <cell r="F466">
            <v>26.300750000000001</v>
          </cell>
        </row>
        <row r="467">
          <cell r="B467" t="str">
            <v>70679220</v>
          </cell>
          <cell r="C467" t="str">
            <v>王冠 (假日船长) 1支</v>
          </cell>
          <cell r="D467">
            <v>3</v>
          </cell>
          <cell r="E467">
            <v>446.02</v>
          </cell>
          <cell r="F467">
            <v>168.00086666666701</v>
          </cell>
        </row>
        <row r="468">
          <cell r="B468" t="str">
            <v>70682800</v>
          </cell>
          <cell r="C468" t="str">
            <v>中华 金双中 7MG</v>
          </cell>
          <cell r="D468">
            <v>3219</v>
          </cell>
          <cell r="E468">
            <v>145283.4</v>
          </cell>
          <cell r="F468">
            <v>51.000385834109998</v>
          </cell>
        </row>
        <row r="469">
          <cell r="B469" t="str">
            <v>70687550</v>
          </cell>
          <cell r="C469" t="str">
            <v>中华 (金双中) 10包</v>
          </cell>
          <cell r="D469">
            <v>460</v>
          </cell>
          <cell r="E469">
            <v>20761.060000000001</v>
          </cell>
          <cell r="F469">
            <v>50.999995217391302</v>
          </cell>
        </row>
        <row r="470">
          <cell r="B470" t="str">
            <v>70687634</v>
          </cell>
          <cell r="C470" t="str">
            <v>王冠 （浪漫假日） 盒</v>
          </cell>
          <cell r="D470">
            <v>1</v>
          </cell>
          <cell r="E470">
            <v>548.66999999999996</v>
          </cell>
          <cell r="F470">
            <v>619.99710000000005</v>
          </cell>
        </row>
        <row r="471">
          <cell r="B471" t="str">
            <v>70687635</v>
          </cell>
          <cell r="C471" t="str">
            <v>长城 (揽胜1号) 盒</v>
          </cell>
          <cell r="D471">
            <v>2</v>
          </cell>
          <cell r="E471">
            <v>1982.3</v>
          </cell>
          <cell r="F471">
            <v>1119.9994999999999</v>
          </cell>
        </row>
        <row r="472">
          <cell r="B472" t="str">
            <v>70687793</v>
          </cell>
          <cell r="C472" t="str">
            <v>牡丹 玄华双中 包</v>
          </cell>
          <cell r="D472">
            <v>126</v>
          </cell>
          <cell r="E472">
            <v>3782.41</v>
          </cell>
          <cell r="F472">
            <v>33.9216134920635</v>
          </cell>
        </row>
        <row r="473">
          <cell r="B473" t="str">
            <v>70687848</v>
          </cell>
          <cell r="C473" t="str">
            <v>熊猫 （经典细支） 10包</v>
          </cell>
          <cell r="D473">
            <v>230</v>
          </cell>
          <cell r="E473">
            <v>17260.150000000001</v>
          </cell>
          <cell r="F473">
            <v>84.799867391304304</v>
          </cell>
        </row>
        <row r="474">
          <cell r="B474" t="str">
            <v>70687849</v>
          </cell>
          <cell r="C474" t="str">
            <v>中华 （细支6MG） 10包</v>
          </cell>
          <cell r="D474">
            <v>837</v>
          </cell>
          <cell r="E474">
            <v>37776.15</v>
          </cell>
          <cell r="F474">
            <v>51.000059139784902</v>
          </cell>
        </row>
        <row r="475">
          <cell r="B475" t="str">
            <v>70687884</v>
          </cell>
          <cell r="C475" t="str">
            <v>芙蓉王 (硬中支) 20支</v>
          </cell>
          <cell r="D475">
            <v>546</v>
          </cell>
          <cell r="E475">
            <v>12707.88</v>
          </cell>
          <cell r="F475">
            <v>26.300191208791201</v>
          </cell>
        </row>
        <row r="476">
          <cell r="B476" t="str">
            <v>70688305</v>
          </cell>
          <cell r="C476" t="str">
            <v>黄鹤楼 冰咖 盒</v>
          </cell>
          <cell r="D476">
            <v>591</v>
          </cell>
          <cell r="E476">
            <v>11767.76</v>
          </cell>
          <cell r="F476">
            <v>22.500116412859601</v>
          </cell>
        </row>
        <row r="477">
          <cell r="B477" t="str">
            <v>70693629</v>
          </cell>
          <cell r="C477" t="str">
            <v>娇子 宽窄东坡 细支</v>
          </cell>
          <cell r="D477">
            <v>84</v>
          </cell>
          <cell r="E477">
            <v>2521.56</v>
          </cell>
          <cell r="F477">
            <v>33.920985714285699</v>
          </cell>
        </row>
        <row r="478">
          <cell r="B478" t="str">
            <v>70710840</v>
          </cell>
          <cell r="C478" t="str">
            <v>冬虫夏草 天边中支 6.00MG</v>
          </cell>
          <cell r="D478">
            <v>855</v>
          </cell>
          <cell r="E478">
            <v>19899.740000000002</v>
          </cell>
          <cell r="F478">
            <v>26.300241169590599</v>
          </cell>
        </row>
        <row r="479">
          <cell r="B479" t="str">
            <v>70712827</v>
          </cell>
          <cell r="C479" t="str">
            <v>天子 细支传奇 20支</v>
          </cell>
          <cell r="D479">
            <v>60</v>
          </cell>
          <cell r="E479">
            <v>2251.3200000000002</v>
          </cell>
          <cell r="F479">
            <v>42.399859999999997</v>
          </cell>
        </row>
        <row r="480">
          <cell r="B480" t="str">
            <v>70713727</v>
          </cell>
          <cell r="C480" t="str">
            <v>芙蓉王 硬中支 1*10支</v>
          </cell>
          <cell r="D480">
            <v>3060</v>
          </cell>
          <cell r="E480">
            <v>71219.399999999994</v>
          </cell>
          <cell r="F480">
            <v>26.299974509803899</v>
          </cell>
        </row>
        <row r="481">
          <cell r="B481" t="str">
            <v>70714294</v>
          </cell>
          <cell r="C481" t="str">
            <v>长城 导师6号 25支/盒</v>
          </cell>
          <cell r="D481">
            <v>1</v>
          </cell>
          <cell r="E481">
            <v>929.2</v>
          </cell>
          <cell r="F481">
            <v>1049.9960000000001</v>
          </cell>
        </row>
        <row r="482">
          <cell r="B482" t="str">
            <v>70000038</v>
          </cell>
          <cell r="C482" t="str">
            <v>加多宝 红罐凉茶 310ml</v>
          </cell>
          <cell r="D482">
            <v>21934</v>
          </cell>
          <cell r="E482">
            <v>46337.97</v>
          </cell>
          <cell r="F482">
            <v>2.3872483860672902</v>
          </cell>
        </row>
        <row r="483">
          <cell r="B483" t="str">
            <v>70000131</v>
          </cell>
          <cell r="C483" t="str">
            <v>娃哈哈 冰红茶 500ML（15瓶/件）</v>
          </cell>
          <cell r="D483">
            <v>60169</v>
          </cell>
          <cell r="E483">
            <v>125749.98</v>
          </cell>
          <cell r="F483">
            <v>2.3616393391945998</v>
          </cell>
        </row>
        <row r="484">
          <cell r="B484" t="str">
            <v>70000438</v>
          </cell>
          <cell r="C484" t="str">
            <v>可口可乐 芬达 橙味汽水 2L</v>
          </cell>
          <cell r="D484">
            <v>76</v>
          </cell>
          <cell r="E484">
            <v>457.21</v>
          </cell>
          <cell r="F484">
            <v>6.7979907894736797</v>
          </cell>
        </row>
        <row r="485">
          <cell r="B485" t="str">
            <v>70000487</v>
          </cell>
          <cell r="C485" t="str">
            <v>可口可乐 芬达橙味汽水饮料 500ml</v>
          </cell>
          <cell r="D485">
            <v>71</v>
          </cell>
          <cell r="E485">
            <v>150.15</v>
          </cell>
          <cell r="F485">
            <v>2.3897112676056298</v>
          </cell>
        </row>
        <row r="486">
          <cell r="B486" t="str">
            <v>70000702</v>
          </cell>
          <cell r="C486" t="str">
            <v>尖叫 (活性肽)功能饮料 550ML</v>
          </cell>
          <cell r="D486">
            <v>42939</v>
          </cell>
          <cell r="E486">
            <v>128930.83</v>
          </cell>
          <cell r="F486">
            <v>3.3929955960781601</v>
          </cell>
        </row>
        <row r="487">
          <cell r="B487" t="str">
            <v>70000703</v>
          </cell>
          <cell r="C487" t="str">
            <v>尖叫 (纤维)功能饮料 550ML</v>
          </cell>
          <cell r="D487">
            <v>44496</v>
          </cell>
          <cell r="E487">
            <v>133726.38</v>
          </cell>
          <cell r="F487">
            <v>3.3960537891046401</v>
          </cell>
        </row>
        <row r="488">
          <cell r="B488" t="str">
            <v>70000709</v>
          </cell>
          <cell r="C488" t="str">
            <v>农夫果园 百分之30 胡萝卜橙汁 500ML</v>
          </cell>
          <cell r="D488">
            <v>4650</v>
          </cell>
          <cell r="E488">
            <v>15885.27</v>
          </cell>
          <cell r="F488">
            <v>3.8602914193548399</v>
          </cell>
        </row>
        <row r="489">
          <cell r="B489" t="str">
            <v>70000710</v>
          </cell>
          <cell r="C489" t="str">
            <v>农夫果园 百分之30 菠萝芒果汁 500ML</v>
          </cell>
          <cell r="D489">
            <v>45</v>
          </cell>
          <cell r="E489">
            <v>152.99</v>
          </cell>
          <cell r="F489">
            <v>3.84174888888889</v>
          </cell>
        </row>
        <row r="490">
          <cell r="B490" t="str">
            <v>70000867</v>
          </cell>
          <cell r="C490" t="str">
            <v>统一 绿茶 500ML</v>
          </cell>
          <cell r="D490">
            <v>281847</v>
          </cell>
          <cell r="E490">
            <v>497452.76</v>
          </cell>
          <cell r="F490">
            <v>1.9944211533207701</v>
          </cell>
        </row>
        <row r="491">
          <cell r="B491" t="str">
            <v>70000868</v>
          </cell>
          <cell r="C491" t="str">
            <v>统一 冰红茶 500ML</v>
          </cell>
          <cell r="D491">
            <v>186375</v>
          </cell>
          <cell r="E491">
            <v>329348.07</v>
          </cell>
          <cell r="F491">
            <v>1.99685214808853</v>
          </cell>
        </row>
        <row r="492">
          <cell r="B492" t="str">
            <v>70000952</v>
          </cell>
          <cell r="C492" t="str">
            <v>康师傅 低糖绿茶 1L/瓶</v>
          </cell>
          <cell r="D492">
            <v>12043</v>
          </cell>
          <cell r="E492">
            <v>36713.089999999997</v>
          </cell>
          <cell r="F492">
            <v>3.4448054222369802</v>
          </cell>
        </row>
        <row r="493">
          <cell r="B493" t="str">
            <v>70001062</v>
          </cell>
          <cell r="C493" t="str">
            <v>娃哈哈 茉莉味呦呦奶味茶饮料（15瓶一箱） 500ML</v>
          </cell>
          <cell r="D493">
            <v>192</v>
          </cell>
          <cell r="E493">
            <v>582.22</v>
          </cell>
          <cell r="F493">
            <v>3.4266072916666701</v>
          </cell>
        </row>
        <row r="494">
          <cell r="B494" t="str">
            <v>70001498</v>
          </cell>
          <cell r="C494" t="str">
            <v>脉动 雪柚橘子口味 600ml</v>
          </cell>
          <cell r="D494">
            <v>16075</v>
          </cell>
          <cell r="E494">
            <v>53030.98</v>
          </cell>
          <cell r="F494">
            <v>3.7278387185069999</v>
          </cell>
        </row>
        <row r="495">
          <cell r="B495" t="str">
            <v>70001549</v>
          </cell>
          <cell r="C495" t="str">
            <v>农夫山泉 水溶C100柠檬汁 445ML</v>
          </cell>
          <cell r="D495">
            <v>28896</v>
          </cell>
          <cell r="E495">
            <v>91463.44</v>
          </cell>
          <cell r="F495">
            <v>3.5767472037652301</v>
          </cell>
        </row>
        <row r="496">
          <cell r="B496" t="str">
            <v>70001573</v>
          </cell>
          <cell r="C496" t="str">
            <v>可口可乐 汽水 500ML</v>
          </cell>
          <cell r="D496">
            <v>38944</v>
          </cell>
          <cell r="E496">
            <v>86825.77</v>
          </cell>
          <cell r="F496">
            <v>2.5193385399548101</v>
          </cell>
        </row>
        <row r="497">
          <cell r="B497" t="str">
            <v>70001657</v>
          </cell>
          <cell r="C497" t="str">
            <v>三得利 乌龙茶(无糖) 500ML</v>
          </cell>
          <cell r="D497">
            <v>30227</v>
          </cell>
          <cell r="E497">
            <v>84135.29</v>
          </cell>
          <cell r="F497">
            <v>3.1452965130512398</v>
          </cell>
        </row>
        <row r="498">
          <cell r="B498" t="str">
            <v>70001658</v>
          </cell>
          <cell r="C498" t="str">
            <v>三得利 乌龙茶(低糖) 500ML</v>
          </cell>
          <cell r="D498">
            <v>30833</v>
          </cell>
          <cell r="E498">
            <v>84315.17</v>
          </cell>
          <cell r="F498">
            <v>3.0900704472480802</v>
          </cell>
        </row>
        <row r="499">
          <cell r="B499" t="str">
            <v>70001677</v>
          </cell>
          <cell r="C499" t="str">
            <v>佳得乐 蓝莓味运动型饮料 600ML</v>
          </cell>
          <cell r="D499">
            <v>2694</v>
          </cell>
          <cell r="E499">
            <v>8407.89</v>
          </cell>
          <cell r="F499">
            <v>3.5266947661469898</v>
          </cell>
        </row>
        <row r="500">
          <cell r="B500" t="str">
            <v>70001762</v>
          </cell>
          <cell r="C500" t="str">
            <v>康师傅 冰红茶 PET 500ml</v>
          </cell>
          <cell r="D500">
            <v>20048</v>
          </cell>
          <cell r="E500">
            <v>37791.15</v>
          </cell>
          <cell r="F500">
            <v>2.1300877643655198</v>
          </cell>
        </row>
        <row r="501">
          <cell r="B501" t="str">
            <v>70001764</v>
          </cell>
          <cell r="C501" t="str">
            <v>康师傅 蜂蜜绿茶 PET 500ml</v>
          </cell>
          <cell r="D501">
            <v>18112</v>
          </cell>
          <cell r="E501">
            <v>34146.71</v>
          </cell>
          <cell r="F501">
            <v>2.1303987577296799</v>
          </cell>
        </row>
        <row r="502">
          <cell r="B502" t="str">
            <v>70001765</v>
          </cell>
          <cell r="C502" t="str">
            <v>康师傅 茉莉清茶 500ML</v>
          </cell>
          <cell r="D502">
            <v>44398</v>
          </cell>
          <cell r="E502">
            <v>83643.55</v>
          </cell>
          <cell r="F502">
            <v>2.1288619194558298</v>
          </cell>
        </row>
        <row r="503">
          <cell r="B503" t="str">
            <v>70001766</v>
          </cell>
          <cell r="C503" t="str">
            <v>康师傅 茉莉蜜茶 PET 500ml</v>
          </cell>
          <cell r="D503">
            <v>41823</v>
          </cell>
          <cell r="E503">
            <v>78761.81</v>
          </cell>
          <cell r="F503">
            <v>2.1280358965162698</v>
          </cell>
        </row>
        <row r="504">
          <cell r="B504" t="str">
            <v>70001767</v>
          </cell>
          <cell r="C504" t="str">
            <v>康师傅 鲜橙汁 500ml</v>
          </cell>
          <cell r="D504">
            <v>16198</v>
          </cell>
          <cell r="E504">
            <v>31388.03</v>
          </cell>
          <cell r="F504">
            <v>2.18968230028399</v>
          </cell>
        </row>
        <row r="505">
          <cell r="B505" t="str">
            <v>70001769</v>
          </cell>
          <cell r="C505" t="str">
            <v>康师傅 水蜜桃 500ml</v>
          </cell>
          <cell r="D505">
            <v>21316</v>
          </cell>
          <cell r="E505">
            <v>41297.85</v>
          </cell>
          <cell r="F505">
            <v>2.1892742775379999</v>
          </cell>
        </row>
        <row r="506">
          <cell r="B506" t="str">
            <v>70001785</v>
          </cell>
          <cell r="C506" t="str">
            <v>汇源 果汁100％系列桃味 1L</v>
          </cell>
          <cell r="D506">
            <v>0</v>
          </cell>
          <cell r="E506">
            <v>0</v>
          </cell>
          <cell r="F506" t="e">
            <v>#DIV/0!</v>
          </cell>
        </row>
        <row r="507">
          <cell r="B507" t="str">
            <v>70001786</v>
          </cell>
          <cell r="C507" t="str">
            <v>汇源 果汁100％系列苹果味 1L</v>
          </cell>
          <cell r="D507">
            <v>0</v>
          </cell>
          <cell r="E507">
            <v>0</v>
          </cell>
          <cell r="F507" t="e">
            <v>#DIV/0!</v>
          </cell>
        </row>
        <row r="508">
          <cell r="B508" t="str">
            <v>70001787</v>
          </cell>
          <cell r="C508" t="str">
            <v>汇源 果汁100％系列葡萄味 1L</v>
          </cell>
          <cell r="D508">
            <v>1</v>
          </cell>
          <cell r="E508">
            <v>9.93</v>
          </cell>
          <cell r="F508">
            <v>11.2209</v>
          </cell>
        </row>
        <row r="509">
          <cell r="B509" t="str">
            <v>70002961</v>
          </cell>
          <cell r="C509" t="str">
            <v>百事可乐汽水 500ML</v>
          </cell>
          <cell r="D509">
            <v>119698</v>
          </cell>
          <cell r="E509">
            <v>262305.08</v>
          </cell>
          <cell r="F509">
            <v>2.4762714531571102</v>
          </cell>
        </row>
        <row r="510">
          <cell r="B510" t="str">
            <v>70002970</v>
          </cell>
          <cell r="C510" t="str">
            <v>Pepsi 美年达橙 Pet500ml</v>
          </cell>
          <cell r="D510">
            <v>188</v>
          </cell>
          <cell r="E510">
            <v>415.5</v>
          </cell>
          <cell r="F510">
            <v>2.4974202127659599</v>
          </cell>
        </row>
        <row r="511">
          <cell r="B511" t="str">
            <v>70003001</v>
          </cell>
          <cell r="C511" t="str">
            <v>可口可乐 雪碧 清爽柠檬味汽水 2L</v>
          </cell>
          <cell r="D511">
            <v>46</v>
          </cell>
          <cell r="E511">
            <v>276.89</v>
          </cell>
          <cell r="F511">
            <v>6.8018630434782601</v>
          </cell>
        </row>
        <row r="512">
          <cell r="B512" t="str">
            <v>70003024</v>
          </cell>
          <cell r="C512" t="str">
            <v>康师傅 冰红茶 1L</v>
          </cell>
          <cell r="D512">
            <v>19754</v>
          </cell>
          <cell r="E512">
            <v>60220.55</v>
          </cell>
          <cell r="F512">
            <v>3.44483251493368</v>
          </cell>
        </row>
        <row r="513">
          <cell r="B513" t="str">
            <v>70003055</v>
          </cell>
          <cell r="C513" t="str">
            <v>统一 青梅绿茶 500ml</v>
          </cell>
          <cell r="D513">
            <v>26803</v>
          </cell>
          <cell r="E513">
            <v>45075.7</v>
          </cell>
          <cell r="F513">
            <v>1.9003671603924901</v>
          </cell>
        </row>
        <row r="514">
          <cell r="B514" t="str">
            <v>70003064</v>
          </cell>
          <cell r="C514" t="str">
            <v>达利园 青梅绿茶 500ML</v>
          </cell>
          <cell r="D514">
            <v>0</v>
          </cell>
          <cell r="E514">
            <v>0</v>
          </cell>
          <cell r="F514" t="e">
            <v>#DIV/0!</v>
          </cell>
        </row>
        <row r="515">
          <cell r="B515" t="str">
            <v>70003149</v>
          </cell>
          <cell r="C515" t="str">
            <v>雀巢 燃魂1倍咖啡因浓咖啡 180ml</v>
          </cell>
          <cell r="D515">
            <v>485</v>
          </cell>
          <cell r="E515">
            <v>1313.19</v>
          </cell>
          <cell r="F515">
            <v>3.0595973195876298</v>
          </cell>
        </row>
        <row r="516">
          <cell r="B516" t="str">
            <v>70003189</v>
          </cell>
          <cell r="C516" t="str">
            <v>康师傅 酸梅汤 500ML</v>
          </cell>
          <cell r="D516">
            <v>18466</v>
          </cell>
          <cell r="E516">
            <v>35794.03</v>
          </cell>
          <cell r="F516">
            <v>2.19036358171775</v>
          </cell>
        </row>
        <row r="517">
          <cell r="B517" t="str">
            <v>70003208</v>
          </cell>
          <cell r="C517" t="str">
            <v>统一 蜜桃多（15瓶1箱） 450ML</v>
          </cell>
          <cell r="D517">
            <v>3688</v>
          </cell>
          <cell r="E517">
            <v>7518.01</v>
          </cell>
          <cell r="F517">
            <v>2.3035117407809098</v>
          </cell>
        </row>
        <row r="518">
          <cell r="B518" t="str">
            <v>70003256</v>
          </cell>
          <cell r="C518" t="str">
            <v>娃哈哈 激活柑橘味 600g</v>
          </cell>
          <cell r="D518">
            <v>6456</v>
          </cell>
          <cell r="E518">
            <v>22962.47</v>
          </cell>
          <cell r="F518">
            <v>4.0191436028500602</v>
          </cell>
        </row>
        <row r="519">
          <cell r="B519" t="str">
            <v>70003342</v>
          </cell>
          <cell r="C519" t="str">
            <v>统一 鲜橙多 450ML</v>
          </cell>
          <cell r="D519">
            <v>27657</v>
          </cell>
          <cell r="E519">
            <v>57081.63</v>
          </cell>
          <cell r="F519">
            <v>2.3322212062045802</v>
          </cell>
        </row>
        <row r="520">
          <cell r="B520" t="str">
            <v>70003354</v>
          </cell>
          <cell r="C520" t="str">
            <v>果缤纷 热带美味 450ml</v>
          </cell>
          <cell r="D520">
            <v>33</v>
          </cell>
          <cell r="E520">
            <v>70.2</v>
          </cell>
          <cell r="F520">
            <v>2.4038181818181799</v>
          </cell>
        </row>
        <row r="521">
          <cell r="B521" t="str">
            <v>70003387</v>
          </cell>
          <cell r="C521" t="str">
            <v>脉动 维生素饮料青柠口味 600ML</v>
          </cell>
          <cell r="D521">
            <v>31854</v>
          </cell>
          <cell r="E521">
            <v>104305</v>
          </cell>
          <cell r="F521">
            <v>3.7001522571733498</v>
          </cell>
        </row>
        <row r="522">
          <cell r="B522" t="str">
            <v>70003391</v>
          </cell>
          <cell r="C522" t="str">
            <v>脉动 维生素饮料桃子口味 600ML</v>
          </cell>
          <cell r="D522">
            <v>27045</v>
          </cell>
          <cell r="E522">
            <v>88859.92</v>
          </cell>
          <cell r="F522">
            <v>3.7127642669624699</v>
          </cell>
        </row>
        <row r="523">
          <cell r="B523" t="str">
            <v>70014647</v>
          </cell>
          <cell r="C523" t="str">
            <v>柳林 桶装水 18.9L</v>
          </cell>
          <cell r="D523">
            <v>510</v>
          </cell>
          <cell r="E523">
            <v>3816.34</v>
          </cell>
          <cell r="F523">
            <v>8.4558121568627396</v>
          </cell>
        </row>
        <row r="524">
          <cell r="B524" t="str">
            <v>70020485</v>
          </cell>
          <cell r="C524" t="str">
            <v>可口可乐 礼盒装 1*6*330ML</v>
          </cell>
          <cell r="D524">
            <v>832</v>
          </cell>
          <cell r="E524">
            <v>8420.0499999999993</v>
          </cell>
          <cell r="F524">
            <v>11.4358852163462</v>
          </cell>
        </row>
        <row r="525">
          <cell r="B525" t="str">
            <v>70020486</v>
          </cell>
          <cell r="C525" t="str">
            <v>可口可乐 雪碧礼盒装 1*6*330ML</v>
          </cell>
          <cell r="D525">
            <v>1309</v>
          </cell>
          <cell r="E525">
            <v>13237.32</v>
          </cell>
          <cell r="F525">
            <v>11.4271746371276</v>
          </cell>
        </row>
        <row r="526">
          <cell r="B526" t="str">
            <v>70020978</v>
          </cell>
          <cell r="C526" t="str">
            <v>和其正 凉茶 310ml</v>
          </cell>
          <cell r="D526">
            <v>55</v>
          </cell>
          <cell r="E526">
            <v>139.22</v>
          </cell>
          <cell r="F526">
            <v>2.8603381818181801</v>
          </cell>
        </row>
        <row r="527">
          <cell r="B527" t="str">
            <v>70021166</v>
          </cell>
          <cell r="C527" t="str">
            <v>呦呦 蜂蜜柚子茶 500ml(15瓶/件）</v>
          </cell>
          <cell r="D527">
            <v>1</v>
          </cell>
          <cell r="E527">
            <v>2.13</v>
          </cell>
          <cell r="F527">
            <v>2.4068999999999998</v>
          </cell>
        </row>
        <row r="528">
          <cell r="B528" t="str">
            <v>70022123</v>
          </cell>
          <cell r="C528" t="str">
            <v>旺旺 果粒多香橙 300ml</v>
          </cell>
          <cell r="D528">
            <v>0</v>
          </cell>
          <cell r="E528">
            <v>0</v>
          </cell>
          <cell r="F528" t="e">
            <v>#DIV/0!</v>
          </cell>
        </row>
        <row r="529">
          <cell r="B529" t="str">
            <v>70022124</v>
          </cell>
          <cell r="C529" t="str">
            <v>旺旺 果粒多水蜜桃 300ml</v>
          </cell>
          <cell r="D529">
            <v>0</v>
          </cell>
          <cell r="E529">
            <v>0</v>
          </cell>
          <cell r="F529" t="e">
            <v>#DIV/0!</v>
          </cell>
        </row>
        <row r="530">
          <cell r="B530" t="str">
            <v>70023516</v>
          </cell>
          <cell r="C530" t="str">
            <v>百事可乐 汽水 330ML</v>
          </cell>
          <cell r="D530">
            <v>14863</v>
          </cell>
          <cell r="E530">
            <v>22674.36</v>
          </cell>
          <cell r="F530">
            <v>1.7238798896588801</v>
          </cell>
        </row>
        <row r="531">
          <cell r="B531" t="str">
            <v>70023959</v>
          </cell>
          <cell r="C531" t="str">
            <v>椰树牌 椰汁植物蛋白饮料 245ml</v>
          </cell>
          <cell r="D531">
            <v>7868</v>
          </cell>
          <cell r="E531">
            <v>30652.5</v>
          </cell>
          <cell r="F531">
            <v>4.4023036349771196</v>
          </cell>
        </row>
        <row r="532">
          <cell r="B532" t="str">
            <v>70024137</v>
          </cell>
          <cell r="C532" t="str">
            <v>康师傅 冰红茶 2L</v>
          </cell>
          <cell r="D532">
            <v>762</v>
          </cell>
          <cell r="E532">
            <v>4020.65</v>
          </cell>
          <cell r="F532">
            <v>5.9623812335958002</v>
          </cell>
        </row>
        <row r="533">
          <cell r="B533" t="str">
            <v>70024638</v>
          </cell>
          <cell r="C533" t="str">
            <v>健力宝 运动饮料橙蜜味罐装 330ml</v>
          </cell>
          <cell r="D533">
            <v>944</v>
          </cell>
          <cell r="E533">
            <v>1900.56</v>
          </cell>
          <cell r="F533">
            <v>2.27503474576271</v>
          </cell>
        </row>
        <row r="534">
          <cell r="B534" t="str">
            <v>70024815</v>
          </cell>
          <cell r="C534" t="str">
            <v>雀巢 特浓咖啡 180ml</v>
          </cell>
          <cell r="D534">
            <v>21</v>
          </cell>
          <cell r="E534">
            <v>30.09</v>
          </cell>
          <cell r="F534">
            <v>1.6191285714285699</v>
          </cell>
        </row>
        <row r="535">
          <cell r="B535" t="str">
            <v>70025042</v>
          </cell>
          <cell r="C535" t="str">
            <v>可口可乐 雪碧 清爽柠檬味汽水 500ML</v>
          </cell>
          <cell r="D535">
            <v>42631</v>
          </cell>
          <cell r="E535">
            <v>94129.14</v>
          </cell>
          <cell r="F535">
            <v>2.4950371372944602</v>
          </cell>
        </row>
        <row r="536">
          <cell r="B536" t="str">
            <v>70025045</v>
          </cell>
          <cell r="C536" t="str">
            <v>可口可乐 芬达 橙味汽水 500ml</v>
          </cell>
          <cell r="D536">
            <v>18066</v>
          </cell>
          <cell r="E536">
            <v>37282.49</v>
          </cell>
          <cell r="F536">
            <v>2.3319613472821898</v>
          </cell>
        </row>
        <row r="537">
          <cell r="B537" t="str">
            <v>70026506</v>
          </cell>
          <cell r="C537" t="str">
            <v>娃哈哈 呦呦奶茶蜂蜜奶茶饮料香芋味 500ML</v>
          </cell>
          <cell r="D537">
            <v>126</v>
          </cell>
          <cell r="E537">
            <v>385.7</v>
          </cell>
          <cell r="F537">
            <v>3.4590555555555502</v>
          </cell>
        </row>
        <row r="538">
          <cell r="B538" t="str">
            <v>70031816</v>
          </cell>
          <cell r="C538" t="str">
            <v>可口可乐 可乐 2L</v>
          </cell>
          <cell r="D538">
            <v>0</v>
          </cell>
          <cell r="E538">
            <v>0</v>
          </cell>
          <cell r="F538" t="e">
            <v>#DIV/0!</v>
          </cell>
        </row>
        <row r="539">
          <cell r="B539" t="str">
            <v>70034028</v>
          </cell>
          <cell r="C539" t="str">
            <v>农夫山泉 水溶C100西柚汁 445ML</v>
          </cell>
          <cell r="D539">
            <v>34459</v>
          </cell>
          <cell r="E539">
            <v>108959.08</v>
          </cell>
          <cell r="F539">
            <v>3.5730508836588402</v>
          </cell>
        </row>
        <row r="540">
          <cell r="B540" t="str">
            <v>70034695</v>
          </cell>
          <cell r="C540" t="str">
            <v>惠尔康 软红萍果 250G</v>
          </cell>
          <cell r="D540">
            <v>11373</v>
          </cell>
          <cell r="E540">
            <v>16114.81</v>
          </cell>
          <cell r="F540">
            <v>1.6011373692077699</v>
          </cell>
        </row>
        <row r="541">
          <cell r="B541" t="str">
            <v>70039153</v>
          </cell>
          <cell r="C541" t="str">
            <v>名仁 苏打水 375ML</v>
          </cell>
          <cell r="D541">
            <v>4852</v>
          </cell>
          <cell r="E541">
            <v>9279.83</v>
          </cell>
          <cell r="F541">
            <v>2.1612134995878001</v>
          </cell>
        </row>
        <row r="542">
          <cell r="B542" t="str">
            <v>70042000</v>
          </cell>
          <cell r="C542" t="str">
            <v>达利园 和其正凉茶 550ML</v>
          </cell>
          <cell r="D542">
            <v>21</v>
          </cell>
          <cell r="E542">
            <v>54.19</v>
          </cell>
          <cell r="F542">
            <v>2.91593809523809</v>
          </cell>
        </row>
        <row r="543">
          <cell r="B543" t="str">
            <v>70042192</v>
          </cell>
          <cell r="C543" t="str">
            <v>雀巢 瓶装丝滑拿铁咖啡 268ML</v>
          </cell>
          <cell r="D543">
            <v>309184</v>
          </cell>
          <cell r="E543">
            <v>1137720.1200000001</v>
          </cell>
          <cell r="F543">
            <v>4.1581185818153603</v>
          </cell>
        </row>
        <row r="544">
          <cell r="B544" t="str">
            <v>70043518</v>
          </cell>
          <cell r="C544" t="str">
            <v>王老吉 凉茶 310ML（罐装）</v>
          </cell>
          <cell r="D544">
            <v>1111</v>
          </cell>
          <cell r="E544">
            <v>2316.58</v>
          </cell>
          <cell r="F544">
            <v>2.3561974797479701</v>
          </cell>
        </row>
        <row r="545">
          <cell r="B545" t="str">
            <v>70043676</v>
          </cell>
          <cell r="C545" t="str">
            <v>健力宝 橙蜜味运动饮料（含气型）500ml＋60ml</v>
          </cell>
          <cell r="D545">
            <v>34832</v>
          </cell>
          <cell r="E545">
            <v>85962.53</v>
          </cell>
          <cell r="F545">
            <v>2.7887476716812101</v>
          </cell>
        </row>
        <row r="546">
          <cell r="B546" t="str">
            <v>70047868</v>
          </cell>
          <cell r="C546" t="str">
            <v>康师傅 鲜橙汁 2L</v>
          </cell>
          <cell r="D546">
            <v>14</v>
          </cell>
          <cell r="E546">
            <v>73.83</v>
          </cell>
          <cell r="F546">
            <v>5.9591357142857104</v>
          </cell>
        </row>
        <row r="547">
          <cell r="B547" t="str">
            <v>70053934</v>
          </cell>
          <cell r="C547" t="str">
            <v>可口可乐 零度汽水无糖 500ml/瓶</v>
          </cell>
          <cell r="D547">
            <v>21199</v>
          </cell>
          <cell r="E547">
            <v>44205.52</v>
          </cell>
          <cell r="F547">
            <v>2.3563487711684501</v>
          </cell>
        </row>
        <row r="548">
          <cell r="B548" t="str">
            <v>70054447</v>
          </cell>
          <cell r="C548" t="str">
            <v>统一 阿萨姆奶茶（15瓶1箱） 500ML</v>
          </cell>
          <cell r="D548">
            <v>49155</v>
          </cell>
          <cell r="E548">
            <v>127081.2</v>
          </cell>
          <cell r="F548">
            <v>2.9214068965517201</v>
          </cell>
        </row>
        <row r="549">
          <cell r="B549" t="str">
            <v>70056252</v>
          </cell>
          <cell r="C549" t="str">
            <v>统一 冰红茶 1L</v>
          </cell>
          <cell r="D549">
            <v>63620</v>
          </cell>
          <cell r="E549">
            <v>165406.06</v>
          </cell>
          <cell r="F549">
            <v>2.9378944954416801</v>
          </cell>
        </row>
        <row r="550">
          <cell r="B550" t="str">
            <v>70058081</v>
          </cell>
          <cell r="C550" t="str">
            <v>可口可乐 芬达听装 330ML</v>
          </cell>
          <cell r="D550">
            <v>7916</v>
          </cell>
          <cell r="E550">
            <v>16531.560000000001</v>
          </cell>
          <cell r="F550">
            <v>2.3598613946437599</v>
          </cell>
        </row>
        <row r="551">
          <cell r="B551" t="str">
            <v>70067985</v>
          </cell>
          <cell r="C551" t="str">
            <v>康师傅 绿茶 2L</v>
          </cell>
          <cell r="D551">
            <v>3</v>
          </cell>
          <cell r="E551">
            <v>15.96</v>
          </cell>
          <cell r="F551">
            <v>6.0115999999999996</v>
          </cell>
        </row>
        <row r="552">
          <cell r="B552" t="str">
            <v>70068227</v>
          </cell>
          <cell r="C552" t="str">
            <v>可口可乐 雪碧 2L</v>
          </cell>
          <cell r="D552">
            <v>0</v>
          </cell>
          <cell r="E552">
            <v>0</v>
          </cell>
          <cell r="F552" t="e">
            <v>#DIV/0!</v>
          </cell>
        </row>
        <row r="553">
          <cell r="B553" t="str">
            <v>70069061</v>
          </cell>
          <cell r="C553" t="str">
            <v>康师傅 茉莉蜜茶 1L</v>
          </cell>
          <cell r="D553">
            <v>34123</v>
          </cell>
          <cell r="E553">
            <v>103895.16</v>
          </cell>
          <cell r="F553">
            <v>3.4405395422442302</v>
          </cell>
        </row>
        <row r="554">
          <cell r="B554" t="str">
            <v>70072760</v>
          </cell>
          <cell r="C554" t="str">
            <v>神内 蟠桃汁饮料 238ML</v>
          </cell>
          <cell r="D554">
            <v>1266</v>
          </cell>
          <cell r="E554">
            <v>3956.43</v>
          </cell>
          <cell r="F554">
            <v>3.5314106635071099</v>
          </cell>
        </row>
        <row r="555">
          <cell r="B555" t="str">
            <v>70072761</v>
          </cell>
          <cell r="C555" t="str">
            <v>神内 胡罗卜汁饮料 238ML</v>
          </cell>
          <cell r="D555">
            <v>19590</v>
          </cell>
          <cell r="E555">
            <v>61592.37</v>
          </cell>
          <cell r="F555">
            <v>3.5528013323123999</v>
          </cell>
        </row>
        <row r="556">
          <cell r="B556" t="str">
            <v>70082152</v>
          </cell>
          <cell r="C556" t="str">
            <v>康师傅 水蜜桃2L</v>
          </cell>
          <cell r="D556">
            <v>15</v>
          </cell>
          <cell r="E556">
            <v>79.150000000000006</v>
          </cell>
          <cell r="F556">
            <v>5.9626333333333301</v>
          </cell>
        </row>
        <row r="557">
          <cell r="B557" t="str">
            <v>70085027</v>
          </cell>
          <cell r="C557" t="str">
            <v>康师傅 茉莉清茶 1L</v>
          </cell>
          <cell r="D557">
            <v>31068</v>
          </cell>
          <cell r="E557">
            <v>94748.65</v>
          </cell>
          <cell r="F557">
            <v>3.4461817464915701</v>
          </cell>
        </row>
        <row r="558">
          <cell r="B558" t="str">
            <v>70089714</v>
          </cell>
          <cell r="C558" t="str">
            <v>和其正  600ML</v>
          </cell>
          <cell r="D558">
            <v>4186</v>
          </cell>
          <cell r="E558">
            <v>10721.35</v>
          </cell>
          <cell r="F558">
            <v>2.89420102723364</v>
          </cell>
        </row>
        <row r="559">
          <cell r="B559" t="str">
            <v>70090631</v>
          </cell>
          <cell r="C559" t="str">
            <v>康师傅 茉莉蜜茶 2L</v>
          </cell>
          <cell r="D559">
            <v>2</v>
          </cell>
          <cell r="E559">
            <v>10.64</v>
          </cell>
          <cell r="F559">
            <v>6.0115999999999996</v>
          </cell>
        </row>
        <row r="560">
          <cell r="B560" t="str">
            <v>70100337</v>
          </cell>
          <cell r="C560" t="str">
            <v>百事 美年达(橙) 2L</v>
          </cell>
          <cell r="D560">
            <v>8</v>
          </cell>
          <cell r="E560">
            <v>40.08</v>
          </cell>
          <cell r="F560">
            <v>5.6612999999999998</v>
          </cell>
        </row>
        <row r="561">
          <cell r="B561" t="str">
            <v>70112382</v>
          </cell>
          <cell r="C561" t="str">
            <v>统一 绿茶茉莉花味 1L</v>
          </cell>
          <cell r="D561">
            <v>83052</v>
          </cell>
          <cell r="E561">
            <v>215783.65</v>
          </cell>
          <cell r="F561">
            <v>2.9359380207580799</v>
          </cell>
        </row>
        <row r="562">
          <cell r="B562" t="str">
            <v>70113413</v>
          </cell>
          <cell r="C562" t="str">
            <v>美汁源 果粒橙 450ML</v>
          </cell>
          <cell r="D562">
            <v>21891</v>
          </cell>
          <cell r="E562">
            <v>67152.78</v>
          </cell>
          <cell r="F562">
            <v>3.4663853364396302</v>
          </cell>
        </row>
        <row r="563">
          <cell r="B563" t="str">
            <v>70114431</v>
          </cell>
          <cell r="C563" t="str">
            <v>可口可乐 听装可口可乐 330ML</v>
          </cell>
          <cell r="D563">
            <v>11068</v>
          </cell>
          <cell r="E563">
            <v>23100.58</v>
          </cell>
          <cell r="F563">
            <v>2.3584798879653102</v>
          </cell>
        </row>
        <row r="564">
          <cell r="B564" t="str">
            <v>70115035</v>
          </cell>
          <cell r="C564" t="str">
            <v>神内 胡橙汁 596ML</v>
          </cell>
          <cell r="D564">
            <v>52</v>
          </cell>
          <cell r="E564">
            <v>213.43</v>
          </cell>
          <cell r="F564">
            <v>4.63799807692308</v>
          </cell>
        </row>
        <row r="565">
          <cell r="B565" t="str">
            <v>70117842</v>
          </cell>
          <cell r="C565" t="str">
            <v>蓝搏尔 苏打汽水 650ML</v>
          </cell>
          <cell r="D565">
            <v>4053</v>
          </cell>
          <cell r="E565">
            <v>13259.87</v>
          </cell>
          <cell r="F565">
            <v>3.6969289661978801</v>
          </cell>
        </row>
        <row r="566">
          <cell r="B566" t="str">
            <v>70117843</v>
          </cell>
          <cell r="C566" t="str">
            <v>蓝博尔 小瓶苏打水 380ML</v>
          </cell>
          <cell r="D566">
            <v>5318</v>
          </cell>
          <cell r="E566">
            <v>10393.299999999999</v>
          </cell>
          <cell r="F566">
            <v>2.2084296728093298</v>
          </cell>
        </row>
        <row r="567">
          <cell r="B567" t="str">
            <v>70118713</v>
          </cell>
          <cell r="C567" t="str">
            <v>黑卡6小时营养强化维生素果味饮料245ml</v>
          </cell>
          <cell r="D567">
            <v>28298</v>
          </cell>
          <cell r="E567">
            <v>117197.28</v>
          </cell>
          <cell r="F567">
            <v>4.6799394444837104</v>
          </cell>
        </row>
        <row r="568">
          <cell r="B568" t="str">
            <v>70118757</v>
          </cell>
          <cell r="C568" t="str">
            <v>宜简 无汽苏打水 360ML</v>
          </cell>
          <cell r="D568">
            <v>630</v>
          </cell>
          <cell r="E568">
            <v>1143.19</v>
          </cell>
          <cell r="F568">
            <v>2.0504836507936499</v>
          </cell>
        </row>
        <row r="569">
          <cell r="B569" t="str">
            <v>70119293</v>
          </cell>
          <cell r="C569" t="str">
            <v>阿娜尔汗 石榴汁 500ML</v>
          </cell>
          <cell r="D569">
            <v>27043</v>
          </cell>
          <cell r="E569">
            <v>71697.850000000006</v>
          </cell>
          <cell r="F569">
            <v>2.9959165218355999</v>
          </cell>
        </row>
        <row r="570">
          <cell r="B570" t="str">
            <v>70119294</v>
          </cell>
          <cell r="C570" t="str">
            <v>阿娜尔汗 黑加仑 500ML</v>
          </cell>
          <cell r="D570">
            <v>27605</v>
          </cell>
          <cell r="E570">
            <v>73156.899999999994</v>
          </cell>
          <cell r="F570">
            <v>2.9946494113385298</v>
          </cell>
        </row>
        <row r="571">
          <cell r="B571" t="str">
            <v>70120488</v>
          </cell>
          <cell r="C571" t="str">
            <v>阿娜尔汗 阿娜果园石榴汁 260ml</v>
          </cell>
          <cell r="D571">
            <v>27619</v>
          </cell>
          <cell r="E571">
            <v>73713.39</v>
          </cell>
          <cell r="F571">
            <v>3.01589958724067</v>
          </cell>
        </row>
        <row r="572">
          <cell r="B572" t="str">
            <v>70120951</v>
          </cell>
          <cell r="C572" t="str">
            <v>巴旦姆 圣乳 330ML</v>
          </cell>
          <cell r="D572">
            <v>46</v>
          </cell>
          <cell r="E572">
            <v>305.44</v>
          </cell>
          <cell r="F572">
            <v>7.5031999999999996</v>
          </cell>
        </row>
        <row r="573">
          <cell r="B573" t="str">
            <v>70157877</v>
          </cell>
          <cell r="C573" t="str">
            <v>农夫山泉 维他命水蓝莓树莓风味 500ML</v>
          </cell>
          <cell r="D573">
            <v>5199</v>
          </cell>
          <cell r="E573">
            <v>15940.5</v>
          </cell>
          <cell r="F573">
            <v>3.4646595499134398</v>
          </cell>
        </row>
        <row r="574">
          <cell r="B574" t="str">
            <v>70157878</v>
          </cell>
          <cell r="C574" t="str">
            <v>农夫山泉 维他命水石榴蓝莓风味 500ML</v>
          </cell>
          <cell r="D574">
            <v>16309</v>
          </cell>
          <cell r="E574">
            <v>49698.39</v>
          </cell>
          <cell r="F574">
            <v>3.44344721932675</v>
          </cell>
        </row>
        <row r="575">
          <cell r="B575" t="str">
            <v>70157879</v>
          </cell>
          <cell r="C575" t="str">
            <v>农夫山泉 维他命水热带水果风味 500ML</v>
          </cell>
          <cell r="D575">
            <v>16</v>
          </cell>
          <cell r="E575">
            <v>49.15</v>
          </cell>
          <cell r="F575">
            <v>3.4712187499999998</v>
          </cell>
        </row>
        <row r="576">
          <cell r="B576" t="str">
            <v>70157880</v>
          </cell>
          <cell r="C576" t="str">
            <v>农夫山泉 维他命水柠檬风味 500ML</v>
          </cell>
          <cell r="D576">
            <v>26123</v>
          </cell>
          <cell r="E576">
            <v>79733.149999999994</v>
          </cell>
          <cell r="F576">
            <v>3.4490089002028901</v>
          </cell>
        </row>
        <row r="577">
          <cell r="B577" t="str">
            <v>70157882</v>
          </cell>
          <cell r="C577" t="str">
            <v>农夫山泉 维他命水柑橘风味 500ML</v>
          </cell>
          <cell r="D577">
            <v>21505</v>
          </cell>
          <cell r="E577">
            <v>65541.83</v>
          </cell>
          <cell r="F577">
            <v>3.4439557265752101</v>
          </cell>
        </row>
        <row r="578">
          <cell r="B578" t="str">
            <v>70158874</v>
          </cell>
          <cell r="C578" t="str">
            <v>统一 冰糖雪梨 500ML</v>
          </cell>
          <cell r="D578">
            <v>23466</v>
          </cell>
          <cell r="E578">
            <v>54859.22</v>
          </cell>
          <cell r="F578">
            <v>2.6417335123156902</v>
          </cell>
        </row>
        <row r="579">
          <cell r="B579" t="str">
            <v>70159772</v>
          </cell>
          <cell r="C579" t="str">
            <v>名仁六个柠檬 375ml</v>
          </cell>
          <cell r="D579">
            <v>22</v>
          </cell>
          <cell r="E579">
            <v>45.17</v>
          </cell>
          <cell r="F579">
            <v>2.32009545454545</v>
          </cell>
        </row>
        <row r="580">
          <cell r="B580" t="str">
            <v>70159985</v>
          </cell>
          <cell r="C580" t="str">
            <v>东鹏 维生素功能饮料 250ML</v>
          </cell>
          <cell r="D580">
            <v>57844</v>
          </cell>
          <cell r="E580">
            <v>101615.14</v>
          </cell>
          <cell r="F580">
            <v>1.98508243205864</v>
          </cell>
        </row>
        <row r="581">
          <cell r="B581" t="str">
            <v>70164375</v>
          </cell>
          <cell r="C581" t="str">
            <v>百事可乐 清柠可乐型碳酸饮料 500ML</v>
          </cell>
          <cell r="D581">
            <v>1829</v>
          </cell>
          <cell r="E581">
            <v>3224.36</v>
          </cell>
          <cell r="F581">
            <v>1.99208682340077</v>
          </cell>
        </row>
        <row r="582">
          <cell r="B582" t="str">
            <v>70164380</v>
          </cell>
          <cell r="C582" t="str">
            <v>百事可乐 美年达葡萄味碳酸饮料 500ML</v>
          </cell>
          <cell r="D582">
            <v>5084</v>
          </cell>
          <cell r="E582">
            <v>10034.99</v>
          </cell>
          <cell r="F582">
            <v>2.23043640833989</v>
          </cell>
        </row>
        <row r="583">
          <cell r="B583" t="str">
            <v>70166290</v>
          </cell>
          <cell r="C583" t="str">
            <v>美益天 巴旦姆圣母V18合家欢 110ML</v>
          </cell>
          <cell r="D583">
            <v>29</v>
          </cell>
          <cell r="E583">
            <v>533.89</v>
          </cell>
          <cell r="F583">
            <v>20.8033</v>
          </cell>
        </row>
        <row r="584">
          <cell r="B584" t="str">
            <v>70166516</v>
          </cell>
          <cell r="C584" t="str">
            <v>农夫山泉 东方树叶绿茶 500ML</v>
          </cell>
          <cell r="D584">
            <v>160113</v>
          </cell>
          <cell r="E584">
            <v>491533.24</v>
          </cell>
          <cell r="F584">
            <v>3.4690035237613399</v>
          </cell>
        </row>
        <row r="585">
          <cell r="B585" t="str">
            <v>70166517</v>
          </cell>
          <cell r="C585" t="str">
            <v>农夫山泉 东方树叶红茶 500ML</v>
          </cell>
          <cell r="D585">
            <v>44606</v>
          </cell>
          <cell r="E585">
            <v>144261.66</v>
          </cell>
          <cell r="F585">
            <v>3.6545683495493901</v>
          </cell>
        </row>
        <row r="586">
          <cell r="B586" t="str">
            <v>70166518</v>
          </cell>
          <cell r="C586" t="str">
            <v>农夫山泉 东方树叶乌龙茶 500ML</v>
          </cell>
          <cell r="D586">
            <v>85059</v>
          </cell>
          <cell r="E586">
            <v>258391.62</v>
          </cell>
          <cell r="F586">
            <v>3.43270589355624</v>
          </cell>
        </row>
        <row r="587">
          <cell r="B587" t="str">
            <v>70166519</v>
          </cell>
          <cell r="C587" t="str">
            <v>农夫山泉 东方树叶茉莉花茶 500ML</v>
          </cell>
          <cell r="D587">
            <v>445154</v>
          </cell>
          <cell r="E587">
            <v>1335288.3500000001</v>
          </cell>
          <cell r="F587">
            <v>3.38955919861441</v>
          </cell>
        </row>
        <row r="588">
          <cell r="B588" t="str">
            <v>70166576</v>
          </cell>
          <cell r="C588" t="str">
            <v>黑卡 6小时能量饮料什果味 450ML</v>
          </cell>
          <cell r="D588">
            <v>1243497</v>
          </cell>
          <cell r="E588">
            <v>4387550.76</v>
          </cell>
          <cell r="F588">
            <v>3.9870883152914698</v>
          </cell>
        </row>
        <row r="589">
          <cell r="B589" t="str">
            <v>70168166</v>
          </cell>
          <cell r="C589" t="str">
            <v>雀巢 咖啡丝滑拿铁三连装 268ML*3</v>
          </cell>
          <cell r="D589">
            <v>112</v>
          </cell>
          <cell r="E589">
            <v>1285.92</v>
          </cell>
          <cell r="F589">
            <v>12.974014285714301</v>
          </cell>
        </row>
        <row r="590">
          <cell r="B590" t="str">
            <v>70168822</v>
          </cell>
          <cell r="C590" t="str">
            <v>百事 七喜冰爽柠檬味小瓶装 500ML</v>
          </cell>
          <cell r="D590">
            <v>2757</v>
          </cell>
          <cell r="E590">
            <v>6068.11</v>
          </cell>
          <cell r="F590">
            <v>2.4871107363075802</v>
          </cell>
        </row>
        <row r="591">
          <cell r="B591" t="str">
            <v>70179015</v>
          </cell>
          <cell r="C591" t="str">
            <v>康师傅 冰糖雪梨 500ML</v>
          </cell>
          <cell r="D591">
            <v>12539</v>
          </cell>
          <cell r="E591">
            <v>24270.06</v>
          </cell>
          <cell r="F591">
            <v>2.1871893930935502</v>
          </cell>
        </row>
        <row r="592">
          <cell r="B592" t="str">
            <v>70185129</v>
          </cell>
          <cell r="C592" t="str">
            <v>康师傅 冰糖雪梨 1L</v>
          </cell>
          <cell r="D592">
            <v>3346</v>
          </cell>
          <cell r="E592">
            <v>10197.049999999999</v>
          </cell>
          <cell r="F592">
            <v>3.44371383741781</v>
          </cell>
        </row>
        <row r="593">
          <cell r="B593" t="str">
            <v>70187441</v>
          </cell>
          <cell r="C593" t="str">
            <v>阿比德 苏打水 500G</v>
          </cell>
          <cell r="D593">
            <v>35127</v>
          </cell>
          <cell r="E593">
            <v>102013.68</v>
          </cell>
          <cell r="F593">
            <v>3.2816767273037799</v>
          </cell>
        </row>
        <row r="594">
          <cell r="B594" t="str">
            <v>70199308</v>
          </cell>
          <cell r="C594" t="str">
            <v>康师傅 炼乳奶茶 500ml</v>
          </cell>
          <cell r="D594">
            <v>0</v>
          </cell>
          <cell r="E594">
            <v>0</v>
          </cell>
          <cell r="F594" t="e">
            <v>#DIV/0!</v>
          </cell>
        </row>
        <row r="595">
          <cell r="B595" t="str">
            <v>70201230</v>
          </cell>
          <cell r="C595" t="str">
            <v>康师傅 经典奶茶(香浓味) 500ML</v>
          </cell>
          <cell r="D595">
            <v>54</v>
          </cell>
          <cell r="E595">
            <v>142.56</v>
          </cell>
          <cell r="F595">
            <v>2.9832000000000001</v>
          </cell>
        </row>
        <row r="596">
          <cell r="B596" t="str">
            <v>70207558</v>
          </cell>
          <cell r="C596" t="str">
            <v>康师傅 蜂蜜柚子茶 500ML</v>
          </cell>
          <cell r="D596">
            <v>12838</v>
          </cell>
          <cell r="E596">
            <v>24900.78</v>
          </cell>
          <cell r="F596">
            <v>2.1917651814924399</v>
          </cell>
        </row>
        <row r="597">
          <cell r="B597" t="str">
            <v>70214355</v>
          </cell>
          <cell r="C597" t="str">
            <v>雀巢 咖啡香浓(听) 180ML</v>
          </cell>
          <cell r="D597">
            <v>50</v>
          </cell>
          <cell r="E597">
            <v>135.19</v>
          </cell>
          <cell r="F597">
            <v>3.055294</v>
          </cell>
        </row>
        <row r="598">
          <cell r="B598" t="str">
            <v>70217329</v>
          </cell>
          <cell r="C598" t="str">
            <v>康师傅 热带风味冰红茶 500ml</v>
          </cell>
          <cell r="D598">
            <v>19128</v>
          </cell>
          <cell r="E598">
            <v>37084.239999999998</v>
          </cell>
          <cell r="F598">
            <v>2.1907774571309102</v>
          </cell>
        </row>
        <row r="599">
          <cell r="B599" t="str">
            <v>70219060</v>
          </cell>
          <cell r="C599" t="str">
            <v>统一 冰糖金桔 500ML</v>
          </cell>
          <cell r="D599">
            <v>13814</v>
          </cell>
          <cell r="E599">
            <v>32347.360000000001</v>
          </cell>
          <cell r="F599">
            <v>2.6460487042131202</v>
          </cell>
        </row>
        <row r="600">
          <cell r="B600" t="str">
            <v>70219190</v>
          </cell>
          <cell r="C600" t="str">
            <v>乐虎 缓解体力疲劳功能饮料罐装 250ML</v>
          </cell>
          <cell r="D600">
            <v>175</v>
          </cell>
          <cell r="E600">
            <v>447.79</v>
          </cell>
          <cell r="F600">
            <v>2.8914439999999999</v>
          </cell>
        </row>
        <row r="601">
          <cell r="B601" t="str">
            <v>70219191</v>
          </cell>
          <cell r="C601" t="str">
            <v>乐虎 牛磺酸强化型功能饮料瓶装 380ML</v>
          </cell>
          <cell r="D601">
            <v>4405</v>
          </cell>
          <cell r="E601">
            <v>13469.43</v>
          </cell>
          <cell r="F601">
            <v>3.4552680817253099</v>
          </cell>
        </row>
        <row r="602">
          <cell r="B602" t="str">
            <v>70223210</v>
          </cell>
          <cell r="C602" t="str">
            <v>雀巢 咖啡摩卡 268ML</v>
          </cell>
          <cell r="D602">
            <v>50864</v>
          </cell>
          <cell r="E602">
            <v>201967.97</v>
          </cell>
          <cell r="F602">
            <v>4.4869417682447299</v>
          </cell>
        </row>
        <row r="603">
          <cell r="B603" t="str">
            <v>70229988</v>
          </cell>
          <cell r="C603" t="str">
            <v>脉动 维生素饮料青柠口味 1000ML</v>
          </cell>
          <cell r="D603">
            <v>5984</v>
          </cell>
          <cell r="E603">
            <v>26206.26</v>
          </cell>
          <cell r="F603">
            <v>4.9487088569518702</v>
          </cell>
        </row>
        <row r="604">
          <cell r="B604" t="str">
            <v>70229989</v>
          </cell>
          <cell r="C604" t="str">
            <v>脉动 维生素饮料桃子口味 1L</v>
          </cell>
          <cell r="D604">
            <v>5351</v>
          </cell>
          <cell r="E604">
            <v>23295.61</v>
          </cell>
          <cell r="F604">
            <v>4.9194616520276604</v>
          </cell>
        </row>
        <row r="605">
          <cell r="B605" t="str">
            <v>70231967</v>
          </cell>
          <cell r="C605" t="str">
            <v>统一 冰糖雪梨 1L</v>
          </cell>
          <cell r="D605">
            <v>9135</v>
          </cell>
          <cell r="E605">
            <v>26244.1</v>
          </cell>
          <cell r="F605">
            <v>3.2463966064586698</v>
          </cell>
        </row>
        <row r="606">
          <cell r="B606" t="str">
            <v>70232576</v>
          </cell>
          <cell r="C606" t="str">
            <v>可口可乐 听装雪碧 330ML</v>
          </cell>
          <cell r="D606">
            <v>20739</v>
          </cell>
          <cell r="E606">
            <v>43359.51</v>
          </cell>
          <cell r="F606">
            <v>2.36251730073774</v>
          </cell>
        </row>
        <row r="607">
          <cell r="B607" t="str">
            <v>70233572</v>
          </cell>
          <cell r="C607" t="str">
            <v>统一 海之言柠檬味 500ML</v>
          </cell>
          <cell r="D607">
            <v>15</v>
          </cell>
          <cell r="E607">
            <v>39.299999999999997</v>
          </cell>
          <cell r="F607">
            <v>2.9605999999999999</v>
          </cell>
        </row>
        <row r="608">
          <cell r="B608" t="str">
            <v>70235652</v>
          </cell>
          <cell r="C608" t="str">
            <v>东鹏 特饮罐装 250ML</v>
          </cell>
          <cell r="D608">
            <v>142859</v>
          </cell>
          <cell r="E608">
            <v>329744.84999999998</v>
          </cell>
          <cell r="F608">
            <v>2.6082478562778699</v>
          </cell>
        </row>
        <row r="609">
          <cell r="B609" t="str">
            <v>70238841</v>
          </cell>
          <cell r="C609" t="str">
            <v>农夫山泉 水溶C100青皮桔味复合果汁饮料 445ml</v>
          </cell>
          <cell r="D609">
            <v>34182</v>
          </cell>
          <cell r="E609">
            <v>108135.88</v>
          </cell>
          <cell r="F609">
            <v>3.5747921245099801</v>
          </cell>
        </row>
        <row r="610">
          <cell r="B610" t="str">
            <v>70240763</v>
          </cell>
          <cell r="C610" t="str">
            <v>维他奶 柠檬茶 250ML</v>
          </cell>
          <cell r="D610">
            <v>21</v>
          </cell>
          <cell r="E610">
            <v>47.46</v>
          </cell>
          <cell r="F610">
            <v>2.5537999999999998</v>
          </cell>
        </row>
        <row r="611">
          <cell r="B611" t="str">
            <v>70240765</v>
          </cell>
          <cell r="C611" t="str">
            <v>维他奶 菊花茶 250ML</v>
          </cell>
          <cell r="D611">
            <v>9</v>
          </cell>
          <cell r="E611">
            <v>20.329999999999998</v>
          </cell>
          <cell r="F611">
            <v>2.5525444444444401</v>
          </cell>
        </row>
        <row r="612">
          <cell r="B612" t="str">
            <v>70242439</v>
          </cell>
          <cell r="C612" t="str">
            <v>维他 VITA 柠檬茶胶瓶装 500ML</v>
          </cell>
          <cell r="D612">
            <v>68</v>
          </cell>
          <cell r="E612">
            <v>294.69</v>
          </cell>
          <cell r="F612">
            <v>4.8970544117647101</v>
          </cell>
        </row>
        <row r="613">
          <cell r="B613" t="str">
            <v>70242496</v>
          </cell>
          <cell r="C613" t="str">
            <v>可口可乐 芬达 礼盒装 1*6*330ML</v>
          </cell>
          <cell r="D613">
            <v>251</v>
          </cell>
          <cell r="E613">
            <v>2532.39</v>
          </cell>
          <cell r="F613">
            <v>11.400799601593601</v>
          </cell>
        </row>
        <row r="614">
          <cell r="B614" t="str">
            <v>70245349</v>
          </cell>
          <cell r="C614" t="str">
            <v>阿娜尔汗 小白杏汁 500ML</v>
          </cell>
          <cell r="D614">
            <v>16</v>
          </cell>
          <cell r="E614">
            <v>42.2</v>
          </cell>
          <cell r="F614">
            <v>2.980375</v>
          </cell>
        </row>
        <row r="615">
          <cell r="B615" t="str">
            <v>70246151</v>
          </cell>
          <cell r="C615" t="str">
            <v>统一 小茗同学青柠红茶 480ML</v>
          </cell>
          <cell r="D615">
            <v>34</v>
          </cell>
          <cell r="E615">
            <v>107.42</v>
          </cell>
          <cell r="F615">
            <v>3.5701352941176498</v>
          </cell>
        </row>
        <row r="616">
          <cell r="B616" t="str">
            <v>70247299</v>
          </cell>
          <cell r="C616" t="str">
            <v>隐雪 泡啡(香浓拿铁) 330ML</v>
          </cell>
          <cell r="D616">
            <v>19</v>
          </cell>
          <cell r="E616">
            <v>67.260000000000005</v>
          </cell>
          <cell r="F616">
            <v>4.0002000000000004</v>
          </cell>
        </row>
        <row r="617">
          <cell r="B617" t="str">
            <v>70251198</v>
          </cell>
          <cell r="C617" t="str">
            <v>武夷山 饮用天然矿泉水 513ML</v>
          </cell>
          <cell r="D617">
            <v>1976124</v>
          </cell>
          <cell r="E617">
            <v>2161421.64</v>
          </cell>
          <cell r="F617">
            <v>1.2359580943301101</v>
          </cell>
        </row>
        <row r="618">
          <cell r="B618" t="str">
            <v>70251338</v>
          </cell>
          <cell r="C618" t="str">
            <v>中沃 中沃体质能量 580ML</v>
          </cell>
          <cell r="D618">
            <v>12</v>
          </cell>
          <cell r="E618">
            <v>48.44</v>
          </cell>
          <cell r="F618">
            <v>4.5614333333333299</v>
          </cell>
        </row>
        <row r="619">
          <cell r="B619" t="str">
            <v>70251989</v>
          </cell>
          <cell r="C619" t="str">
            <v>武夷山 饮用天然矿泉水 333ML</v>
          </cell>
          <cell r="D619">
            <v>2072109</v>
          </cell>
          <cell r="E619">
            <v>2156437.5699999998</v>
          </cell>
          <cell r="F619">
            <v>1.1759875827478199</v>
          </cell>
        </row>
        <row r="620">
          <cell r="B620" t="str">
            <v>70253199</v>
          </cell>
          <cell r="C620" t="str">
            <v>惠华 沙棘果汁 238ML</v>
          </cell>
          <cell r="D620">
            <v>19</v>
          </cell>
          <cell r="E620">
            <v>110.97</v>
          </cell>
          <cell r="F620">
            <v>6.5997947368421004</v>
          </cell>
        </row>
        <row r="621">
          <cell r="B621" t="str">
            <v>70254265</v>
          </cell>
          <cell r="C621" t="str">
            <v>武夷山 饮用天然矿泉水 4.5L</v>
          </cell>
          <cell r="D621">
            <v>46916</v>
          </cell>
          <cell r="E621">
            <v>394346.78</v>
          </cell>
          <cell r="F621">
            <v>9.4980787236763593</v>
          </cell>
        </row>
        <row r="622">
          <cell r="B622" t="str">
            <v>70256301</v>
          </cell>
          <cell r="C622" t="str">
            <v>西藏格桑泉饮用天然矿泉水330ml</v>
          </cell>
          <cell r="D622">
            <v>729</v>
          </cell>
          <cell r="E622">
            <v>580.17999999999995</v>
          </cell>
          <cell r="F622">
            <v>0.89931879286694105</v>
          </cell>
        </row>
        <row r="623">
          <cell r="B623" t="str">
            <v>70256302</v>
          </cell>
          <cell r="C623" t="str">
            <v>西藏格桑泉饮用天然矿泉水500ml</v>
          </cell>
          <cell r="D623">
            <v>1381</v>
          </cell>
          <cell r="E623">
            <v>1087.33</v>
          </cell>
          <cell r="F623">
            <v>0.889705213613324</v>
          </cell>
        </row>
        <row r="624">
          <cell r="B624" t="str">
            <v>70256795</v>
          </cell>
          <cell r="C624" t="str">
            <v>名仁 柠檬苏打 375ML</v>
          </cell>
          <cell r="D624">
            <v>4508</v>
          </cell>
          <cell r="E624">
            <v>9255.35</v>
          </cell>
          <cell r="F624">
            <v>2.31999678349601</v>
          </cell>
        </row>
        <row r="625">
          <cell r="B625" t="str">
            <v>70257883</v>
          </cell>
          <cell r="C625" t="str">
            <v>统一 小茗同学溜溜哒茶 480ML</v>
          </cell>
          <cell r="D625">
            <v>60</v>
          </cell>
          <cell r="E625">
            <v>189.49</v>
          </cell>
          <cell r="F625">
            <v>3.5687283333333299</v>
          </cell>
        </row>
        <row r="626">
          <cell r="B626" t="str">
            <v>70258240</v>
          </cell>
          <cell r="C626" t="str">
            <v>农夫山泉 茶Π西柚茉莉花茶 500ML</v>
          </cell>
          <cell r="D626">
            <v>33000</v>
          </cell>
          <cell r="E626">
            <v>108981.32</v>
          </cell>
          <cell r="F626">
            <v>3.7317845939393899</v>
          </cell>
        </row>
        <row r="627">
          <cell r="B627" t="str">
            <v>70258241</v>
          </cell>
          <cell r="C627" t="str">
            <v>农夫山泉 茶Π蜜桃乌龙茶 500ML</v>
          </cell>
          <cell r="D627">
            <v>15846</v>
          </cell>
          <cell r="E627">
            <v>52259</v>
          </cell>
          <cell r="F627">
            <v>3.7266609869998701</v>
          </cell>
        </row>
        <row r="628">
          <cell r="B628" t="str">
            <v>70258242</v>
          </cell>
          <cell r="C628" t="str">
            <v>农夫山泉 茶Π柚子绿茶 500ML</v>
          </cell>
          <cell r="D628">
            <v>30228</v>
          </cell>
          <cell r="E628">
            <v>99914.36</v>
          </cell>
          <cell r="F628">
            <v>3.7350544792907199</v>
          </cell>
        </row>
        <row r="629">
          <cell r="B629" t="str">
            <v>70258243</v>
          </cell>
          <cell r="C629" t="str">
            <v>农夫山泉 茶Π柠檬红茶 500ML</v>
          </cell>
          <cell r="D629">
            <v>13800</v>
          </cell>
          <cell r="E629">
            <v>45623.4</v>
          </cell>
          <cell r="F629">
            <v>3.7358291304347802</v>
          </cell>
        </row>
        <row r="630">
          <cell r="B630" t="str">
            <v>70265872</v>
          </cell>
          <cell r="C630" t="str">
            <v>可口可乐 无糖可乐330ML</v>
          </cell>
          <cell r="D630">
            <v>6801</v>
          </cell>
          <cell r="E630">
            <v>14224.04</v>
          </cell>
          <cell r="F630">
            <v>2.3633532127628301</v>
          </cell>
        </row>
        <row r="631">
          <cell r="B631" t="str">
            <v>70267426</v>
          </cell>
          <cell r="C631" t="str">
            <v>百事 七喜六连包 330ML</v>
          </cell>
          <cell r="D631">
            <v>407</v>
          </cell>
          <cell r="E631">
            <v>2991.45</v>
          </cell>
          <cell r="F631">
            <v>8.3055000000000003</v>
          </cell>
        </row>
        <row r="632">
          <cell r="B632" t="str">
            <v>70268751</v>
          </cell>
          <cell r="C632" t="str">
            <v>Monster（魔爪）原味(黑) 330ml</v>
          </cell>
          <cell r="D632">
            <v>122421</v>
          </cell>
          <cell r="E632">
            <v>438974.34</v>
          </cell>
          <cell r="F632">
            <v>4.0519273997108298</v>
          </cell>
        </row>
        <row r="633">
          <cell r="B633" t="str">
            <v>70271247</v>
          </cell>
          <cell r="C633" t="str">
            <v>百事 七喜PET 300ML</v>
          </cell>
          <cell r="D633">
            <v>24</v>
          </cell>
          <cell r="E633">
            <v>31.86</v>
          </cell>
          <cell r="F633">
            <v>1.500075</v>
          </cell>
        </row>
        <row r="634">
          <cell r="B634" t="str">
            <v>70271248</v>
          </cell>
          <cell r="C634" t="str">
            <v>百事 美年达橙PET 300ML</v>
          </cell>
          <cell r="D634">
            <v>23</v>
          </cell>
          <cell r="E634">
            <v>30.56</v>
          </cell>
          <cell r="F634">
            <v>1.5014260869565199</v>
          </cell>
        </row>
        <row r="635">
          <cell r="B635" t="str">
            <v>70273067</v>
          </cell>
          <cell r="C635" t="str">
            <v>脉动 菠萝口味 600ml</v>
          </cell>
          <cell r="D635">
            <v>15890</v>
          </cell>
          <cell r="E635">
            <v>52475.3</v>
          </cell>
          <cell r="F635">
            <v>3.7317236626809298</v>
          </cell>
        </row>
        <row r="636">
          <cell r="B636" t="str">
            <v>70274752</v>
          </cell>
          <cell r="C636" t="str">
            <v>康师傅 芒果小酪 500ml</v>
          </cell>
          <cell r="D636">
            <v>5</v>
          </cell>
          <cell r="E636">
            <v>10.77</v>
          </cell>
          <cell r="F636">
            <v>2.4340199999999999</v>
          </cell>
        </row>
        <row r="637">
          <cell r="B637" t="str">
            <v>70275469</v>
          </cell>
          <cell r="C637" t="str">
            <v>汇源 利乐100％苹果汁汁 330ML</v>
          </cell>
          <cell r="D637">
            <v>1</v>
          </cell>
          <cell r="E637">
            <v>4.8099999999999996</v>
          </cell>
          <cell r="F637">
            <v>5.4352999999999998</v>
          </cell>
        </row>
        <row r="638">
          <cell r="B638" t="str">
            <v>70279318</v>
          </cell>
          <cell r="C638" t="str">
            <v>娃哈哈 冰红茶 1KG</v>
          </cell>
          <cell r="D638">
            <v>13</v>
          </cell>
          <cell r="E638">
            <v>41.47</v>
          </cell>
          <cell r="F638">
            <v>3.6046999999999998</v>
          </cell>
        </row>
        <row r="639">
          <cell r="B639" t="str">
            <v>70282557</v>
          </cell>
          <cell r="C639" t="str">
            <v>东鹏 特饮 500ML</v>
          </cell>
          <cell r="D639">
            <v>409160</v>
          </cell>
          <cell r="E639">
            <v>1310044.04</v>
          </cell>
          <cell r="F639">
            <v>3.6180217157102401</v>
          </cell>
        </row>
        <row r="640">
          <cell r="B640" t="str">
            <v>70283089</v>
          </cell>
          <cell r="C640" t="str">
            <v>康师傅 青梅绿茶 500ML</v>
          </cell>
          <cell r="D640">
            <v>10</v>
          </cell>
          <cell r="E640">
            <v>19.62</v>
          </cell>
          <cell r="F640">
            <v>2.21706</v>
          </cell>
        </row>
        <row r="641">
          <cell r="B641" t="str">
            <v>70283093</v>
          </cell>
          <cell r="C641" t="str">
            <v>康师傅 冰糖乌龙茶 500ML</v>
          </cell>
          <cell r="D641">
            <v>14</v>
          </cell>
          <cell r="E641">
            <v>27.24</v>
          </cell>
          <cell r="F641">
            <v>2.1986571428571402</v>
          </cell>
        </row>
        <row r="642">
          <cell r="B642" t="str">
            <v>70286384</v>
          </cell>
          <cell r="C642" t="str">
            <v>汇源 汇源100％桃汁 330ML</v>
          </cell>
          <cell r="D642">
            <v>9</v>
          </cell>
          <cell r="E642">
            <v>39.06</v>
          </cell>
          <cell r="F642">
            <v>4.9042000000000003</v>
          </cell>
        </row>
        <row r="643">
          <cell r="B643" t="str">
            <v>70286436</v>
          </cell>
          <cell r="C643" t="str">
            <v>神内 番茄汁 238ML</v>
          </cell>
          <cell r="D643">
            <v>493</v>
          </cell>
          <cell r="E643">
            <v>1539.51</v>
          </cell>
          <cell r="F643">
            <v>3.5286943204868102</v>
          </cell>
        </row>
        <row r="644">
          <cell r="B644" t="str">
            <v>70286748</v>
          </cell>
          <cell r="C644" t="str">
            <v>RASAKU牌 椰子水 330ML</v>
          </cell>
          <cell r="D644">
            <v>31</v>
          </cell>
          <cell r="E644">
            <v>1947.39</v>
          </cell>
          <cell r="F644">
            <v>70.985506451612906</v>
          </cell>
        </row>
        <row r="645">
          <cell r="B645" t="str">
            <v>70289406</v>
          </cell>
          <cell r="C645" t="str">
            <v>雀巢 丝滑榛果风味咖啡饮料 268ML</v>
          </cell>
          <cell r="D645">
            <v>61287</v>
          </cell>
          <cell r="E645">
            <v>242940.37</v>
          </cell>
          <cell r="F645">
            <v>4.4792960676815596</v>
          </cell>
        </row>
        <row r="646">
          <cell r="B646" t="str">
            <v>70289407</v>
          </cell>
          <cell r="C646" t="str">
            <v>雀巢 丝滑焦糖风味咖啡饮料 268ML</v>
          </cell>
          <cell r="D646">
            <v>47385</v>
          </cell>
          <cell r="E646">
            <v>182752.56</v>
          </cell>
          <cell r="F646">
            <v>4.35813849952517</v>
          </cell>
        </row>
        <row r="647">
          <cell r="B647" t="str">
            <v>70291549</v>
          </cell>
          <cell r="C647" t="str">
            <v>小趣 苏打水 380ML</v>
          </cell>
          <cell r="D647">
            <v>17147</v>
          </cell>
          <cell r="E647">
            <v>31973.16</v>
          </cell>
          <cell r="F647">
            <v>2.1070549250597801</v>
          </cell>
        </row>
        <row r="648">
          <cell r="B648" t="str">
            <v>70291550</v>
          </cell>
          <cell r="C648" t="str">
            <v>小趣 蜜桃味饮料 380ML</v>
          </cell>
          <cell r="D648">
            <v>15860</v>
          </cell>
          <cell r="E648">
            <v>29539.29</v>
          </cell>
          <cell r="F648">
            <v>2.10462784993695</v>
          </cell>
        </row>
        <row r="649">
          <cell r="B649" t="str">
            <v>70292725</v>
          </cell>
          <cell r="C649" t="str">
            <v>Pepsi 百事可乐SleekCan 330ml</v>
          </cell>
          <cell r="D649">
            <v>10186</v>
          </cell>
          <cell r="E649">
            <v>20125.919999999998</v>
          </cell>
          <cell r="F649">
            <v>2.2327007264873302</v>
          </cell>
        </row>
        <row r="650">
          <cell r="B650" t="str">
            <v>70292932</v>
          </cell>
          <cell r="C650" t="str">
            <v>椰树牌 椰汁植物蛋白饮料 1L</v>
          </cell>
          <cell r="D650">
            <v>833</v>
          </cell>
          <cell r="E650">
            <v>10326.85</v>
          </cell>
          <cell r="F650">
            <v>14.0088121248499</v>
          </cell>
        </row>
        <row r="651">
          <cell r="B651" t="str">
            <v>70293376</v>
          </cell>
          <cell r="C651" t="str">
            <v>名仁 水蜜桃 375ML</v>
          </cell>
          <cell r="D651">
            <v>23</v>
          </cell>
          <cell r="E651">
            <v>47.15</v>
          </cell>
          <cell r="F651">
            <v>2.3165</v>
          </cell>
        </row>
        <row r="652">
          <cell r="B652" t="str">
            <v>70293484</v>
          </cell>
          <cell r="C652" t="str">
            <v>雀巢咖啡 香浓焙煎即饮 210ML</v>
          </cell>
          <cell r="D652">
            <v>480</v>
          </cell>
          <cell r="E652">
            <v>1677.6</v>
          </cell>
          <cell r="F652">
            <v>3.9493499999999999</v>
          </cell>
        </row>
        <row r="653">
          <cell r="B653" t="str">
            <v>70296117</v>
          </cell>
          <cell r="C653" t="str">
            <v>雀巢咖啡香滑即饮罐装210ml</v>
          </cell>
          <cell r="D653">
            <v>724</v>
          </cell>
          <cell r="E653">
            <v>2509.04</v>
          </cell>
          <cell r="F653">
            <v>3.9160430939226498</v>
          </cell>
        </row>
        <row r="654">
          <cell r="B654" t="str">
            <v>70296118</v>
          </cell>
          <cell r="C654" t="str">
            <v>雀巢 特浓即饮罐装 210ML 咖啡</v>
          </cell>
          <cell r="D654">
            <v>594</v>
          </cell>
          <cell r="E654">
            <v>2076.09</v>
          </cell>
          <cell r="F654">
            <v>3.9494641414141398</v>
          </cell>
        </row>
        <row r="655">
          <cell r="B655" t="str">
            <v>70296189</v>
          </cell>
          <cell r="C655" t="str">
            <v>if椰子水350ml</v>
          </cell>
          <cell r="D655">
            <v>0</v>
          </cell>
          <cell r="E655">
            <v>0</v>
          </cell>
          <cell r="F655" t="e">
            <v>#DIV/0!</v>
          </cell>
        </row>
        <row r="656">
          <cell r="B656" t="str">
            <v>70297347</v>
          </cell>
          <cell r="C656" t="str">
            <v>怡泉 苏打水原味 400ML</v>
          </cell>
          <cell r="D656">
            <v>24</v>
          </cell>
          <cell r="E656">
            <v>72.239999999999995</v>
          </cell>
          <cell r="F656">
            <v>3.4013</v>
          </cell>
        </row>
        <row r="657">
          <cell r="B657" t="str">
            <v>70299645</v>
          </cell>
          <cell r="C657" t="str">
            <v>大窑 嘉宾果味汽水 330ML</v>
          </cell>
          <cell r="D657">
            <v>456</v>
          </cell>
          <cell r="E657">
            <v>1089.56</v>
          </cell>
          <cell r="F657">
            <v>2.7000061403508799</v>
          </cell>
        </row>
        <row r="658">
          <cell r="B658" t="str">
            <v>70301963</v>
          </cell>
          <cell r="C658" t="str">
            <v>Monster（魔爪）柑橘味(白) 330ml</v>
          </cell>
          <cell r="D658">
            <v>94829</v>
          </cell>
          <cell r="E658">
            <v>336678.15</v>
          </cell>
          <cell r="F658">
            <v>4.0119194497463901</v>
          </cell>
        </row>
        <row r="659">
          <cell r="B659" t="str">
            <v>70303734</v>
          </cell>
          <cell r="C659" t="str">
            <v>元気森林 白桃味苏打气泡水 480ML</v>
          </cell>
          <cell r="D659">
            <v>6323</v>
          </cell>
          <cell r="E659">
            <v>19217.28</v>
          </cell>
          <cell r="F659">
            <v>3.4343707733670699</v>
          </cell>
        </row>
        <row r="660">
          <cell r="B660" t="str">
            <v>70303735</v>
          </cell>
          <cell r="C660" t="str">
            <v>元气森林 卡曼橘味苏打气泡水 480ML</v>
          </cell>
          <cell r="D660">
            <v>19</v>
          </cell>
          <cell r="E660">
            <v>41.8</v>
          </cell>
          <cell r="F660">
            <v>2.4860000000000002</v>
          </cell>
        </row>
        <row r="661">
          <cell r="B661" t="str">
            <v>70304559</v>
          </cell>
          <cell r="C661" t="str">
            <v>香飘飘 MECO蜜谷.果汁茶桃桃红柚 400ML</v>
          </cell>
          <cell r="D661">
            <v>139</v>
          </cell>
          <cell r="E661">
            <v>504.18</v>
          </cell>
          <cell r="F661">
            <v>4.0987294964028802</v>
          </cell>
        </row>
        <row r="662">
          <cell r="B662" t="str">
            <v>70304561</v>
          </cell>
          <cell r="C662" t="str">
            <v>香飘飘 MECO蜜谷.果汁茶泰式青柠 400ML</v>
          </cell>
          <cell r="D662">
            <v>191</v>
          </cell>
          <cell r="E662">
            <v>692.03</v>
          </cell>
          <cell r="F662">
            <v>4.0942089005235598</v>
          </cell>
        </row>
        <row r="663">
          <cell r="B663" t="str">
            <v>70305133</v>
          </cell>
          <cell r="C663" t="str">
            <v>小趣 柠檬饮料 380ML</v>
          </cell>
          <cell r="D663">
            <v>14601</v>
          </cell>
          <cell r="E663">
            <v>27271.42</v>
          </cell>
          <cell r="F663">
            <v>2.1105886309156898</v>
          </cell>
        </row>
        <row r="664">
          <cell r="B664" t="str">
            <v>70307406</v>
          </cell>
          <cell r="C664" t="str">
            <v>名仁 苏打水四连包 375ML*4瓶</v>
          </cell>
          <cell r="D664">
            <v>94138</v>
          </cell>
          <cell r="E664">
            <v>574932.25</v>
          </cell>
          <cell r="F664">
            <v>6.9012879230491402</v>
          </cell>
        </row>
        <row r="665">
          <cell r="B665" t="str">
            <v>70307407</v>
          </cell>
          <cell r="C665" t="str">
            <v>名仁 柠檬苏打水四连包 375ML*4瓶</v>
          </cell>
          <cell r="D665">
            <v>104291</v>
          </cell>
          <cell r="E665">
            <v>636996.86</v>
          </cell>
          <cell r="F665">
            <v>6.9019038248746298</v>
          </cell>
        </row>
        <row r="666">
          <cell r="B666" t="str">
            <v>70309950</v>
          </cell>
          <cell r="C666" t="str">
            <v>魔爪 芒果风味饮料 330ML</v>
          </cell>
          <cell r="D666">
            <v>71760</v>
          </cell>
          <cell r="E666">
            <v>254792.13</v>
          </cell>
          <cell r="F666">
            <v>4.0121949122073604</v>
          </cell>
        </row>
        <row r="667">
          <cell r="B667" t="str">
            <v>70310100</v>
          </cell>
          <cell r="C667" t="str">
            <v>北冰洋 桔汁汽水 330ML</v>
          </cell>
          <cell r="D667">
            <v>491</v>
          </cell>
          <cell r="E667">
            <v>1912.13</v>
          </cell>
          <cell r="F667">
            <v>4.4006250509165001</v>
          </cell>
        </row>
        <row r="668">
          <cell r="B668" t="str">
            <v>70310101</v>
          </cell>
          <cell r="C668" t="str">
            <v>北冰洋 橙汁汽水 330ML</v>
          </cell>
          <cell r="D668">
            <v>1371</v>
          </cell>
          <cell r="E668">
            <v>5339.54</v>
          </cell>
          <cell r="F668">
            <v>4.4009337709700898</v>
          </cell>
        </row>
        <row r="669">
          <cell r="B669" t="str">
            <v>70310502</v>
          </cell>
          <cell r="C669" t="str">
            <v>星巴克 原味咖啡饮料 281ML</v>
          </cell>
          <cell r="D669">
            <v>4</v>
          </cell>
          <cell r="E669">
            <v>51.36</v>
          </cell>
          <cell r="F669">
            <v>14.5092</v>
          </cell>
        </row>
        <row r="670">
          <cell r="B670" t="str">
            <v>70310503</v>
          </cell>
          <cell r="C670" t="str">
            <v>星巴克 摩卡味咖啡饮料 281ML</v>
          </cell>
          <cell r="D670">
            <v>73</v>
          </cell>
          <cell r="E670">
            <v>622.80999999999995</v>
          </cell>
          <cell r="F670">
            <v>9.6407575342465694</v>
          </cell>
        </row>
        <row r="671">
          <cell r="B671" t="str">
            <v>70313802</v>
          </cell>
          <cell r="C671" t="str">
            <v>百事 百事可乐PET 300ML</v>
          </cell>
          <cell r="D671">
            <v>6416</v>
          </cell>
          <cell r="E671">
            <v>8448</v>
          </cell>
          <cell r="F671">
            <v>1.48788029925187</v>
          </cell>
        </row>
        <row r="672">
          <cell r="B672" t="str">
            <v>70313803</v>
          </cell>
          <cell r="C672" t="str">
            <v>百事 百事可乐PET 300ML</v>
          </cell>
          <cell r="D672">
            <v>8</v>
          </cell>
          <cell r="E672">
            <v>9.08</v>
          </cell>
          <cell r="F672">
            <v>1.2825500000000001</v>
          </cell>
        </row>
        <row r="673">
          <cell r="B673" t="str">
            <v>70315233</v>
          </cell>
          <cell r="C673" t="str">
            <v>统一 海之言百香果 500ML</v>
          </cell>
          <cell r="D673">
            <v>13</v>
          </cell>
          <cell r="E673">
            <v>34.06</v>
          </cell>
          <cell r="F673">
            <v>2.9605999999999999</v>
          </cell>
        </row>
        <row r="674">
          <cell r="B674" t="str">
            <v>70316319</v>
          </cell>
          <cell r="C674" t="str">
            <v>茶里王 无糖台式乌龙茶 420ML</v>
          </cell>
          <cell r="D674">
            <v>42</v>
          </cell>
          <cell r="E674">
            <v>144.31</v>
          </cell>
          <cell r="F674">
            <v>3.8826261904761901</v>
          </cell>
        </row>
        <row r="675">
          <cell r="B675" t="str">
            <v>70316517</v>
          </cell>
          <cell r="C675" t="str">
            <v>阿尔曼 大碗奶茶 300G</v>
          </cell>
          <cell r="D675">
            <v>176</v>
          </cell>
          <cell r="E675">
            <v>2807.76</v>
          </cell>
          <cell r="F675">
            <v>18.027095454545499</v>
          </cell>
        </row>
        <row r="676">
          <cell r="B676" t="str">
            <v>70316636</v>
          </cell>
          <cell r="C676" t="str">
            <v>百事可乐 900ml</v>
          </cell>
          <cell r="D676">
            <v>35935</v>
          </cell>
          <cell r="E676">
            <v>119188.67</v>
          </cell>
          <cell r="F676">
            <v>3.7479670822318099</v>
          </cell>
        </row>
        <row r="677">
          <cell r="B677" t="str">
            <v>70317784</v>
          </cell>
          <cell r="C677" t="str">
            <v>好客·智 罐装经典醇萃拿铁咖啡 235ml</v>
          </cell>
          <cell r="D677">
            <v>2657</v>
          </cell>
          <cell r="E677">
            <v>7835.13</v>
          </cell>
          <cell r="F677">
            <v>3.3322156191193102</v>
          </cell>
        </row>
        <row r="678">
          <cell r="B678" t="str">
            <v>70317967</v>
          </cell>
          <cell r="C678" t="str">
            <v>慧华圣果 沙棘原汁 1*20*248ML</v>
          </cell>
          <cell r="D678">
            <v>1141</v>
          </cell>
          <cell r="E678">
            <v>16970.43</v>
          </cell>
          <cell r="F678">
            <v>16.8068237510955</v>
          </cell>
        </row>
        <row r="679">
          <cell r="B679" t="str">
            <v>70317977</v>
          </cell>
          <cell r="C679" t="str">
            <v>慧华圣果 沙棘原汁 1*6*2升</v>
          </cell>
          <cell r="D679">
            <v>74</v>
          </cell>
          <cell r="E679">
            <v>7574.87</v>
          </cell>
          <cell r="F679">
            <v>115.67031216216201</v>
          </cell>
        </row>
        <row r="680">
          <cell r="B680" t="str">
            <v>70318159</v>
          </cell>
          <cell r="C680" t="str">
            <v>青格里 沙棘果汁 315ML/瓶</v>
          </cell>
          <cell r="D680">
            <v>663</v>
          </cell>
          <cell r="E680">
            <v>2496.17</v>
          </cell>
          <cell r="F680">
            <v>4.25440739064857</v>
          </cell>
        </row>
        <row r="681">
          <cell r="B681" t="str">
            <v>70324060</v>
          </cell>
          <cell r="C681" t="str">
            <v>农夫果园 30％桃苹果芭乐 450ml</v>
          </cell>
          <cell r="D681">
            <v>3377</v>
          </cell>
          <cell r="E681">
            <v>10923.04</v>
          </cell>
          <cell r="F681">
            <v>3.6550296713058898</v>
          </cell>
        </row>
        <row r="682">
          <cell r="B682" t="str">
            <v>70324159</v>
          </cell>
          <cell r="C682" t="str">
            <v>慧华圣果 沙棘果汁 260ML</v>
          </cell>
          <cell r="D682">
            <v>748</v>
          </cell>
          <cell r="E682">
            <v>6436.84</v>
          </cell>
          <cell r="F682">
            <v>9.7241032085561496</v>
          </cell>
        </row>
        <row r="683">
          <cell r="B683" t="str">
            <v>70326786</v>
          </cell>
          <cell r="C683" t="str">
            <v>好客之力 维生素果味饮料 310ML</v>
          </cell>
          <cell r="D683">
            <v>61429</v>
          </cell>
          <cell r="E683">
            <v>181572.99</v>
          </cell>
          <cell r="F683">
            <v>3.3400751876149699</v>
          </cell>
        </row>
        <row r="684">
          <cell r="B684" t="str">
            <v>70328620</v>
          </cell>
          <cell r="C684" t="str">
            <v>王老吉 刺柠吉 230ml</v>
          </cell>
          <cell r="D684">
            <v>306</v>
          </cell>
          <cell r="E684">
            <v>994.22</v>
          </cell>
          <cell r="F684">
            <v>3.6714660130719001</v>
          </cell>
        </row>
        <row r="685">
          <cell r="B685" t="str">
            <v>70329538</v>
          </cell>
          <cell r="C685" t="str">
            <v>格桑泉 饮用天然水 4L</v>
          </cell>
          <cell r="D685">
            <v>8192</v>
          </cell>
          <cell r="E685">
            <v>51987.09</v>
          </cell>
          <cell r="F685">
            <v>7.1710707641601497</v>
          </cell>
        </row>
        <row r="686">
          <cell r="B686" t="str">
            <v>70334011</v>
          </cell>
          <cell r="C686" t="str">
            <v>农夫果园 30％葡萄苹果蓝莓 450ml</v>
          </cell>
          <cell r="D686">
            <v>4318</v>
          </cell>
          <cell r="E686">
            <v>13981.42</v>
          </cell>
          <cell r="F686">
            <v>3.65887091245947</v>
          </cell>
        </row>
        <row r="687">
          <cell r="B687" t="str">
            <v>70342951</v>
          </cell>
          <cell r="C687" t="str">
            <v>魔爪 能量柠檬味龙茶 310ML</v>
          </cell>
          <cell r="D687">
            <v>137</v>
          </cell>
          <cell r="E687">
            <v>573.20000000000005</v>
          </cell>
          <cell r="F687">
            <v>4.7278540145985399</v>
          </cell>
        </row>
        <row r="688">
          <cell r="B688" t="str">
            <v>70342989</v>
          </cell>
          <cell r="C688" t="str">
            <v>COSTA 纯萃美式浓咖啡饮料 300ML</v>
          </cell>
          <cell r="D688">
            <v>533</v>
          </cell>
          <cell r="E688">
            <v>2454.16</v>
          </cell>
          <cell r="F688">
            <v>5.2030033771106901</v>
          </cell>
        </row>
        <row r="689">
          <cell r="B689" t="str">
            <v>70342990</v>
          </cell>
          <cell r="C689" t="str">
            <v>COSTA 醇正拿铁浓咖啡饮料 300ML</v>
          </cell>
          <cell r="D689">
            <v>266</v>
          </cell>
          <cell r="E689">
            <v>1224.94</v>
          </cell>
          <cell r="F689">
            <v>5.2036924812030101</v>
          </cell>
        </row>
        <row r="690">
          <cell r="B690" t="str">
            <v>70345181</v>
          </cell>
          <cell r="C690" t="str">
            <v>农夫山泉 茶Π果味茶饮料-蜜桃乌龙茶 900ML</v>
          </cell>
          <cell r="D690">
            <v>6270</v>
          </cell>
          <cell r="E690">
            <v>28153.67</v>
          </cell>
          <cell r="F690">
            <v>5.0739469059011197</v>
          </cell>
        </row>
        <row r="691">
          <cell r="B691" t="str">
            <v>70345183</v>
          </cell>
          <cell r="C691" t="str">
            <v>农夫山泉 茶Π果味茶饮料-柠檬红茶 900ML</v>
          </cell>
          <cell r="D691">
            <v>9</v>
          </cell>
          <cell r="E691">
            <v>40.67</v>
          </cell>
          <cell r="F691">
            <v>5.1063444444444404</v>
          </cell>
        </row>
        <row r="692">
          <cell r="B692" t="str">
            <v>70345483</v>
          </cell>
          <cell r="C692" t="str">
            <v>农夫山泉 苏打天然水饮品（白桃风味） 410ML</v>
          </cell>
          <cell r="D692">
            <v>30132</v>
          </cell>
          <cell r="E692">
            <v>74106.58</v>
          </cell>
          <cell r="F692">
            <v>2.7791197198991102</v>
          </cell>
        </row>
        <row r="693">
          <cell r="B693" t="str">
            <v>70345484</v>
          </cell>
          <cell r="C693" t="str">
            <v>农夫山泉 苏打天然水饮品（柠檬风味） 410ML</v>
          </cell>
          <cell r="D693">
            <v>30438</v>
          </cell>
          <cell r="E693">
            <v>74828.25</v>
          </cell>
          <cell r="F693">
            <v>2.7779723536368999</v>
          </cell>
        </row>
        <row r="694">
          <cell r="B694" t="str">
            <v>70346744</v>
          </cell>
          <cell r="C694" t="str">
            <v>雀巢 茶萃柠檬冻红茶 500ML</v>
          </cell>
          <cell r="D694">
            <v>45</v>
          </cell>
          <cell r="E694">
            <v>141.82</v>
          </cell>
          <cell r="F694">
            <v>3.5612577777777799</v>
          </cell>
        </row>
        <row r="695">
          <cell r="B695" t="str">
            <v>70346745</v>
          </cell>
          <cell r="C695" t="str">
            <v>雀巢 茶萃桃子清乌龙 500ML</v>
          </cell>
          <cell r="D695">
            <v>126</v>
          </cell>
          <cell r="E695">
            <v>402.83</v>
          </cell>
          <cell r="F695">
            <v>3.61268174603175</v>
          </cell>
        </row>
        <row r="696">
          <cell r="B696" t="str">
            <v>70346998</v>
          </cell>
          <cell r="C696" t="str">
            <v>三诺 葡萄糖补水液柑橘味 300ML</v>
          </cell>
          <cell r="D696">
            <v>153</v>
          </cell>
          <cell r="E696">
            <v>272.24</v>
          </cell>
          <cell r="F696">
            <v>2.0106614379084999</v>
          </cell>
        </row>
        <row r="697">
          <cell r="B697" t="str">
            <v>70351310</v>
          </cell>
          <cell r="C697" t="str">
            <v>慧华圣果 沙棘果汁 500ML/盒</v>
          </cell>
          <cell r="D697">
            <v>1461</v>
          </cell>
          <cell r="E697">
            <v>12708.99</v>
          </cell>
          <cell r="F697">
            <v>9.8296774127310105</v>
          </cell>
        </row>
        <row r="698">
          <cell r="B698" t="str">
            <v>70351921</v>
          </cell>
          <cell r="C698" t="str">
            <v>宜简 白桃味苏打水饮品 360ML</v>
          </cell>
          <cell r="D698">
            <v>541</v>
          </cell>
          <cell r="E698">
            <v>977.91</v>
          </cell>
          <cell r="F698">
            <v>2.0425846580406701</v>
          </cell>
        </row>
        <row r="699">
          <cell r="B699" t="str">
            <v>70352174</v>
          </cell>
          <cell r="C699" t="str">
            <v>望山楂 山楂复合碳酸饮料300ML 瓶</v>
          </cell>
          <cell r="D699">
            <v>57</v>
          </cell>
          <cell r="E699">
            <v>353.01</v>
          </cell>
          <cell r="F699">
            <v>6.9982684210526296</v>
          </cell>
        </row>
        <row r="700">
          <cell r="B700" t="str">
            <v>70352193</v>
          </cell>
          <cell r="C700" t="str">
            <v>北冰洋 桔汁汽水瓶装 480ml</v>
          </cell>
          <cell r="D700">
            <v>389</v>
          </cell>
          <cell r="E700">
            <v>1516.59</v>
          </cell>
          <cell r="F700">
            <v>4.4055185089974298</v>
          </cell>
        </row>
        <row r="701">
          <cell r="B701" t="str">
            <v>70356177</v>
          </cell>
          <cell r="C701" t="str">
            <v>红牛 维生素风味饮料 250ML</v>
          </cell>
          <cell r="D701">
            <v>4703510</v>
          </cell>
          <cell r="E701">
            <v>16206344.15</v>
          </cell>
          <cell r="F701">
            <v>3.8935112053551499</v>
          </cell>
        </row>
        <row r="702">
          <cell r="B702" t="str">
            <v>70359860</v>
          </cell>
          <cell r="C702" t="str">
            <v>可口可乐 COSTA咖啡金妃拿铁 300ML</v>
          </cell>
          <cell r="D702">
            <v>423</v>
          </cell>
          <cell r="E702">
            <v>1944.44</v>
          </cell>
          <cell r="F702">
            <v>5.1943669030732904</v>
          </cell>
        </row>
        <row r="703">
          <cell r="B703" t="str">
            <v>70360673</v>
          </cell>
          <cell r="C703" t="str">
            <v>康师傅 冰红茶 330ML*12</v>
          </cell>
          <cell r="D703">
            <v>328</v>
          </cell>
          <cell r="E703">
            <v>5679.14</v>
          </cell>
          <cell r="F703">
            <v>19.5653298780488</v>
          </cell>
        </row>
        <row r="704">
          <cell r="B704" t="str">
            <v>70360757</v>
          </cell>
          <cell r="C704" t="str">
            <v>百事 无糖树莓味 330ML</v>
          </cell>
          <cell r="D704">
            <v>45</v>
          </cell>
          <cell r="E704">
            <v>85.26</v>
          </cell>
          <cell r="F704">
            <v>2.1409733333333301</v>
          </cell>
        </row>
        <row r="705">
          <cell r="B705" t="str">
            <v>70364484</v>
          </cell>
          <cell r="C705" t="str">
            <v>三麟 天然椰子水 330ML</v>
          </cell>
          <cell r="D705">
            <v>0</v>
          </cell>
          <cell r="E705">
            <v>0</v>
          </cell>
          <cell r="F705" t="e">
            <v>#DIV/0!</v>
          </cell>
        </row>
        <row r="706">
          <cell r="B706" t="str">
            <v>70369106</v>
          </cell>
          <cell r="C706" t="str">
            <v>葡口 葡萄汁 310ML/瓶</v>
          </cell>
          <cell r="D706">
            <v>3682</v>
          </cell>
          <cell r="E706">
            <v>11743.58</v>
          </cell>
          <cell r="F706">
            <v>3.6040862031504601</v>
          </cell>
        </row>
        <row r="707">
          <cell r="B707" t="str">
            <v>70369107</v>
          </cell>
          <cell r="C707" t="str">
            <v>葡口 草莓汁 310ML/瓶</v>
          </cell>
          <cell r="D707">
            <v>3931</v>
          </cell>
          <cell r="E707">
            <v>12786.52</v>
          </cell>
          <cell r="F707">
            <v>3.6755959297888601</v>
          </cell>
        </row>
        <row r="708">
          <cell r="B708" t="str">
            <v>70369108</v>
          </cell>
          <cell r="C708" t="str">
            <v>葡口 黄桃汁 310ML/瓶</v>
          </cell>
          <cell r="D708">
            <v>3903</v>
          </cell>
          <cell r="E708">
            <v>12824.09</v>
          </cell>
          <cell r="F708">
            <v>3.7128418396105598</v>
          </cell>
        </row>
        <row r="709">
          <cell r="B709" t="str">
            <v>70370836</v>
          </cell>
          <cell r="C709" t="str">
            <v>精杞神 靓杞来枸杞苹果醋饮料 250ML/罐</v>
          </cell>
          <cell r="D709">
            <v>2987</v>
          </cell>
          <cell r="E709">
            <v>6946.95</v>
          </cell>
          <cell r="F709">
            <v>2.6280728155339799</v>
          </cell>
        </row>
        <row r="710">
          <cell r="B710" t="str">
            <v>70370837</v>
          </cell>
          <cell r="C710" t="str">
            <v>精杞神 靓杞来枸杞维生素饮料 250ML/罐</v>
          </cell>
          <cell r="D710">
            <v>1911</v>
          </cell>
          <cell r="E710">
            <v>4381.42</v>
          </cell>
          <cell r="F710">
            <v>2.5907925693354299</v>
          </cell>
        </row>
        <row r="711">
          <cell r="B711" t="str">
            <v>70370954</v>
          </cell>
          <cell r="C711" t="str">
            <v>农夫山泉 苏打天然水饮品柑橘风味 410mL</v>
          </cell>
          <cell r="D711">
            <v>13193</v>
          </cell>
          <cell r="E711">
            <v>33187.93</v>
          </cell>
          <cell r="F711">
            <v>2.8425953839157101</v>
          </cell>
        </row>
        <row r="712">
          <cell r="B712" t="str">
            <v>70373318</v>
          </cell>
          <cell r="C712" t="str">
            <v>星巴克 星选咖啡拿铁咖啡饮料 270ML</v>
          </cell>
          <cell r="D712">
            <v>27878</v>
          </cell>
          <cell r="E712">
            <v>163906.18</v>
          </cell>
          <cell r="F712">
            <v>6.6437328144056202</v>
          </cell>
        </row>
        <row r="713">
          <cell r="B713" t="str">
            <v>70373324</v>
          </cell>
          <cell r="C713" t="str">
            <v>星巴克 星选芝士奶香拿铁咖啡饮料 270ML</v>
          </cell>
          <cell r="D713">
            <v>400</v>
          </cell>
          <cell r="E713">
            <v>2408.12</v>
          </cell>
          <cell r="F713">
            <v>6.8029390000000003</v>
          </cell>
        </row>
        <row r="714">
          <cell r="B714" t="str">
            <v>70373931</v>
          </cell>
          <cell r="C714" t="str">
            <v>精杞神 红涩幺鸡枸杞鲜果原浆 30ML/袋*7袋/盒</v>
          </cell>
          <cell r="D714">
            <v>25</v>
          </cell>
          <cell r="E714">
            <v>1048.6099999999999</v>
          </cell>
          <cell r="F714">
            <v>47.397171999999998</v>
          </cell>
        </row>
        <row r="715">
          <cell r="B715" t="str">
            <v>70377419</v>
          </cell>
          <cell r="C715" t="str">
            <v>外星人 电解质饮料荔枝海盐味 600mL</v>
          </cell>
          <cell r="D715">
            <v>7588</v>
          </cell>
          <cell r="E715">
            <v>26300.26</v>
          </cell>
          <cell r="F715">
            <v>3.9166175276752799</v>
          </cell>
        </row>
        <row r="716">
          <cell r="B716" t="str">
            <v>70377422</v>
          </cell>
          <cell r="C716" t="str">
            <v>外星人 电解质水青柠味 600mL</v>
          </cell>
          <cell r="D716">
            <v>9907</v>
          </cell>
          <cell r="E716">
            <v>34639.93</v>
          </cell>
          <cell r="F716">
            <v>3.9510569193499498</v>
          </cell>
        </row>
        <row r="717">
          <cell r="B717" t="str">
            <v>70378410</v>
          </cell>
          <cell r="C717" t="str">
            <v>康师傅 茉莉柚茶 500ML</v>
          </cell>
          <cell r="D717">
            <v>21</v>
          </cell>
          <cell r="E717">
            <v>40.950000000000003</v>
          </cell>
          <cell r="F717">
            <v>2.2035</v>
          </cell>
        </row>
        <row r="718">
          <cell r="B718" t="str">
            <v>70378427</v>
          </cell>
          <cell r="C718" t="str">
            <v>元气森林 夏黑葡萄味苏打气泡水 480ML</v>
          </cell>
          <cell r="D718">
            <v>5046</v>
          </cell>
          <cell r="E718">
            <v>15201.83</v>
          </cell>
          <cell r="F718">
            <v>3.4042940745144699</v>
          </cell>
        </row>
        <row r="719">
          <cell r="B719" t="str">
            <v>70381837</v>
          </cell>
          <cell r="C719" t="str">
            <v>香飘飘 MECO樱桃莓莓果汁茶 400ML</v>
          </cell>
          <cell r="D719">
            <v>34</v>
          </cell>
          <cell r="E719">
            <v>123.32</v>
          </cell>
          <cell r="F719">
            <v>4.0985764705882302</v>
          </cell>
        </row>
        <row r="720">
          <cell r="B720" t="str">
            <v>70381968</v>
          </cell>
          <cell r="C720" t="str">
            <v>魔爪 龍之金能量风味饮料 310ML</v>
          </cell>
          <cell r="D720">
            <v>378</v>
          </cell>
          <cell r="E720">
            <v>1605.91</v>
          </cell>
          <cell r="F720">
            <v>4.8007362433862397</v>
          </cell>
        </row>
        <row r="721">
          <cell r="B721" t="str">
            <v>70385731</v>
          </cell>
          <cell r="C721" t="str">
            <v>百事 无糖百事可乐 500ML</v>
          </cell>
          <cell r="D721">
            <v>9894</v>
          </cell>
          <cell r="E721">
            <v>21669.43</v>
          </cell>
          <cell r="F721">
            <v>2.4748793106933502</v>
          </cell>
        </row>
        <row r="722">
          <cell r="B722" t="str">
            <v>70387372</v>
          </cell>
          <cell r="C722" t="str">
            <v>雀巢 茶萃柠檬冻红茶果汁茶饮料 250ML</v>
          </cell>
          <cell r="D722">
            <v>107</v>
          </cell>
          <cell r="E722">
            <v>186.28</v>
          </cell>
          <cell r="F722">
            <v>1.9672560747663499</v>
          </cell>
        </row>
        <row r="723">
          <cell r="B723" t="str">
            <v>70387374</v>
          </cell>
          <cell r="C723" t="str">
            <v>雀巢 茶萃桃子清乌龙果汁茶饮料 250ML</v>
          </cell>
          <cell r="D723">
            <v>53</v>
          </cell>
          <cell r="E723">
            <v>95.33</v>
          </cell>
          <cell r="F723">
            <v>2.0325075471698102</v>
          </cell>
        </row>
        <row r="724">
          <cell r="B724" t="str">
            <v>70388824</v>
          </cell>
          <cell r="C724" t="str">
            <v>雀巢咖啡 低糖拿铁 268ml</v>
          </cell>
          <cell r="D724">
            <v>45912</v>
          </cell>
          <cell r="E724">
            <v>181857.95</v>
          </cell>
          <cell r="F724">
            <v>4.4759427491723303</v>
          </cell>
        </row>
        <row r="725">
          <cell r="B725" t="str">
            <v>70388914</v>
          </cell>
          <cell r="C725" t="str">
            <v>宜简 晴王葡萄味苏打水 360ML</v>
          </cell>
          <cell r="D725">
            <v>373</v>
          </cell>
          <cell r="E725">
            <v>674.1</v>
          </cell>
          <cell r="F725">
            <v>2.0421796246648798</v>
          </cell>
        </row>
        <row r="726">
          <cell r="B726" t="str">
            <v>70389756</v>
          </cell>
          <cell r="C726" t="str">
            <v>脉动 0糖香水柠檬口味 600ML</v>
          </cell>
          <cell r="D726">
            <v>7798</v>
          </cell>
          <cell r="E726">
            <v>25494.85</v>
          </cell>
          <cell r="F726">
            <v>3.6944319697358301</v>
          </cell>
        </row>
        <row r="727">
          <cell r="B727" t="str">
            <v>70389757</v>
          </cell>
          <cell r="C727" t="str">
            <v>脉动 0糖白桃口味 600ML</v>
          </cell>
          <cell r="D727">
            <v>9017</v>
          </cell>
          <cell r="E727">
            <v>29882.11</v>
          </cell>
          <cell r="F727">
            <v>3.74479142730398</v>
          </cell>
        </row>
        <row r="728">
          <cell r="B728" t="str">
            <v>70392421</v>
          </cell>
          <cell r="C728" t="str">
            <v>农夫山泉 东方树叶青柑普洱茶复合茶饮料 500ML</v>
          </cell>
          <cell r="D728">
            <v>85510</v>
          </cell>
          <cell r="E728">
            <v>262143.61</v>
          </cell>
          <cell r="F728">
            <v>3.4641828943983199</v>
          </cell>
        </row>
        <row r="729">
          <cell r="B729" t="str">
            <v>70392488</v>
          </cell>
          <cell r="C729" t="str">
            <v>阿尔曼 大碗奶茶（杯装） 40G</v>
          </cell>
          <cell r="D729">
            <v>1554</v>
          </cell>
          <cell r="E729">
            <v>4413.7</v>
          </cell>
          <cell r="F729">
            <v>3.2094472329472299</v>
          </cell>
        </row>
        <row r="730">
          <cell r="B730" t="str">
            <v>70392532</v>
          </cell>
          <cell r="C730" t="str">
            <v>青格里 沙棘原浆 500ML</v>
          </cell>
          <cell r="D730">
            <v>24</v>
          </cell>
          <cell r="E730">
            <v>576.07000000000005</v>
          </cell>
          <cell r="F730">
            <v>27.123295833333302</v>
          </cell>
        </row>
        <row r="731">
          <cell r="B731" t="str">
            <v>70393623</v>
          </cell>
          <cell r="C731" t="str">
            <v>三得利 茉莉乌龙茶饮料无糖 500ML</v>
          </cell>
          <cell r="D731">
            <v>30004</v>
          </cell>
          <cell r="E731">
            <v>88237.1</v>
          </cell>
          <cell r="F731">
            <v>3.3231543460871902</v>
          </cell>
        </row>
        <row r="732">
          <cell r="B732" t="str">
            <v>70394162</v>
          </cell>
          <cell r="C732" t="str">
            <v>康师傅 冰红茶无糖 500ML</v>
          </cell>
          <cell r="D732">
            <v>90</v>
          </cell>
          <cell r="E732">
            <v>203.39</v>
          </cell>
          <cell r="F732">
            <v>2.5536744444444399</v>
          </cell>
        </row>
        <row r="733">
          <cell r="B733" t="str">
            <v>70394352</v>
          </cell>
          <cell r="C733" t="str">
            <v>统一 青梅绿茶 1L</v>
          </cell>
          <cell r="D733">
            <v>11850</v>
          </cell>
          <cell r="E733">
            <v>33021.94</v>
          </cell>
          <cell r="F733">
            <v>3.1489276118143499</v>
          </cell>
        </row>
        <row r="734">
          <cell r="B734" t="str">
            <v>70395830</v>
          </cell>
          <cell r="C734" t="str">
            <v>三诺 葡萄糖补水液 300ml（原味）</v>
          </cell>
          <cell r="D734">
            <v>152</v>
          </cell>
          <cell r="E734">
            <v>269.93</v>
          </cell>
          <cell r="F734">
            <v>2.00671644736842</v>
          </cell>
        </row>
        <row r="735">
          <cell r="B735" t="str">
            <v>70396476</v>
          </cell>
          <cell r="C735" t="str">
            <v>昆仑好客舒达源 天然苏打水 350ML</v>
          </cell>
          <cell r="D735">
            <v>19366</v>
          </cell>
          <cell r="E735">
            <v>36390.559999999998</v>
          </cell>
          <cell r="F735">
            <v>2.1233777135185399</v>
          </cell>
        </row>
        <row r="736">
          <cell r="B736" t="str">
            <v>70396477</v>
          </cell>
          <cell r="C736" t="str">
            <v>昆仑好客舒达源 天然苏打水 500ML</v>
          </cell>
          <cell r="D736">
            <v>20432</v>
          </cell>
          <cell r="E736">
            <v>45154.57</v>
          </cell>
          <cell r="F736">
            <v>2.49729170418951</v>
          </cell>
        </row>
        <row r="737">
          <cell r="B737" t="str">
            <v>70396804</v>
          </cell>
          <cell r="C737" t="str">
            <v>慧华圣果 沙棘果汁自立袋装 250ML/袋</v>
          </cell>
          <cell r="D737">
            <v>2711</v>
          </cell>
          <cell r="E737">
            <v>12950.01</v>
          </cell>
          <cell r="F737">
            <v>5.39782784950203</v>
          </cell>
        </row>
        <row r="738">
          <cell r="B738" t="str">
            <v>70399792</v>
          </cell>
          <cell r="C738" t="str">
            <v>好客·智 醇滑拿铁咖啡 245ml</v>
          </cell>
          <cell r="D738">
            <v>63016</v>
          </cell>
          <cell r="E738">
            <v>178367.88</v>
          </cell>
          <cell r="F738">
            <v>3.1984845816935401</v>
          </cell>
        </row>
        <row r="739">
          <cell r="B739" t="str">
            <v>70401574</v>
          </cell>
          <cell r="C739" t="str">
            <v>统一 蜜桃多 1L</v>
          </cell>
          <cell r="D739">
            <v>1454</v>
          </cell>
          <cell r="E739">
            <v>4126.71</v>
          </cell>
          <cell r="F739">
            <v>3.2071405089408498</v>
          </cell>
        </row>
        <row r="740">
          <cell r="B740" t="str">
            <v>70401872</v>
          </cell>
          <cell r="C740" t="str">
            <v>口可可乐 迷你罐芬达 200ML</v>
          </cell>
          <cell r="D740">
            <v>0</v>
          </cell>
          <cell r="E740">
            <v>0</v>
          </cell>
          <cell r="F740" t="e">
            <v>#DIV/0!</v>
          </cell>
        </row>
        <row r="741">
          <cell r="B741" t="str">
            <v>70404650</v>
          </cell>
          <cell r="C741" t="str">
            <v>百事 白桃乌龙SLEEK 330ML</v>
          </cell>
          <cell r="D741">
            <v>0</v>
          </cell>
          <cell r="E741">
            <v>0</v>
          </cell>
          <cell r="F741" t="e">
            <v>#DIV/0!</v>
          </cell>
        </row>
        <row r="742">
          <cell r="B742" t="str">
            <v>70404763</v>
          </cell>
          <cell r="C742" t="str">
            <v>百事 无糖青柠 500ML</v>
          </cell>
          <cell r="D742">
            <v>1288</v>
          </cell>
          <cell r="E742">
            <v>2825.08</v>
          </cell>
          <cell r="F742">
            <v>2.4785251552794998</v>
          </cell>
        </row>
        <row r="743">
          <cell r="B743" t="str">
            <v>70404805</v>
          </cell>
          <cell r="C743" t="str">
            <v>康师傅 蜜桃乌龙 500ML</v>
          </cell>
          <cell r="D743">
            <v>114</v>
          </cell>
          <cell r="E743">
            <v>257.64</v>
          </cell>
          <cell r="F743">
            <v>2.5537999999999998</v>
          </cell>
        </row>
        <row r="744">
          <cell r="B744" t="str">
            <v>70405052</v>
          </cell>
          <cell r="C744" t="str">
            <v>康师傅 无糖冰红茶 1L</v>
          </cell>
          <cell r="D744">
            <v>142</v>
          </cell>
          <cell r="E744">
            <v>448.72</v>
          </cell>
          <cell r="F744">
            <v>3.5708000000000002</v>
          </cell>
        </row>
        <row r="745">
          <cell r="B745" t="str">
            <v>70405078</v>
          </cell>
          <cell r="C745" t="str">
            <v>百事 白桃乌龙 500ML</v>
          </cell>
          <cell r="D745">
            <v>1117</v>
          </cell>
          <cell r="E745">
            <v>2516.75</v>
          </cell>
          <cell r="F745">
            <v>2.5460407341092202</v>
          </cell>
        </row>
        <row r="746">
          <cell r="B746" t="str">
            <v>70407642</v>
          </cell>
          <cell r="C746" t="str">
            <v>COSTA 摩卡咖啡饮料 300ML</v>
          </cell>
          <cell r="D746">
            <v>11753</v>
          </cell>
          <cell r="E746">
            <v>47237.01</v>
          </cell>
          <cell r="F746">
            <v>4.5416337360673902</v>
          </cell>
        </row>
        <row r="747">
          <cell r="B747" t="str">
            <v>70410278</v>
          </cell>
          <cell r="C747" t="str">
            <v>星巴克 星选美式咖啡饮料 270ML</v>
          </cell>
          <cell r="D747">
            <v>29866</v>
          </cell>
          <cell r="E747">
            <v>175912.37</v>
          </cell>
          <cell r="F747">
            <v>6.6557616721355402</v>
          </cell>
        </row>
        <row r="748">
          <cell r="B748" t="str">
            <v>70412041</v>
          </cell>
          <cell r="C748" t="str">
            <v>统一 金桔柠檬 1L</v>
          </cell>
          <cell r="D748">
            <v>8452</v>
          </cell>
          <cell r="E748">
            <v>24277</v>
          </cell>
          <cell r="F748">
            <v>3.2457418362517698</v>
          </cell>
        </row>
        <row r="749">
          <cell r="B749" t="str">
            <v>70413380</v>
          </cell>
          <cell r="C749" t="str">
            <v>达利园 乐虎维生素能量饮料 500ML</v>
          </cell>
          <cell r="D749">
            <v>3364</v>
          </cell>
          <cell r="E749">
            <v>12338.15</v>
          </cell>
          <cell r="F749">
            <v>4.1445034185493501</v>
          </cell>
        </row>
        <row r="750">
          <cell r="B750" t="str">
            <v>70418287</v>
          </cell>
          <cell r="C750" t="str">
            <v>让茶 葡萄乌龙茶450ML 瓶</v>
          </cell>
          <cell r="D750">
            <v>105</v>
          </cell>
          <cell r="E750">
            <v>307.64999999999998</v>
          </cell>
          <cell r="F750">
            <v>3.3109000000000002</v>
          </cell>
        </row>
        <row r="751">
          <cell r="B751" t="str">
            <v>70421328</v>
          </cell>
          <cell r="C751" t="str">
            <v>慧华圣果 沙棘果汁250毫升</v>
          </cell>
          <cell r="D751">
            <v>11383</v>
          </cell>
          <cell r="E751">
            <v>68304.509999999995</v>
          </cell>
          <cell r="F751">
            <v>6.7806462531845701</v>
          </cell>
        </row>
        <row r="752">
          <cell r="B752" t="str">
            <v>70423147</v>
          </cell>
          <cell r="C752" t="str">
            <v>陇上花牛 100％苹果汁 瓶</v>
          </cell>
          <cell r="D752">
            <v>136</v>
          </cell>
          <cell r="E752">
            <v>469.06</v>
          </cell>
          <cell r="F752">
            <v>3.8973367647058801</v>
          </cell>
        </row>
        <row r="753">
          <cell r="B753" t="str">
            <v>70423148</v>
          </cell>
          <cell r="C753" t="str">
            <v>陇上花牛 脱酸低糖苹果汁 瓶</v>
          </cell>
          <cell r="D753">
            <v>312</v>
          </cell>
          <cell r="E753">
            <v>1075.92</v>
          </cell>
          <cell r="F753">
            <v>3.8967615384615399</v>
          </cell>
        </row>
        <row r="754">
          <cell r="B754" t="str">
            <v>70427360</v>
          </cell>
          <cell r="C754" t="str">
            <v>好望水 望杏福杏子果汁气泡水 300ML</v>
          </cell>
          <cell r="D754">
            <v>73</v>
          </cell>
          <cell r="E754">
            <v>452.44</v>
          </cell>
          <cell r="F754">
            <v>7.0035232876712303</v>
          </cell>
        </row>
        <row r="755">
          <cell r="B755" t="str">
            <v>70429412</v>
          </cell>
          <cell r="C755" t="str">
            <v>百事可乐 纯水乐苏打气泡水 300ML</v>
          </cell>
          <cell r="D755">
            <v>5</v>
          </cell>
          <cell r="E755">
            <v>6.8</v>
          </cell>
          <cell r="F755">
            <v>1.5367999999999999</v>
          </cell>
        </row>
        <row r="756">
          <cell r="B756" t="str">
            <v>70433230</v>
          </cell>
          <cell r="C756" t="str">
            <v>果疆湖 酸梅汤 348ml</v>
          </cell>
          <cell r="D756">
            <v>0</v>
          </cell>
          <cell r="E756">
            <v>0</v>
          </cell>
          <cell r="F756" t="e">
            <v>#DIV/0!</v>
          </cell>
        </row>
        <row r="757">
          <cell r="B757" t="str">
            <v>70434386</v>
          </cell>
          <cell r="C757" t="str">
            <v>慧华圣果 沙棘袋装原汁 500ML</v>
          </cell>
          <cell r="D757">
            <v>1107</v>
          </cell>
          <cell r="E757">
            <v>25146.42</v>
          </cell>
          <cell r="F757">
            <v>25.668884010840099</v>
          </cell>
        </row>
        <row r="758">
          <cell r="B758" t="str">
            <v>70434389</v>
          </cell>
          <cell r="C758" t="str">
            <v>慧华圣果 沙棘易拉罐装果汁 310ML</v>
          </cell>
          <cell r="D758">
            <v>20</v>
          </cell>
          <cell r="E758">
            <v>85</v>
          </cell>
          <cell r="F758">
            <v>4.8025000000000002</v>
          </cell>
        </row>
        <row r="759">
          <cell r="B759" t="str">
            <v>70434551</v>
          </cell>
          <cell r="C759" t="str">
            <v>金晔 山楂抱抱饮料 125ML</v>
          </cell>
          <cell r="D759">
            <v>3</v>
          </cell>
          <cell r="E759">
            <v>6.65</v>
          </cell>
          <cell r="F759">
            <v>2.5048333333333299</v>
          </cell>
        </row>
        <row r="760">
          <cell r="B760" t="str">
            <v>70434843</v>
          </cell>
          <cell r="C760" t="str">
            <v>奈雪果茶 葡萄乌龙茶 450ML</v>
          </cell>
          <cell r="D760">
            <v>12</v>
          </cell>
          <cell r="E760">
            <v>47.83</v>
          </cell>
          <cell r="F760">
            <v>4.5039916666666704</v>
          </cell>
        </row>
        <row r="761">
          <cell r="B761" t="str">
            <v>70435736</v>
          </cell>
          <cell r="C761" t="str">
            <v>怡宝 菊花茶 450ML</v>
          </cell>
          <cell r="D761">
            <v>32</v>
          </cell>
          <cell r="E761">
            <v>89.28</v>
          </cell>
          <cell r="F761">
            <v>3.1526999999999998</v>
          </cell>
        </row>
        <row r="762">
          <cell r="B762" t="str">
            <v>70437597</v>
          </cell>
          <cell r="C762" t="str">
            <v>COSTA 轻乳茶白桃乌龙风味 400ML</v>
          </cell>
          <cell r="D762">
            <v>90</v>
          </cell>
          <cell r="E762">
            <v>518.05999999999995</v>
          </cell>
          <cell r="F762">
            <v>6.5045311111111097</v>
          </cell>
        </row>
        <row r="763">
          <cell r="B763" t="str">
            <v>70437598</v>
          </cell>
          <cell r="C763" t="str">
            <v>COSTA 轻乳茶葡萄茉莉风味 400ML</v>
          </cell>
          <cell r="D763">
            <v>25</v>
          </cell>
          <cell r="E763">
            <v>143.88</v>
          </cell>
          <cell r="F763">
            <v>6.5033760000000003</v>
          </cell>
        </row>
        <row r="764">
          <cell r="B764" t="str">
            <v>70439057</v>
          </cell>
          <cell r="C764" t="str">
            <v>王老吉 凉茶瓶装 300ML</v>
          </cell>
          <cell r="D764">
            <v>305</v>
          </cell>
          <cell r="E764">
            <v>598.6</v>
          </cell>
          <cell r="F764">
            <v>2.2177639344262299</v>
          </cell>
        </row>
        <row r="765">
          <cell r="B765" t="str">
            <v>70439071</v>
          </cell>
          <cell r="C765" t="str">
            <v>外星人 电解质水白桃味 600mL</v>
          </cell>
          <cell r="D765">
            <v>8946</v>
          </cell>
          <cell r="E765">
            <v>31353.95</v>
          </cell>
          <cell r="F765">
            <v>3.96042516208361</v>
          </cell>
        </row>
        <row r="766">
          <cell r="B766" t="str">
            <v>70440158</v>
          </cell>
          <cell r="C766" t="str">
            <v>达德录夫 格瓦斯发酵饮料 330ML</v>
          </cell>
          <cell r="D766">
            <v>5</v>
          </cell>
          <cell r="E766">
            <v>13.48</v>
          </cell>
          <cell r="F766">
            <v>3.0464799999999999</v>
          </cell>
        </row>
        <row r="767">
          <cell r="B767" t="str">
            <v>70441594</v>
          </cell>
          <cell r="C767" t="str">
            <v>三得利 橘皮乌龙茶 500ML</v>
          </cell>
          <cell r="D767">
            <v>330</v>
          </cell>
          <cell r="E767">
            <v>1189.0899999999999</v>
          </cell>
          <cell r="F767">
            <v>4.0717324242424198</v>
          </cell>
        </row>
        <row r="768">
          <cell r="B768" t="str">
            <v>70442021</v>
          </cell>
          <cell r="C768" t="str">
            <v>奈雪果茶 蜜桃乌龙茶 450ML</v>
          </cell>
          <cell r="D768">
            <v>21</v>
          </cell>
          <cell r="E768">
            <v>83.73</v>
          </cell>
          <cell r="F768">
            <v>4.5054714285714299</v>
          </cell>
        </row>
        <row r="769">
          <cell r="B769" t="str">
            <v>70442589</v>
          </cell>
          <cell r="C769" t="str">
            <v>康师傅 金桔柠檬（NEW） 500ML</v>
          </cell>
          <cell r="D769">
            <v>0</v>
          </cell>
          <cell r="E769">
            <v>0</v>
          </cell>
          <cell r="F769" t="e">
            <v>#DIV/0!</v>
          </cell>
        </row>
        <row r="770">
          <cell r="B770" t="str">
            <v>70442590</v>
          </cell>
          <cell r="C770" t="str">
            <v>康师傅 金桔柠檬 1L</v>
          </cell>
          <cell r="D770">
            <v>365</v>
          </cell>
          <cell r="E770">
            <v>1124.8900000000001</v>
          </cell>
          <cell r="F770">
            <v>3.4825361643835602</v>
          </cell>
        </row>
        <row r="771">
          <cell r="B771" t="str">
            <v>70442694</v>
          </cell>
          <cell r="C771" t="str">
            <v>雀巢咖啡 招牌美式咖啡饮料 268ML</v>
          </cell>
          <cell r="D771">
            <v>36453</v>
          </cell>
          <cell r="E771">
            <v>144030.06</v>
          </cell>
          <cell r="F771">
            <v>4.4647619619784402</v>
          </cell>
        </row>
        <row r="772">
          <cell r="B772" t="str">
            <v>70442701</v>
          </cell>
          <cell r="C772" t="str">
            <v>香飘飘 MECO红石榴白葡萄果汁茶 400ML</v>
          </cell>
          <cell r="D772">
            <v>67</v>
          </cell>
          <cell r="E772">
            <v>245.92</v>
          </cell>
          <cell r="F772">
            <v>4.1476059701492503</v>
          </cell>
        </row>
        <row r="773">
          <cell r="B773" t="str">
            <v>70442702</v>
          </cell>
          <cell r="C773" t="str">
            <v>香飘飘 MECO荔枝百香果汁茶 400ML</v>
          </cell>
          <cell r="D773">
            <v>117</v>
          </cell>
          <cell r="E773">
            <v>424.47</v>
          </cell>
          <cell r="F773">
            <v>4.0995820512820504</v>
          </cell>
        </row>
        <row r="774">
          <cell r="B774" t="str">
            <v>70442937</v>
          </cell>
          <cell r="C774" t="str">
            <v>百事可乐 美年达橙味六连包 330ml*6</v>
          </cell>
          <cell r="D774">
            <v>181</v>
          </cell>
          <cell r="E774">
            <v>1330.35</v>
          </cell>
          <cell r="F774">
            <v>8.3055000000000003</v>
          </cell>
        </row>
        <row r="775">
          <cell r="B775" t="str">
            <v>70443172</v>
          </cell>
          <cell r="C775" t="str">
            <v>百事可乐无糖 900ml</v>
          </cell>
          <cell r="D775">
            <v>9219</v>
          </cell>
          <cell r="E775">
            <v>30608.54</v>
          </cell>
          <cell r="F775">
            <v>3.7517789565028701</v>
          </cell>
        </row>
        <row r="776">
          <cell r="B776" t="str">
            <v>70445391</v>
          </cell>
          <cell r="C776" t="str">
            <v>奈雪果茶 青提香乌龙茶 450ML</v>
          </cell>
          <cell r="D776">
            <v>35</v>
          </cell>
          <cell r="E776">
            <v>128.71</v>
          </cell>
          <cell r="F776">
            <v>4.1554942857142896</v>
          </cell>
        </row>
        <row r="777">
          <cell r="B777" t="str">
            <v>70446848</v>
          </cell>
          <cell r="C777" t="str">
            <v>娃哈哈 非常苹果苹果汁碳酸饮料 530ML</v>
          </cell>
          <cell r="D777">
            <v>2386</v>
          </cell>
          <cell r="E777">
            <v>5081.8599999999997</v>
          </cell>
          <cell r="F777">
            <v>2.4067484492875102</v>
          </cell>
        </row>
        <row r="778">
          <cell r="B778" t="str">
            <v>70449908</v>
          </cell>
          <cell r="C778" t="str">
            <v>奈雪果茶 荔枝红茶 450ML</v>
          </cell>
          <cell r="D778">
            <v>9</v>
          </cell>
          <cell r="E778">
            <v>35.89</v>
          </cell>
          <cell r="F778">
            <v>4.5061888888888904</v>
          </cell>
        </row>
        <row r="779">
          <cell r="B779" t="str">
            <v>70450284</v>
          </cell>
          <cell r="C779" t="str">
            <v>大窑 荔想汽水 520ML</v>
          </cell>
          <cell r="D779">
            <v>28</v>
          </cell>
          <cell r="E779">
            <v>68.209999999999994</v>
          </cell>
          <cell r="F779">
            <v>2.75276071428571</v>
          </cell>
        </row>
        <row r="780">
          <cell r="B780" t="str">
            <v>70450442</v>
          </cell>
          <cell r="C780" t="str">
            <v>果子熟了 多多满橙 500ML</v>
          </cell>
          <cell r="D780">
            <v>1</v>
          </cell>
          <cell r="E780">
            <v>3.85</v>
          </cell>
          <cell r="F780">
            <v>4.3505000000000003</v>
          </cell>
        </row>
        <row r="781">
          <cell r="B781" t="str">
            <v>70450458</v>
          </cell>
          <cell r="C781" t="str">
            <v>N12 陈皮白茶植物饮料 400ML</v>
          </cell>
          <cell r="D781">
            <v>801</v>
          </cell>
          <cell r="E781">
            <v>2979.42</v>
          </cell>
          <cell r="F781">
            <v>4.2031767790262196</v>
          </cell>
        </row>
        <row r="782">
          <cell r="B782" t="str">
            <v>70450459</v>
          </cell>
          <cell r="C782" t="str">
            <v>N12 陈皮杭白菊植物饮品 400ML</v>
          </cell>
          <cell r="D782">
            <v>188</v>
          </cell>
          <cell r="E782">
            <v>765.71</v>
          </cell>
          <cell r="F782">
            <v>4.6024058510638302</v>
          </cell>
        </row>
        <row r="783">
          <cell r="B783" t="str">
            <v>70450743</v>
          </cell>
          <cell r="C783" t="str">
            <v>三得利 茉莉乌龙（无糖） 500ML</v>
          </cell>
          <cell r="D783">
            <v>32045</v>
          </cell>
          <cell r="E783">
            <v>93820.88</v>
          </cell>
          <cell r="F783">
            <v>3.3083973911686702</v>
          </cell>
        </row>
        <row r="784">
          <cell r="B784" t="str">
            <v>70450745</v>
          </cell>
          <cell r="C784" t="str">
            <v>果子熟了 多多柠檬茶（青柠风味） 500ML</v>
          </cell>
          <cell r="D784">
            <v>5771</v>
          </cell>
          <cell r="E784">
            <v>22247.94</v>
          </cell>
          <cell r="F784">
            <v>4.35629391786519</v>
          </cell>
        </row>
        <row r="785">
          <cell r="B785" t="str">
            <v>70450747</v>
          </cell>
          <cell r="C785" t="str">
            <v>果子熟了 多多柠檬茶（莓果风味） 500ML</v>
          </cell>
          <cell r="D785">
            <v>2837</v>
          </cell>
          <cell r="E785">
            <v>10923.79</v>
          </cell>
          <cell r="F785">
            <v>4.3510337328163597</v>
          </cell>
        </row>
        <row r="786">
          <cell r="B786" t="str">
            <v>70451286</v>
          </cell>
          <cell r="C786" t="str">
            <v>悠蜜 蓝莓复合果汁 235ML</v>
          </cell>
          <cell r="D786">
            <v>87</v>
          </cell>
          <cell r="E786">
            <v>1385.91</v>
          </cell>
          <cell r="F786">
            <v>18.000900000000001</v>
          </cell>
        </row>
        <row r="787">
          <cell r="B787" t="str">
            <v>70452851</v>
          </cell>
          <cell r="C787" t="str">
            <v>康师傅 青提绿茶 500ML</v>
          </cell>
          <cell r="D787">
            <v>14</v>
          </cell>
          <cell r="E787">
            <v>31.64</v>
          </cell>
          <cell r="F787">
            <v>2.5537999999999998</v>
          </cell>
        </row>
        <row r="788">
          <cell r="B788" t="str">
            <v>70452852</v>
          </cell>
          <cell r="C788" t="str">
            <v>康师傅 纯萃零糖 茉莉花茶 500ML</v>
          </cell>
          <cell r="D788">
            <v>88</v>
          </cell>
          <cell r="E788">
            <v>238.43</v>
          </cell>
          <cell r="F788">
            <v>3.0616579545454501</v>
          </cell>
        </row>
        <row r="789">
          <cell r="B789" t="str">
            <v>70452853</v>
          </cell>
          <cell r="C789" t="str">
            <v>康师傅 纯萃零糖 云雾绿茶 500ML</v>
          </cell>
          <cell r="D789">
            <v>57</v>
          </cell>
          <cell r="E789">
            <v>154.47</v>
          </cell>
          <cell r="F789">
            <v>3.0623</v>
          </cell>
        </row>
        <row r="790">
          <cell r="B790" t="str">
            <v>70453830</v>
          </cell>
          <cell r="C790" t="str">
            <v>果子熟了 活力水平衡红心西柚味 600ML</v>
          </cell>
          <cell r="D790">
            <v>0</v>
          </cell>
          <cell r="E790">
            <v>0</v>
          </cell>
          <cell r="F790" t="e">
            <v>#DIV/0!</v>
          </cell>
        </row>
        <row r="791">
          <cell r="B791" t="str">
            <v>70453833</v>
          </cell>
          <cell r="C791" t="str">
            <v>果子熟了 活力水平衡香水柠檬味 600ML</v>
          </cell>
          <cell r="D791">
            <v>9</v>
          </cell>
          <cell r="E791">
            <v>31.86</v>
          </cell>
          <cell r="F791">
            <v>4.0002000000000004</v>
          </cell>
        </row>
        <row r="792">
          <cell r="B792" t="str">
            <v>70453858</v>
          </cell>
          <cell r="C792" t="str">
            <v>红牛 维生素牛磺酸饮料 250ML</v>
          </cell>
          <cell r="D792">
            <v>2178351</v>
          </cell>
          <cell r="E792">
            <v>7123540.9100000001</v>
          </cell>
          <cell r="F792">
            <v>3.6952728133804</v>
          </cell>
        </row>
        <row r="793">
          <cell r="B793" t="str">
            <v>70459274</v>
          </cell>
          <cell r="C793" t="str">
            <v>百事可乐 太汽可乐型汽水白柚青竹味PET 500ML</v>
          </cell>
          <cell r="D793">
            <v>66</v>
          </cell>
          <cell r="E793">
            <v>150.13999999999999</v>
          </cell>
          <cell r="F793">
            <v>2.57057878787879</v>
          </cell>
        </row>
        <row r="794">
          <cell r="B794" t="str">
            <v>70460636</v>
          </cell>
          <cell r="C794" t="str">
            <v>茶里 鸭屎单丛茶饮料 500ml</v>
          </cell>
          <cell r="D794">
            <v>68</v>
          </cell>
          <cell r="E794">
            <v>157.18</v>
          </cell>
          <cell r="F794">
            <v>2.6119617647058799</v>
          </cell>
        </row>
        <row r="795">
          <cell r="B795" t="str">
            <v>70460637</v>
          </cell>
          <cell r="C795" t="str">
            <v>茶里 高山红茶茶饮料-山茶花味 500mL</v>
          </cell>
          <cell r="D795">
            <v>176</v>
          </cell>
          <cell r="E795">
            <v>407.58</v>
          </cell>
          <cell r="F795">
            <v>2.6168488636363598</v>
          </cell>
        </row>
        <row r="796">
          <cell r="B796" t="str">
            <v>70461870</v>
          </cell>
          <cell r="C796" t="str">
            <v>PEPSI 美年达橙 PET500ML</v>
          </cell>
          <cell r="D796">
            <v>5156</v>
          </cell>
          <cell r="E796">
            <v>11308.37</v>
          </cell>
          <cell r="F796">
            <v>2.4783665826221899</v>
          </cell>
        </row>
        <row r="797">
          <cell r="B797" t="str">
            <v>70462387</v>
          </cell>
          <cell r="C797" t="str">
            <v>大窑 饭伴汽水 310ML</v>
          </cell>
          <cell r="D797">
            <v>250</v>
          </cell>
          <cell r="E797">
            <v>597.30999999999995</v>
          </cell>
          <cell r="F797">
            <v>2.6998411999999998</v>
          </cell>
        </row>
        <row r="798">
          <cell r="B798" t="str">
            <v>70462828</v>
          </cell>
          <cell r="C798" t="str">
            <v>海岛范儿 青金桔饮料 310ml</v>
          </cell>
          <cell r="D798">
            <v>66</v>
          </cell>
          <cell r="E798">
            <v>50.53</v>
          </cell>
          <cell r="F798">
            <v>0.86513484848484801</v>
          </cell>
        </row>
        <row r="799">
          <cell r="B799" t="str">
            <v>70465655</v>
          </cell>
          <cell r="C799" t="str">
            <v>IF 椰子汁气泡水 330ML</v>
          </cell>
          <cell r="D799">
            <v>1</v>
          </cell>
          <cell r="E799">
            <v>5.4</v>
          </cell>
          <cell r="F799">
            <v>6.1020000000000003</v>
          </cell>
        </row>
        <row r="800">
          <cell r="B800" t="str">
            <v>70465853</v>
          </cell>
          <cell r="C800" t="str">
            <v>昆仑好客 大窑嘉宾汽水 450ML</v>
          </cell>
          <cell r="D800">
            <v>11</v>
          </cell>
          <cell r="E800">
            <v>25.8</v>
          </cell>
          <cell r="F800">
            <v>2.65036363636364</v>
          </cell>
        </row>
        <row r="801">
          <cell r="B801" t="str">
            <v>70465854</v>
          </cell>
          <cell r="C801" t="str">
            <v>昆仑好客 大窑橙诺汽水 450ML</v>
          </cell>
          <cell r="D801">
            <v>70</v>
          </cell>
          <cell r="E801">
            <v>162.13999999999999</v>
          </cell>
          <cell r="F801">
            <v>2.61740285714286</v>
          </cell>
        </row>
        <row r="802">
          <cell r="B802" t="str">
            <v>70468327</v>
          </cell>
          <cell r="C802" t="str">
            <v>雀巢 燃魂1倍咖啡因浓咖啡 180ml*12</v>
          </cell>
          <cell r="D802">
            <v>92</v>
          </cell>
          <cell r="E802">
            <v>2989.54</v>
          </cell>
          <cell r="F802">
            <v>36.719349999999999</v>
          </cell>
        </row>
        <row r="803">
          <cell r="B803" t="str">
            <v>70469530</v>
          </cell>
          <cell r="C803" t="str">
            <v>可口可乐 零度可乐礼盒装 330ML*6</v>
          </cell>
          <cell r="D803">
            <v>308</v>
          </cell>
          <cell r="E803">
            <v>3109.85</v>
          </cell>
          <cell r="F803">
            <v>11.4095146103896</v>
          </cell>
        </row>
        <row r="804">
          <cell r="B804" t="str">
            <v>70473922</v>
          </cell>
          <cell r="C804" t="str">
            <v>咖世家 纯粹美式 300ML</v>
          </cell>
          <cell r="D804">
            <v>11791</v>
          </cell>
          <cell r="E804">
            <v>53241.17</v>
          </cell>
          <cell r="F804">
            <v>5.1024104910524999</v>
          </cell>
        </row>
        <row r="805">
          <cell r="B805" t="str">
            <v>70473923</v>
          </cell>
          <cell r="C805" t="str">
            <v>咖世家 醇正拿铁 300ML</v>
          </cell>
          <cell r="D805">
            <v>11542</v>
          </cell>
          <cell r="E805">
            <v>49996.85</v>
          </cell>
          <cell r="F805">
            <v>4.8948570871599397</v>
          </cell>
        </row>
        <row r="806">
          <cell r="B806" t="str">
            <v>70473924</v>
          </cell>
          <cell r="C806" t="str">
            <v>咖世家 金妃拿铁 300ML</v>
          </cell>
          <cell r="D806">
            <v>11990</v>
          </cell>
          <cell r="E806">
            <v>54809.33</v>
          </cell>
          <cell r="F806">
            <v>5.1655165054211798</v>
          </cell>
        </row>
        <row r="807">
          <cell r="B807" t="str">
            <v>70473965</v>
          </cell>
          <cell r="C807" t="str">
            <v>美汁源 果粒橙 1.25L</v>
          </cell>
          <cell r="D807">
            <v>79</v>
          </cell>
          <cell r="E807">
            <v>524.33000000000004</v>
          </cell>
          <cell r="F807">
            <v>7.4999101265822796</v>
          </cell>
        </row>
        <row r="808">
          <cell r="B808" t="str">
            <v>70476536</v>
          </cell>
          <cell r="C808" t="str">
            <v>体质能量 血橙菠萝 600ML</v>
          </cell>
          <cell r="D808">
            <v>36</v>
          </cell>
          <cell r="E808">
            <v>157.71</v>
          </cell>
          <cell r="F808">
            <v>4.9503416666666702</v>
          </cell>
        </row>
        <row r="809">
          <cell r="B809" t="str">
            <v>70477200</v>
          </cell>
          <cell r="C809" t="str">
            <v>果子熟了 多多柠檬茶-夏黑葡萄风味 500ML</v>
          </cell>
          <cell r="D809">
            <v>5368</v>
          </cell>
          <cell r="E809">
            <v>20689.53</v>
          </cell>
          <cell r="F809">
            <v>4.3552848174366598</v>
          </cell>
        </row>
        <row r="810">
          <cell r="B810" t="str">
            <v>70477202</v>
          </cell>
          <cell r="C810" t="str">
            <v>果子熟了 多多柠檬茶-荔枝风味 500ML</v>
          </cell>
          <cell r="D810">
            <v>4848</v>
          </cell>
          <cell r="E810">
            <v>17859.900000000001</v>
          </cell>
          <cell r="F810">
            <v>4.1628892326732698</v>
          </cell>
        </row>
        <row r="811">
          <cell r="B811" t="str">
            <v>70482537</v>
          </cell>
          <cell r="C811" t="str">
            <v>疆会有 鲜榨椰子汁 245ML</v>
          </cell>
          <cell r="D811">
            <v>605</v>
          </cell>
          <cell r="E811">
            <v>1671.79</v>
          </cell>
          <cell r="F811">
            <v>3.1225168595041302</v>
          </cell>
        </row>
        <row r="812">
          <cell r="B812" t="str">
            <v>70483047</v>
          </cell>
          <cell r="C812" t="str">
            <v>大窑 荔爱瓶装 520ML</v>
          </cell>
          <cell r="D812">
            <v>18</v>
          </cell>
          <cell r="E812">
            <v>55.77</v>
          </cell>
          <cell r="F812">
            <v>3.50111666666667</v>
          </cell>
        </row>
        <row r="813">
          <cell r="B813" t="str">
            <v>70483049</v>
          </cell>
          <cell r="C813" t="str">
            <v>大窑 橙诺PET 520ML</v>
          </cell>
          <cell r="D813">
            <v>20</v>
          </cell>
          <cell r="E813">
            <v>48.7</v>
          </cell>
          <cell r="F813">
            <v>2.7515499999999999</v>
          </cell>
        </row>
        <row r="814">
          <cell r="B814" t="str">
            <v>70483555</v>
          </cell>
          <cell r="C814" t="str">
            <v>东鹏 补水啦电解质饮料 555ML</v>
          </cell>
          <cell r="D814">
            <v>0</v>
          </cell>
          <cell r="E814">
            <v>0</v>
          </cell>
          <cell r="F814" t="e">
            <v>#DIV/0!</v>
          </cell>
        </row>
        <row r="815">
          <cell r="B815" t="str">
            <v>70483771</v>
          </cell>
          <cell r="C815" t="str">
            <v>煌记 阿娜尔汗100％纯石榴汁 300ML</v>
          </cell>
          <cell r="D815">
            <v>3</v>
          </cell>
          <cell r="E815">
            <v>19.13</v>
          </cell>
          <cell r="F815">
            <v>7.2056333333333296</v>
          </cell>
        </row>
        <row r="816">
          <cell r="B816" t="str">
            <v>70484722</v>
          </cell>
          <cell r="C816" t="str">
            <v>农夫山泉 东方树叶茉莉花茶 900ML</v>
          </cell>
          <cell r="D816">
            <v>129473</v>
          </cell>
          <cell r="E816">
            <v>643410.13</v>
          </cell>
          <cell r="F816">
            <v>5.6154831269840004</v>
          </cell>
        </row>
        <row r="817">
          <cell r="B817" t="str">
            <v>70484726</v>
          </cell>
          <cell r="C817" t="str">
            <v>农夫山泉 东方树叶青柑普洱 900ML</v>
          </cell>
          <cell r="D817">
            <v>47453</v>
          </cell>
          <cell r="E817">
            <v>234570.3</v>
          </cell>
          <cell r="F817">
            <v>5.5858310117379304</v>
          </cell>
        </row>
        <row r="818">
          <cell r="B818" t="str">
            <v>70485036</v>
          </cell>
          <cell r="C818" t="str">
            <v>东鹏 东鹏补水啦电解质饮料（西柚味）1000m</v>
          </cell>
          <cell r="D818">
            <v>1491</v>
          </cell>
          <cell r="E818">
            <v>5036.9399999999996</v>
          </cell>
          <cell r="F818">
            <v>3.8173991951710202</v>
          </cell>
        </row>
        <row r="819">
          <cell r="B819" t="str">
            <v>70485477</v>
          </cell>
          <cell r="C819" t="str">
            <v>脉动 玫瑰葡萄口味 600ML</v>
          </cell>
          <cell r="D819">
            <v>255</v>
          </cell>
          <cell r="E819">
            <v>383.9</v>
          </cell>
          <cell r="F819">
            <v>1.7012039215686301</v>
          </cell>
        </row>
        <row r="820">
          <cell r="B820" t="str">
            <v>70485483</v>
          </cell>
          <cell r="C820" t="str">
            <v>红牛 维生素能量饮料(混合水果味) 325ML</v>
          </cell>
          <cell r="D820">
            <v>91</v>
          </cell>
          <cell r="E820">
            <v>533.74</v>
          </cell>
          <cell r="F820">
            <v>6.6277604395604399</v>
          </cell>
        </row>
        <row r="821">
          <cell r="B821" t="str">
            <v>70485484</v>
          </cell>
          <cell r="C821" t="str">
            <v>红牛 维生素能量饮料(百香果味) 325ML</v>
          </cell>
          <cell r="D821">
            <v>208</v>
          </cell>
          <cell r="E821">
            <v>1219.94</v>
          </cell>
          <cell r="F821">
            <v>6.6275586538461502</v>
          </cell>
        </row>
        <row r="822">
          <cell r="B822" t="str">
            <v>70485557</v>
          </cell>
          <cell r="C822" t="str">
            <v>果子熟了 栀栀乌龙茶 500ML</v>
          </cell>
          <cell r="D822">
            <v>35452</v>
          </cell>
          <cell r="E822">
            <v>115537.47</v>
          </cell>
          <cell r="F822">
            <v>3.6826509392982101</v>
          </cell>
        </row>
        <row r="823">
          <cell r="B823" t="str">
            <v>70485561</v>
          </cell>
          <cell r="C823" t="str">
            <v>果子熟了 金桂乌龙茶 500ML</v>
          </cell>
          <cell r="D823">
            <v>25042</v>
          </cell>
          <cell r="E823">
            <v>81429.17</v>
          </cell>
          <cell r="F823">
            <v>3.6744254492452701</v>
          </cell>
        </row>
        <row r="824">
          <cell r="B824" t="str">
            <v>70485564</v>
          </cell>
          <cell r="C824" t="str">
            <v>果子熟了 梅子乌龙茶 487ML</v>
          </cell>
          <cell r="D824">
            <v>6318</v>
          </cell>
          <cell r="E824">
            <v>21349.22</v>
          </cell>
          <cell r="F824">
            <v>3.81839484013928</v>
          </cell>
        </row>
        <row r="825">
          <cell r="B825" t="str">
            <v>70485773</v>
          </cell>
          <cell r="C825" t="str">
            <v>蒙大纳 葡萄汁 750ML</v>
          </cell>
          <cell r="D825">
            <v>239</v>
          </cell>
          <cell r="E825">
            <v>0</v>
          </cell>
          <cell r="F825">
            <v>0</v>
          </cell>
        </row>
        <row r="826">
          <cell r="B826" t="str">
            <v>70485887</v>
          </cell>
          <cell r="C826" t="str">
            <v>香飘飘 兰芳园冻柠茶 500ML</v>
          </cell>
          <cell r="D826">
            <v>1</v>
          </cell>
          <cell r="E826">
            <v>3.62</v>
          </cell>
          <cell r="F826">
            <v>4.0906000000000002</v>
          </cell>
        </row>
        <row r="827">
          <cell r="B827" t="str">
            <v>70485933</v>
          </cell>
          <cell r="C827" t="str">
            <v>统一 茉莉蜜茶 500ML</v>
          </cell>
          <cell r="D827">
            <v>6432</v>
          </cell>
          <cell r="E827">
            <v>12567.97</v>
          </cell>
          <cell r="F827">
            <v>2.2079922419154201</v>
          </cell>
        </row>
        <row r="828">
          <cell r="B828" t="str">
            <v>70485947</v>
          </cell>
          <cell r="C828" t="str">
            <v>卡拉宝 能量风味饮料 500ML</v>
          </cell>
          <cell r="D828">
            <v>183</v>
          </cell>
          <cell r="E828">
            <v>637.73</v>
          </cell>
          <cell r="F828">
            <v>3.9378956284152999</v>
          </cell>
        </row>
        <row r="829">
          <cell r="B829" t="str">
            <v>70486029</v>
          </cell>
          <cell r="C829" t="str">
            <v>农夫山泉 茶Π柚子绿茶 900ML</v>
          </cell>
          <cell r="D829">
            <v>8244</v>
          </cell>
          <cell r="E829">
            <v>37013.24</v>
          </cell>
          <cell r="F829">
            <v>5.0733819990295999</v>
          </cell>
        </row>
        <row r="830">
          <cell r="B830" t="str">
            <v>70486168</v>
          </cell>
          <cell r="C830" t="str">
            <v>IF 荔枝汁饮料 350ML</v>
          </cell>
          <cell r="D830">
            <v>0</v>
          </cell>
          <cell r="E830">
            <v>0</v>
          </cell>
          <cell r="F830" t="e">
            <v>#DIV/0!</v>
          </cell>
        </row>
        <row r="831">
          <cell r="B831" t="str">
            <v>70486553</v>
          </cell>
          <cell r="C831" t="str">
            <v>雀巢 咖啡燃魂即饮罐装 个</v>
          </cell>
          <cell r="D831">
            <v>234</v>
          </cell>
          <cell r="E831">
            <v>886.02</v>
          </cell>
          <cell r="F831">
            <v>4.2786435897435897</v>
          </cell>
        </row>
        <row r="832">
          <cell r="B832" t="str">
            <v>70488712</v>
          </cell>
          <cell r="C832" t="str">
            <v>农夫山泉 力量帝维他命营养饮料柚子复合风味 500ML</v>
          </cell>
          <cell r="D832">
            <v>0</v>
          </cell>
          <cell r="E832">
            <v>0</v>
          </cell>
          <cell r="F832" t="e">
            <v>#DIV/0!</v>
          </cell>
        </row>
        <row r="833">
          <cell r="B833" t="str">
            <v>70488713</v>
          </cell>
          <cell r="C833" t="str">
            <v>农夫山泉 力量帝维他命西梅桃子风味 500mL</v>
          </cell>
          <cell r="D833">
            <v>2</v>
          </cell>
          <cell r="E833">
            <v>6.02</v>
          </cell>
          <cell r="F833">
            <v>3.4013</v>
          </cell>
        </row>
        <row r="834">
          <cell r="B834" t="str">
            <v>70489712</v>
          </cell>
          <cell r="C834" t="str">
            <v>中沃 金钻体质能量奇异果 600ML</v>
          </cell>
          <cell r="D834">
            <v>7</v>
          </cell>
          <cell r="E834">
            <v>30.68</v>
          </cell>
          <cell r="F834">
            <v>4.95262857142857</v>
          </cell>
        </row>
        <row r="835">
          <cell r="B835" t="str">
            <v>70490074</v>
          </cell>
          <cell r="C835" t="str">
            <v>娃哈哈 AD钙水蜜桃味 450ML</v>
          </cell>
          <cell r="D835">
            <v>19746</v>
          </cell>
          <cell r="E835">
            <v>62248.32</v>
          </cell>
          <cell r="F835">
            <v>3.5622709206928</v>
          </cell>
        </row>
        <row r="836">
          <cell r="B836" t="str">
            <v>70490075</v>
          </cell>
          <cell r="C836" t="str">
            <v>娃哈哈 AD钙草莓味 450ML</v>
          </cell>
          <cell r="D836">
            <v>19289</v>
          </cell>
          <cell r="E836">
            <v>60714.18</v>
          </cell>
          <cell r="F836">
            <v>3.5567952408108199</v>
          </cell>
        </row>
        <row r="837">
          <cell r="B837" t="str">
            <v>70490358</v>
          </cell>
          <cell r="C837" t="str">
            <v>大窑 大窑嘉宾 520ML</v>
          </cell>
          <cell r="D837">
            <v>122</v>
          </cell>
          <cell r="E837">
            <v>377.94</v>
          </cell>
          <cell r="F837">
            <v>3.5005918032786898</v>
          </cell>
        </row>
        <row r="838">
          <cell r="B838" t="str">
            <v>70490367</v>
          </cell>
          <cell r="C838" t="str">
            <v>大窑 大窑橙诺 520ML</v>
          </cell>
          <cell r="D838">
            <v>78</v>
          </cell>
          <cell r="E838">
            <v>241.63</v>
          </cell>
          <cell r="F838">
            <v>3.5005371794871798</v>
          </cell>
        </row>
        <row r="839">
          <cell r="B839" t="str">
            <v>70491153</v>
          </cell>
          <cell r="C839" t="str">
            <v>笑厨 番茄大果粒 318ML</v>
          </cell>
          <cell r="D839">
            <v>130</v>
          </cell>
          <cell r="E839">
            <v>613.4</v>
          </cell>
          <cell r="F839">
            <v>5.3318615384615402</v>
          </cell>
        </row>
        <row r="840">
          <cell r="B840" t="str">
            <v>70491738</v>
          </cell>
          <cell r="C840" t="str">
            <v>慧华圣果 沙棘原汁自立袋装 50ML*10/盒</v>
          </cell>
          <cell r="D840">
            <v>105</v>
          </cell>
          <cell r="E840">
            <v>5464.76</v>
          </cell>
          <cell r="F840">
            <v>58.811226666666698</v>
          </cell>
        </row>
        <row r="841">
          <cell r="B841" t="str">
            <v>70491752</v>
          </cell>
          <cell r="C841" t="str">
            <v>慧华圣果 沙棘瓶装原汁 248ML*8/箱</v>
          </cell>
          <cell r="D841">
            <v>37</v>
          </cell>
          <cell r="E841">
            <v>4420.37</v>
          </cell>
          <cell r="F841">
            <v>135.00048918918901</v>
          </cell>
        </row>
        <row r="842">
          <cell r="B842" t="str">
            <v>70493567</v>
          </cell>
          <cell r="C842" t="str">
            <v>厚生记 杞视力 240ml</v>
          </cell>
          <cell r="D842">
            <v>173</v>
          </cell>
          <cell r="E842">
            <v>457.2</v>
          </cell>
          <cell r="F842">
            <v>2.9863352601156099</v>
          </cell>
        </row>
        <row r="843">
          <cell r="B843" t="str">
            <v>70493568</v>
          </cell>
          <cell r="C843" t="str">
            <v>厚生记 杞效 500ML</v>
          </cell>
          <cell r="D843">
            <v>26629</v>
          </cell>
          <cell r="E843">
            <v>72343.7</v>
          </cell>
          <cell r="F843">
            <v>3.0699005219873099</v>
          </cell>
        </row>
        <row r="844">
          <cell r="B844" t="str">
            <v>70494176</v>
          </cell>
          <cell r="C844" t="str">
            <v>茶小开 烟雨龙井茶 500ML</v>
          </cell>
          <cell r="D844">
            <v>13736</v>
          </cell>
          <cell r="E844">
            <v>42767.79</v>
          </cell>
          <cell r="F844">
            <v>3.51831702824694</v>
          </cell>
        </row>
        <row r="845">
          <cell r="B845" t="str">
            <v>70494179</v>
          </cell>
          <cell r="C845" t="str">
            <v>茶小开 茉莉花茶 500ML</v>
          </cell>
          <cell r="D845">
            <v>17636</v>
          </cell>
          <cell r="E845">
            <v>55779.62</v>
          </cell>
          <cell r="F845">
            <v>3.5739947040145199</v>
          </cell>
        </row>
        <row r="846">
          <cell r="B846" t="str">
            <v>70494212</v>
          </cell>
          <cell r="C846" t="str">
            <v>好望水 望梅好 300ML</v>
          </cell>
          <cell r="D846">
            <v>88</v>
          </cell>
          <cell r="E846">
            <v>545.36</v>
          </cell>
          <cell r="F846">
            <v>7.0029181818181803</v>
          </cell>
        </row>
        <row r="847">
          <cell r="B847" t="str">
            <v>70494461</v>
          </cell>
          <cell r="C847" t="str">
            <v>格桑泉 饮用天然矿泉水 500ML</v>
          </cell>
          <cell r="D847">
            <v>6849</v>
          </cell>
          <cell r="E847">
            <v>6512.22</v>
          </cell>
          <cell r="F847">
            <v>1.0744354796320601</v>
          </cell>
        </row>
        <row r="848">
          <cell r="B848" t="str">
            <v>70494706</v>
          </cell>
          <cell r="C848" t="str">
            <v>怡宝 柠檬茶 450ML</v>
          </cell>
          <cell r="D848">
            <v>18</v>
          </cell>
          <cell r="E848">
            <v>50.22</v>
          </cell>
          <cell r="F848">
            <v>3.1526999999999998</v>
          </cell>
        </row>
        <row r="849">
          <cell r="B849" t="str">
            <v>70495009</v>
          </cell>
          <cell r="C849" t="str">
            <v>果子熟了 柚子乌龙茶 487ML</v>
          </cell>
          <cell r="D849">
            <v>5735</v>
          </cell>
          <cell r="E849">
            <v>19394.96</v>
          </cell>
          <cell r="F849">
            <v>3.8215004010462099</v>
          </cell>
        </row>
        <row r="850">
          <cell r="B850" t="str">
            <v>70495770</v>
          </cell>
          <cell r="C850" t="str">
            <v>农夫山泉 茶ㄫ果味茶饮料西柚茉莉花茶味 900ML</v>
          </cell>
          <cell r="D850">
            <v>6270</v>
          </cell>
          <cell r="E850">
            <v>28158.2</v>
          </cell>
          <cell r="F850">
            <v>5.0747633173843703</v>
          </cell>
        </row>
        <row r="851">
          <cell r="B851" t="str">
            <v>70495866</v>
          </cell>
          <cell r="C851" t="str">
            <v>酷番 复合番茄汁饮料 300ML</v>
          </cell>
          <cell r="D851">
            <v>60</v>
          </cell>
          <cell r="E851">
            <v>354.35</v>
          </cell>
          <cell r="F851">
            <v>6.6735916666666704</v>
          </cell>
        </row>
        <row r="852">
          <cell r="B852" t="str">
            <v>70495868</v>
          </cell>
          <cell r="C852" t="str">
            <v>大窑 窑记酸梅汤 310ML</v>
          </cell>
          <cell r="D852">
            <v>277</v>
          </cell>
          <cell r="E852">
            <v>661.96</v>
          </cell>
          <cell r="F852">
            <v>2.7004144404332102</v>
          </cell>
        </row>
        <row r="853">
          <cell r="B853" t="str">
            <v>70495869</v>
          </cell>
          <cell r="C853" t="str">
            <v>大窑 嘉宾 520ML</v>
          </cell>
          <cell r="D853">
            <v>51</v>
          </cell>
          <cell r="E853">
            <v>124.17</v>
          </cell>
          <cell r="F853">
            <v>2.7512176470588199</v>
          </cell>
        </row>
        <row r="854">
          <cell r="B854" t="str">
            <v>70496032</v>
          </cell>
          <cell r="C854" t="str">
            <v>康师傅 柑橘C风暴 1L</v>
          </cell>
          <cell r="D854">
            <v>3</v>
          </cell>
          <cell r="E854">
            <v>9.48</v>
          </cell>
          <cell r="F854">
            <v>3.5708000000000002</v>
          </cell>
        </row>
        <row r="855">
          <cell r="B855" t="str">
            <v>70497727</v>
          </cell>
          <cell r="C855" t="str">
            <v>果子熟了 夏黑葡萄乌龙茶饮料 487ML</v>
          </cell>
          <cell r="D855">
            <v>5086</v>
          </cell>
          <cell r="E855">
            <v>17126.62</v>
          </cell>
          <cell r="F855">
            <v>3.8051672434132899</v>
          </cell>
        </row>
        <row r="856">
          <cell r="B856" t="str">
            <v>70498375</v>
          </cell>
          <cell r="C856" t="str">
            <v>健力宝 橙味 900ML</v>
          </cell>
          <cell r="D856">
            <v>22974</v>
          </cell>
          <cell r="E856">
            <v>71418.179999999993</v>
          </cell>
          <cell r="F856">
            <v>3.5127772003133999</v>
          </cell>
        </row>
        <row r="857">
          <cell r="B857" t="str">
            <v>70498396</v>
          </cell>
          <cell r="C857" t="str">
            <v>雀巢 咖啡醇品8杯速溶黑咖啡 盒</v>
          </cell>
          <cell r="D857">
            <v>341</v>
          </cell>
          <cell r="E857">
            <v>2236.7800000000002</v>
          </cell>
          <cell r="F857">
            <v>7.4122035190615803</v>
          </cell>
        </row>
        <row r="858">
          <cell r="B858" t="str">
            <v>70498560</v>
          </cell>
          <cell r="C858" t="str">
            <v>阿尔曼 酥油奶茶 32G</v>
          </cell>
          <cell r="D858">
            <v>2139</v>
          </cell>
          <cell r="E858">
            <v>3347.66</v>
          </cell>
          <cell r="F858">
            <v>1.76851603553062</v>
          </cell>
        </row>
        <row r="859">
          <cell r="B859" t="str">
            <v>70499006</v>
          </cell>
          <cell r="C859" t="str">
            <v>康师傅 纯萃零糖高山乌龙 500ML</v>
          </cell>
          <cell r="D859">
            <v>0</v>
          </cell>
          <cell r="E859">
            <v>0</v>
          </cell>
          <cell r="F859" t="e">
            <v>#DIV/0!</v>
          </cell>
        </row>
        <row r="860">
          <cell r="B860" t="str">
            <v>70499084</v>
          </cell>
          <cell r="C860" t="str">
            <v>百事可乐 无糖生可乐 500ML</v>
          </cell>
          <cell r="D860">
            <v>2380</v>
          </cell>
          <cell r="E860">
            <v>6422.88</v>
          </cell>
          <cell r="F860">
            <v>3.04951865546218</v>
          </cell>
        </row>
        <row r="861">
          <cell r="B861" t="str">
            <v>70499237</v>
          </cell>
          <cell r="C861" t="str">
            <v>雪山果园 沙棘原浆 300ML</v>
          </cell>
          <cell r="D861">
            <v>15</v>
          </cell>
          <cell r="E861">
            <v>166.01</v>
          </cell>
          <cell r="F861">
            <v>12.5060866666667</v>
          </cell>
        </row>
        <row r="862">
          <cell r="B862" t="str">
            <v>70499238</v>
          </cell>
          <cell r="C862" t="str">
            <v>雪山果园 西梅原浆 238ML</v>
          </cell>
          <cell r="D862">
            <v>20</v>
          </cell>
          <cell r="E862">
            <v>177</v>
          </cell>
          <cell r="F862">
            <v>10.000500000000001</v>
          </cell>
        </row>
        <row r="863">
          <cell r="B863" t="str">
            <v>70499363</v>
          </cell>
          <cell r="C863" t="str">
            <v>IF 香水椰子水 350ML</v>
          </cell>
          <cell r="D863">
            <v>514</v>
          </cell>
          <cell r="E863">
            <v>2860.3</v>
          </cell>
          <cell r="F863">
            <v>6.2882081712062297</v>
          </cell>
        </row>
        <row r="864">
          <cell r="B864" t="str">
            <v>70503884</v>
          </cell>
          <cell r="C864" t="str">
            <v>吉萃元 沙棘全果饮品 175ML*6/盒</v>
          </cell>
          <cell r="D864">
            <v>1</v>
          </cell>
          <cell r="E864">
            <v>23.9</v>
          </cell>
          <cell r="F864">
            <v>27.007000000000001</v>
          </cell>
        </row>
        <row r="865">
          <cell r="B865" t="str">
            <v>70503890</v>
          </cell>
          <cell r="C865" t="str">
            <v>吉萃元 有机沙棘全果原浆 200ML*6/盒</v>
          </cell>
          <cell r="D865">
            <v>14</v>
          </cell>
          <cell r="E865">
            <v>792.93</v>
          </cell>
          <cell r="F865">
            <v>64.000778571428597</v>
          </cell>
        </row>
        <row r="866">
          <cell r="B866" t="str">
            <v>70503899</v>
          </cell>
          <cell r="C866" t="str">
            <v>吉萃元 有机沙棘全果原浆 500ML</v>
          </cell>
          <cell r="D866">
            <v>2</v>
          </cell>
          <cell r="E866">
            <v>32.86</v>
          </cell>
          <cell r="F866">
            <v>18.565899999999999</v>
          </cell>
        </row>
        <row r="867">
          <cell r="B867" t="str">
            <v>70505804</v>
          </cell>
          <cell r="C867" t="str">
            <v>果力宝 益生菌西梅汁 240ML</v>
          </cell>
          <cell r="D867">
            <v>1431</v>
          </cell>
          <cell r="E867">
            <v>5065.96</v>
          </cell>
          <cell r="F867">
            <v>4.0003737246680604</v>
          </cell>
        </row>
        <row r="868">
          <cell r="B868" t="str">
            <v>70505805</v>
          </cell>
          <cell r="C868" t="str">
            <v>果力宝 低温发酵核桃乳 240ML</v>
          </cell>
          <cell r="D868">
            <v>126</v>
          </cell>
          <cell r="E868">
            <v>446.04</v>
          </cell>
          <cell r="F868">
            <v>4.0002000000000004</v>
          </cell>
        </row>
        <row r="869">
          <cell r="B869" t="str">
            <v>70506470</v>
          </cell>
          <cell r="C869" t="str">
            <v>果子熟了 茉莉龙井茉莉花味龙井茶饮料 500ML</v>
          </cell>
          <cell r="D869">
            <v>21719</v>
          </cell>
          <cell r="E869">
            <v>70597.100000000006</v>
          </cell>
          <cell r="F869">
            <v>3.6730384916432599</v>
          </cell>
        </row>
        <row r="870">
          <cell r="B870" t="str">
            <v>70509124</v>
          </cell>
          <cell r="C870" t="str">
            <v>吉岛 果饮椰子水 1L</v>
          </cell>
          <cell r="D870">
            <v>19</v>
          </cell>
          <cell r="E870">
            <v>242.14</v>
          </cell>
          <cell r="F870">
            <v>14.4009578947368</v>
          </cell>
        </row>
        <row r="871">
          <cell r="B871" t="str">
            <v>70510881</v>
          </cell>
          <cell r="C871" t="str">
            <v>元气森林 减糖柠檬冰茶 900ML</v>
          </cell>
          <cell r="D871">
            <v>1439</v>
          </cell>
          <cell r="E871">
            <v>5282.82</v>
          </cell>
          <cell r="F871">
            <v>4.1484271021542698</v>
          </cell>
        </row>
        <row r="872">
          <cell r="B872" t="str">
            <v>70510918</v>
          </cell>
          <cell r="C872" t="str">
            <v>香飘飘 MECO蜜谷果汁茶芒果芭乐 400ML</v>
          </cell>
          <cell r="D872">
            <v>32</v>
          </cell>
          <cell r="E872">
            <v>115.64</v>
          </cell>
          <cell r="F872">
            <v>4.0835375000000003</v>
          </cell>
        </row>
        <row r="873">
          <cell r="B873" t="str">
            <v>70511065</v>
          </cell>
          <cell r="C873" t="str">
            <v>康师傅 大红袍红茶 500ML</v>
          </cell>
          <cell r="D873">
            <v>10</v>
          </cell>
          <cell r="E873">
            <v>31.6</v>
          </cell>
          <cell r="F873">
            <v>3.5708000000000002</v>
          </cell>
        </row>
        <row r="874">
          <cell r="B874" t="str">
            <v>70511067</v>
          </cell>
          <cell r="C874" t="str">
            <v>康师傅 大红袍奶茶 500ML</v>
          </cell>
          <cell r="D874">
            <v>2</v>
          </cell>
          <cell r="E874">
            <v>6.32</v>
          </cell>
          <cell r="F874">
            <v>3.5708000000000002</v>
          </cell>
        </row>
        <row r="875">
          <cell r="B875" t="str">
            <v>70511070</v>
          </cell>
          <cell r="C875" t="str">
            <v>康师傅 茉莉绿茶(无糖茶) 500ML</v>
          </cell>
          <cell r="D875">
            <v>0</v>
          </cell>
          <cell r="E875">
            <v>0</v>
          </cell>
          <cell r="F875" t="e">
            <v>#DIV/0!</v>
          </cell>
        </row>
        <row r="876">
          <cell r="B876" t="str">
            <v>70511076</v>
          </cell>
          <cell r="C876" t="str">
            <v>康师傅 茉莉绿茶(无糖茶) 1L</v>
          </cell>
          <cell r="D876">
            <v>77</v>
          </cell>
          <cell r="E876">
            <v>278.08</v>
          </cell>
          <cell r="F876">
            <v>4.0809142857142904</v>
          </cell>
        </row>
        <row r="877">
          <cell r="B877" t="str">
            <v>70511155</v>
          </cell>
          <cell r="C877" t="str">
            <v>星巴克 星茶饮料桃桃乌龙茶果汁饮料 330ML</v>
          </cell>
          <cell r="D877">
            <v>20</v>
          </cell>
          <cell r="E877">
            <v>106.2</v>
          </cell>
          <cell r="F877">
            <v>6.0003000000000002</v>
          </cell>
        </row>
        <row r="878">
          <cell r="B878" t="str">
            <v>70511184</v>
          </cell>
          <cell r="C878" t="str">
            <v>清蓝 生椰牛乳 380ML</v>
          </cell>
          <cell r="D878">
            <v>2240</v>
          </cell>
          <cell r="E878">
            <v>8714.6200000000008</v>
          </cell>
          <cell r="F878">
            <v>4.3962145535714301</v>
          </cell>
        </row>
        <row r="879">
          <cell r="B879" t="str">
            <v>70511185</v>
          </cell>
          <cell r="C879" t="str">
            <v>清蓝 生椰马蹄 380ML</v>
          </cell>
          <cell r="D879">
            <v>7</v>
          </cell>
          <cell r="E879">
            <v>27.93</v>
          </cell>
          <cell r="F879">
            <v>4.5087000000000002</v>
          </cell>
        </row>
        <row r="880">
          <cell r="B880" t="str">
            <v>70511553</v>
          </cell>
          <cell r="C880" t="str">
            <v>东鹏 乌龙上茶 750ml</v>
          </cell>
          <cell r="D880">
            <v>26</v>
          </cell>
          <cell r="E880">
            <v>64.709999999999994</v>
          </cell>
          <cell r="F880">
            <v>2.8123961538461502</v>
          </cell>
        </row>
        <row r="881">
          <cell r="B881" t="str">
            <v>70511640</v>
          </cell>
          <cell r="C881" t="str">
            <v>康师傅 纯粹零糖茉莉花茶 1000ML</v>
          </cell>
          <cell r="D881">
            <v>0</v>
          </cell>
          <cell r="E881">
            <v>0</v>
          </cell>
          <cell r="F881" t="e">
            <v>#DIV/0!</v>
          </cell>
        </row>
        <row r="882">
          <cell r="B882" t="str">
            <v>70511641</v>
          </cell>
          <cell r="C882" t="str">
            <v>康师傅 纯粹零糖高山乌龙 1000ML</v>
          </cell>
          <cell r="D882">
            <v>0</v>
          </cell>
          <cell r="E882">
            <v>0</v>
          </cell>
          <cell r="F882" t="e">
            <v>#DIV/0!</v>
          </cell>
        </row>
        <row r="883">
          <cell r="B883" t="str">
            <v>70513358</v>
          </cell>
          <cell r="C883" t="str">
            <v>伊利 伊刻活泉现泡大红袍乌龙茶 455ML</v>
          </cell>
          <cell r="D883">
            <v>1633</v>
          </cell>
          <cell r="E883">
            <v>5983.85</v>
          </cell>
          <cell r="F883">
            <v>4.1406922841396199</v>
          </cell>
        </row>
        <row r="884">
          <cell r="B884" t="str">
            <v>70513359</v>
          </cell>
          <cell r="C884" t="str">
            <v>伊利 伊刻活泉现泡绿茶茉莉花茶 455ML</v>
          </cell>
          <cell r="D884">
            <v>479</v>
          </cell>
          <cell r="E884">
            <v>1675.68</v>
          </cell>
          <cell r="F884">
            <v>3.95306555323591</v>
          </cell>
        </row>
        <row r="885">
          <cell r="B885" t="str">
            <v>70514542</v>
          </cell>
          <cell r="C885" t="str">
            <v>红牛 能量饮料 400ML</v>
          </cell>
          <cell r="D885">
            <v>13921</v>
          </cell>
          <cell r="E885">
            <v>48967.82</v>
          </cell>
          <cell r="F885">
            <v>3.9748320235615302</v>
          </cell>
        </row>
        <row r="886">
          <cell r="B886" t="str">
            <v>70514564</v>
          </cell>
          <cell r="C886" t="str">
            <v>百事可乐 果碳双提百事*果缤纷 2L*2</v>
          </cell>
          <cell r="D886">
            <v>13</v>
          </cell>
          <cell r="E886">
            <v>122.33</v>
          </cell>
          <cell r="F886">
            <v>10.6333</v>
          </cell>
        </row>
        <row r="887">
          <cell r="B887" t="str">
            <v>70514782</v>
          </cell>
          <cell r="C887" t="str">
            <v>百事可乐 百事可乐＋果缤纷阳光橙 2L*2</v>
          </cell>
          <cell r="D887">
            <v>5</v>
          </cell>
          <cell r="E887">
            <v>47.05</v>
          </cell>
          <cell r="F887">
            <v>10.6333</v>
          </cell>
        </row>
        <row r="888">
          <cell r="B888" t="str">
            <v>70516624</v>
          </cell>
          <cell r="C888" t="str">
            <v>东鹏 补水啦电解质饮料柠檬味 555ML</v>
          </cell>
          <cell r="D888">
            <v>21</v>
          </cell>
          <cell r="E888">
            <v>72.77</v>
          </cell>
          <cell r="F888">
            <v>3.9157190476190502</v>
          </cell>
        </row>
        <row r="889">
          <cell r="B889" t="str">
            <v>70517025</v>
          </cell>
          <cell r="C889" t="str">
            <v>茶小开 大红袍茶饮料 500ML</v>
          </cell>
          <cell r="D889">
            <v>5271</v>
          </cell>
          <cell r="E889">
            <v>17466</v>
          </cell>
          <cell r="F889">
            <v>3.7443710870802498</v>
          </cell>
        </row>
        <row r="890">
          <cell r="B890" t="str">
            <v>70517026</v>
          </cell>
          <cell r="C890" t="str">
            <v>茶小开 金骏眉茶饮料 500ML</v>
          </cell>
          <cell r="D890">
            <v>2613</v>
          </cell>
          <cell r="E890">
            <v>7228.69</v>
          </cell>
          <cell r="F890">
            <v>3.1260695369307299</v>
          </cell>
        </row>
        <row r="891">
          <cell r="B891" t="str">
            <v>70517027</v>
          </cell>
          <cell r="C891" t="str">
            <v>茶小开 烟波龙井茶饮料 500ML</v>
          </cell>
          <cell r="D891">
            <v>5804</v>
          </cell>
          <cell r="E891">
            <v>19262.93</v>
          </cell>
          <cell r="F891">
            <v>3.7503636974500298</v>
          </cell>
        </row>
        <row r="892">
          <cell r="B892" t="str">
            <v>70517028</v>
          </cell>
          <cell r="C892" t="str">
            <v>茶小开 碧螺春茶饮料 500ML</v>
          </cell>
          <cell r="D892">
            <v>7783</v>
          </cell>
          <cell r="E892">
            <v>24908.71</v>
          </cell>
          <cell r="F892">
            <v>3.6164515353976601</v>
          </cell>
        </row>
        <row r="893">
          <cell r="B893" t="str">
            <v>70517874</v>
          </cell>
          <cell r="C893" t="str">
            <v>英贝健 西梅纤维果饮 500ML</v>
          </cell>
          <cell r="D893">
            <v>306</v>
          </cell>
          <cell r="E893">
            <v>4927.1099999999997</v>
          </cell>
          <cell r="F893">
            <v>18.194883333333301</v>
          </cell>
        </row>
        <row r="894">
          <cell r="B894" t="str">
            <v>70519620</v>
          </cell>
          <cell r="C894" t="str">
            <v>农夫山泉 水溶C100血橙味复合果汁 445ML</v>
          </cell>
          <cell r="D894">
            <v>20984</v>
          </cell>
          <cell r="E894">
            <v>65541.279999999999</v>
          </cell>
          <cell r="F894">
            <v>3.5294341593595102</v>
          </cell>
        </row>
        <row r="895">
          <cell r="B895" t="str">
            <v>70520677</v>
          </cell>
          <cell r="C895" t="str">
            <v>魔爪 百香果番石榴味能量风味饮料 330ML</v>
          </cell>
          <cell r="D895">
            <v>27575</v>
          </cell>
          <cell r="E895">
            <v>102046.63</v>
          </cell>
          <cell r="F895">
            <v>4.1817839310970104</v>
          </cell>
        </row>
        <row r="896">
          <cell r="B896" t="str">
            <v>70520693</v>
          </cell>
          <cell r="C896" t="str">
            <v>茶小开 龙井 900ML</v>
          </cell>
          <cell r="D896">
            <v>4277</v>
          </cell>
          <cell r="E896">
            <v>20059.03</v>
          </cell>
          <cell r="F896">
            <v>5.2996735796118797</v>
          </cell>
        </row>
        <row r="897">
          <cell r="B897" t="str">
            <v>70520775</v>
          </cell>
          <cell r="C897" t="str">
            <v>茶小开 大红袍 900ML</v>
          </cell>
          <cell r="D897">
            <v>3259</v>
          </cell>
          <cell r="E897">
            <v>15078.61</v>
          </cell>
          <cell r="F897">
            <v>5.2282385087450098</v>
          </cell>
        </row>
        <row r="898">
          <cell r="B898" t="str">
            <v>70520829</v>
          </cell>
          <cell r="C898" t="str">
            <v>东鹏 茉莉上茶 555ml</v>
          </cell>
          <cell r="D898">
            <v>0</v>
          </cell>
          <cell r="E898">
            <v>0</v>
          </cell>
          <cell r="F898" t="e">
            <v>#DIV/0!</v>
          </cell>
        </row>
        <row r="899">
          <cell r="B899" t="str">
            <v>70521078</v>
          </cell>
          <cell r="C899" t="str">
            <v>N12 陈皮赤小豆薏米植物饮料 500ML</v>
          </cell>
          <cell r="D899">
            <v>59</v>
          </cell>
          <cell r="E899">
            <v>252.09</v>
          </cell>
          <cell r="F899">
            <v>4.8281644067796599</v>
          </cell>
        </row>
        <row r="900">
          <cell r="B900" t="str">
            <v>70521079</v>
          </cell>
          <cell r="C900" t="str">
            <v>N12 山楂植物饮品 500ML</v>
          </cell>
          <cell r="D900">
            <v>1843</v>
          </cell>
          <cell r="E900">
            <v>6653.39</v>
          </cell>
          <cell r="F900">
            <v>4.0793981009224103</v>
          </cell>
        </row>
        <row r="901">
          <cell r="B901" t="str">
            <v>70521816</v>
          </cell>
          <cell r="C901" t="str">
            <v>阿尔泰山 雪都冰原 500ML</v>
          </cell>
          <cell r="D901">
            <v>91</v>
          </cell>
          <cell r="E901">
            <v>239.92</v>
          </cell>
          <cell r="F901">
            <v>2.97922637362637</v>
          </cell>
        </row>
        <row r="902">
          <cell r="B902" t="str">
            <v>70521818</v>
          </cell>
          <cell r="C902" t="str">
            <v>阿尔泰山 雪都冰原 330ML</v>
          </cell>
          <cell r="D902">
            <v>0</v>
          </cell>
          <cell r="E902">
            <v>0</v>
          </cell>
          <cell r="F902" t="e">
            <v>#DIV/0!</v>
          </cell>
        </row>
        <row r="903">
          <cell r="B903" t="str">
            <v>70522143</v>
          </cell>
          <cell r="C903" t="str">
            <v>泉韵 苏打水 350ML</v>
          </cell>
          <cell r="D903">
            <v>247</v>
          </cell>
          <cell r="E903">
            <v>273.83</v>
          </cell>
          <cell r="F903">
            <v>1.25274453441296</v>
          </cell>
        </row>
        <row r="904">
          <cell r="B904" t="str">
            <v>70522243</v>
          </cell>
          <cell r="C904" t="str">
            <v>元气自在 红豆薏米水 500ML</v>
          </cell>
          <cell r="D904">
            <v>71</v>
          </cell>
          <cell r="E904">
            <v>203.85</v>
          </cell>
          <cell r="F904">
            <v>3.2443732394366198</v>
          </cell>
        </row>
        <row r="905">
          <cell r="B905" t="str">
            <v>70522251</v>
          </cell>
          <cell r="C905" t="str">
            <v>果子熟了 青青乌龙 500ML</v>
          </cell>
          <cell r="D905">
            <v>39</v>
          </cell>
          <cell r="E905">
            <v>138.06</v>
          </cell>
          <cell r="F905">
            <v>4.0002000000000004</v>
          </cell>
        </row>
        <row r="906">
          <cell r="B906" t="str">
            <v>70522292</v>
          </cell>
          <cell r="C906" t="str">
            <v>雀巢 斗牛士能量咖啡 250ML</v>
          </cell>
          <cell r="D906">
            <v>66</v>
          </cell>
          <cell r="E906">
            <v>271.18</v>
          </cell>
          <cell r="F906">
            <v>4.6429303030303002</v>
          </cell>
        </row>
        <row r="907">
          <cell r="B907" t="str">
            <v>70523351</v>
          </cell>
          <cell r="C907" t="str">
            <v>元气森林 苏打气泡水柠檬乐味 480ML</v>
          </cell>
          <cell r="D907">
            <v>5581</v>
          </cell>
          <cell r="E907">
            <v>16802.09</v>
          </cell>
          <cell r="F907">
            <v>3.4019641103744802</v>
          </cell>
        </row>
        <row r="908">
          <cell r="B908" t="str">
            <v>70523357</v>
          </cell>
          <cell r="C908" t="str">
            <v>三得利 桂花乌龙茶（无糖） 500ML</v>
          </cell>
          <cell r="D908">
            <v>168</v>
          </cell>
          <cell r="E908">
            <v>348.29</v>
          </cell>
          <cell r="F908">
            <v>2.34266488095238</v>
          </cell>
        </row>
        <row r="909">
          <cell r="B909" t="str">
            <v>70523359</v>
          </cell>
          <cell r="C909" t="str">
            <v>三得利 麦茶（无糖） 500ML</v>
          </cell>
          <cell r="D909">
            <v>340</v>
          </cell>
          <cell r="E909">
            <v>1005.12</v>
          </cell>
          <cell r="F909">
            <v>3.3405458823529401</v>
          </cell>
        </row>
        <row r="910">
          <cell r="B910" t="str">
            <v>70523674</v>
          </cell>
          <cell r="C910" t="str">
            <v>让茶 茉莉乌龙茶饮料 500ML</v>
          </cell>
          <cell r="D910">
            <v>105</v>
          </cell>
          <cell r="E910">
            <v>307.64999999999998</v>
          </cell>
          <cell r="F910">
            <v>3.3109000000000002</v>
          </cell>
        </row>
        <row r="911">
          <cell r="B911" t="str">
            <v>70523675</v>
          </cell>
          <cell r="C911" t="str">
            <v>让茶 竹香乌龙茶饮料 500ML</v>
          </cell>
          <cell r="D911">
            <v>105</v>
          </cell>
          <cell r="E911">
            <v>307.64999999999998</v>
          </cell>
          <cell r="F911">
            <v>3.3109000000000002</v>
          </cell>
        </row>
        <row r="912">
          <cell r="B912" t="str">
            <v>70523779</v>
          </cell>
          <cell r="C912" t="str">
            <v>果子熟了 青青龙井原味龙井茶饮品 500ML</v>
          </cell>
          <cell r="D912">
            <v>37</v>
          </cell>
          <cell r="E912">
            <v>130.97999999999999</v>
          </cell>
          <cell r="F912">
            <v>4.0002000000000004</v>
          </cell>
        </row>
        <row r="913">
          <cell r="B913" t="str">
            <v>70523780</v>
          </cell>
          <cell r="C913" t="str">
            <v>果子熟了 茉莉龙井茉莉花味龙井茶饮品 500ML</v>
          </cell>
          <cell r="D913">
            <v>0</v>
          </cell>
          <cell r="E913">
            <v>0</v>
          </cell>
          <cell r="F913" t="e">
            <v>#DIV/0!</v>
          </cell>
        </row>
        <row r="914">
          <cell r="B914" t="str">
            <v>70523782</v>
          </cell>
          <cell r="C914" t="str">
            <v>N12 陈皮大红袍饮品 400ML</v>
          </cell>
          <cell r="D914">
            <v>4414</v>
          </cell>
          <cell r="E914">
            <v>16108.77</v>
          </cell>
          <cell r="F914">
            <v>4.1239035115541496</v>
          </cell>
        </row>
        <row r="915">
          <cell r="B915" t="str">
            <v>70523783</v>
          </cell>
          <cell r="C915" t="str">
            <v>N12 人参水植物饮品 500ML</v>
          </cell>
          <cell r="D915">
            <v>42</v>
          </cell>
          <cell r="E915">
            <v>0</v>
          </cell>
          <cell r="F915">
            <v>0</v>
          </cell>
        </row>
        <row r="916">
          <cell r="B916" t="str">
            <v>70523784</v>
          </cell>
          <cell r="C916" t="str">
            <v>N12 百香果植物饮品 500ML</v>
          </cell>
          <cell r="D916">
            <v>2867</v>
          </cell>
          <cell r="E916">
            <v>10483.51</v>
          </cell>
          <cell r="F916">
            <v>4.1319728985001696</v>
          </cell>
        </row>
        <row r="917">
          <cell r="B917" t="str">
            <v>70523847</v>
          </cell>
          <cell r="C917" t="str">
            <v>片仔癀 茶活力无糖纤体灌 310ML</v>
          </cell>
          <cell r="D917">
            <v>672</v>
          </cell>
          <cell r="E917">
            <v>2271.36</v>
          </cell>
          <cell r="F917">
            <v>3.8193999999999999</v>
          </cell>
        </row>
        <row r="918">
          <cell r="B918" t="str">
            <v>70523877</v>
          </cell>
          <cell r="C918" t="str">
            <v>沙吾尔 蜂蜜柠檬水 350ML/瓶</v>
          </cell>
          <cell r="D918">
            <v>44</v>
          </cell>
          <cell r="E918">
            <v>141.26</v>
          </cell>
          <cell r="F918">
            <v>3.6278136363636402</v>
          </cell>
        </row>
        <row r="919">
          <cell r="B919" t="str">
            <v>70524116</v>
          </cell>
          <cell r="C919" t="str">
            <v>星巴克 生咖芒果火龙果柠檬风味轻咖啡因果汁饮料 270ML</v>
          </cell>
          <cell r="D919">
            <v>0</v>
          </cell>
          <cell r="E919">
            <v>0</v>
          </cell>
          <cell r="F919" t="e">
            <v>#DIV/0!</v>
          </cell>
        </row>
        <row r="920">
          <cell r="B920" t="str">
            <v>70524148</v>
          </cell>
          <cell r="C920" t="str">
            <v>无品牌 燕麦拿铁 330ML</v>
          </cell>
          <cell r="D920">
            <v>500</v>
          </cell>
          <cell r="E920">
            <v>5530.97</v>
          </cell>
          <cell r="F920">
            <v>12.499992199999999</v>
          </cell>
        </row>
        <row r="921">
          <cell r="B921" t="str">
            <v>70524151</v>
          </cell>
          <cell r="C921" t="str">
            <v>无品牌 摩卡 330ML</v>
          </cell>
          <cell r="D921">
            <v>499</v>
          </cell>
          <cell r="E921">
            <v>5961.5</v>
          </cell>
          <cell r="F921">
            <v>13.499989979959899</v>
          </cell>
        </row>
        <row r="922">
          <cell r="B922" t="str">
            <v>70524155</v>
          </cell>
          <cell r="C922" t="str">
            <v>无品牌 焦糖玛奇朵 330ML</v>
          </cell>
          <cell r="D922">
            <v>494</v>
          </cell>
          <cell r="E922">
            <v>5901.77</v>
          </cell>
          <cell r="F922">
            <v>13.500000202429099</v>
          </cell>
        </row>
        <row r="923">
          <cell r="B923" t="str">
            <v>70524157</v>
          </cell>
          <cell r="C923" t="str">
            <v>无品牌 香草拿铁 330ML</v>
          </cell>
          <cell r="D923">
            <v>498</v>
          </cell>
          <cell r="E923">
            <v>5508.85</v>
          </cell>
          <cell r="F923">
            <v>12.5000010040161</v>
          </cell>
        </row>
        <row r="924">
          <cell r="B924" t="str">
            <v>70524160</v>
          </cell>
          <cell r="C924" t="str">
            <v>无品牌 香橙冰美式 330ML</v>
          </cell>
          <cell r="D924">
            <v>479</v>
          </cell>
          <cell r="E924">
            <v>4238.9399999999996</v>
          </cell>
          <cell r="F924">
            <v>10.000004592901901</v>
          </cell>
        </row>
        <row r="925">
          <cell r="B925" t="str">
            <v>70524163</v>
          </cell>
          <cell r="C925" t="str">
            <v>无品牌 卡布奇诺 330ML</v>
          </cell>
          <cell r="D925">
            <v>665</v>
          </cell>
          <cell r="E925">
            <v>7061.95</v>
          </cell>
          <cell r="F925">
            <v>12.000005263157901</v>
          </cell>
        </row>
        <row r="926">
          <cell r="B926" t="str">
            <v>70524164</v>
          </cell>
          <cell r="C926" t="str">
            <v>无品牌 美式咖啡 330ML</v>
          </cell>
          <cell r="D926">
            <v>1248</v>
          </cell>
          <cell r="E926">
            <v>8724.9599999999991</v>
          </cell>
          <cell r="F926">
            <v>7.9000038461538402</v>
          </cell>
        </row>
        <row r="927">
          <cell r="B927" t="str">
            <v>70524167</v>
          </cell>
          <cell r="C927" t="str">
            <v>无品牌 拿铁 330ML</v>
          </cell>
          <cell r="D927">
            <v>1202</v>
          </cell>
          <cell r="E927">
            <v>12764.63</v>
          </cell>
          <cell r="F927">
            <v>12.0000265391015</v>
          </cell>
        </row>
        <row r="928">
          <cell r="B928" t="str">
            <v>70524186</v>
          </cell>
          <cell r="C928" t="str">
            <v>无品牌 生椰拿铁 330ML</v>
          </cell>
          <cell r="D928">
            <v>500</v>
          </cell>
          <cell r="E928">
            <v>5530.97</v>
          </cell>
          <cell r="F928">
            <v>12.499992199999999</v>
          </cell>
        </row>
        <row r="929">
          <cell r="B929" t="str">
            <v>70524260</v>
          </cell>
          <cell r="C929" t="str">
            <v>脉动 电解质运动饮料西柚口味 600ML</v>
          </cell>
          <cell r="D929">
            <v>34</v>
          </cell>
          <cell r="E929">
            <v>124.4</v>
          </cell>
          <cell r="F929">
            <v>4.1344705882352901</v>
          </cell>
        </row>
        <row r="930">
          <cell r="B930" t="str">
            <v>70524271</v>
          </cell>
          <cell r="C930" t="str">
            <v>汇源 利乐钻葡萄汁 330ML</v>
          </cell>
          <cell r="D930">
            <v>14</v>
          </cell>
          <cell r="E930">
            <v>63.11</v>
          </cell>
          <cell r="F930">
            <v>5.0938785714285704</v>
          </cell>
        </row>
        <row r="931">
          <cell r="B931" t="str">
            <v>70524285</v>
          </cell>
          <cell r="C931" t="str">
            <v>汇源 利乐钻卡曼橘柠檬 330ML</v>
          </cell>
          <cell r="D931">
            <v>30</v>
          </cell>
          <cell r="E931">
            <v>130.19999999999999</v>
          </cell>
          <cell r="F931">
            <v>4.9042000000000003</v>
          </cell>
        </row>
        <row r="932">
          <cell r="B932" t="str">
            <v>70524290</v>
          </cell>
          <cell r="C932" t="str">
            <v>百事可乐 美年达白凤蜜桃味 500ML</v>
          </cell>
          <cell r="D932">
            <v>131</v>
          </cell>
          <cell r="E932">
            <v>260.19</v>
          </cell>
          <cell r="F932">
            <v>2.2443870229007601</v>
          </cell>
        </row>
        <row r="933">
          <cell r="B933" t="str">
            <v>70524302</v>
          </cell>
          <cell r="C933" t="str">
            <v>茶里 百香果柠檬冷泡茶 30G</v>
          </cell>
          <cell r="D933">
            <v>24</v>
          </cell>
          <cell r="E933">
            <v>844.88</v>
          </cell>
          <cell r="F933">
            <v>39.779766666666703</v>
          </cell>
        </row>
        <row r="934">
          <cell r="B934" t="str">
            <v>70524303</v>
          </cell>
          <cell r="C934" t="str">
            <v>雀巢 丝滑系列限定口味柑橘乌龙拿铁 268ML</v>
          </cell>
          <cell r="D934">
            <v>2436</v>
          </cell>
          <cell r="E934">
            <v>10167.09</v>
          </cell>
          <cell r="F934">
            <v>4.7162609605911303</v>
          </cell>
        </row>
        <row r="935">
          <cell r="B935" t="str">
            <v>70524306</v>
          </cell>
          <cell r="C935" t="str">
            <v>雀巢 果然轻咖咖啡果茶原味 410ML</v>
          </cell>
          <cell r="D935">
            <v>2757</v>
          </cell>
          <cell r="E935">
            <v>10358.299999999999</v>
          </cell>
          <cell r="F935">
            <v>4.2455128763148302</v>
          </cell>
        </row>
        <row r="936">
          <cell r="B936" t="str">
            <v>70524308</v>
          </cell>
          <cell r="C936" t="str">
            <v>雀巢 果然轻咖咖啡果茶白茶味 410ML</v>
          </cell>
          <cell r="D936">
            <v>2538</v>
          </cell>
          <cell r="E936">
            <v>9344</v>
          </cell>
          <cell r="F936">
            <v>4.1602521670606798</v>
          </cell>
        </row>
        <row r="937">
          <cell r="B937" t="str">
            <v>70524417</v>
          </cell>
          <cell r="C937" t="str">
            <v>觅力 柠檬蜂蜜水 400ML</v>
          </cell>
          <cell r="D937">
            <v>14860</v>
          </cell>
          <cell r="E937">
            <v>45399.66</v>
          </cell>
          <cell r="F937">
            <v>3.4523294616419902</v>
          </cell>
        </row>
        <row r="938">
          <cell r="B938" t="str">
            <v>70524423</v>
          </cell>
          <cell r="C938" t="str">
            <v>东鹏 多喝多润 菊花蜜茶1L</v>
          </cell>
          <cell r="D938">
            <v>2</v>
          </cell>
          <cell r="E938">
            <v>7.06</v>
          </cell>
          <cell r="F938">
            <v>3.9889000000000001</v>
          </cell>
        </row>
        <row r="939">
          <cell r="B939" t="str">
            <v>70524424</v>
          </cell>
          <cell r="C939" t="str">
            <v>东鹏 多喝多润 蜂蜜绿茶1L</v>
          </cell>
          <cell r="D939">
            <v>0</v>
          </cell>
          <cell r="E939">
            <v>0</v>
          </cell>
          <cell r="F939" t="e">
            <v>#DIV/0!</v>
          </cell>
        </row>
        <row r="940">
          <cell r="B940" t="str">
            <v>70524484</v>
          </cell>
          <cell r="C940" t="str">
            <v>茶里 雪梨白茶果汁茶饮料瓶装 500ML</v>
          </cell>
          <cell r="D940">
            <v>85</v>
          </cell>
          <cell r="E940">
            <v>197.51</v>
          </cell>
          <cell r="F940">
            <v>2.6257211764705901</v>
          </cell>
        </row>
        <row r="941">
          <cell r="B941" t="str">
            <v>70524544</v>
          </cell>
          <cell r="C941" t="str">
            <v>茶里 栀香茉莉白茶饮料（栀子花味） 500ML</v>
          </cell>
          <cell r="D941">
            <v>39</v>
          </cell>
          <cell r="E941">
            <v>88.53</v>
          </cell>
          <cell r="F941">
            <v>2.5651000000000002</v>
          </cell>
        </row>
        <row r="942">
          <cell r="B942" t="str">
            <v>70525199</v>
          </cell>
          <cell r="C942" t="str">
            <v>百事可乐 美年达苹果 500ML</v>
          </cell>
          <cell r="D942">
            <v>5371</v>
          </cell>
          <cell r="E942">
            <v>10606.28</v>
          </cell>
          <cell r="F942">
            <v>2.23144598771179</v>
          </cell>
        </row>
        <row r="943">
          <cell r="B943" t="str">
            <v>70525890</v>
          </cell>
          <cell r="C943" t="str">
            <v>双品牌 美果来石榴小青柠 300ml</v>
          </cell>
          <cell r="D943">
            <v>7</v>
          </cell>
          <cell r="E943">
            <v>16.93</v>
          </cell>
          <cell r="F943">
            <v>2.7329857142857099</v>
          </cell>
        </row>
        <row r="944">
          <cell r="B944" t="str">
            <v>70526183</v>
          </cell>
          <cell r="C944" t="str">
            <v>果子熟了 栀栀乌龙栀子花味乌龙茶饮品 970ML</v>
          </cell>
          <cell r="D944">
            <v>29564</v>
          </cell>
          <cell r="E944">
            <v>152903.82</v>
          </cell>
          <cell r="F944">
            <v>5.8443145920714397</v>
          </cell>
        </row>
        <row r="945">
          <cell r="B945" t="str">
            <v>70526184</v>
          </cell>
          <cell r="C945" t="str">
            <v>果子熟了 金桂乌龙桂花味乌龙茶饮品 970ML</v>
          </cell>
          <cell r="D945">
            <v>15347</v>
          </cell>
          <cell r="E945">
            <v>79406.22</v>
          </cell>
          <cell r="F945">
            <v>5.8466819964813999</v>
          </cell>
        </row>
        <row r="946">
          <cell r="B946" t="str">
            <v>70526185</v>
          </cell>
          <cell r="C946" t="str">
            <v>果子熟了 茉莉龙井茉莉花味龙井茶饮品 970ML</v>
          </cell>
          <cell r="D946">
            <v>15637</v>
          </cell>
          <cell r="E946">
            <v>81029.210000000006</v>
          </cell>
          <cell r="F946">
            <v>5.8555354160005102</v>
          </cell>
        </row>
        <row r="947">
          <cell r="B947" t="str">
            <v>70527081</v>
          </cell>
          <cell r="C947" t="str">
            <v>黑石 标因黑咖啡（茉莉茶香） 470ML</v>
          </cell>
          <cell r="D947">
            <v>39</v>
          </cell>
          <cell r="E947">
            <v>239.3</v>
          </cell>
          <cell r="F947">
            <v>6.9335641025640999</v>
          </cell>
        </row>
        <row r="948">
          <cell r="B948" t="str">
            <v>70527085</v>
          </cell>
          <cell r="C948" t="str">
            <v>黑石 标因黑咖啡（纯正原味） 470ML</v>
          </cell>
          <cell r="D948">
            <v>36</v>
          </cell>
          <cell r="E948">
            <v>220.92</v>
          </cell>
          <cell r="F948">
            <v>6.9344333333333301</v>
          </cell>
        </row>
        <row r="949">
          <cell r="B949" t="str">
            <v>70527282</v>
          </cell>
          <cell r="C949" t="str">
            <v>金晔 山楂清清原味山楂汁 310ML/瓶</v>
          </cell>
          <cell r="D949">
            <v>1035</v>
          </cell>
          <cell r="E949">
            <v>3509.91</v>
          </cell>
          <cell r="F949">
            <v>3.8320756521739101</v>
          </cell>
        </row>
        <row r="950">
          <cell r="B950" t="str">
            <v>70528095</v>
          </cell>
          <cell r="C950" t="str">
            <v>疆百泉 杏皮茶 330ML</v>
          </cell>
          <cell r="D950">
            <v>3639</v>
          </cell>
          <cell r="E950">
            <v>12909.74</v>
          </cell>
          <cell r="F950">
            <v>4.0087953283869204</v>
          </cell>
        </row>
        <row r="951">
          <cell r="B951" t="str">
            <v>70528118</v>
          </cell>
          <cell r="C951" t="str">
            <v>疆百泉 玲珑小香瓜卡瓦斯饮料 1.5L</v>
          </cell>
          <cell r="D951">
            <v>9</v>
          </cell>
          <cell r="E951">
            <v>119.52</v>
          </cell>
          <cell r="F951">
            <v>15.006399999999999</v>
          </cell>
        </row>
        <row r="952">
          <cell r="B952" t="str">
            <v>70528120</v>
          </cell>
          <cell r="C952" t="str">
            <v>疆百泉 红石榴卡瓦斯饮料 1.5L</v>
          </cell>
          <cell r="D952">
            <v>10</v>
          </cell>
          <cell r="E952">
            <v>132.80000000000001</v>
          </cell>
          <cell r="F952">
            <v>15.006399999999999</v>
          </cell>
        </row>
        <row r="953">
          <cell r="B953" t="str">
            <v>70530333</v>
          </cell>
          <cell r="C953" t="str">
            <v>佰客爽 柠檬汁碳酸饮料 187ML</v>
          </cell>
          <cell r="D953">
            <v>34569</v>
          </cell>
          <cell r="E953">
            <v>114988.13</v>
          </cell>
          <cell r="F953">
            <v>3.75876036043854</v>
          </cell>
        </row>
        <row r="954">
          <cell r="B954" t="str">
            <v>70530496</v>
          </cell>
          <cell r="C954" t="str">
            <v>疆百泉 蜂蜜卡瓦斯饮料 1.5L</v>
          </cell>
          <cell r="D954">
            <v>5</v>
          </cell>
          <cell r="E954">
            <v>50.46</v>
          </cell>
          <cell r="F954">
            <v>11.40396</v>
          </cell>
        </row>
        <row r="955">
          <cell r="B955" t="str">
            <v>70530498</v>
          </cell>
          <cell r="C955" t="str">
            <v>疆百泉 蜂蜜谷物卡瓦斯饮料 1.5L</v>
          </cell>
          <cell r="D955">
            <v>27</v>
          </cell>
          <cell r="E955">
            <v>262.89999999999998</v>
          </cell>
          <cell r="F955">
            <v>11.002851851851799</v>
          </cell>
        </row>
        <row r="956">
          <cell r="B956" t="str">
            <v>70530981</v>
          </cell>
          <cell r="C956" t="str">
            <v>冰茶减糖 白桃茉莉大瓶茶饮料 900ML</v>
          </cell>
          <cell r="D956">
            <v>28</v>
          </cell>
          <cell r="E956">
            <v>77.28</v>
          </cell>
          <cell r="F956">
            <v>3.1187999999999998</v>
          </cell>
        </row>
        <row r="957">
          <cell r="B957" t="str">
            <v>70531355</v>
          </cell>
          <cell r="C957" t="str">
            <v>好望水 薏米水 500ML</v>
          </cell>
          <cell r="D957">
            <v>155</v>
          </cell>
          <cell r="E957">
            <v>521.78</v>
          </cell>
          <cell r="F957">
            <v>3.8039445161290302</v>
          </cell>
        </row>
        <row r="958">
          <cell r="B958" t="str">
            <v>70531360</v>
          </cell>
          <cell r="C958" t="str">
            <v>好望水 桂圆水 500ML</v>
          </cell>
          <cell r="D958">
            <v>2</v>
          </cell>
          <cell r="E958">
            <v>7.62</v>
          </cell>
          <cell r="F958">
            <v>4.3052999999999999</v>
          </cell>
        </row>
        <row r="959">
          <cell r="B959" t="str">
            <v>70534489</v>
          </cell>
          <cell r="C959" t="str">
            <v>统一 酸梅汤PET 1L</v>
          </cell>
          <cell r="D959">
            <v>1328</v>
          </cell>
          <cell r="E959">
            <v>3772.62</v>
          </cell>
          <cell r="F959">
            <v>3.2101359939759</v>
          </cell>
        </row>
        <row r="960">
          <cell r="B960" t="str">
            <v>70534497</v>
          </cell>
          <cell r="C960" t="str">
            <v>统一 酸梅汤PET 500ML</v>
          </cell>
          <cell r="D960">
            <v>2696</v>
          </cell>
          <cell r="E960">
            <v>5264.23</v>
          </cell>
          <cell r="F960">
            <v>2.2064465504450999</v>
          </cell>
        </row>
        <row r="961">
          <cell r="B961" t="str">
            <v>70534525</v>
          </cell>
          <cell r="C961" t="str">
            <v>统一无糖春拂云雾绿茶900mL</v>
          </cell>
          <cell r="D961">
            <v>2457</v>
          </cell>
          <cell r="E961">
            <v>8023.52</v>
          </cell>
          <cell r="F961">
            <v>3.6901007733007698</v>
          </cell>
        </row>
        <row r="962">
          <cell r="B962" t="str">
            <v>70534534</v>
          </cell>
          <cell r="C962" t="str">
            <v>统一 无糖春拂云雾绿茶 500ml</v>
          </cell>
          <cell r="D962">
            <v>4946</v>
          </cell>
          <cell r="E962">
            <v>11233.07</v>
          </cell>
          <cell r="F962">
            <v>2.5663908410837002</v>
          </cell>
        </row>
        <row r="963">
          <cell r="B963" t="str">
            <v>70534542</v>
          </cell>
          <cell r="C963" t="str">
            <v>博格达天露 大麦茶 1000ML</v>
          </cell>
          <cell r="D963">
            <v>0</v>
          </cell>
          <cell r="E963">
            <v>0</v>
          </cell>
          <cell r="F963" t="e">
            <v>#DIV/0!</v>
          </cell>
        </row>
        <row r="964">
          <cell r="B964" t="str">
            <v>70534544</v>
          </cell>
          <cell r="C964" t="str">
            <v>统一 茉莉蜜茶PET 1L</v>
          </cell>
          <cell r="D964">
            <v>3398</v>
          </cell>
          <cell r="E964">
            <v>9656.86</v>
          </cell>
          <cell r="F964">
            <v>3.2113748675691598</v>
          </cell>
        </row>
        <row r="965">
          <cell r="B965" t="str">
            <v>70534574</v>
          </cell>
          <cell r="C965" t="str">
            <v>三只松鼠 每日坚果乳 240ML</v>
          </cell>
          <cell r="D965">
            <v>6</v>
          </cell>
          <cell r="E965">
            <v>228.33</v>
          </cell>
          <cell r="F965">
            <v>43.00215</v>
          </cell>
        </row>
        <row r="966">
          <cell r="B966" t="str">
            <v>70534576</v>
          </cell>
          <cell r="C966" t="str">
            <v>三只松鼠 每日坚果乳 1.25L</v>
          </cell>
          <cell r="D966">
            <v>0</v>
          </cell>
          <cell r="E966">
            <v>0</v>
          </cell>
          <cell r="F966" t="e">
            <v>#DIV/0!</v>
          </cell>
        </row>
        <row r="967">
          <cell r="B967" t="str">
            <v>70534577</v>
          </cell>
          <cell r="C967" t="str">
            <v>三只松鼠 椰子汁 1.25L</v>
          </cell>
          <cell r="D967">
            <v>0</v>
          </cell>
          <cell r="E967">
            <v>0</v>
          </cell>
          <cell r="F967" t="e">
            <v>#DIV/0!</v>
          </cell>
        </row>
        <row r="968">
          <cell r="B968" t="str">
            <v>70534578</v>
          </cell>
          <cell r="C968" t="str">
            <v>三只松鼠 椰子汁 300ML</v>
          </cell>
          <cell r="D968">
            <v>78</v>
          </cell>
          <cell r="E968">
            <v>276.12</v>
          </cell>
          <cell r="F968">
            <v>4.0002000000000004</v>
          </cell>
        </row>
        <row r="969">
          <cell r="B969" t="str">
            <v>70534579</v>
          </cell>
          <cell r="C969" t="str">
            <v>三只松鼠 每日坚果乳 300ML</v>
          </cell>
          <cell r="D969">
            <v>98</v>
          </cell>
          <cell r="E969">
            <v>346.92</v>
          </cell>
          <cell r="F969">
            <v>4.0002000000000004</v>
          </cell>
        </row>
        <row r="970">
          <cell r="B970" t="str">
            <v>70534589</v>
          </cell>
          <cell r="C970" t="str">
            <v>清蓝 甘菊金银花露 410ML</v>
          </cell>
          <cell r="D970">
            <v>426</v>
          </cell>
          <cell r="E970">
            <v>1409.03</v>
          </cell>
          <cell r="F970">
            <v>3.7375678403755899</v>
          </cell>
        </row>
        <row r="971">
          <cell r="B971" t="str">
            <v>70534590</v>
          </cell>
          <cell r="C971" t="str">
            <v>清蓝 椰汁水椰汁 380ML</v>
          </cell>
          <cell r="D971">
            <v>9</v>
          </cell>
          <cell r="E971">
            <v>35.909999999999997</v>
          </cell>
          <cell r="F971">
            <v>4.5087000000000002</v>
          </cell>
        </row>
        <row r="972">
          <cell r="B972" t="str">
            <v>70534591</v>
          </cell>
          <cell r="C972" t="str">
            <v>清蓝 杨枝甘露 380ML</v>
          </cell>
          <cell r="D972">
            <v>2688</v>
          </cell>
          <cell r="E972">
            <v>10307.41</v>
          </cell>
          <cell r="F972">
            <v>4.3331001860119001</v>
          </cell>
        </row>
        <row r="973">
          <cell r="B973" t="str">
            <v>70534598</v>
          </cell>
          <cell r="C973" t="str">
            <v>名仁 苏打水 520ML</v>
          </cell>
          <cell r="D973">
            <v>766</v>
          </cell>
          <cell r="E973">
            <v>2400.33</v>
          </cell>
          <cell r="F973">
            <v>3.5409567885117501</v>
          </cell>
        </row>
        <row r="974">
          <cell r="B974" t="str">
            <v>70534615</v>
          </cell>
          <cell r="C974" t="str">
            <v>白象 沁香绿茶 500ML</v>
          </cell>
          <cell r="D974">
            <v>0</v>
          </cell>
          <cell r="E974">
            <v>0</v>
          </cell>
          <cell r="F974" t="e">
            <v>#DIV/0!</v>
          </cell>
        </row>
        <row r="975">
          <cell r="B975" t="str">
            <v>70534624</v>
          </cell>
          <cell r="C975" t="str">
            <v>白象 茉香蜜茶 500ML</v>
          </cell>
          <cell r="D975">
            <v>0</v>
          </cell>
          <cell r="E975">
            <v>0</v>
          </cell>
          <cell r="F975" t="e">
            <v>#DIV/0!</v>
          </cell>
        </row>
        <row r="976">
          <cell r="B976" t="str">
            <v>70534625</v>
          </cell>
          <cell r="C976" t="str">
            <v>白象 清香乌龙 500ML</v>
          </cell>
          <cell r="D976">
            <v>0</v>
          </cell>
          <cell r="E976">
            <v>0</v>
          </cell>
          <cell r="F976" t="e">
            <v>#DIV/0!</v>
          </cell>
        </row>
        <row r="977">
          <cell r="B977" t="str">
            <v>70534792</v>
          </cell>
          <cell r="C977" t="str">
            <v>娃哈哈 格瓦斯 600ML</v>
          </cell>
          <cell r="D977">
            <v>7718</v>
          </cell>
          <cell r="E977">
            <v>24069.85</v>
          </cell>
          <cell r="F977">
            <v>3.52409050272091</v>
          </cell>
        </row>
        <row r="978">
          <cell r="B978" t="str">
            <v>70534926</v>
          </cell>
          <cell r="C978" t="str">
            <v>星巴克 粉粉生咖 270ML</v>
          </cell>
          <cell r="D978">
            <v>0</v>
          </cell>
          <cell r="E978">
            <v>0</v>
          </cell>
          <cell r="F978" t="e">
            <v>#DIV/0!</v>
          </cell>
        </row>
        <row r="979">
          <cell r="B979" t="str">
            <v>70534928</v>
          </cell>
          <cell r="C979" t="str">
            <v>屯河 番茄丁 200G</v>
          </cell>
          <cell r="D979">
            <v>4</v>
          </cell>
          <cell r="E979">
            <v>18.420000000000002</v>
          </cell>
          <cell r="F979">
            <v>5.2036499999999997</v>
          </cell>
        </row>
        <row r="980">
          <cell r="B980" t="str">
            <v>70534990</v>
          </cell>
          <cell r="C980" t="str">
            <v>萝卜姐 西梅原浆 200G</v>
          </cell>
          <cell r="D980">
            <v>0</v>
          </cell>
          <cell r="E980">
            <v>0</v>
          </cell>
          <cell r="F980" t="e">
            <v>#DIV/0!</v>
          </cell>
        </row>
        <row r="981">
          <cell r="B981" t="str">
            <v>70534991</v>
          </cell>
          <cell r="C981" t="str">
            <v>萝卜姐 胡萝卜汁 200G</v>
          </cell>
          <cell r="D981">
            <v>2</v>
          </cell>
          <cell r="E981">
            <v>7.98</v>
          </cell>
          <cell r="F981">
            <v>4.5087000000000002</v>
          </cell>
        </row>
        <row r="982">
          <cell r="B982" t="str">
            <v>70534992</v>
          </cell>
          <cell r="C982" t="str">
            <v>萝卜姐 果汁礼盒 2.4KG</v>
          </cell>
          <cell r="D982">
            <v>20</v>
          </cell>
          <cell r="E982">
            <v>693.4</v>
          </cell>
          <cell r="F982">
            <v>39.177100000000003</v>
          </cell>
        </row>
        <row r="983">
          <cell r="B983" t="str">
            <v>70536046</v>
          </cell>
          <cell r="C983" t="str">
            <v>英贝建 叶黄素脂蓝莓果饮 500ML</v>
          </cell>
          <cell r="D983">
            <v>70</v>
          </cell>
          <cell r="E983">
            <v>1301.08</v>
          </cell>
          <cell r="F983">
            <v>21.0031485714286</v>
          </cell>
        </row>
        <row r="984">
          <cell r="B984" t="str">
            <v>70536047</v>
          </cell>
          <cell r="C984" t="str">
            <v>英贝建 益生元西梅纤维果饮 100ML</v>
          </cell>
          <cell r="D984">
            <v>403</v>
          </cell>
          <cell r="E984">
            <v>2397.46</v>
          </cell>
          <cell r="F984">
            <v>6.7224064516129003</v>
          </cell>
        </row>
        <row r="985">
          <cell r="B985" t="str">
            <v>70536048</v>
          </cell>
          <cell r="C985" t="str">
            <v>英贝建 叶黄素脂蓝莓果饮 100ML</v>
          </cell>
          <cell r="D985">
            <v>97</v>
          </cell>
          <cell r="E985">
            <v>589.42999999999995</v>
          </cell>
          <cell r="F985">
            <v>6.8665556701030903</v>
          </cell>
        </row>
        <row r="986">
          <cell r="B986" t="str">
            <v>70538948</v>
          </cell>
          <cell r="C986" t="str">
            <v>M臻品 果汁气泡饮（组合装） 330ML*12罐</v>
          </cell>
          <cell r="D986">
            <v>24</v>
          </cell>
          <cell r="E986">
            <v>1917.6</v>
          </cell>
          <cell r="F986">
            <v>90.287000000000006</v>
          </cell>
        </row>
        <row r="987">
          <cell r="B987" t="str">
            <v>70539245</v>
          </cell>
          <cell r="C987" t="str">
            <v>优斯麦尔 沙甜果粒番茄汁 310ML</v>
          </cell>
          <cell r="D987">
            <v>5930</v>
          </cell>
          <cell r="E987">
            <v>22428.17</v>
          </cell>
          <cell r="F987">
            <v>4.2738334064080901</v>
          </cell>
        </row>
        <row r="988">
          <cell r="B988" t="str">
            <v>70539248</v>
          </cell>
          <cell r="C988" t="str">
            <v>优斯麦尔 番茄汁 210ML</v>
          </cell>
          <cell r="D988">
            <v>50015</v>
          </cell>
          <cell r="E988">
            <v>125109.61</v>
          </cell>
          <cell r="F988">
            <v>2.8266291972408299</v>
          </cell>
        </row>
        <row r="989">
          <cell r="B989" t="str">
            <v>70539251</v>
          </cell>
          <cell r="C989" t="str">
            <v>优斯麦尔 大果粒番茄汁 318ML</v>
          </cell>
          <cell r="D989">
            <v>12491</v>
          </cell>
          <cell r="E989">
            <v>55696.44</v>
          </cell>
          <cell r="F989">
            <v>5.0385859578896799</v>
          </cell>
        </row>
        <row r="990">
          <cell r="B990" t="str">
            <v>70539321</v>
          </cell>
          <cell r="C990" t="str">
            <v>片仔癀 茶活力草本饮料 310ML</v>
          </cell>
          <cell r="D990">
            <v>6801</v>
          </cell>
          <cell r="E990">
            <v>23199.7</v>
          </cell>
          <cell r="F990">
            <v>3.8546774003822999</v>
          </cell>
        </row>
        <row r="991">
          <cell r="B991" t="str">
            <v>70540468</v>
          </cell>
          <cell r="C991" t="str">
            <v>元气森林 外星人维C车厘子蔓越莓 500ML/瓶</v>
          </cell>
          <cell r="D991">
            <v>5092</v>
          </cell>
          <cell r="E991">
            <v>16394.650000000001</v>
          </cell>
          <cell r="F991">
            <v>3.6382471523959201</v>
          </cell>
        </row>
        <row r="992">
          <cell r="B992" t="str">
            <v>70542443</v>
          </cell>
          <cell r="C992" t="str">
            <v>佳得乐 青柠味运动饮料 600ML</v>
          </cell>
          <cell r="D992">
            <v>53</v>
          </cell>
          <cell r="E992">
            <v>148.22</v>
          </cell>
          <cell r="F992">
            <v>3.1601622641509399</v>
          </cell>
        </row>
        <row r="993">
          <cell r="B993" t="str">
            <v>70542489</v>
          </cell>
          <cell r="C993" t="str">
            <v>三得利 乌龙茶（无糖） 900ML</v>
          </cell>
          <cell r="D993">
            <v>127</v>
          </cell>
          <cell r="E993">
            <v>524.26</v>
          </cell>
          <cell r="F993">
            <v>4.6646755905511803</v>
          </cell>
        </row>
        <row r="994">
          <cell r="B994" t="str">
            <v>70543413</v>
          </cell>
          <cell r="C994" t="str">
            <v>康师傅 无限电荔枝味 500ML</v>
          </cell>
          <cell r="D994">
            <v>10</v>
          </cell>
          <cell r="E994">
            <v>31.6</v>
          </cell>
          <cell r="F994">
            <v>3.5708000000000002</v>
          </cell>
        </row>
        <row r="995">
          <cell r="B995" t="str">
            <v>70543417</v>
          </cell>
          <cell r="C995" t="str">
            <v>东鹏 补水啦电解质饮料柠檬味 1L</v>
          </cell>
          <cell r="D995">
            <v>1798</v>
          </cell>
          <cell r="E995">
            <v>6132.19</v>
          </cell>
          <cell r="F995">
            <v>3.8539347608453798</v>
          </cell>
        </row>
        <row r="996">
          <cell r="B996" t="str">
            <v>70543422</v>
          </cell>
          <cell r="C996" t="str">
            <v>东鹏 特饮牛磺酸B族维生素饮料 250ML*4</v>
          </cell>
          <cell r="D996">
            <v>2586</v>
          </cell>
          <cell r="E996">
            <v>16679.3</v>
          </cell>
          <cell r="F996">
            <v>7.2883252126836799</v>
          </cell>
        </row>
        <row r="997">
          <cell r="B997" t="str">
            <v>70543426</v>
          </cell>
          <cell r="C997" t="str">
            <v>康师傅 茶的传人 铁观音 500ML</v>
          </cell>
          <cell r="D997">
            <v>0</v>
          </cell>
          <cell r="E997">
            <v>0</v>
          </cell>
          <cell r="F997" t="e">
            <v>#DIV/0!</v>
          </cell>
        </row>
        <row r="998">
          <cell r="B998" t="str">
            <v>70543428</v>
          </cell>
          <cell r="C998" t="str">
            <v>康师傅 无糖茉莉花茶 500ML</v>
          </cell>
          <cell r="D998">
            <v>251</v>
          </cell>
          <cell r="E998">
            <v>791.44</v>
          </cell>
          <cell r="F998">
            <v>3.5630565737051798</v>
          </cell>
        </row>
        <row r="999">
          <cell r="B999" t="str">
            <v>70543435</v>
          </cell>
          <cell r="C999" t="str">
            <v>外星人 维C水-西西里柠檬 500ML</v>
          </cell>
          <cell r="D999">
            <v>3684</v>
          </cell>
          <cell r="E999">
            <v>11914.66</v>
          </cell>
          <cell r="F999">
            <v>3.6546052660152002</v>
          </cell>
        </row>
        <row r="1000">
          <cell r="B1000" t="str">
            <v>70543442</v>
          </cell>
          <cell r="C1000" t="str">
            <v>农夫山泉 尖叫茶氨酸型黄金桃味 550ML</v>
          </cell>
          <cell r="D1000">
            <v>14514</v>
          </cell>
          <cell r="E1000">
            <v>41892.870000000003</v>
          </cell>
          <cell r="F1000">
            <v>3.2616055601488201</v>
          </cell>
        </row>
        <row r="1001">
          <cell r="B1001" t="str">
            <v>70543454</v>
          </cell>
          <cell r="C1001" t="str">
            <v>康师傅 茶的传人 普洱茶 500ML</v>
          </cell>
          <cell r="D1001">
            <v>0</v>
          </cell>
          <cell r="E1001">
            <v>0</v>
          </cell>
          <cell r="F1001" t="e">
            <v>#DIV/0!</v>
          </cell>
        </row>
        <row r="1002">
          <cell r="B1002" t="str">
            <v>70543455</v>
          </cell>
          <cell r="C1002" t="str">
            <v>农夫山泉 茶Π茉莉花柠檬茶 500ML</v>
          </cell>
          <cell r="D1002">
            <v>3762</v>
          </cell>
          <cell r="E1002">
            <v>12438.75</v>
          </cell>
          <cell r="F1002">
            <v>3.73625398724083</v>
          </cell>
        </row>
        <row r="1003">
          <cell r="B1003" t="str">
            <v>70543456</v>
          </cell>
          <cell r="C1003" t="str">
            <v>农夫山泉 尖叫乳钙型柑橘味 550ML</v>
          </cell>
          <cell r="D1003">
            <v>8460</v>
          </cell>
          <cell r="E1003">
            <v>25857.68</v>
          </cell>
          <cell r="F1003">
            <v>3.4538035933806102</v>
          </cell>
        </row>
        <row r="1004">
          <cell r="B1004" t="str">
            <v>70543460</v>
          </cell>
          <cell r="C1004" t="str">
            <v>康师傅 无糖乌龙茶 500ML</v>
          </cell>
          <cell r="D1004">
            <v>17</v>
          </cell>
          <cell r="E1004">
            <v>53.72</v>
          </cell>
          <cell r="F1004">
            <v>3.5708000000000002</v>
          </cell>
        </row>
        <row r="1005">
          <cell r="B1005" t="str">
            <v>70543462</v>
          </cell>
          <cell r="C1005" t="str">
            <v>宜简 青柠味薄荷水饮品 450ML</v>
          </cell>
          <cell r="D1005">
            <v>78</v>
          </cell>
          <cell r="E1005">
            <v>141.07</v>
          </cell>
          <cell r="F1005">
            <v>2.04370641025641</v>
          </cell>
        </row>
        <row r="1006">
          <cell r="B1006" t="str">
            <v>70543493</v>
          </cell>
          <cell r="C1006" t="str">
            <v>东鹏 特饮牛磺酸B族维生素饮料 250ML</v>
          </cell>
          <cell r="D1006">
            <v>170345</v>
          </cell>
          <cell r="E1006">
            <v>284811.11</v>
          </cell>
          <cell r="F1006">
            <v>1.88932198949191</v>
          </cell>
        </row>
        <row r="1007">
          <cell r="B1007" t="str">
            <v>70543527</v>
          </cell>
          <cell r="C1007" t="str">
            <v>百事可乐 百事可乐原味＋美年达橙味双提 2L*2</v>
          </cell>
          <cell r="D1007">
            <v>18</v>
          </cell>
          <cell r="E1007">
            <v>164.11</v>
          </cell>
          <cell r="F1007">
            <v>10.3024611111111</v>
          </cell>
        </row>
        <row r="1008">
          <cell r="B1008" t="str">
            <v>70544820</v>
          </cell>
          <cell r="C1008" t="str">
            <v>天蓉一号 肉苁蓉能量饮 280ML</v>
          </cell>
          <cell r="D1008">
            <v>23091</v>
          </cell>
          <cell r="E1008">
            <v>58949.599999999999</v>
          </cell>
          <cell r="F1008">
            <v>2.8848056818673902</v>
          </cell>
        </row>
        <row r="1009">
          <cell r="B1009" t="str">
            <v>70544821</v>
          </cell>
          <cell r="C1009" t="str">
            <v>天蓉一号 肉苁蓉精粹浓缩液 30ML*10瓶/盒</v>
          </cell>
          <cell r="D1009">
            <v>2</v>
          </cell>
          <cell r="E1009">
            <v>123.9</v>
          </cell>
          <cell r="F1009">
            <v>70.003500000000003</v>
          </cell>
        </row>
        <row r="1010">
          <cell r="B1010" t="str">
            <v>70545140</v>
          </cell>
          <cell r="C1010" t="str">
            <v>悦小开 红枣黄芪水 500ML</v>
          </cell>
          <cell r="D1010">
            <v>2086</v>
          </cell>
          <cell r="E1010">
            <v>6713.03</v>
          </cell>
          <cell r="F1010">
            <v>3.63649276126558</v>
          </cell>
        </row>
        <row r="1011">
          <cell r="B1011" t="str">
            <v>70545154</v>
          </cell>
          <cell r="C1011" t="str">
            <v>元气森林 维C橙味苏打气泡水 480ML</v>
          </cell>
          <cell r="D1011">
            <v>4930</v>
          </cell>
          <cell r="E1011">
            <v>14925.21</v>
          </cell>
          <cell r="F1011">
            <v>3.42099133874239</v>
          </cell>
        </row>
        <row r="1012">
          <cell r="B1012" t="str">
            <v>70545526</v>
          </cell>
          <cell r="C1012" t="str">
            <v>格桑泉 蓝格天然饮用水 500ML</v>
          </cell>
          <cell r="D1012">
            <v>1048573</v>
          </cell>
          <cell r="E1012">
            <v>981546.5</v>
          </cell>
          <cell r="F1012">
            <v>1.0577685530716501</v>
          </cell>
        </row>
        <row r="1013">
          <cell r="B1013" t="str">
            <v>70545530</v>
          </cell>
          <cell r="C1013" t="str">
            <v>格桑泉 蓝格天然饮用水 330ML</v>
          </cell>
          <cell r="D1013">
            <v>401300</v>
          </cell>
          <cell r="E1013">
            <v>356724.18</v>
          </cell>
          <cell r="F1013">
            <v>1.00448124445552</v>
          </cell>
        </row>
        <row r="1014">
          <cell r="B1014" t="str">
            <v>70546417</v>
          </cell>
          <cell r="C1014" t="str">
            <v>可漾 红豆薏米水 530ML</v>
          </cell>
          <cell r="D1014">
            <v>562</v>
          </cell>
          <cell r="E1014">
            <v>2173.88</v>
          </cell>
          <cell r="F1014">
            <v>4.37096868327402</v>
          </cell>
        </row>
        <row r="1015">
          <cell r="B1015" t="str">
            <v>70546419</v>
          </cell>
          <cell r="C1015" t="str">
            <v>好望水 陈皮水 500ML</v>
          </cell>
          <cell r="D1015">
            <v>405</v>
          </cell>
          <cell r="E1015">
            <v>1541.64</v>
          </cell>
          <cell r="F1015">
            <v>4.3013659259259303</v>
          </cell>
        </row>
        <row r="1016">
          <cell r="B1016" t="str">
            <v>70547183</v>
          </cell>
          <cell r="C1016" t="str">
            <v>多多柠檬茶 茉莉风味 500ML</v>
          </cell>
          <cell r="D1016">
            <v>6889</v>
          </cell>
          <cell r="E1016">
            <v>26575.040000000001</v>
          </cell>
          <cell r="F1016">
            <v>4.3590935113949802</v>
          </cell>
        </row>
        <row r="1017">
          <cell r="B1017" t="str">
            <v>70547371</v>
          </cell>
          <cell r="C1017" t="str">
            <v>亿思田 贡水稀柚柚子汁 300ML</v>
          </cell>
          <cell r="D1017">
            <v>354</v>
          </cell>
          <cell r="E1017">
            <v>1330.55</v>
          </cell>
          <cell r="F1017">
            <v>4.2472358757062096</v>
          </cell>
        </row>
        <row r="1018">
          <cell r="B1018" t="str">
            <v>70548127</v>
          </cell>
          <cell r="C1018" t="str">
            <v>椰小妞 香水椰子水 330ml</v>
          </cell>
          <cell r="D1018">
            <v>9030</v>
          </cell>
          <cell r="E1018">
            <v>34871.699999999997</v>
          </cell>
          <cell r="F1018">
            <v>4.36378970099668</v>
          </cell>
        </row>
        <row r="1019">
          <cell r="B1019" t="str">
            <v>70549525</v>
          </cell>
          <cell r="C1019" t="str">
            <v>魔量 多种维生素饮料 535ML</v>
          </cell>
          <cell r="D1019">
            <v>30614</v>
          </cell>
          <cell r="E1019">
            <v>94829.59</v>
          </cell>
          <cell r="F1019">
            <v>3.5002755830665699</v>
          </cell>
        </row>
        <row r="1020">
          <cell r="B1020" t="str">
            <v>70549757</v>
          </cell>
          <cell r="C1020" t="str">
            <v>优斯麦尔 沙棘汁 248G</v>
          </cell>
          <cell r="D1020">
            <v>23995</v>
          </cell>
          <cell r="E1020">
            <v>91335.22</v>
          </cell>
          <cell r="F1020">
            <v>4.3012627047301502</v>
          </cell>
        </row>
        <row r="1021">
          <cell r="B1021" t="str">
            <v>70549760</v>
          </cell>
          <cell r="C1021" t="str">
            <v>优斯麦尔 葡萄汁 248G</v>
          </cell>
          <cell r="D1021">
            <v>28361</v>
          </cell>
          <cell r="E1021">
            <v>95424.17</v>
          </cell>
          <cell r="F1021">
            <v>3.8020278586791698</v>
          </cell>
        </row>
        <row r="1022">
          <cell r="B1022" t="str">
            <v>70549763</v>
          </cell>
          <cell r="C1022" t="str">
            <v>优斯麦尔 香梨汁 248G</v>
          </cell>
          <cell r="D1022">
            <v>22946</v>
          </cell>
          <cell r="E1022">
            <v>77189.179999999993</v>
          </cell>
          <cell r="F1022">
            <v>3.8012626775908598</v>
          </cell>
        </row>
        <row r="1023">
          <cell r="B1023" t="str">
            <v>70549765</v>
          </cell>
          <cell r="C1023" t="str">
            <v>优斯麦尔 苹果汁 248G</v>
          </cell>
          <cell r="D1023">
            <v>27381</v>
          </cell>
          <cell r="E1023">
            <v>92118.04</v>
          </cell>
          <cell r="F1023">
            <v>3.8016648478872201</v>
          </cell>
        </row>
        <row r="1024">
          <cell r="B1024" t="str">
            <v>70549767</v>
          </cell>
          <cell r="C1024" t="str">
            <v>优斯麦尔 胡萝卜汁 248G</v>
          </cell>
          <cell r="D1024">
            <v>18499</v>
          </cell>
          <cell r="E1024">
            <v>56509.48</v>
          </cell>
          <cell r="F1024">
            <v>3.4518467160387001</v>
          </cell>
        </row>
        <row r="1025">
          <cell r="B1025" t="str">
            <v>70549843</v>
          </cell>
          <cell r="C1025" t="str">
            <v>优斯麦尔 西梅原浆 108G</v>
          </cell>
          <cell r="D1025">
            <v>5387</v>
          </cell>
          <cell r="E1025">
            <v>14568.48</v>
          </cell>
          <cell r="F1025">
            <v>3.0559462409504401</v>
          </cell>
        </row>
        <row r="1026">
          <cell r="B1026" t="str">
            <v>70549845</v>
          </cell>
          <cell r="C1026" t="str">
            <v>优斯麦尔 石榴汁 248G</v>
          </cell>
          <cell r="D1026">
            <v>16153</v>
          </cell>
          <cell r="E1026">
            <v>62933.919999999998</v>
          </cell>
          <cell r="F1026">
            <v>4.4026081594750197</v>
          </cell>
        </row>
        <row r="1027">
          <cell r="B1027" t="str">
            <v>70549847</v>
          </cell>
          <cell r="C1027" t="str">
            <v>优斯麦尔 桑葚汁 248G</v>
          </cell>
          <cell r="D1027">
            <v>26389</v>
          </cell>
          <cell r="E1027">
            <v>98138.99</v>
          </cell>
          <cell r="F1027">
            <v>4.20239716169616</v>
          </cell>
        </row>
        <row r="1028">
          <cell r="B1028" t="str">
            <v>70549881</v>
          </cell>
          <cell r="C1028" t="str">
            <v>优斯麦尔 苹果原浆 108G</v>
          </cell>
          <cell r="D1028">
            <v>5576</v>
          </cell>
          <cell r="E1028">
            <v>12305.66</v>
          </cell>
          <cell r="F1028">
            <v>2.49379408177905</v>
          </cell>
        </row>
        <row r="1029">
          <cell r="B1029" t="str">
            <v>70549882</v>
          </cell>
          <cell r="C1029" t="str">
            <v>优斯麦尔 香梨原浆 108G</v>
          </cell>
          <cell r="D1029">
            <v>5588</v>
          </cell>
          <cell r="E1029">
            <v>12330.62</v>
          </cell>
          <cell r="F1029">
            <v>2.4934861488904798</v>
          </cell>
        </row>
        <row r="1030">
          <cell r="B1030" t="str">
            <v>70550129</v>
          </cell>
          <cell r="C1030" t="str">
            <v>优斯麦尔 西梅汁 248G</v>
          </cell>
          <cell r="D1030">
            <v>23945</v>
          </cell>
          <cell r="E1030">
            <v>89056.84</v>
          </cell>
          <cell r="F1030">
            <v>4.2027241261223596</v>
          </cell>
        </row>
        <row r="1031">
          <cell r="B1031" t="str">
            <v>70550131</v>
          </cell>
          <cell r="C1031" t="str">
            <v>优斯麦尔 沙棘胡萝卜汁 108G</v>
          </cell>
          <cell r="D1031">
            <v>4564</v>
          </cell>
          <cell r="E1031">
            <v>8833.06</v>
          </cell>
          <cell r="F1031">
            <v>2.1869758545135798</v>
          </cell>
        </row>
        <row r="1032">
          <cell r="B1032" t="str">
            <v>70550133</v>
          </cell>
          <cell r="C1032" t="str">
            <v>优斯麦尔 葡萄原浆 108G</v>
          </cell>
          <cell r="D1032">
            <v>5657</v>
          </cell>
          <cell r="E1032">
            <v>12491.61</v>
          </cell>
          <cell r="F1032">
            <v>2.4952305639031298</v>
          </cell>
        </row>
        <row r="1033">
          <cell r="B1033" t="str">
            <v>70550135</v>
          </cell>
          <cell r="C1033" t="str">
            <v>优斯麦尔 枸杞原浆 108G</v>
          </cell>
          <cell r="D1033">
            <v>5297</v>
          </cell>
          <cell r="E1033">
            <v>16104.83</v>
          </cell>
          <cell r="F1033">
            <v>3.4356159901831198</v>
          </cell>
        </row>
        <row r="1034">
          <cell r="B1034" t="str">
            <v>70550138</v>
          </cell>
          <cell r="C1034" t="str">
            <v>优斯麦尔 石榴原汁 108G</v>
          </cell>
          <cell r="D1034">
            <v>4910</v>
          </cell>
          <cell r="E1034">
            <v>13687.89</v>
          </cell>
          <cell r="F1034">
            <v>3.1501661303462298</v>
          </cell>
        </row>
        <row r="1035">
          <cell r="B1035" t="str">
            <v>70550141</v>
          </cell>
          <cell r="C1035" t="str">
            <v>优斯麦尔 沙棘原浆 108G</v>
          </cell>
          <cell r="D1035">
            <v>5482</v>
          </cell>
          <cell r="E1035">
            <v>14765.21</v>
          </cell>
          <cell r="F1035">
            <v>3.0435401860634799</v>
          </cell>
        </row>
        <row r="1036">
          <cell r="B1036" t="str">
            <v>70556786</v>
          </cell>
          <cell r="C1036" t="str">
            <v>杏疆好 杏皮茶 380ML</v>
          </cell>
          <cell r="D1036">
            <v>3172</v>
          </cell>
          <cell r="E1036">
            <v>11581.94</v>
          </cell>
          <cell r="F1036">
            <v>4.1259748423707396</v>
          </cell>
        </row>
        <row r="1037">
          <cell r="B1037" t="str">
            <v>70556841</v>
          </cell>
          <cell r="C1037" t="str">
            <v>益甘久久 姜黄朝鲜蓟植物饮 100ML</v>
          </cell>
          <cell r="D1037">
            <v>4</v>
          </cell>
          <cell r="E1037">
            <v>414.16</v>
          </cell>
          <cell r="F1037">
            <v>117.00020000000001</v>
          </cell>
        </row>
        <row r="1038">
          <cell r="B1038" t="str">
            <v>70558859</v>
          </cell>
          <cell r="C1038" t="str">
            <v>汇多滋 NFC100％芒果汁 325ML</v>
          </cell>
          <cell r="D1038">
            <v>0</v>
          </cell>
          <cell r="E1038">
            <v>0</v>
          </cell>
          <cell r="F1038" t="e">
            <v>#DIV/0!</v>
          </cell>
        </row>
        <row r="1039">
          <cell r="B1039" t="str">
            <v>70558864</v>
          </cell>
          <cell r="C1039" t="str">
            <v>汇多滋 NFC100％黄桃汁 325ML</v>
          </cell>
          <cell r="D1039">
            <v>0</v>
          </cell>
          <cell r="E1039">
            <v>0</v>
          </cell>
          <cell r="F1039" t="e">
            <v>#DIV/0!</v>
          </cell>
        </row>
        <row r="1040">
          <cell r="B1040" t="str">
            <v>70558871</v>
          </cell>
          <cell r="C1040" t="str">
            <v>雪山果园 核桃很养植物蛋白饮料 245ML</v>
          </cell>
          <cell r="D1040">
            <v>0</v>
          </cell>
          <cell r="E1040">
            <v>0</v>
          </cell>
          <cell r="F1040" t="e">
            <v>#DIV/0!</v>
          </cell>
        </row>
        <row r="1041">
          <cell r="B1041" t="str">
            <v>70558876</v>
          </cell>
          <cell r="C1041" t="str">
            <v>雪山果园 巴旦木很鲜植物蛋白饮料 245ML</v>
          </cell>
          <cell r="D1041">
            <v>0</v>
          </cell>
          <cell r="E1041">
            <v>0</v>
          </cell>
          <cell r="F1041" t="e">
            <v>#DIV/0!</v>
          </cell>
        </row>
        <row r="1042">
          <cell r="B1042" t="str">
            <v>70559409</v>
          </cell>
          <cell r="C1042" t="str">
            <v>海岛范儿 100％椰子水 350ML</v>
          </cell>
          <cell r="D1042">
            <v>19</v>
          </cell>
          <cell r="E1042">
            <v>62.28</v>
          </cell>
          <cell r="F1042">
            <v>3.70402105263158</v>
          </cell>
        </row>
        <row r="1043">
          <cell r="B1043" t="str">
            <v>70561377</v>
          </cell>
          <cell r="C1043" t="str">
            <v>让茶 桂花乌龙茶饮料无糖 500ML/瓶</v>
          </cell>
          <cell r="D1043">
            <v>105</v>
          </cell>
          <cell r="E1043">
            <v>307.64999999999998</v>
          </cell>
          <cell r="F1043">
            <v>3.3109000000000002</v>
          </cell>
        </row>
        <row r="1044">
          <cell r="B1044" t="str">
            <v>70561383</v>
          </cell>
          <cell r="C1044" t="str">
            <v>让茶 青梅龙井茶饮料无糖 450ML/瓶</v>
          </cell>
          <cell r="D1044">
            <v>0</v>
          </cell>
          <cell r="E1044">
            <v>0</v>
          </cell>
          <cell r="F1044" t="e">
            <v>#DIV/0!</v>
          </cell>
        </row>
        <row r="1045">
          <cell r="B1045" t="str">
            <v>70561490</v>
          </cell>
          <cell r="C1045" t="str">
            <v>花田萃 橙C美式即溶咖啡 4G/袋</v>
          </cell>
          <cell r="D1045">
            <v>1254</v>
          </cell>
          <cell r="E1045">
            <v>4520.4399999999996</v>
          </cell>
          <cell r="F1045">
            <v>4.0734427432216904</v>
          </cell>
        </row>
        <row r="1046">
          <cell r="B1046" t="str">
            <v>70562861</v>
          </cell>
          <cell r="C1046" t="str">
            <v>统一 焕神牛磺酸维生素能量饮料 1L/瓶</v>
          </cell>
          <cell r="D1046">
            <v>5063</v>
          </cell>
          <cell r="E1046">
            <v>16561.2</v>
          </cell>
          <cell r="F1046">
            <v>3.6962583448548298</v>
          </cell>
        </row>
        <row r="1047">
          <cell r="B1047" t="str">
            <v>70566766</v>
          </cell>
          <cell r="C1047" t="str">
            <v>泉韵 含气天然泉水 380ML</v>
          </cell>
          <cell r="D1047">
            <v>351</v>
          </cell>
          <cell r="E1047">
            <v>559.85</v>
          </cell>
          <cell r="F1047">
            <v>1.8023660968660999</v>
          </cell>
        </row>
        <row r="1048">
          <cell r="B1048" t="str">
            <v>70573239</v>
          </cell>
          <cell r="C1048" t="str">
            <v>赫尔斯顿 咖啡风味含气泡红葡萄汁饮料 750ML</v>
          </cell>
          <cell r="D1048">
            <v>1668</v>
          </cell>
          <cell r="E1048">
            <v>69931.13</v>
          </cell>
          <cell r="F1048">
            <v>47.375405815347698</v>
          </cell>
        </row>
        <row r="1049">
          <cell r="B1049" t="str">
            <v>70574051</v>
          </cell>
          <cell r="C1049" t="str">
            <v>盼盼 无糖大红袍红茶 500ML</v>
          </cell>
          <cell r="D1049">
            <v>136</v>
          </cell>
          <cell r="E1049">
            <v>356.26</v>
          </cell>
          <cell r="F1049">
            <v>2.96010147058823</v>
          </cell>
        </row>
        <row r="1050">
          <cell r="B1050" t="str">
            <v>70574053</v>
          </cell>
          <cell r="C1050" t="str">
            <v>盼盼 九制陈皮水 380ML</v>
          </cell>
          <cell r="D1050">
            <v>6</v>
          </cell>
          <cell r="E1050">
            <v>20.100000000000001</v>
          </cell>
          <cell r="F1050">
            <v>3.7854999999999999</v>
          </cell>
        </row>
        <row r="1051">
          <cell r="B1051" t="str">
            <v>70574054</v>
          </cell>
          <cell r="C1051" t="str">
            <v>盼盼 枇杷炖梨 380ML</v>
          </cell>
          <cell r="D1051">
            <v>17</v>
          </cell>
          <cell r="E1051">
            <v>60.18</v>
          </cell>
          <cell r="F1051">
            <v>4.0002000000000004</v>
          </cell>
        </row>
        <row r="1052">
          <cell r="B1052" t="str">
            <v>70574251</v>
          </cell>
          <cell r="C1052" t="str">
            <v>星巴克 星选馥芮白咖啡饮料瓶装 270ML</v>
          </cell>
          <cell r="D1052">
            <v>39</v>
          </cell>
          <cell r="E1052">
            <v>253.5</v>
          </cell>
          <cell r="F1052">
            <v>7.3449999999999998</v>
          </cell>
        </row>
        <row r="1053">
          <cell r="B1053" t="str">
            <v>70574254</v>
          </cell>
          <cell r="C1053" t="str">
            <v>外星人 电解质水低糖-青柠PET 600ML</v>
          </cell>
          <cell r="D1053">
            <v>954</v>
          </cell>
          <cell r="E1053">
            <v>3385.3</v>
          </cell>
          <cell r="F1053">
            <v>4.0098417190775697</v>
          </cell>
        </row>
        <row r="1054">
          <cell r="B1054" t="str">
            <v>70574526</v>
          </cell>
          <cell r="C1054" t="str">
            <v>海岛范儿 厚椰乳 350ML</v>
          </cell>
          <cell r="D1054">
            <v>25</v>
          </cell>
          <cell r="E1054">
            <v>81.93</v>
          </cell>
          <cell r="F1054">
            <v>3.703236</v>
          </cell>
        </row>
        <row r="1055">
          <cell r="B1055" t="str">
            <v>70574840</v>
          </cell>
          <cell r="C1055" t="str">
            <v>外星人 电解质水低糖-椰子PET 600ML</v>
          </cell>
          <cell r="D1055">
            <v>797</v>
          </cell>
          <cell r="E1055">
            <v>2823.31</v>
          </cell>
          <cell r="F1055">
            <v>4.0029363864491803</v>
          </cell>
        </row>
        <row r="1056">
          <cell r="B1056" t="str">
            <v>70574841</v>
          </cell>
          <cell r="C1056" t="str">
            <v>外星人 电解质水低糖-西柚PET 600ML</v>
          </cell>
          <cell r="D1056">
            <v>4755</v>
          </cell>
          <cell r="E1056">
            <v>16655.919999999998</v>
          </cell>
          <cell r="F1056">
            <v>3.9581891903259701</v>
          </cell>
        </row>
        <row r="1057">
          <cell r="B1057" t="str">
            <v>70575692</v>
          </cell>
          <cell r="C1057" t="str">
            <v>三方四季 雪梨枇杷露 350ML</v>
          </cell>
          <cell r="D1057">
            <v>11</v>
          </cell>
          <cell r="E1057">
            <v>712.62</v>
          </cell>
          <cell r="F1057">
            <v>73.205509090909104</v>
          </cell>
        </row>
        <row r="1058">
          <cell r="B1058" t="str">
            <v>70575695</v>
          </cell>
          <cell r="C1058" t="str">
            <v>慧华圣果 NFC沙棘原汁 428ML</v>
          </cell>
          <cell r="D1058">
            <v>52</v>
          </cell>
          <cell r="E1058">
            <v>787.38</v>
          </cell>
          <cell r="F1058">
            <v>17.1103730769231</v>
          </cell>
        </row>
        <row r="1059">
          <cell r="B1059" t="str">
            <v>70576190</v>
          </cell>
          <cell r="C1059" t="str">
            <v>慧华圣果 棘香如意沙棘礼盒 盒</v>
          </cell>
          <cell r="D1059">
            <v>2</v>
          </cell>
          <cell r="E1059">
            <v>610.62</v>
          </cell>
          <cell r="F1059">
            <v>345.00029999999998</v>
          </cell>
        </row>
        <row r="1060">
          <cell r="B1060" t="str">
            <v>70576196</v>
          </cell>
          <cell r="C1060" t="str">
            <v>慧华圣果 慧华豪礼沙棘礼盒 盒</v>
          </cell>
          <cell r="D1060">
            <v>7</v>
          </cell>
          <cell r="E1060">
            <v>3592.92</v>
          </cell>
          <cell r="F1060">
            <v>579.99994285714297</v>
          </cell>
        </row>
        <row r="1061">
          <cell r="B1061" t="str">
            <v>70576538</v>
          </cell>
          <cell r="C1061" t="str">
            <v>唐古莱 树莓原浆玲珑甜型 150ML</v>
          </cell>
          <cell r="D1061">
            <v>0</v>
          </cell>
          <cell r="E1061">
            <v>0</v>
          </cell>
          <cell r="F1061" t="e">
            <v>#DIV/0!</v>
          </cell>
        </row>
        <row r="1062">
          <cell r="B1062" t="str">
            <v>70576596</v>
          </cell>
          <cell r="C1062" t="str">
            <v>唐古莱 冷榨树莓汁 230ML</v>
          </cell>
          <cell r="D1062">
            <v>0</v>
          </cell>
          <cell r="E1062">
            <v>0</v>
          </cell>
          <cell r="F1062" t="e">
            <v>#DIV/0!</v>
          </cell>
        </row>
        <row r="1063">
          <cell r="B1063" t="str">
            <v>70577075</v>
          </cell>
          <cell r="C1063" t="str">
            <v>茶小开 轻轻果蔬茶羽衣甘蓝乌龙茶 450ML</v>
          </cell>
          <cell r="D1063">
            <v>2911</v>
          </cell>
          <cell r="E1063">
            <v>9492.67</v>
          </cell>
          <cell r="F1063">
            <v>3.6848907935417401</v>
          </cell>
        </row>
        <row r="1064">
          <cell r="B1064" t="str">
            <v>70577076</v>
          </cell>
          <cell r="C1064" t="str">
            <v>茶小开 轻轻果蔬茶苦瓜柠檬茶 450ML</v>
          </cell>
          <cell r="D1064">
            <v>2134</v>
          </cell>
          <cell r="E1064">
            <v>7110.03</v>
          </cell>
          <cell r="F1064">
            <v>3.7649174789128401</v>
          </cell>
        </row>
        <row r="1065">
          <cell r="B1065" t="str">
            <v>70577251</v>
          </cell>
          <cell r="C1065" t="str">
            <v>好望水 茉莉薏米水 500ML</v>
          </cell>
          <cell r="D1065">
            <v>715</v>
          </cell>
          <cell r="E1065">
            <v>2721.19</v>
          </cell>
          <cell r="F1065">
            <v>4.30062195804196</v>
          </cell>
        </row>
        <row r="1066">
          <cell r="B1066" t="str">
            <v>70577397</v>
          </cell>
          <cell r="C1066" t="str">
            <v>果子熟了 五指毛桃薏米水植物饮料 500ML</v>
          </cell>
          <cell r="D1066">
            <v>2644</v>
          </cell>
          <cell r="E1066">
            <v>8925.2999999999993</v>
          </cell>
          <cell r="F1066">
            <v>3.8145192889561299</v>
          </cell>
        </row>
        <row r="1067">
          <cell r="B1067" t="str">
            <v>70577398</v>
          </cell>
          <cell r="C1067" t="str">
            <v>果子熟了 红豆薏米水植物饮料 500ML</v>
          </cell>
          <cell r="D1067">
            <v>5290</v>
          </cell>
          <cell r="E1067">
            <v>17842.82</v>
          </cell>
          <cell r="F1067">
            <v>3.8114152362948999</v>
          </cell>
        </row>
        <row r="1068">
          <cell r="B1068" t="str">
            <v>70577399</v>
          </cell>
          <cell r="C1068" t="str">
            <v>果子熟了 黑米决明子植物饮料 500ML</v>
          </cell>
          <cell r="D1068">
            <v>3122</v>
          </cell>
          <cell r="E1068">
            <v>10534.07</v>
          </cell>
          <cell r="F1068">
            <v>3.8127799807815501</v>
          </cell>
        </row>
        <row r="1069">
          <cell r="B1069" t="str">
            <v>70577987</v>
          </cell>
          <cell r="C1069" t="str">
            <v>茶小开 陈皮山楂水 500ML</v>
          </cell>
          <cell r="D1069">
            <v>2442</v>
          </cell>
          <cell r="E1069">
            <v>7923.8</v>
          </cell>
          <cell r="F1069">
            <v>3.6666232596232602</v>
          </cell>
        </row>
        <row r="1070">
          <cell r="B1070" t="str">
            <v>70578512</v>
          </cell>
          <cell r="C1070" t="str">
            <v>好望水 柠檬薏米水 500ML</v>
          </cell>
          <cell r="D1070">
            <v>605</v>
          </cell>
          <cell r="E1070">
            <v>2302.4899999999998</v>
          </cell>
          <cell r="F1070">
            <v>4.3005185123966898</v>
          </cell>
        </row>
        <row r="1071">
          <cell r="B1071" t="str">
            <v>70578707</v>
          </cell>
          <cell r="C1071" t="str">
            <v>海岛范儿 生椰拿铁咖啡 280ML</v>
          </cell>
          <cell r="D1071">
            <v>20</v>
          </cell>
          <cell r="E1071">
            <v>65.53</v>
          </cell>
          <cell r="F1071">
            <v>3.702445</v>
          </cell>
        </row>
        <row r="1072">
          <cell r="B1072" t="str">
            <v>70579038</v>
          </cell>
          <cell r="C1072" t="str">
            <v>可可满分 茉莉椰乳茶 320ML</v>
          </cell>
          <cell r="D1072">
            <v>0</v>
          </cell>
          <cell r="E1072">
            <v>0</v>
          </cell>
          <cell r="F1072" t="e">
            <v>#DIV/0!</v>
          </cell>
        </row>
        <row r="1073">
          <cell r="B1073" t="str">
            <v>70579042</v>
          </cell>
          <cell r="C1073" t="str">
            <v>可可满分 桂馥椰乳茶 320ML</v>
          </cell>
          <cell r="D1073">
            <v>0</v>
          </cell>
          <cell r="E1073">
            <v>0</v>
          </cell>
          <cell r="F1073" t="e">
            <v>#DIV/0!</v>
          </cell>
        </row>
        <row r="1074">
          <cell r="B1074" t="str">
            <v>70579063</v>
          </cell>
          <cell r="C1074" t="str">
            <v>让茶 茉莉乌龙茶无糖 900ML</v>
          </cell>
          <cell r="D1074">
            <v>0</v>
          </cell>
          <cell r="E1074">
            <v>0</v>
          </cell>
          <cell r="F1074" t="e">
            <v>#DIV/0!</v>
          </cell>
        </row>
        <row r="1075">
          <cell r="B1075" t="str">
            <v>70579066</v>
          </cell>
          <cell r="C1075" t="str">
            <v>让茶 桂花乌龙茶饮品无糖 900ML</v>
          </cell>
          <cell r="D1075">
            <v>0</v>
          </cell>
          <cell r="E1075">
            <v>0</v>
          </cell>
          <cell r="F1075" t="e">
            <v>#DIV/0!</v>
          </cell>
        </row>
        <row r="1076">
          <cell r="B1076" t="str">
            <v>70579069</v>
          </cell>
          <cell r="C1076" t="str">
            <v>让茶 柠C茉莉茶 450ML</v>
          </cell>
          <cell r="D1076">
            <v>105</v>
          </cell>
          <cell r="E1076">
            <v>307.64999999999998</v>
          </cell>
          <cell r="F1076">
            <v>3.3109000000000002</v>
          </cell>
        </row>
        <row r="1077">
          <cell r="B1077" t="str">
            <v>70579071</v>
          </cell>
          <cell r="C1077" t="str">
            <v>让茶 柚C茉莉茶饮料无糖 450ML</v>
          </cell>
          <cell r="D1077">
            <v>0</v>
          </cell>
          <cell r="E1077">
            <v>0</v>
          </cell>
          <cell r="F1077" t="e">
            <v>#DIV/0!</v>
          </cell>
        </row>
        <row r="1078">
          <cell r="B1078" t="str">
            <v>70579114</v>
          </cell>
          <cell r="C1078" t="str">
            <v>让茶 饭后普洱茶饮品无糖 500ML</v>
          </cell>
          <cell r="D1078">
            <v>0</v>
          </cell>
          <cell r="E1078">
            <v>0</v>
          </cell>
          <cell r="F1078" t="e">
            <v>#DIV/0!</v>
          </cell>
        </row>
        <row r="1079">
          <cell r="B1079" t="str">
            <v>70579115</v>
          </cell>
          <cell r="C1079" t="str">
            <v>让茶 烟感乌龙茶饮品无糖 500ML</v>
          </cell>
          <cell r="D1079">
            <v>0</v>
          </cell>
          <cell r="E1079">
            <v>0</v>
          </cell>
          <cell r="F1079" t="e">
            <v>#DIV/0!</v>
          </cell>
        </row>
        <row r="1080">
          <cell r="B1080" t="str">
            <v>70579116</v>
          </cell>
          <cell r="C1080" t="str">
            <v>让茶 橙C乌龙茶饮料无糖 450ML</v>
          </cell>
          <cell r="D1080">
            <v>0</v>
          </cell>
          <cell r="E1080">
            <v>0</v>
          </cell>
          <cell r="F1080" t="e">
            <v>#DIV/0!</v>
          </cell>
        </row>
        <row r="1081">
          <cell r="B1081" t="str">
            <v>70579118</v>
          </cell>
          <cell r="C1081" t="str">
            <v>汇多滋 黄桃汁100％NFC 1L</v>
          </cell>
          <cell r="D1081">
            <v>0</v>
          </cell>
          <cell r="E1081">
            <v>0</v>
          </cell>
          <cell r="F1081" t="e">
            <v>#DIV/0!</v>
          </cell>
        </row>
        <row r="1082">
          <cell r="B1082" t="str">
            <v>70579119</v>
          </cell>
          <cell r="C1082" t="str">
            <v>汇多滋 芒果汁100％NFC 1L</v>
          </cell>
          <cell r="D1082">
            <v>0</v>
          </cell>
          <cell r="E1082">
            <v>0</v>
          </cell>
          <cell r="F1082" t="e">
            <v>#DIV/0!</v>
          </cell>
        </row>
        <row r="1083">
          <cell r="B1083" t="str">
            <v>70579120</v>
          </cell>
          <cell r="C1083" t="str">
            <v>汇多滋 橙混果汁100％NFC 1L</v>
          </cell>
          <cell r="D1083">
            <v>0</v>
          </cell>
          <cell r="E1083">
            <v>0</v>
          </cell>
          <cell r="F1083" t="e">
            <v>#DIV/0!</v>
          </cell>
        </row>
        <row r="1084">
          <cell r="B1084" t="str">
            <v>70579121</v>
          </cell>
          <cell r="C1084" t="str">
            <v>汇多滋 葡萄汁100％NFC 1L</v>
          </cell>
          <cell r="D1084">
            <v>0</v>
          </cell>
          <cell r="E1084">
            <v>0</v>
          </cell>
          <cell r="F1084" t="e">
            <v>#DIV/0!</v>
          </cell>
        </row>
        <row r="1085">
          <cell r="B1085" t="str">
            <v>70579122</v>
          </cell>
          <cell r="C1085" t="str">
            <v>汇多滋 西柚汁100％NFC 1L</v>
          </cell>
          <cell r="D1085">
            <v>0</v>
          </cell>
          <cell r="E1085">
            <v>0</v>
          </cell>
          <cell r="F1085" t="e">
            <v>#DIV/0!</v>
          </cell>
        </row>
        <row r="1086">
          <cell r="B1086" t="str">
            <v>70579139</v>
          </cell>
          <cell r="C1086" t="str">
            <v>汇多滋苹 果汁100％NFC 1L</v>
          </cell>
          <cell r="D1086">
            <v>0</v>
          </cell>
          <cell r="E1086">
            <v>0</v>
          </cell>
          <cell r="F1086" t="e">
            <v>#DIV/0!</v>
          </cell>
        </row>
        <row r="1087">
          <cell r="B1087" t="str">
            <v>70579140</v>
          </cell>
          <cell r="C1087" t="str">
            <v>可可满分 菊花柚子水 500ML</v>
          </cell>
          <cell r="D1087">
            <v>0</v>
          </cell>
          <cell r="E1087">
            <v>0</v>
          </cell>
          <cell r="F1087" t="e">
            <v>#DIV/0!</v>
          </cell>
        </row>
        <row r="1088">
          <cell r="B1088" t="str">
            <v>70579141</v>
          </cell>
          <cell r="C1088" t="str">
            <v>可可满分 枇杷雪梨水 500ML</v>
          </cell>
          <cell r="D1088">
            <v>0</v>
          </cell>
          <cell r="E1088">
            <v>0</v>
          </cell>
          <cell r="F1088" t="e">
            <v>#DIV/0!</v>
          </cell>
        </row>
        <row r="1089">
          <cell r="B1089" t="str">
            <v>70579142</v>
          </cell>
          <cell r="C1089" t="str">
            <v>可可满分 无糖椰乳 330ML</v>
          </cell>
          <cell r="D1089">
            <v>0</v>
          </cell>
          <cell r="E1089">
            <v>0</v>
          </cell>
          <cell r="F1089" t="e">
            <v>#DIV/0!</v>
          </cell>
        </row>
        <row r="1090">
          <cell r="B1090" t="str">
            <v>70579145</v>
          </cell>
          <cell r="C1090" t="str">
            <v>可可满分 100％椰子水 330ML</v>
          </cell>
          <cell r="D1090">
            <v>0</v>
          </cell>
          <cell r="E1090">
            <v>0</v>
          </cell>
          <cell r="F1090" t="e">
            <v>#DIV/0!</v>
          </cell>
        </row>
        <row r="1091">
          <cell r="B1091" t="str">
            <v>70579146</v>
          </cell>
          <cell r="C1091" t="str">
            <v>可可满分 100％椰子水 1000ML</v>
          </cell>
          <cell r="D1091">
            <v>0</v>
          </cell>
          <cell r="E1091">
            <v>0</v>
          </cell>
          <cell r="F1091" t="e">
            <v>#DIV/0!</v>
          </cell>
        </row>
        <row r="1092">
          <cell r="B1092" t="str">
            <v>70579324</v>
          </cell>
          <cell r="C1092" t="str">
            <v>清蓝 轻椰茉莉 380ML</v>
          </cell>
          <cell r="D1092">
            <v>145</v>
          </cell>
          <cell r="E1092">
            <v>572.04</v>
          </cell>
          <cell r="F1092">
            <v>4.4579668965517198</v>
          </cell>
        </row>
        <row r="1093">
          <cell r="B1093" t="str">
            <v>70579325</v>
          </cell>
          <cell r="C1093" t="str">
            <v>悦小开 百合雪梨水 500ML</v>
          </cell>
          <cell r="D1093">
            <v>2753</v>
          </cell>
          <cell r="E1093">
            <v>8921.2000000000007</v>
          </cell>
          <cell r="F1093">
            <v>3.6618074827460898</v>
          </cell>
        </row>
        <row r="1094">
          <cell r="B1094" t="str">
            <v>70580103</v>
          </cell>
          <cell r="C1094" t="str">
            <v>农夫山泉 东方树叶青柑普洱茶 1.5L</v>
          </cell>
          <cell r="D1094">
            <v>2548</v>
          </cell>
          <cell r="E1094">
            <v>18941.169999999998</v>
          </cell>
          <cell r="F1094">
            <v>8.4001264128728401</v>
          </cell>
        </row>
        <row r="1095">
          <cell r="B1095" t="str">
            <v>70580104</v>
          </cell>
          <cell r="C1095" t="str">
            <v>农夫山泉 东方树叶茉莉花茶 1.5L</v>
          </cell>
          <cell r="D1095">
            <v>5415</v>
          </cell>
          <cell r="E1095">
            <v>40185.050000000003</v>
          </cell>
          <cell r="F1095">
            <v>8.3857999076639</v>
          </cell>
        </row>
        <row r="1096">
          <cell r="B1096" t="str">
            <v>70580181</v>
          </cell>
          <cell r="C1096" t="str">
            <v>金豆芽 金银花柚子汁 100ml</v>
          </cell>
          <cell r="D1096">
            <v>5155</v>
          </cell>
          <cell r="E1096">
            <v>10842.36</v>
          </cell>
          <cell r="F1096">
            <v>2.3766957904946602</v>
          </cell>
        </row>
        <row r="1097">
          <cell r="B1097" t="str">
            <v>70580183</v>
          </cell>
          <cell r="C1097" t="str">
            <v>金豆芽 金银花柚子汁 155ml*4</v>
          </cell>
          <cell r="D1097">
            <v>194</v>
          </cell>
          <cell r="E1097">
            <v>1734.21</v>
          </cell>
          <cell r="F1097">
            <v>10.1013262886598</v>
          </cell>
        </row>
        <row r="1098">
          <cell r="B1098" t="str">
            <v>70580192</v>
          </cell>
          <cell r="C1098" t="str">
            <v>金晔 山楂菊花无糖茶（植物饮料） 500ML</v>
          </cell>
          <cell r="D1098">
            <v>342</v>
          </cell>
          <cell r="E1098">
            <v>1371.49</v>
          </cell>
          <cell r="F1098">
            <v>4.5315312865497104</v>
          </cell>
        </row>
        <row r="1099">
          <cell r="B1099" t="str">
            <v>70580217</v>
          </cell>
          <cell r="C1099" t="str">
            <v>慧华圣果 枸杞原浆 50ML*10</v>
          </cell>
          <cell r="D1099">
            <v>18</v>
          </cell>
          <cell r="E1099">
            <v>784.42</v>
          </cell>
          <cell r="F1099">
            <v>49.244144444444402</v>
          </cell>
        </row>
        <row r="1100">
          <cell r="B1100" t="str">
            <v>70580219</v>
          </cell>
          <cell r="C1100" t="str">
            <v>慧华圣果 黑加仑原浆 50ML*10</v>
          </cell>
          <cell r="D1100">
            <v>10</v>
          </cell>
          <cell r="E1100">
            <v>442.48</v>
          </cell>
          <cell r="F1100">
            <v>50.000239999999998</v>
          </cell>
        </row>
        <row r="1101">
          <cell r="B1101" t="str">
            <v>70580224</v>
          </cell>
          <cell r="C1101" t="str">
            <v>慧华圣果 大棘大利820ML＋180G 盒</v>
          </cell>
          <cell r="D1101">
            <v>6</v>
          </cell>
          <cell r="E1101">
            <v>1247.79</v>
          </cell>
          <cell r="F1101">
            <v>235.00045</v>
          </cell>
        </row>
        <row r="1102">
          <cell r="B1102" t="str">
            <v>70580249</v>
          </cell>
          <cell r="C1102" t="str">
            <v>沙吾尔 柠檬鲜果蜂蜜水 386G</v>
          </cell>
          <cell r="D1102">
            <v>7600</v>
          </cell>
          <cell r="E1102">
            <v>25768.39</v>
          </cell>
          <cell r="F1102">
            <v>3.8313527236842102</v>
          </cell>
        </row>
        <row r="1103">
          <cell r="B1103" t="str">
            <v>70580251</v>
          </cell>
          <cell r="C1103" t="str">
            <v>沙吾尔 沙棘鲜果蜂蜜水 386G</v>
          </cell>
          <cell r="D1103">
            <v>6646</v>
          </cell>
          <cell r="E1103">
            <v>27837.55</v>
          </cell>
          <cell r="F1103">
            <v>4.7331374510983997</v>
          </cell>
        </row>
        <row r="1104">
          <cell r="B1104" t="str">
            <v>70580261</v>
          </cell>
          <cell r="C1104" t="str">
            <v>吉萃元 有机沙棘全果原浆 100G*7</v>
          </cell>
          <cell r="D1104">
            <v>3</v>
          </cell>
          <cell r="E1104">
            <v>119.47</v>
          </cell>
          <cell r="F1104">
            <v>45.0003666666667</v>
          </cell>
        </row>
        <row r="1105">
          <cell r="B1105" t="str">
            <v>70580277</v>
          </cell>
          <cell r="C1105" t="str">
            <v>达德录夫 卡瓦斯发酵饮料 300ML</v>
          </cell>
          <cell r="D1105">
            <v>80</v>
          </cell>
          <cell r="E1105">
            <v>213.36</v>
          </cell>
          <cell r="F1105">
            <v>3.0137100000000001</v>
          </cell>
        </row>
        <row r="1106">
          <cell r="B1106" t="str">
            <v>70580451</v>
          </cell>
          <cell r="C1106" t="str">
            <v>北纬茶时 信阳毛尖逢春原茶饮料 480ML</v>
          </cell>
          <cell r="D1106">
            <v>76</v>
          </cell>
          <cell r="E1106">
            <v>175.22</v>
          </cell>
          <cell r="F1106">
            <v>2.6052447368421001</v>
          </cell>
        </row>
        <row r="1107">
          <cell r="B1107" t="str">
            <v>70580710</v>
          </cell>
          <cell r="C1107" t="str">
            <v>华洋 1982果汁汽水330标准罐（四会沙糖桔味） 330ML</v>
          </cell>
          <cell r="D1107">
            <v>72</v>
          </cell>
          <cell r="E1107">
            <v>86.17</v>
          </cell>
          <cell r="F1107">
            <v>1.3523902777777801</v>
          </cell>
        </row>
        <row r="1108">
          <cell r="B1108" t="str">
            <v>70582724</v>
          </cell>
          <cell r="C1108" t="str">
            <v>轻上 牛马丝滑拿铁咖啡 360ML</v>
          </cell>
          <cell r="D1108">
            <v>40</v>
          </cell>
          <cell r="E1108">
            <v>161.63</v>
          </cell>
          <cell r="F1108">
            <v>4.5660474999999998</v>
          </cell>
        </row>
        <row r="1109">
          <cell r="B1109" t="str">
            <v>70582727</v>
          </cell>
          <cell r="C1109" t="str">
            <v>茶小开 茉莉花茶 LL</v>
          </cell>
          <cell r="D1109">
            <v>1838</v>
          </cell>
          <cell r="E1109">
            <v>8816.81</v>
          </cell>
          <cell r="F1109">
            <v>5.4205632752992399</v>
          </cell>
        </row>
        <row r="1110">
          <cell r="B1110" t="str">
            <v>70582730</v>
          </cell>
          <cell r="C1110" t="str">
            <v>轻上 牛马生椰拿铁咖啡 360ML</v>
          </cell>
          <cell r="D1110">
            <v>68</v>
          </cell>
          <cell r="E1110">
            <v>274.93</v>
          </cell>
          <cell r="F1110">
            <v>4.5686897058823499</v>
          </cell>
        </row>
        <row r="1111">
          <cell r="B1111" t="str">
            <v>70583080</v>
          </cell>
          <cell r="C1111" t="str">
            <v>柠檬共和国 云雾柠檬气泡果汁 470ML</v>
          </cell>
          <cell r="D1111">
            <v>1091</v>
          </cell>
          <cell r="E1111">
            <v>3091.03</v>
          </cell>
          <cell r="F1111">
            <v>3.2015251145737902</v>
          </cell>
        </row>
        <row r="1112">
          <cell r="B1112" t="str">
            <v>70583081</v>
          </cell>
          <cell r="C1112" t="str">
            <v>柠檬共和国 云雾芭乐气泡果汁 470ML</v>
          </cell>
          <cell r="D1112">
            <v>2305</v>
          </cell>
          <cell r="E1112">
            <v>5954.35</v>
          </cell>
          <cell r="F1112">
            <v>2.9190522776572698</v>
          </cell>
        </row>
        <row r="1113">
          <cell r="B1113" t="str">
            <v>70583083</v>
          </cell>
          <cell r="C1113" t="str">
            <v>颜满格 爆汁青提茶 500ML</v>
          </cell>
          <cell r="D1113">
            <v>3531</v>
          </cell>
          <cell r="E1113">
            <v>12877.24</v>
          </cell>
          <cell r="F1113">
            <v>4.1210085528178997</v>
          </cell>
        </row>
        <row r="1114">
          <cell r="B1114" t="str">
            <v>70583084</v>
          </cell>
          <cell r="C1114" t="str">
            <v>颜满格 爆汁柚子茶 500ML</v>
          </cell>
          <cell r="D1114">
            <v>3689</v>
          </cell>
          <cell r="E1114">
            <v>13458.49</v>
          </cell>
          <cell r="F1114">
            <v>4.1225518297641601</v>
          </cell>
        </row>
        <row r="1115">
          <cell r="B1115" t="str">
            <v>70583085</v>
          </cell>
          <cell r="C1115" t="str">
            <v>颜满格 暴打芒果露 500ML</v>
          </cell>
          <cell r="D1115">
            <v>4021</v>
          </cell>
          <cell r="E1115">
            <v>14644.9</v>
          </cell>
          <cell r="F1115">
            <v>4.1155774682914696</v>
          </cell>
        </row>
        <row r="1116">
          <cell r="B1116" t="str">
            <v>70583086</v>
          </cell>
          <cell r="C1116" t="str">
            <v>颜满格 柠檬C＋真果肉 500ML</v>
          </cell>
          <cell r="D1116">
            <v>3437</v>
          </cell>
          <cell r="E1116">
            <v>12505.92</v>
          </cell>
          <cell r="F1116">
            <v>4.1116350305499001</v>
          </cell>
        </row>
        <row r="1117">
          <cell r="B1117" t="str">
            <v>70583087</v>
          </cell>
          <cell r="C1117" t="str">
            <v>颜满格 橙子C＋真果肉 500ML</v>
          </cell>
          <cell r="D1117">
            <v>2967</v>
          </cell>
          <cell r="E1117">
            <v>10826.53</v>
          </cell>
          <cell r="F1117">
            <v>4.12334981462757</v>
          </cell>
        </row>
        <row r="1118">
          <cell r="B1118" t="str">
            <v>70587096</v>
          </cell>
          <cell r="C1118" t="str">
            <v>泉阳泉 白桦树原汁（PET瓶） 300ML</v>
          </cell>
          <cell r="D1118">
            <v>90</v>
          </cell>
          <cell r="E1118">
            <v>462.21</v>
          </cell>
          <cell r="F1118">
            <v>5.8033033333333304</v>
          </cell>
        </row>
        <row r="1119">
          <cell r="B1119" t="str">
            <v>70593812</v>
          </cell>
          <cell r="C1119" t="str">
            <v>九峰山养心谷 白桦树汁 330ML</v>
          </cell>
          <cell r="D1119">
            <v>12</v>
          </cell>
          <cell r="E1119">
            <v>113.64</v>
          </cell>
          <cell r="F1119">
            <v>10.7011</v>
          </cell>
        </row>
        <row r="1120">
          <cell r="B1120" t="str">
            <v>70595284</v>
          </cell>
          <cell r="C1120" t="str">
            <v>轻上 椰子水 360ML</v>
          </cell>
          <cell r="D1120">
            <v>5</v>
          </cell>
          <cell r="E1120">
            <v>22.15</v>
          </cell>
          <cell r="F1120">
            <v>5.0058999999999996</v>
          </cell>
        </row>
        <row r="1121">
          <cell r="B1121" t="str">
            <v>70597358</v>
          </cell>
          <cell r="C1121" t="str">
            <v>康师傅 无糖茉莉花茶 900ML</v>
          </cell>
          <cell r="D1121">
            <v>81</v>
          </cell>
          <cell r="E1121">
            <v>331.52</v>
          </cell>
          <cell r="F1121">
            <v>4.6249086419753098</v>
          </cell>
        </row>
        <row r="1122">
          <cell r="B1122" t="str">
            <v>70597359</v>
          </cell>
          <cell r="C1122" t="str">
            <v>康师傅 枸杞菊花茶 500ML</v>
          </cell>
          <cell r="D1122">
            <v>186</v>
          </cell>
          <cell r="E1122">
            <v>503.94</v>
          </cell>
          <cell r="F1122">
            <v>3.0615709677419298</v>
          </cell>
        </row>
        <row r="1123">
          <cell r="B1123" t="str">
            <v>70597360</v>
          </cell>
          <cell r="C1123" t="str">
            <v>康师傅 茶的传人潮汕人的凤凰单丛 500ML</v>
          </cell>
          <cell r="D1123">
            <v>5</v>
          </cell>
          <cell r="E1123">
            <v>20.350000000000001</v>
          </cell>
          <cell r="F1123">
            <v>4.5991</v>
          </cell>
        </row>
        <row r="1124">
          <cell r="B1124" t="str">
            <v>70597361</v>
          </cell>
          <cell r="C1124" t="str">
            <v>百事可乐 纯水乐苏打气泡水 410mL</v>
          </cell>
          <cell r="D1124">
            <v>342</v>
          </cell>
          <cell r="E1124">
            <v>551.25</v>
          </cell>
          <cell r="F1124">
            <v>1.82138157894737</v>
          </cell>
        </row>
        <row r="1125">
          <cell r="B1125" t="str">
            <v>70597458</v>
          </cell>
          <cell r="C1125" t="str">
            <v>百事可乐 生可乐生爽柠檬味 500ML</v>
          </cell>
          <cell r="D1125">
            <v>870</v>
          </cell>
          <cell r="E1125">
            <v>2301.5</v>
          </cell>
          <cell r="F1125">
            <v>2.9893045977011501</v>
          </cell>
        </row>
        <row r="1126">
          <cell r="B1126" t="str">
            <v>70597459</v>
          </cell>
          <cell r="C1126" t="str">
            <v>康师傅 决明子大麦饮 500ML</v>
          </cell>
          <cell r="D1126">
            <v>231</v>
          </cell>
          <cell r="E1126">
            <v>625.89</v>
          </cell>
          <cell r="F1126">
            <v>3.06171298701299</v>
          </cell>
        </row>
        <row r="1127">
          <cell r="B1127" t="str">
            <v>70597468</v>
          </cell>
          <cell r="C1127" t="str">
            <v>星巴克 茶咖茉莉拿铁咖啡饮料 270ML</v>
          </cell>
          <cell r="D1127">
            <v>7190</v>
          </cell>
          <cell r="E1127">
            <v>38945.54</v>
          </cell>
          <cell r="F1127">
            <v>6.1207872322670402</v>
          </cell>
        </row>
        <row r="1128">
          <cell r="B1128" t="str">
            <v>70597619</v>
          </cell>
          <cell r="C1128" t="str">
            <v>星巴克 茶咖铁观音乌龙拿铁咖啡饮料 270ML</v>
          </cell>
          <cell r="D1128">
            <v>5687</v>
          </cell>
          <cell r="E1128">
            <v>33402.660000000003</v>
          </cell>
          <cell r="F1128">
            <v>6.6370680147705299</v>
          </cell>
        </row>
        <row r="1129">
          <cell r="B1129" t="str">
            <v>70599926</v>
          </cell>
          <cell r="C1129" t="str">
            <v>果子熟了 电解质水荔枝味 910ML</v>
          </cell>
          <cell r="D1129">
            <v>16</v>
          </cell>
          <cell r="E1129">
            <v>63.88</v>
          </cell>
          <cell r="F1129">
            <v>4.5115249999999998</v>
          </cell>
        </row>
        <row r="1130">
          <cell r="B1130" t="str">
            <v>70599927</v>
          </cell>
          <cell r="C1130" t="str">
            <v>果子熟了 电解质水西柚味 910ML</v>
          </cell>
          <cell r="D1130">
            <v>10</v>
          </cell>
          <cell r="E1130">
            <v>39.93</v>
          </cell>
          <cell r="F1130">
            <v>4.5120899999999997</v>
          </cell>
        </row>
        <row r="1131">
          <cell r="B1131" t="str">
            <v>70599956</v>
          </cell>
          <cell r="C1131" t="str">
            <v>果子熟了 电解质水荔枝味 600ML</v>
          </cell>
          <cell r="D1131">
            <v>9</v>
          </cell>
          <cell r="E1131">
            <v>23.94</v>
          </cell>
          <cell r="F1131">
            <v>3.0057999999999998</v>
          </cell>
        </row>
        <row r="1132">
          <cell r="B1132" t="str">
            <v>70599994</v>
          </cell>
          <cell r="C1132" t="str">
            <v>果子熟了 电解质水西柚味 600ML</v>
          </cell>
          <cell r="D1132">
            <v>24</v>
          </cell>
          <cell r="E1132">
            <v>63.82</v>
          </cell>
          <cell r="F1132">
            <v>3.0048583333333299</v>
          </cell>
        </row>
        <row r="1133">
          <cell r="B1133" t="str">
            <v>70601279</v>
          </cell>
          <cell r="C1133" t="str">
            <v>精杞神 枸杞桑葚汁饮料 250ML</v>
          </cell>
          <cell r="D1133">
            <v>1610</v>
          </cell>
          <cell r="E1133">
            <v>3743.27</v>
          </cell>
          <cell r="F1133">
            <v>2.6272640372670799</v>
          </cell>
        </row>
        <row r="1134">
          <cell r="B1134" t="str">
            <v>70601966</v>
          </cell>
          <cell r="C1134" t="str">
            <v>优斯麦尔 核桃乳 248ML</v>
          </cell>
          <cell r="D1134">
            <v>13730</v>
          </cell>
          <cell r="E1134">
            <v>38901.69</v>
          </cell>
          <cell r="F1134">
            <v>3.20166858703569</v>
          </cell>
        </row>
        <row r="1135">
          <cell r="B1135" t="str">
            <v>70601967</v>
          </cell>
          <cell r="C1135" t="str">
            <v>优斯麦尔 巴旦木乳 248ML</v>
          </cell>
          <cell r="D1135">
            <v>10488</v>
          </cell>
          <cell r="E1135">
            <v>32505.759999999998</v>
          </cell>
          <cell r="F1135">
            <v>3.5022414950419498</v>
          </cell>
        </row>
        <row r="1136">
          <cell r="B1136" t="str">
            <v>70626177</v>
          </cell>
          <cell r="C1136" t="str">
            <v>轻上 冰镇杨梅 360ML</v>
          </cell>
          <cell r="D1136">
            <v>13</v>
          </cell>
          <cell r="E1136">
            <v>52.94</v>
          </cell>
          <cell r="F1136">
            <v>4.6017076923076896</v>
          </cell>
        </row>
        <row r="1137">
          <cell r="B1137" t="str">
            <v>70636394</v>
          </cell>
          <cell r="C1137" t="str">
            <v>双钱  100％椰子水  350ML*12瓶</v>
          </cell>
          <cell r="D1137">
            <v>15</v>
          </cell>
          <cell r="E1137">
            <v>823.5</v>
          </cell>
          <cell r="F1137">
            <v>62.036999999999999</v>
          </cell>
        </row>
        <row r="1138">
          <cell r="B1138" t="str">
            <v>70639649</v>
          </cell>
          <cell r="C1138" t="str">
            <v>DRINKSBA 芭乐茉莉气泡果汁茶 310ML*15</v>
          </cell>
          <cell r="D1138">
            <v>7</v>
          </cell>
          <cell r="E1138">
            <v>559.29999999999995</v>
          </cell>
          <cell r="F1138">
            <v>90.287000000000006</v>
          </cell>
        </row>
        <row r="1139">
          <cell r="B1139" t="str">
            <v>70640144</v>
          </cell>
          <cell r="C1139" t="str">
            <v>果子熟了 活力水平衡电解质水青柠味 910ML</v>
          </cell>
          <cell r="D1139">
            <v>4</v>
          </cell>
          <cell r="E1139">
            <v>15.98</v>
          </cell>
          <cell r="F1139">
            <v>4.5143500000000003</v>
          </cell>
        </row>
        <row r="1140">
          <cell r="B1140" t="str">
            <v>70640155</v>
          </cell>
          <cell r="C1140" t="str">
            <v>果子熟了 活力水平衡电解质水青柠味 600ML</v>
          </cell>
          <cell r="D1140">
            <v>11</v>
          </cell>
          <cell r="E1140">
            <v>29.26</v>
          </cell>
          <cell r="F1140">
            <v>3.0057999999999998</v>
          </cell>
        </row>
        <row r="1141">
          <cell r="B1141" t="str">
            <v>70640167</v>
          </cell>
          <cell r="C1141" t="str">
            <v>华洋 橙子味果汁型汽水 330ML</v>
          </cell>
          <cell r="D1141">
            <v>56</v>
          </cell>
          <cell r="E1141">
            <v>99.67</v>
          </cell>
          <cell r="F1141">
            <v>2.0111982142857099</v>
          </cell>
        </row>
        <row r="1142">
          <cell r="B1142" t="str">
            <v>70640214</v>
          </cell>
          <cell r="C1142" t="str">
            <v>轻上 360杨枝甘露（1*18） 360ML</v>
          </cell>
          <cell r="D1142">
            <v>16</v>
          </cell>
          <cell r="E1142">
            <v>65.2</v>
          </cell>
          <cell r="F1142">
            <v>4.6047500000000001</v>
          </cell>
        </row>
        <row r="1143">
          <cell r="B1143" t="str">
            <v>70640221</v>
          </cell>
          <cell r="C1143" t="str">
            <v>轻上 360生椰牛乳（1*18） 360ML</v>
          </cell>
          <cell r="D1143">
            <v>78</v>
          </cell>
          <cell r="E1143">
            <v>315.18</v>
          </cell>
          <cell r="F1143">
            <v>4.5660692307692301</v>
          </cell>
        </row>
        <row r="1144">
          <cell r="B1144" t="str">
            <v>70640275</v>
          </cell>
          <cell r="C1144" t="str">
            <v>果子熟了 活力水平衡电解质水红提味 600ML</v>
          </cell>
          <cell r="D1144">
            <v>10</v>
          </cell>
          <cell r="E1144">
            <v>26.6</v>
          </cell>
          <cell r="F1144">
            <v>3.0057999999999998</v>
          </cell>
        </row>
        <row r="1145">
          <cell r="B1145" t="str">
            <v>70640278</v>
          </cell>
          <cell r="C1145" t="str">
            <v>茶小开 畅饮无糖茶碧螺春茶饮料 1L</v>
          </cell>
          <cell r="D1145">
            <v>1448</v>
          </cell>
          <cell r="E1145">
            <v>6944.01</v>
          </cell>
          <cell r="F1145">
            <v>5.4190133287292799</v>
          </cell>
        </row>
        <row r="1146">
          <cell r="B1146" t="str">
            <v>70640287</v>
          </cell>
          <cell r="C1146" t="str">
            <v>电持 电持风味饮料 250ML</v>
          </cell>
          <cell r="D1146">
            <v>168214</v>
          </cell>
          <cell r="E1146">
            <v>534549.15</v>
          </cell>
          <cell r="F1146">
            <v>3.5909052724505699</v>
          </cell>
        </row>
        <row r="1147">
          <cell r="B1147" t="str">
            <v>70640293</v>
          </cell>
          <cell r="C1147" t="str">
            <v>果子熟了 活力水平衡电解质水红提味 910ML</v>
          </cell>
          <cell r="D1147">
            <v>6</v>
          </cell>
          <cell r="E1147">
            <v>23.97</v>
          </cell>
          <cell r="F1147">
            <v>4.5143500000000003</v>
          </cell>
        </row>
        <row r="1148">
          <cell r="B1148" t="str">
            <v>70640303</v>
          </cell>
          <cell r="C1148" t="str">
            <v>佰客爽 石榴汁 310ML</v>
          </cell>
          <cell r="D1148">
            <v>196</v>
          </cell>
          <cell r="E1148">
            <v>744.67</v>
          </cell>
          <cell r="F1148">
            <v>4.2932505102040803</v>
          </cell>
        </row>
        <row r="1149">
          <cell r="B1149" t="str">
            <v>70640310</v>
          </cell>
          <cell r="C1149" t="str">
            <v>花田萃 柠C美式即溶咖啡 20G</v>
          </cell>
          <cell r="D1149">
            <v>1094</v>
          </cell>
          <cell r="E1149">
            <v>4367.74</v>
          </cell>
          <cell r="F1149">
            <v>4.5114681901279701</v>
          </cell>
        </row>
        <row r="1150">
          <cell r="B1150" t="str">
            <v>70640391</v>
          </cell>
          <cell r="C1150" t="str">
            <v>伊利 伊刻活泉现泡茶醇香乌龙 455ML</v>
          </cell>
          <cell r="D1150">
            <v>481</v>
          </cell>
          <cell r="E1150">
            <v>0</v>
          </cell>
          <cell r="F1150">
            <v>0</v>
          </cell>
        </row>
        <row r="1151">
          <cell r="B1151" t="str">
            <v>70640393</v>
          </cell>
          <cell r="C1151" t="str">
            <v>伊利 伊刻活泉现泡茶茉莉花茶 455ML</v>
          </cell>
          <cell r="D1151">
            <v>8287</v>
          </cell>
          <cell r="E1151">
            <v>19514.32</v>
          </cell>
          <cell r="F1151">
            <v>2.66093659949318</v>
          </cell>
        </row>
        <row r="1152">
          <cell r="B1152" t="str">
            <v>70640555</v>
          </cell>
          <cell r="C1152" t="str">
            <v>可漾 红枣枸杞水 530ML</v>
          </cell>
          <cell r="D1152">
            <v>225</v>
          </cell>
          <cell r="E1152">
            <v>870.14</v>
          </cell>
          <cell r="F1152">
            <v>4.3700364444444402</v>
          </cell>
        </row>
        <row r="1153">
          <cell r="B1153" t="str">
            <v>70641901</v>
          </cell>
          <cell r="C1153" t="str">
            <v>农夫山泉 东方树叶陈皮白茶0卡路里陈皮白茶调味茶饮料 500G/瓶</v>
          </cell>
          <cell r="D1153">
            <v>20535</v>
          </cell>
          <cell r="E1153">
            <v>64664.7</v>
          </cell>
          <cell r="F1153">
            <v>3.5583691745799801</v>
          </cell>
        </row>
        <row r="1154">
          <cell r="B1154" t="str">
            <v>70647322</v>
          </cell>
          <cell r="C1154" t="str">
            <v>帕思欧 丝滑拿铁338ML</v>
          </cell>
          <cell r="D1154">
            <v>36</v>
          </cell>
          <cell r="E1154">
            <v>143.63</v>
          </cell>
          <cell r="F1154">
            <v>4.5083861111111103</v>
          </cell>
        </row>
        <row r="1155">
          <cell r="B1155" t="str">
            <v>70655834</v>
          </cell>
          <cell r="C1155" t="str">
            <v>好客季 枣杞水 550ml</v>
          </cell>
          <cell r="D1155">
            <v>39722</v>
          </cell>
          <cell r="E1155">
            <v>119003.57</v>
          </cell>
          <cell r="F1155">
            <v>3.3853792382055299</v>
          </cell>
        </row>
        <row r="1156">
          <cell r="B1156" t="str">
            <v>70656952</v>
          </cell>
          <cell r="C1156" t="str">
            <v>农夫山泉 冰茶碳酸茶饮料（冰柠檬味）600mL</v>
          </cell>
          <cell r="D1156">
            <v>1703</v>
          </cell>
          <cell r="E1156">
            <v>5611.04</v>
          </cell>
          <cell r="F1156">
            <v>3.72312108044627</v>
          </cell>
        </row>
        <row r="1157">
          <cell r="B1157" t="str">
            <v>70657977</v>
          </cell>
          <cell r="C1157" t="str">
            <v>康师傅 雪域盐奶茶 300ML</v>
          </cell>
          <cell r="D1157">
            <v>726</v>
          </cell>
          <cell r="E1157">
            <v>2291.5500000000002</v>
          </cell>
          <cell r="F1157">
            <v>3.5667376033057798</v>
          </cell>
        </row>
        <row r="1158">
          <cell r="B1158" t="str">
            <v>70658090</v>
          </cell>
          <cell r="C1158" t="str">
            <v>康师傅 茉莉龙井 900ML</v>
          </cell>
          <cell r="D1158">
            <v>60</v>
          </cell>
          <cell r="E1158">
            <v>242.27</v>
          </cell>
          <cell r="F1158">
            <v>4.5627516666666699</v>
          </cell>
        </row>
        <row r="1159">
          <cell r="B1159" t="str">
            <v>70659478</v>
          </cell>
          <cell r="C1159" t="str">
            <v>优斯麦尔 沙棘原浆 500ML</v>
          </cell>
          <cell r="D1159">
            <v>1014</v>
          </cell>
          <cell r="E1159">
            <v>44876.61</v>
          </cell>
          <cell r="F1159">
            <v>50.010423372781098</v>
          </cell>
        </row>
        <row r="1160">
          <cell r="B1160" t="str">
            <v>70660098</v>
          </cell>
          <cell r="C1160" t="str">
            <v>优斯麦尔 枸杞原浆 500ML</v>
          </cell>
          <cell r="D1160">
            <v>875</v>
          </cell>
          <cell r="E1160">
            <v>38728.949999999997</v>
          </cell>
          <cell r="F1160">
            <v>50.015672571428603</v>
          </cell>
        </row>
        <row r="1161">
          <cell r="B1161" t="str">
            <v>70660439</v>
          </cell>
          <cell r="C1161" t="str">
            <v>金豆芽 儿童山楂汁 100G</v>
          </cell>
          <cell r="D1161">
            <v>5357</v>
          </cell>
          <cell r="E1161">
            <v>11188.73</v>
          </cell>
          <cell r="F1161">
            <v>2.3601390517080501</v>
          </cell>
        </row>
        <row r="1162">
          <cell r="B1162" t="str">
            <v>70660631</v>
          </cell>
          <cell r="C1162" t="str">
            <v>提神宝 功能饮料 318ML</v>
          </cell>
          <cell r="D1162">
            <v>11486</v>
          </cell>
          <cell r="E1162">
            <v>45870.23</v>
          </cell>
          <cell r="F1162">
            <v>4.5127424603865602</v>
          </cell>
        </row>
        <row r="1163">
          <cell r="B1163" t="str">
            <v>70663437</v>
          </cell>
          <cell r="C1163" t="str">
            <v>优斯麦尔 黑加仑原浆 500ML</v>
          </cell>
          <cell r="D1163">
            <v>1806</v>
          </cell>
          <cell r="E1163">
            <v>79962.559999999998</v>
          </cell>
          <cell r="F1163">
            <v>50.0319450719823</v>
          </cell>
        </row>
        <row r="1164">
          <cell r="B1164" t="str">
            <v>70680331</v>
          </cell>
          <cell r="C1164" t="str">
            <v>古萃 赶黄草本草茶 310ML</v>
          </cell>
          <cell r="D1164">
            <v>149</v>
          </cell>
          <cell r="E1164">
            <v>439.63</v>
          </cell>
          <cell r="F1164">
            <v>3.3341067114094001</v>
          </cell>
        </row>
        <row r="1165">
          <cell r="B1165" t="str">
            <v>70681993</v>
          </cell>
          <cell r="C1165" t="str">
            <v>MM 椰子水 24×200ML</v>
          </cell>
          <cell r="D1165">
            <v>27</v>
          </cell>
          <cell r="E1165">
            <v>1562.3</v>
          </cell>
          <cell r="F1165">
            <v>65.385148148148104</v>
          </cell>
        </row>
        <row r="1166">
          <cell r="B1166" t="str">
            <v>70682841</v>
          </cell>
          <cell r="C1166" t="str">
            <v>石杞河 枸杞原浆 50ML</v>
          </cell>
          <cell r="D1166">
            <v>35</v>
          </cell>
          <cell r="E1166">
            <v>154.91</v>
          </cell>
          <cell r="F1166">
            <v>5.0013800000000002</v>
          </cell>
        </row>
        <row r="1167">
          <cell r="B1167" t="str">
            <v>70685021</v>
          </cell>
          <cell r="C1167" t="str">
            <v>魔量 牛磺酸维生素功能饮料 330ML</v>
          </cell>
          <cell r="D1167">
            <v>34570</v>
          </cell>
          <cell r="E1167">
            <v>125843.64</v>
          </cell>
          <cell r="F1167">
            <v>4.1134889557419703</v>
          </cell>
        </row>
        <row r="1168">
          <cell r="B1168" t="str">
            <v>70686773</v>
          </cell>
          <cell r="C1168" t="str">
            <v>塔城 酸梅汤 450ML</v>
          </cell>
          <cell r="D1168">
            <v>1180</v>
          </cell>
          <cell r="E1168">
            <v>8354.3700000000008</v>
          </cell>
          <cell r="F1168">
            <v>8.0003712711864399</v>
          </cell>
        </row>
        <row r="1169">
          <cell r="B1169" t="str">
            <v>70687005</v>
          </cell>
          <cell r="C1169" t="str">
            <v>MM NFC缤纷果汁礼盒 6×1L</v>
          </cell>
          <cell r="D1169">
            <v>13</v>
          </cell>
          <cell r="E1169">
            <v>1298.7</v>
          </cell>
          <cell r="F1169">
            <v>112.887</v>
          </cell>
        </row>
        <row r="1170">
          <cell r="B1170" t="str">
            <v>70687048</v>
          </cell>
          <cell r="C1170" t="str">
            <v>果疆湖 酸梅汤 400ML</v>
          </cell>
          <cell r="D1170">
            <v>1439</v>
          </cell>
          <cell r="E1170">
            <v>12735.03</v>
          </cell>
          <cell r="F1170">
            <v>10.000405767894399</v>
          </cell>
        </row>
        <row r="1171">
          <cell r="B1171" t="str">
            <v>70687113</v>
          </cell>
          <cell r="C1171" t="str">
            <v>MM 无花果红参水 15×350ML</v>
          </cell>
          <cell r="D1171">
            <v>12</v>
          </cell>
          <cell r="E1171">
            <v>838.8</v>
          </cell>
          <cell r="F1171">
            <v>78.986999999999995</v>
          </cell>
        </row>
        <row r="1172">
          <cell r="B1172" t="str">
            <v>70710906</v>
          </cell>
          <cell r="C1172" t="str">
            <v>金豆芽 钙铁锌水乐檬盒装 100ML</v>
          </cell>
          <cell r="D1172">
            <v>2142</v>
          </cell>
          <cell r="E1172">
            <v>5192.78</v>
          </cell>
          <cell r="F1172">
            <v>2.7394217553688098</v>
          </cell>
        </row>
        <row r="1173">
          <cell r="B1173" t="str">
            <v>70711060</v>
          </cell>
          <cell r="C1173" t="str">
            <v>康师傅 冰红茶能量系列 420ML</v>
          </cell>
          <cell r="D1173">
            <v>143</v>
          </cell>
          <cell r="E1173">
            <v>582.17999999999995</v>
          </cell>
          <cell r="F1173">
            <v>4.6004433566433596</v>
          </cell>
        </row>
        <row r="1174">
          <cell r="B1174" t="str">
            <v>70711977</v>
          </cell>
          <cell r="C1174" t="str">
            <v>金豆芽 柚子汁家庭装 1L</v>
          </cell>
          <cell r="D1174">
            <v>88</v>
          </cell>
          <cell r="E1174">
            <v>981.26</v>
          </cell>
          <cell r="F1174">
            <v>12.6002704545455</v>
          </cell>
        </row>
        <row r="1175">
          <cell r="B1175" t="str">
            <v>70712776</v>
          </cell>
          <cell r="C1175" t="str">
            <v>农夫山泉 东方树叶原味茶饮料红茶 900ML</v>
          </cell>
          <cell r="D1175">
            <v>3003</v>
          </cell>
          <cell r="E1175">
            <v>15066.98</v>
          </cell>
          <cell r="F1175">
            <v>5.6695595737595701</v>
          </cell>
        </row>
        <row r="1176">
          <cell r="B1176" t="str">
            <v>70713734</v>
          </cell>
          <cell r="C1176" t="str">
            <v>西贡 三合一原味速溶咖啡 800克/袋</v>
          </cell>
          <cell r="D1176">
            <v>2</v>
          </cell>
          <cell r="E1176">
            <v>70.8</v>
          </cell>
          <cell r="F1176">
            <v>40.002000000000002</v>
          </cell>
        </row>
        <row r="1177">
          <cell r="B1177" t="str">
            <v>70713807</v>
          </cell>
          <cell r="C1177" t="str">
            <v>西贡 三合一猫屎速溶咖啡 850克/袋</v>
          </cell>
          <cell r="D1177">
            <v>1</v>
          </cell>
          <cell r="E1177">
            <v>37.17</v>
          </cell>
          <cell r="F1177">
            <v>42.002099999999999</v>
          </cell>
        </row>
        <row r="1178">
          <cell r="B1178" t="str">
            <v>70720724</v>
          </cell>
          <cell r="C1178" t="str">
            <v>优斯麦尔 沙棘醋饮料 260ML</v>
          </cell>
          <cell r="D1178">
            <v>13167</v>
          </cell>
          <cell r="E1178">
            <v>58340.72</v>
          </cell>
          <cell r="F1178">
            <v>5.0068363028784102</v>
          </cell>
        </row>
        <row r="1179">
          <cell r="B1179" t="str">
            <v>70726041</v>
          </cell>
          <cell r="C1179" t="str">
            <v>MM  喜茶羽衣甘蓝青瓜复合果蔬汁 12×330ML</v>
          </cell>
          <cell r="D1179">
            <v>59</v>
          </cell>
          <cell r="E1179">
            <v>4714.1000000000004</v>
          </cell>
          <cell r="F1179">
            <v>90.287000000000006</v>
          </cell>
        </row>
        <row r="1180">
          <cell r="B1180" t="str">
            <v>70726089</v>
          </cell>
          <cell r="C1180" t="str">
            <v>MM  喜茶海盐厚抹轻乳茶 12×350ML</v>
          </cell>
          <cell r="D1180">
            <v>17</v>
          </cell>
          <cell r="E1180">
            <v>1188.3</v>
          </cell>
          <cell r="F1180">
            <v>78.986999999999995</v>
          </cell>
        </row>
        <row r="1181">
          <cell r="B1181" t="str">
            <v>70727173</v>
          </cell>
          <cell r="C1181" t="str">
            <v>优斯麦尔 香梨复合果汁饮品 1L</v>
          </cell>
          <cell r="D1181">
            <v>4611</v>
          </cell>
          <cell r="E1181">
            <v>45987.69</v>
          </cell>
          <cell r="F1181">
            <v>11.2700259596617</v>
          </cell>
        </row>
        <row r="1182">
          <cell r="B1182" t="str">
            <v>70727174</v>
          </cell>
          <cell r="C1182" t="str">
            <v>优斯麦尔 石榴复合果蔬汁饮品 0.3L</v>
          </cell>
          <cell r="D1182">
            <v>18246</v>
          </cell>
          <cell r="E1182">
            <v>68067.520000000004</v>
          </cell>
          <cell r="F1182">
            <v>4.2155155979392704</v>
          </cell>
        </row>
        <row r="1183">
          <cell r="B1183" t="str">
            <v>70727175</v>
          </cell>
          <cell r="C1183" t="str">
            <v>优斯麦尔 胡萝卜汁复合果蔬汁饮品 1L</v>
          </cell>
          <cell r="D1183">
            <v>4340</v>
          </cell>
          <cell r="E1183">
            <v>36919.08</v>
          </cell>
          <cell r="F1183">
            <v>9.6125715207373297</v>
          </cell>
        </row>
        <row r="1184">
          <cell r="B1184" t="str">
            <v>70727176</v>
          </cell>
          <cell r="C1184" t="str">
            <v>优斯麦尔 西梅复合果汁饮品 1L</v>
          </cell>
          <cell r="D1184">
            <v>4793</v>
          </cell>
          <cell r="E1184">
            <v>48280.36</v>
          </cell>
          <cell r="F1184">
            <v>11.382601043188</v>
          </cell>
        </row>
        <row r="1185">
          <cell r="B1185" t="str">
            <v>70727180</v>
          </cell>
          <cell r="C1185" t="str">
            <v>优斯麦尔 番茄复合果蔬汁饮品 1L</v>
          </cell>
          <cell r="D1185">
            <v>4287</v>
          </cell>
          <cell r="E1185">
            <v>36468.75</v>
          </cell>
          <cell r="F1185">
            <v>9.6127099370188898</v>
          </cell>
        </row>
        <row r="1186">
          <cell r="B1186" t="str">
            <v>70727310</v>
          </cell>
          <cell r="C1186" t="str">
            <v>优斯麦尔 葡萄复合果蔬汁饮品 1L</v>
          </cell>
          <cell r="D1186">
            <v>4277</v>
          </cell>
          <cell r="E1186">
            <v>45665.35</v>
          </cell>
          <cell r="F1186">
            <v>12.0649627075053</v>
          </cell>
        </row>
        <row r="1187">
          <cell r="B1187" t="str">
            <v>70727552</v>
          </cell>
          <cell r="C1187" t="str">
            <v>优斯麦尔 番茄复合果蔬汁饮品 0.3L</v>
          </cell>
          <cell r="D1187">
            <v>18088</v>
          </cell>
          <cell r="E1187">
            <v>54979.58</v>
          </cell>
          <cell r="F1187">
            <v>3.4347039694825301</v>
          </cell>
        </row>
        <row r="1188">
          <cell r="B1188" t="str">
            <v>70727554</v>
          </cell>
          <cell r="C1188" t="str">
            <v>优斯麦尔 葡萄复合果蔬汁饮品 0.3L</v>
          </cell>
          <cell r="D1188">
            <v>17954</v>
          </cell>
          <cell r="E1188">
            <v>66976.240000000005</v>
          </cell>
          <cell r="F1188">
            <v>4.2153921800155896</v>
          </cell>
        </row>
        <row r="1189">
          <cell r="B1189" t="str">
            <v>70727555</v>
          </cell>
          <cell r="C1189" t="str">
            <v>优斯麦尔 胡萝卜汁复合果蔬汁饮品 0.3L</v>
          </cell>
          <cell r="D1189">
            <v>18145</v>
          </cell>
          <cell r="E1189">
            <v>55152.62</v>
          </cell>
          <cell r="F1189">
            <v>3.43469058142739</v>
          </cell>
        </row>
        <row r="1190">
          <cell r="B1190" t="str">
            <v>70727859</v>
          </cell>
          <cell r="C1190" t="str">
            <v>优斯麦尔 石榴复合果蔬汁饮品 1L</v>
          </cell>
          <cell r="D1190">
            <v>4772</v>
          </cell>
          <cell r="E1190">
            <v>50567.11</v>
          </cell>
          <cell r="F1190">
            <v>11.974189920368801</v>
          </cell>
        </row>
        <row r="1191">
          <cell r="B1191" t="str">
            <v>70727875</v>
          </cell>
          <cell r="C1191" t="str">
            <v>优斯麦尔 香梨复合果汁饮品 0.3L</v>
          </cell>
          <cell r="D1191">
            <v>17281</v>
          </cell>
          <cell r="E1191">
            <v>61477.73</v>
          </cell>
          <cell r="F1191">
            <v>4.0200124356229399</v>
          </cell>
        </row>
        <row r="1192">
          <cell r="B1192" t="str">
            <v>70727893</v>
          </cell>
          <cell r="C1192" t="str">
            <v>优斯麦尔 西梅复合果汁饮品 0.3L</v>
          </cell>
          <cell r="D1192">
            <v>18302</v>
          </cell>
          <cell r="E1192">
            <v>65191.69</v>
          </cell>
          <cell r="F1192">
            <v>4.0250579007758702</v>
          </cell>
        </row>
        <row r="1193">
          <cell r="B1193" t="str">
            <v>75000797</v>
          </cell>
          <cell r="C1193" t="str">
            <v>雀巢 生椰拿铁 268mL</v>
          </cell>
          <cell r="D1193">
            <v>9087</v>
          </cell>
          <cell r="E1193">
            <v>30904.51</v>
          </cell>
          <cell r="F1193">
            <v>3.8430831187410601</v>
          </cell>
        </row>
        <row r="1194">
          <cell r="B1194" t="str">
            <v>70141040</v>
          </cell>
          <cell r="C1194" t="str">
            <v>无品牌 咖啡味饮料(散装饮料)</v>
          </cell>
          <cell r="D1194">
            <v>498</v>
          </cell>
          <cell r="E1194">
            <v>3305.32</v>
          </cell>
          <cell r="F1194">
            <v>7.5000232931726902</v>
          </cell>
        </row>
        <row r="1195">
          <cell r="B1195" t="str">
            <v>70141042</v>
          </cell>
          <cell r="C1195" t="str">
            <v>无品牌 奶茶(散装饮料)</v>
          </cell>
          <cell r="D1195">
            <v>497</v>
          </cell>
          <cell r="E1195">
            <v>3298.69</v>
          </cell>
          <cell r="F1195">
            <v>7.5000396378269603</v>
          </cell>
        </row>
        <row r="1196">
          <cell r="B1196" t="str">
            <v>70247482</v>
          </cell>
          <cell r="C1196" t="str">
            <v>无品牌 花样现磨咖啡 1*1</v>
          </cell>
          <cell r="D1196">
            <v>34</v>
          </cell>
          <cell r="E1196">
            <v>387.21</v>
          </cell>
          <cell r="F1196">
            <v>12.8690382352941</v>
          </cell>
        </row>
        <row r="1197">
          <cell r="B1197" t="str">
            <v>70461092</v>
          </cell>
          <cell r="C1197" t="str">
            <v>忆杯茶 港式杨枝甘露 500ML</v>
          </cell>
          <cell r="D1197">
            <v>0</v>
          </cell>
          <cell r="E1197">
            <v>0</v>
          </cell>
          <cell r="F1197" t="e">
            <v>#DIV/0!</v>
          </cell>
        </row>
        <row r="1198">
          <cell r="B1198" t="str">
            <v>70514653</v>
          </cell>
          <cell r="C1198" t="str">
            <v>雀巢 拿铁咖啡热 360ML</v>
          </cell>
          <cell r="D1198">
            <v>677</v>
          </cell>
          <cell r="E1198">
            <v>2886.21</v>
          </cell>
          <cell r="F1198">
            <v>4.81745539143279</v>
          </cell>
        </row>
        <row r="1199">
          <cell r="B1199" t="str">
            <v>70514675</v>
          </cell>
          <cell r="C1199" t="str">
            <v>雀巢 澳瑞白咖啡冰 360ML</v>
          </cell>
          <cell r="D1199">
            <v>0</v>
          </cell>
          <cell r="E1199">
            <v>0</v>
          </cell>
          <cell r="F1199" t="e">
            <v>#DIV/0!</v>
          </cell>
        </row>
        <row r="1200">
          <cell r="B1200" t="str">
            <v>70514681</v>
          </cell>
          <cell r="C1200" t="str">
            <v>雀巢 摩卡咖啡热 360ML</v>
          </cell>
          <cell r="D1200">
            <v>0</v>
          </cell>
          <cell r="E1200">
            <v>0</v>
          </cell>
          <cell r="F1200" t="e">
            <v>#DIV/0!</v>
          </cell>
        </row>
        <row r="1201">
          <cell r="B1201" t="str">
            <v>70514697</v>
          </cell>
          <cell r="C1201" t="str">
            <v>雀巢 美式咖啡冰 360ML</v>
          </cell>
          <cell r="D1201">
            <v>18295</v>
          </cell>
          <cell r="E1201">
            <v>37245.800000000003</v>
          </cell>
          <cell r="F1201">
            <v>2.3005058212626399</v>
          </cell>
        </row>
        <row r="1202">
          <cell r="B1202" t="str">
            <v>70514699</v>
          </cell>
          <cell r="C1202" t="str">
            <v>雀巢 美式咖啡热/冰 250ML</v>
          </cell>
          <cell r="D1202">
            <v>1</v>
          </cell>
          <cell r="E1202">
            <v>342.74</v>
          </cell>
          <cell r="F1202">
            <v>387.2962</v>
          </cell>
        </row>
        <row r="1203">
          <cell r="B1203" t="str">
            <v>70515127</v>
          </cell>
          <cell r="C1203" t="str">
            <v>相遇咖啡 美式咖啡热/冰 250ML</v>
          </cell>
          <cell r="D1203">
            <v>3197</v>
          </cell>
          <cell r="E1203">
            <v>2376.56</v>
          </cell>
          <cell r="F1203">
            <v>0.84001025961839204</v>
          </cell>
        </row>
        <row r="1204">
          <cell r="B1204" t="str">
            <v>70515132</v>
          </cell>
          <cell r="C1204" t="str">
            <v>相遇咖啡 燕麦拿铁咖啡热/冰 250ML</v>
          </cell>
          <cell r="D1204">
            <v>149</v>
          </cell>
          <cell r="E1204">
            <v>2769.03</v>
          </cell>
          <cell r="F1204">
            <v>21.0000261744966</v>
          </cell>
        </row>
        <row r="1205">
          <cell r="B1205" t="str">
            <v>70515147</v>
          </cell>
          <cell r="C1205" t="str">
            <v>相遇咖啡 燕麦奶茶 250ML</v>
          </cell>
          <cell r="D1205">
            <v>0</v>
          </cell>
          <cell r="E1205">
            <v>0</v>
          </cell>
          <cell r="F1205" t="e">
            <v>#DIV/0!</v>
          </cell>
        </row>
        <row r="1206">
          <cell r="B1206" t="str">
            <v>70515148</v>
          </cell>
          <cell r="C1206" t="str">
            <v>相遇咖啡 红豆奶茶 250ML</v>
          </cell>
          <cell r="D1206">
            <v>0</v>
          </cell>
          <cell r="E1206">
            <v>0</v>
          </cell>
          <cell r="F1206" t="e">
            <v>#DIV/0!</v>
          </cell>
        </row>
        <row r="1207">
          <cell r="B1207" t="str">
            <v>70515149</v>
          </cell>
          <cell r="C1207" t="str">
            <v>相遇咖啡 血糯米奶茶 250ML</v>
          </cell>
          <cell r="D1207">
            <v>0</v>
          </cell>
          <cell r="E1207">
            <v>0</v>
          </cell>
          <cell r="F1207" t="e">
            <v>#DIV/0!</v>
          </cell>
        </row>
        <row r="1208">
          <cell r="B1208" t="str">
            <v>70720657</v>
          </cell>
          <cell r="C1208" t="str">
            <v>相遇好客 冰鲜柠檬水 个</v>
          </cell>
          <cell r="D1208">
            <v>150</v>
          </cell>
          <cell r="E1208">
            <v>892.04</v>
          </cell>
          <cell r="F1208">
            <v>6.7200346666666704</v>
          </cell>
        </row>
        <row r="1209">
          <cell r="B1209" t="str">
            <v>70720659</v>
          </cell>
          <cell r="C1209" t="str">
            <v>相遇好客 美式咖啡 个</v>
          </cell>
          <cell r="D1209">
            <v>159</v>
          </cell>
          <cell r="E1209">
            <v>1697.11</v>
          </cell>
          <cell r="F1209">
            <v>12.0612220125786</v>
          </cell>
        </row>
        <row r="1210">
          <cell r="B1210" t="str">
            <v>70720662</v>
          </cell>
          <cell r="C1210" t="str">
            <v>相遇好客 可乐 个</v>
          </cell>
          <cell r="D1210">
            <v>170</v>
          </cell>
          <cell r="E1210">
            <v>1011.09</v>
          </cell>
          <cell r="F1210">
            <v>6.7207747058823504</v>
          </cell>
        </row>
        <row r="1211">
          <cell r="B1211" t="str">
            <v>70720663</v>
          </cell>
          <cell r="C1211" t="str">
            <v>相遇好客 橙汁 个</v>
          </cell>
          <cell r="D1211">
            <v>150</v>
          </cell>
          <cell r="E1211">
            <v>892.04</v>
          </cell>
          <cell r="F1211">
            <v>6.7200346666666704</v>
          </cell>
        </row>
        <row r="1212">
          <cell r="B1212" t="str">
            <v>70720760</v>
          </cell>
          <cell r="C1212" t="str">
            <v>相遇好客 生椰拿铁 个</v>
          </cell>
          <cell r="D1212">
            <v>188</v>
          </cell>
          <cell r="E1212">
            <v>3341.47</v>
          </cell>
          <cell r="F1212">
            <v>20.084367553191498</v>
          </cell>
        </row>
        <row r="1213">
          <cell r="B1213" t="str">
            <v>70721239</v>
          </cell>
          <cell r="C1213" t="str">
            <v>相遇好客 卡布奇诺 个</v>
          </cell>
          <cell r="D1213">
            <v>190</v>
          </cell>
          <cell r="E1213">
            <v>2668.68</v>
          </cell>
          <cell r="F1213">
            <v>15.8716231578947</v>
          </cell>
        </row>
        <row r="1214">
          <cell r="B1214" t="str">
            <v>70721242</v>
          </cell>
          <cell r="C1214" t="str">
            <v>相遇好客 拿铁咖啡 个</v>
          </cell>
          <cell r="D1214">
            <v>169</v>
          </cell>
          <cell r="E1214">
            <v>2371.4</v>
          </cell>
          <cell r="F1214">
            <v>15.856106508875699</v>
          </cell>
        </row>
        <row r="1215">
          <cell r="B1215" t="str">
            <v>70000132</v>
          </cell>
          <cell r="C1215" t="str">
            <v>娃哈哈 营养快线果汁牛奶饮品（菠萝味） 500g</v>
          </cell>
          <cell r="D1215">
            <v>20061</v>
          </cell>
          <cell r="E1215">
            <v>56842.5</v>
          </cell>
          <cell r="F1215">
            <v>3.2018356512636501</v>
          </cell>
        </row>
        <row r="1216">
          <cell r="B1216" t="str">
            <v>70000133</v>
          </cell>
          <cell r="C1216" t="str">
            <v>娃哈哈 营养快线果汁牛奶饮品（原味15瓶1箱）500ML</v>
          </cell>
          <cell r="D1216">
            <v>19621</v>
          </cell>
          <cell r="E1216">
            <v>55406.8</v>
          </cell>
          <cell r="F1216">
            <v>3.1909527547015899</v>
          </cell>
        </row>
        <row r="1217">
          <cell r="B1217" t="str">
            <v>70000136</v>
          </cell>
          <cell r="C1217" t="str">
            <v>娃哈哈 爽歪歪营养酸奶饮品 200g</v>
          </cell>
          <cell r="D1217">
            <v>12583</v>
          </cell>
          <cell r="E1217">
            <v>21867.84</v>
          </cell>
          <cell r="F1217">
            <v>1.9638130175633799</v>
          </cell>
        </row>
        <row r="1218">
          <cell r="B1218" t="str">
            <v>70000138</v>
          </cell>
          <cell r="C1218" t="str">
            <v>娃哈哈 营养快线香草淇淋味 500g</v>
          </cell>
          <cell r="D1218">
            <v>20110</v>
          </cell>
          <cell r="E1218">
            <v>56832.88</v>
          </cell>
          <cell r="F1218">
            <v>3.1934935057185498</v>
          </cell>
        </row>
        <row r="1219">
          <cell r="B1219" t="str">
            <v>70000394</v>
          </cell>
          <cell r="C1219" t="str">
            <v>伊利 原味优酸乳 250ML</v>
          </cell>
          <cell r="D1219">
            <v>0</v>
          </cell>
          <cell r="E1219">
            <v>0</v>
          </cell>
          <cell r="F1219" t="e">
            <v>#DIV/0!</v>
          </cell>
        </row>
        <row r="1220">
          <cell r="B1220" t="str">
            <v>70000815</v>
          </cell>
          <cell r="C1220" t="str">
            <v>蒙牛 苗条装特仑苏纯牛奶　250ML</v>
          </cell>
          <cell r="D1220">
            <v>106</v>
          </cell>
          <cell r="E1220">
            <v>427.44</v>
          </cell>
          <cell r="F1220">
            <v>4.5566716981132096</v>
          </cell>
        </row>
        <row r="1221">
          <cell r="B1221" t="str">
            <v>70001058</v>
          </cell>
          <cell r="C1221" t="str">
            <v>娃哈哈 原味呦呦奶味茶饮料 500G</v>
          </cell>
          <cell r="D1221">
            <v>34677</v>
          </cell>
          <cell r="E1221">
            <v>100554.85</v>
          </cell>
          <cell r="F1221">
            <v>3.2767246445770999</v>
          </cell>
        </row>
        <row r="1222">
          <cell r="B1222" t="str">
            <v>70003405</v>
          </cell>
          <cell r="C1222" t="str">
            <v>娃哈哈 AD钙奶 100ML</v>
          </cell>
          <cell r="D1222">
            <v>4</v>
          </cell>
          <cell r="E1222">
            <v>3.2</v>
          </cell>
          <cell r="F1222">
            <v>0.90400000000000003</v>
          </cell>
        </row>
        <row r="1223">
          <cell r="B1223" t="str">
            <v>70003556</v>
          </cell>
          <cell r="C1223" t="str">
            <v>花园 蓝莓酸奶160g</v>
          </cell>
          <cell r="D1223">
            <v>55</v>
          </cell>
          <cell r="E1223">
            <v>146.11000000000001</v>
          </cell>
          <cell r="F1223">
            <v>3.00189636363636</v>
          </cell>
        </row>
        <row r="1224">
          <cell r="B1224" t="str">
            <v>70003585</v>
          </cell>
          <cell r="C1224" t="str">
            <v>花园 西梅酸奶 160g</v>
          </cell>
          <cell r="D1224">
            <v>93</v>
          </cell>
          <cell r="E1224">
            <v>247</v>
          </cell>
          <cell r="F1224">
            <v>3.0011827956989201</v>
          </cell>
        </row>
        <row r="1225">
          <cell r="B1225" t="str">
            <v>70003650</v>
          </cell>
          <cell r="C1225" t="str">
            <v>娃哈哈 AD钙奶 220ml</v>
          </cell>
          <cell r="D1225">
            <v>32152</v>
          </cell>
          <cell r="E1225">
            <v>43436.04</v>
          </cell>
          <cell r="F1225">
            <v>1.5265838890271199</v>
          </cell>
        </row>
        <row r="1226">
          <cell r="B1226" t="str">
            <v>70018057</v>
          </cell>
          <cell r="C1226" t="str">
            <v>蒙牛 真果粒草莓味 250ML</v>
          </cell>
          <cell r="D1226">
            <v>88</v>
          </cell>
          <cell r="E1226">
            <v>233.68</v>
          </cell>
          <cell r="F1226">
            <v>3.0006636363636399</v>
          </cell>
        </row>
        <row r="1227">
          <cell r="B1227" t="str">
            <v>70024751</v>
          </cell>
          <cell r="C1227" t="str">
            <v>维他奶 豆奶原味软包 250ml</v>
          </cell>
          <cell r="D1227">
            <v>49</v>
          </cell>
          <cell r="E1227">
            <v>110.58</v>
          </cell>
          <cell r="F1227">
            <v>2.5501102040816299</v>
          </cell>
        </row>
        <row r="1228">
          <cell r="B1228" t="str">
            <v>70038490</v>
          </cell>
          <cell r="C1228" t="str">
            <v>旺仔 牛奶(果汁) 245ML</v>
          </cell>
          <cell r="D1228">
            <v>3226</v>
          </cell>
          <cell r="E1228">
            <v>14763.42</v>
          </cell>
          <cell r="F1228">
            <v>5.1713157470551803</v>
          </cell>
        </row>
        <row r="1229">
          <cell r="B1229" t="str">
            <v>70042430</v>
          </cell>
          <cell r="C1229" t="str">
            <v>娃哈哈 营养快线果汁酸奶饮品（椰子味） 500g</v>
          </cell>
          <cell r="D1229">
            <v>11473</v>
          </cell>
          <cell r="E1229">
            <v>32608.53</v>
          </cell>
          <cell r="F1229">
            <v>3.21168298614137</v>
          </cell>
        </row>
        <row r="1230">
          <cell r="B1230" t="str">
            <v>70095196</v>
          </cell>
          <cell r="C1230" t="str">
            <v>娃哈哈 营养快线水蜜桃味 500ML</v>
          </cell>
          <cell r="D1230">
            <v>7727</v>
          </cell>
          <cell r="E1230">
            <v>21984.25</v>
          </cell>
          <cell r="F1230">
            <v>3.21498673482593</v>
          </cell>
        </row>
        <row r="1231">
          <cell r="B1231" t="str">
            <v>70135219</v>
          </cell>
          <cell r="C1231" t="str">
            <v>伊利 红枣酸牛奶 450G</v>
          </cell>
          <cell r="D1231">
            <v>5</v>
          </cell>
          <cell r="E1231">
            <v>31.87</v>
          </cell>
          <cell r="F1231">
            <v>7.2026199999999996</v>
          </cell>
        </row>
        <row r="1232">
          <cell r="B1232" t="str">
            <v>70157205</v>
          </cell>
          <cell r="C1232" t="str">
            <v>李子园 甜牛奶乳饮料 450ML</v>
          </cell>
          <cell r="D1232">
            <v>583</v>
          </cell>
          <cell r="E1232">
            <v>2476.6799999999998</v>
          </cell>
          <cell r="F1232">
            <v>4.8004260720411702</v>
          </cell>
        </row>
        <row r="1233">
          <cell r="B1233" t="str">
            <v>70206775</v>
          </cell>
          <cell r="C1233" t="str">
            <v>维他奶 巧克力豆奶 250ML</v>
          </cell>
          <cell r="D1233">
            <v>58</v>
          </cell>
          <cell r="E1233">
            <v>130.88999999999999</v>
          </cell>
          <cell r="F1233">
            <v>2.5500982758620698</v>
          </cell>
        </row>
        <row r="1234">
          <cell r="B1234" t="str">
            <v>70212062</v>
          </cell>
          <cell r="C1234" t="str">
            <v>果粒奶优 草莓 450ML</v>
          </cell>
          <cell r="D1234">
            <v>45</v>
          </cell>
          <cell r="E1234">
            <v>128.25</v>
          </cell>
          <cell r="F1234">
            <v>3.2204999999999999</v>
          </cell>
        </row>
        <row r="1235">
          <cell r="B1235" t="str">
            <v>70212266</v>
          </cell>
          <cell r="C1235" t="str">
            <v>可口可乐 美汁源 果粒奶优原味 450ML</v>
          </cell>
          <cell r="D1235">
            <v>13</v>
          </cell>
          <cell r="E1235">
            <v>37.049999999999997</v>
          </cell>
          <cell r="F1235">
            <v>3.2204999999999999</v>
          </cell>
        </row>
        <row r="1236">
          <cell r="B1236" t="str">
            <v>70218882</v>
          </cell>
          <cell r="C1236" t="str">
            <v>娃哈哈 营养快线果汁酸奶饮品（草莓味） 500g</v>
          </cell>
          <cell r="D1236">
            <v>12103</v>
          </cell>
          <cell r="E1236">
            <v>34411.49</v>
          </cell>
          <cell r="F1236">
            <v>3.21283844501363</v>
          </cell>
        </row>
        <row r="1237">
          <cell r="B1237" t="str">
            <v>70224290</v>
          </cell>
          <cell r="C1237" t="str">
            <v>天润 奶啤 300ML</v>
          </cell>
          <cell r="D1237">
            <v>13032</v>
          </cell>
          <cell r="E1237">
            <v>45096.45</v>
          </cell>
          <cell r="F1237">
            <v>3.9102968462246799</v>
          </cell>
        </row>
        <row r="1238">
          <cell r="B1238" t="str">
            <v>70226125</v>
          </cell>
          <cell r="C1238" t="str">
            <v>伊利 原味桶酸 450G</v>
          </cell>
          <cell r="D1238">
            <v>10</v>
          </cell>
          <cell r="E1238">
            <v>63.77</v>
          </cell>
          <cell r="F1238">
            <v>7.20601</v>
          </cell>
        </row>
        <row r="1239">
          <cell r="B1239" t="str">
            <v>70226130</v>
          </cell>
          <cell r="C1239" t="str">
            <v>伊利 畅轻利乐冠燕麦加黄桃 250g</v>
          </cell>
          <cell r="D1239">
            <v>2</v>
          </cell>
          <cell r="E1239">
            <v>14.16</v>
          </cell>
          <cell r="F1239">
            <v>8.0004000000000008</v>
          </cell>
        </row>
        <row r="1240">
          <cell r="B1240" t="str">
            <v>70228496</v>
          </cell>
          <cell r="C1240" t="str">
            <v>光明 莫斯利安酸牛奶 200G</v>
          </cell>
          <cell r="D1240">
            <v>10</v>
          </cell>
          <cell r="E1240">
            <v>38.950000000000003</v>
          </cell>
          <cell r="F1240">
            <v>4.4013499999999999</v>
          </cell>
        </row>
        <row r="1241">
          <cell r="B1241" t="str">
            <v>70245117</v>
          </cell>
          <cell r="C1241" t="str">
            <v>可口可乐 果粒奶优水蜜桃 450G</v>
          </cell>
          <cell r="D1241">
            <v>2</v>
          </cell>
          <cell r="E1241">
            <v>6.42</v>
          </cell>
          <cell r="F1241">
            <v>3.6273</v>
          </cell>
        </row>
        <row r="1242">
          <cell r="B1242" t="str">
            <v>70246989</v>
          </cell>
          <cell r="C1242" t="str">
            <v>伊利 畅轻利乐冠燕麦加草莓 250g</v>
          </cell>
          <cell r="D1242">
            <v>1</v>
          </cell>
          <cell r="E1242">
            <v>7.08</v>
          </cell>
          <cell r="F1242">
            <v>8.0004000000000008</v>
          </cell>
        </row>
        <row r="1243">
          <cell r="B1243" t="str">
            <v>70262186</v>
          </cell>
          <cell r="C1243" t="str">
            <v>天润 牛奶浓缩利乐砖 250ML</v>
          </cell>
          <cell r="D1243">
            <v>74997</v>
          </cell>
          <cell r="E1243">
            <v>232570.35</v>
          </cell>
          <cell r="F1243">
            <v>3.5042001080043201</v>
          </cell>
        </row>
        <row r="1244">
          <cell r="B1244" t="str">
            <v>70262187</v>
          </cell>
          <cell r="C1244" t="str">
            <v>天润 浓缩酸奶 180G</v>
          </cell>
          <cell r="D1244">
            <v>16480</v>
          </cell>
          <cell r="E1244">
            <v>36604.76</v>
          </cell>
          <cell r="F1244">
            <v>2.5099137621359202</v>
          </cell>
        </row>
        <row r="1245">
          <cell r="B1245" t="str">
            <v>70271533</v>
          </cell>
          <cell r="C1245" t="str">
            <v>天润 M浓缩枕 200G</v>
          </cell>
          <cell r="D1245">
            <v>122394</v>
          </cell>
          <cell r="E1245">
            <v>184913.47</v>
          </cell>
          <cell r="F1245">
            <v>1.7072096761279101</v>
          </cell>
        </row>
        <row r="1246">
          <cell r="B1246" t="str">
            <v>70274045</v>
          </cell>
          <cell r="C1246" t="str">
            <v>蒙牛 真果粒蓝莓味 250ML</v>
          </cell>
          <cell r="D1246">
            <v>0</v>
          </cell>
          <cell r="E1246">
            <v>0</v>
          </cell>
          <cell r="F1246" t="e">
            <v>#DIV/0!</v>
          </cell>
        </row>
        <row r="1247">
          <cell r="B1247" t="str">
            <v>70277195</v>
          </cell>
          <cell r="C1247" t="str">
            <v>天润 冰淇淋化了风味发酵乳 180g</v>
          </cell>
          <cell r="D1247">
            <v>3</v>
          </cell>
          <cell r="E1247">
            <v>7.5</v>
          </cell>
          <cell r="F1247">
            <v>2.8250000000000002</v>
          </cell>
        </row>
        <row r="1248">
          <cell r="B1248" t="str">
            <v>70281003</v>
          </cell>
          <cell r="C1248" t="str">
            <v>李子园 朱古力味乳饮料 450ML</v>
          </cell>
          <cell r="D1248">
            <v>782</v>
          </cell>
          <cell r="E1248">
            <v>3369.06</v>
          </cell>
          <cell r="F1248">
            <v>4.8683347826086898</v>
          </cell>
        </row>
        <row r="1249">
          <cell r="B1249" t="str">
            <v>70281004</v>
          </cell>
          <cell r="C1249" t="str">
            <v>李子园 草莓味味乳饮料 450ML</v>
          </cell>
          <cell r="D1249">
            <v>1048</v>
          </cell>
          <cell r="E1249">
            <v>4452.78</v>
          </cell>
          <cell r="F1249">
            <v>4.8011845419847301</v>
          </cell>
        </row>
        <row r="1250">
          <cell r="B1250" t="str">
            <v>70281278</v>
          </cell>
          <cell r="C1250" t="str">
            <v>伊利 安慕希酸奶高端畅饮系列 230g</v>
          </cell>
          <cell r="D1250">
            <v>0</v>
          </cell>
          <cell r="E1250">
            <v>0</v>
          </cell>
          <cell r="F1250" t="e">
            <v>#DIV/0!</v>
          </cell>
        </row>
        <row r="1251">
          <cell r="B1251" t="str">
            <v>70290482</v>
          </cell>
          <cell r="C1251" t="str">
            <v>西域春 浓缩酸奶 180G</v>
          </cell>
          <cell r="D1251">
            <v>0</v>
          </cell>
          <cell r="E1251">
            <v>0</v>
          </cell>
          <cell r="F1251" t="e">
            <v>#DIV/0!</v>
          </cell>
        </row>
        <row r="1252">
          <cell r="B1252" t="str">
            <v>70290483</v>
          </cell>
          <cell r="C1252" t="str">
            <v>西域春 利乐枕 200G</v>
          </cell>
          <cell r="D1252">
            <v>123</v>
          </cell>
          <cell r="E1252">
            <v>146.16999999999999</v>
          </cell>
          <cell r="F1252">
            <v>1.3428626016260199</v>
          </cell>
        </row>
        <row r="1253">
          <cell r="B1253" t="str">
            <v>70290486</v>
          </cell>
          <cell r="C1253" t="str">
            <v>西域春 冰淇淋酸奶 135G</v>
          </cell>
          <cell r="D1253">
            <v>0</v>
          </cell>
          <cell r="E1253">
            <v>0</v>
          </cell>
          <cell r="F1253" t="e">
            <v>#DIV/0!</v>
          </cell>
        </row>
        <row r="1254">
          <cell r="B1254" t="str">
            <v>70292731</v>
          </cell>
          <cell r="C1254" t="str">
            <v>伊利 安慕希常温酸奶草莓加燕麦 200g</v>
          </cell>
          <cell r="D1254">
            <v>0</v>
          </cell>
          <cell r="E1254">
            <v>0</v>
          </cell>
          <cell r="F1254" t="e">
            <v>#DIV/0!</v>
          </cell>
        </row>
        <row r="1255">
          <cell r="B1255" t="str">
            <v>70303190</v>
          </cell>
          <cell r="C1255" t="str">
            <v>好益多 (原味) 340ML</v>
          </cell>
          <cell r="D1255">
            <v>1652</v>
          </cell>
          <cell r="E1255">
            <v>9324.1</v>
          </cell>
          <cell r="F1255">
            <v>6.3778650121065397</v>
          </cell>
        </row>
        <row r="1256">
          <cell r="B1256" t="str">
            <v>70303192</v>
          </cell>
          <cell r="C1256" t="str">
            <v>好益多 (蓝草味) 340ML</v>
          </cell>
          <cell r="D1256">
            <v>1093</v>
          </cell>
          <cell r="E1256">
            <v>6182.02</v>
          </cell>
          <cell r="F1256">
            <v>6.3912924062214103</v>
          </cell>
        </row>
        <row r="1257">
          <cell r="B1257" t="str">
            <v>70303196</v>
          </cell>
          <cell r="C1257" t="str">
            <v>好益多 (原味) 1.25L</v>
          </cell>
          <cell r="D1257">
            <v>250</v>
          </cell>
          <cell r="E1257">
            <v>3637.35</v>
          </cell>
          <cell r="F1257">
            <v>16.440822000000001</v>
          </cell>
        </row>
        <row r="1258">
          <cell r="B1258" t="str">
            <v>70303197</v>
          </cell>
          <cell r="C1258" t="str">
            <v>好益多 (原味) 200ML</v>
          </cell>
          <cell r="D1258">
            <v>2174</v>
          </cell>
          <cell r="E1258">
            <v>7447.74</v>
          </cell>
          <cell r="F1258">
            <v>3.8711804047838099</v>
          </cell>
        </row>
        <row r="1259">
          <cell r="B1259" t="str">
            <v>70303198</v>
          </cell>
          <cell r="C1259" t="str">
            <v>好益多 (蓝莓味) 200ML</v>
          </cell>
          <cell r="D1259">
            <v>88</v>
          </cell>
          <cell r="E1259">
            <v>214.83</v>
          </cell>
          <cell r="F1259">
            <v>2.7586124999999999</v>
          </cell>
        </row>
        <row r="1260">
          <cell r="B1260" t="str">
            <v>70304510</v>
          </cell>
          <cell r="C1260" t="str">
            <v>伊利 笑脸包舒化高钙无乳糖牛奶 220ml*12</v>
          </cell>
          <cell r="D1260">
            <v>0</v>
          </cell>
          <cell r="E1260">
            <v>0</v>
          </cell>
          <cell r="F1260" t="e">
            <v>#DIV/0!</v>
          </cell>
        </row>
        <row r="1261">
          <cell r="B1261" t="str">
            <v>70307642</v>
          </cell>
          <cell r="C1261" t="str">
            <v>伊利 笑脸包舒化全脂无乳糖牛奶 220ml*12</v>
          </cell>
          <cell r="D1261">
            <v>7</v>
          </cell>
          <cell r="E1261">
            <v>268.17</v>
          </cell>
          <cell r="F1261">
            <v>43.290300000000002</v>
          </cell>
        </row>
        <row r="1262">
          <cell r="B1262" t="str">
            <v>70309475</v>
          </cell>
          <cell r="C1262" t="str">
            <v>花园 新疆老酸奶 160G</v>
          </cell>
          <cell r="D1262">
            <v>39</v>
          </cell>
          <cell r="E1262">
            <v>129.47</v>
          </cell>
          <cell r="F1262">
            <v>3.7513102564102598</v>
          </cell>
        </row>
        <row r="1263">
          <cell r="B1263" t="str">
            <v>70309477</v>
          </cell>
          <cell r="C1263" t="str">
            <v>花园 浓缩酸奶 180G</v>
          </cell>
          <cell r="D1263">
            <v>68</v>
          </cell>
          <cell r="E1263">
            <v>141.44</v>
          </cell>
          <cell r="F1263">
            <v>2.3504</v>
          </cell>
        </row>
        <row r="1264">
          <cell r="B1264" t="str">
            <v>70309478</v>
          </cell>
          <cell r="C1264" t="str">
            <v>花园 冰淇淋酸奶 120G</v>
          </cell>
          <cell r="D1264">
            <v>48</v>
          </cell>
          <cell r="E1264">
            <v>123.33</v>
          </cell>
          <cell r="F1264">
            <v>2.9033937500000002</v>
          </cell>
        </row>
        <row r="1265">
          <cell r="B1265" t="str">
            <v>70309481</v>
          </cell>
          <cell r="C1265" t="str">
            <v>花园 燕麦浓缩酸奶 180G</v>
          </cell>
          <cell r="D1265">
            <v>54</v>
          </cell>
          <cell r="E1265">
            <v>153</v>
          </cell>
          <cell r="F1265">
            <v>3.2016666666666702</v>
          </cell>
        </row>
        <row r="1266">
          <cell r="B1266" t="str">
            <v>70322580</v>
          </cell>
          <cell r="C1266" t="str">
            <v>西域春 奶啤 300G</v>
          </cell>
          <cell r="D1266">
            <v>0</v>
          </cell>
          <cell r="E1266">
            <v>0</v>
          </cell>
          <cell r="F1266" t="e">
            <v>#DIV/0!</v>
          </cell>
        </row>
        <row r="1267">
          <cell r="B1267" t="str">
            <v>70323124</v>
          </cell>
          <cell r="C1267" t="str">
            <v>瑞缘 燕麦仁酸奶 180G</v>
          </cell>
          <cell r="D1267">
            <v>4</v>
          </cell>
          <cell r="E1267">
            <v>11.35</v>
          </cell>
          <cell r="F1267">
            <v>3.206375</v>
          </cell>
        </row>
        <row r="1268">
          <cell r="B1268" t="str">
            <v>70326166</v>
          </cell>
          <cell r="C1268" t="str">
            <v>天润 爱克林莓完莓了风味发酵乳 180G</v>
          </cell>
          <cell r="D1268">
            <v>12</v>
          </cell>
          <cell r="E1268">
            <v>30.34</v>
          </cell>
          <cell r="F1268">
            <v>2.8570166666666701</v>
          </cell>
        </row>
        <row r="1269">
          <cell r="B1269" t="str">
            <v>70343391</v>
          </cell>
          <cell r="C1269" t="str">
            <v>花园 纯牛奶乐利枕 200G</v>
          </cell>
          <cell r="D1269">
            <v>19</v>
          </cell>
          <cell r="E1269">
            <v>33.159999999999997</v>
          </cell>
          <cell r="F1269">
            <v>1.97214736842105</v>
          </cell>
        </row>
        <row r="1270">
          <cell r="B1270" t="str">
            <v>70350670</v>
          </cell>
          <cell r="C1270" t="str">
            <v>旺旺 旺仔牛奶摩登罐 240ML</v>
          </cell>
          <cell r="D1270">
            <v>0</v>
          </cell>
          <cell r="E1270">
            <v>0</v>
          </cell>
          <cell r="F1270" t="e">
            <v>#DIV/0!</v>
          </cell>
        </row>
        <row r="1271">
          <cell r="B1271" t="str">
            <v>70351786</v>
          </cell>
          <cell r="C1271" t="str">
            <v>君乐宝 简醇酸奶 250ML</v>
          </cell>
          <cell r="D1271">
            <v>27</v>
          </cell>
          <cell r="E1271">
            <v>129.99</v>
          </cell>
          <cell r="F1271">
            <v>5.4403222222222203</v>
          </cell>
        </row>
        <row r="1272">
          <cell r="B1272" t="str">
            <v>70361109</v>
          </cell>
          <cell r="C1272" t="str">
            <v>娃哈哈 AD钙奶 450ML</v>
          </cell>
          <cell r="D1272">
            <v>16774</v>
          </cell>
          <cell r="E1272">
            <v>52803.96</v>
          </cell>
          <cell r="F1272">
            <v>3.5572001192321401</v>
          </cell>
        </row>
        <row r="1273">
          <cell r="B1273" t="str">
            <v>70363466</v>
          </cell>
          <cell r="C1273" t="str">
            <v>好客蒙牛 特仑苏纯牛奶苗条装 250ML×12</v>
          </cell>
          <cell r="D1273">
            <v>40</v>
          </cell>
          <cell r="E1273">
            <v>1480.42</v>
          </cell>
          <cell r="F1273">
            <v>41.821865000000003</v>
          </cell>
        </row>
        <row r="1274">
          <cell r="B1274" t="str">
            <v>70372212</v>
          </cell>
          <cell r="C1274" t="str">
            <v>李子园 奶咖 280ML</v>
          </cell>
          <cell r="D1274">
            <v>8</v>
          </cell>
          <cell r="E1274">
            <v>27.12</v>
          </cell>
          <cell r="F1274">
            <v>3.8307000000000002</v>
          </cell>
        </row>
        <row r="1275">
          <cell r="B1275" t="str">
            <v>70372218</v>
          </cell>
          <cell r="C1275" t="str">
            <v>李子园 果蔬酸奶饮品 280ML</v>
          </cell>
          <cell r="D1275">
            <v>1075</v>
          </cell>
          <cell r="E1275">
            <v>4333.96</v>
          </cell>
          <cell r="F1275">
            <v>4.5556974883720898</v>
          </cell>
        </row>
        <row r="1276">
          <cell r="B1276" t="str">
            <v>70375454</v>
          </cell>
          <cell r="C1276" t="str">
            <v>天润 浓缩纯牛奶 180g</v>
          </cell>
          <cell r="D1276">
            <v>0</v>
          </cell>
          <cell r="E1276">
            <v>0</v>
          </cell>
          <cell r="F1276" t="e">
            <v>#DIV/0!</v>
          </cell>
        </row>
        <row r="1277">
          <cell r="B1277" t="str">
            <v>70388879</v>
          </cell>
          <cell r="C1277" t="str">
            <v>西域春 小白牛奶 180G</v>
          </cell>
          <cell r="D1277">
            <v>136</v>
          </cell>
          <cell r="E1277">
            <v>175.44</v>
          </cell>
          <cell r="F1277">
            <v>1.4577</v>
          </cell>
        </row>
        <row r="1278">
          <cell r="B1278" t="str">
            <v>70392613</v>
          </cell>
          <cell r="C1278" t="str">
            <v>蒙牛 纯甄巴氏杀菌热处理维生素D原味风味酸奶利乐钻 200g</v>
          </cell>
          <cell r="D1278">
            <v>134</v>
          </cell>
          <cell r="E1278">
            <v>582.79999999999995</v>
          </cell>
          <cell r="F1278">
            <v>4.9146567164179098</v>
          </cell>
        </row>
        <row r="1279">
          <cell r="B1279" t="str">
            <v>70392725</v>
          </cell>
          <cell r="C1279" t="str">
            <v>马三三 原味酸奶 180G</v>
          </cell>
          <cell r="D1279">
            <v>88</v>
          </cell>
          <cell r="E1279">
            <v>199.52</v>
          </cell>
          <cell r="F1279">
            <v>2.5620181818181802</v>
          </cell>
        </row>
        <row r="1280">
          <cell r="B1280" t="str">
            <v>70393700</v>
          </cell>
          <cell r="C1280" t="str">
            <v>光明 莫斯利安风味酸牛奶草莓蔓越莓纽约红丝绒蛋糕风味 200G</v>
          </cell>
          <cell r="D1280">
            <v>7</v>
          </cell>
          <cell r="E1280">
            <v>32.28</v>
          </cell>
          <cell r="F1280">
            <v>5.2109142857142796</v>
          </cell>
        </row>
        <row r="1281">
          <cell r="B1281" t="str">
            <v>70397578</v>
          </cell>
          <cell r="C1281" t="str">
            <v>娃哈哈 AD钙奶胶原蛋白肽饮料 450ML</v>
          </cell>
          <cell r="D1281">
            <v>53</v>
          </cell>
          <cell r="E1281">
            <v>188.44</v>
          </cell>
          <cell r="F1281">
            <v>4.0176830188679196</v>
          </cell>
        </row>
        <row r="1282">
          <cell r="B1282" t="str">
            <v>70397580</v>
          </cell>
          <cell r="C1282" t="str">
            <v>娃哈哈 AD钙乳奶酸菌饮料 450ML</v>
          </cell>
          <cell r="D1282">
            <v>131</v>
          </cell>
          <cell r="E1282">
            <v>427.53</v>
          </cell>
          <cell r="F1282">
            <v>3.6878541984732802</v>
          </cell>
        </row>
        <row r="1283">
          <cell r="B1283" t="str">
            <v>70410964</v>
          </cell>
          <cell r="C1283" t="str">
            <v>李子园 哈密瓜味乳饮料 450ML</v>
          </cell>
          <cell r="D1283">
            <v>549</v>
          </cell>
          <cell r="E1283">
            <v>2327.46</v>
          </cell>
          <cell r="F1283">
            <v>4.7905825136612004</v>
          </cell>
        </row>
        <row r="1284">
          <cell r="B1284" t="str">
            <v>70415758</v>
          </cell>
          <cell r="C1284" t="str">
            <v>蒙牛 纯甄巴氏杀菌热处理原味酸奶200g*10</v>
          </cell>
          <cell r="D1284">
            <v>1</v>
          </cell>
          <cell r="E1284">
            <v>37.159999999999997</v>
          </cell>
          <cell r="F1284">
            <v>41.9908</v>
          </cell>
        </row>
        <row r="1285">
          <cell r="B1285" t="str">
            <v>70418577</v>
          </cell>
          <cell r="C1285" t="str">
            <v>八点半 花园花生核桃奶 200G</v>
          </cell>
          <cell r="D1285">
            <v>0</v>
          </cell>
          <cell r="E1285">
            <v>0</v>
          </cell>
          <cell r="F1285" t="e">
            <v>#DIV/0!</v>
          </cell>
        </row>
        <row r="1286">
          <cell r="B1286" t="str">
            <v>70421754</v>
          </cell>
          <cell r="C1286" t="str">
            <v>君乐宝 简醇酸奶 箱</v>
          </cell>
          <cell r="D1286">
            <v>1</v>
          </cell>
          <cell r="E1286">
            <v>46.94</v>
          </cell>
          <cell r="F1286">
            <v>53.042200000000001</v>
          </cell>
        </row>
        <row r="1287">
          <cell r="B1287" t="str">
            <v>70425203</v>
          </cell>
          <cell r="C1287" t="str">
            <v>好益多 乳酸菌饮品 100ML*6</v>
          </cell>
          <cell r="D1287">
            <v>447</v>
          </cell>
          <cell r="E1287">
            <v>4151.42</v>
          </cell>
          <cell r="F1287">
            <v>10.494641163311</v>
          </cell>
        </row>
        <row r="1288">
          <cell r="B1288" t="str">
            <v>70429800</v>
          </cell>
          <cell r="C1288" t="str">
            <v>天润 阿尔泰风味发酵乳PET瓶 950G</v>
          </cell>
          <cell r="D1288">
            <v>3</v>
          </cell>
          <cell r="E1288">
            <v>39.93</v>
          </cell>
          <cell r="F1288">
            <v>15.0403</v>
          </cell>
        </row>
        <row r="1289">
          <cell r="B1289" t="str">
            <v>70441418</v>
          </cell>
          <cell r="C1289" t="str">
            <v>雅弥优格 玫瑰花谷物搅拌酸奶 180G</v>
          </cell>
          <cell r="D1289">
            <v>3</v>
          </cell>
          <cell r="E1289">
            <v>11.96</v>
          </cell>
          <cell r="F1289">
            <v>4.5049333333333301</v>
          </cell>
        </row>
        <row r="1290">
          <cell r="B1290" t="str">
            <v>70441419</v>
          </cell>
          <cell r="C1290" t="str">
            <v>雅弥优格 草莓搅拌酸奶 180G</v>
          </cell>
          <cell r="D1290">
            <v>7</v>
          </cell>
          <cell r="E1290">
            <v>27.88</v>
          </cell>
          <cell r="F1290">
            <v>4.5006285714285701</v>
          </cell>
        </row>
        <row r="1291">
          <cell r="B1291" t="str">
            <v>70442440</v>
          </cell>
          <cell r="C1291" t="str">
            <v>大漠溪水 巴旦木乳植物蛋白饮品 240ML</v>
          </cell>
          <cell r="D1291">
            <v>17740</v>
          </cell>
          <cell r="E1291">
            <v>68574.070000000007</v>
          </cell>
          <cell r="F1291">
            <v>4.3680213697857901</v>
          </cell>
        </row>
        <row r="1292">
          <cell r="B1292" t="str">
            <v>70443935</v>
          </cell>
          <cell r="C1292" t="str">
            <v>绿成 原味酸奶 180G</v>
          </cell>
          <cell r="D1292">
            <v>0</v>
          </cell>
          <cell r="E1292">
            <v>0</v>
          </cell>
          <cell r="F1292" t="e">
            <v>#DIV/0!</v>
          </cell>
        </row>
        <row r="1293">
          <cell r="B1293" t="str">
            <v>70443937</v>
          </cell>
          <cell r="C1293" t="str">
            <v>绿成 冰淇淋酸奶 120G</v>
          </cell>
          <cell r="D1293">
            <v>3</v>
          </cell>
          <cell r="E1293">
            <v>7.84</v>
          </cell>
          <cell r="F1293">
            <v>2.9530666666666701</v>
          </cell>
        </row>
        <row r="1294">
          <cell r="B1294" t="str">
            <v>70443939</v>
          </cell>
          <cell r="C1294" t="str">
            <v>绿成 PET瓶浓酸奶 200G</v>
          </cell>
          <cell r="D1294">
            <v>20</v>
          </cell>
          <cell r="E1294">
            <v>72.569999999999993</v>
          </cell>
          <cell r="F1294">
            <v>4.1002049999999999</v>
          </cell>
        </row>
        <row r="1295">
          <cell r="B1295" t="str">
            <v>70443941</v>
          </cell>
          <cell r="C1295" t="str">
            <v>绿成 燕麦粒酸奶 180G</v>
          </cell>
          <cell r="D1295">
            <v>73</v>
          </cell>
          <cell r="E1295">
            <v>213.21</v>
          </cell>
          <cell r="F1295">
            <v>3.3003739726027401</v>
          </cell>
        </row>
        <row r="1296">
          <cell r="B1296" t="str">
            <v>70443945</v>
          </cell>
          <cell r="C1296" t="str">
            <v>绿成 核桃燕麦酸奶 180G</v>
          </cell>
          <cell r="D1296">
            <v>54</v>
          </cell>
          <cell r="E1296">
            <v>157.72</v>
          </cell>
          <cell r="F1296">
            <v>3.3004370370370402</v>
          </cell>
        </row>
        <row r="1297">
          <cell r="B1297" t="str">
            <v>70443947</v>
          </cell>
          <cell r="C1297" t="str">
            <v>绿成 浓缩酸奶 180G</v>
          </cell>
          <cell r="D1297">
            <v>0</v>
          </cell>
          <cell r="E1297">
            <v>0</v>
          </cell>
          <cell r="F1297" t="e">
            <v>#DIV/0!</v>
          </cell>
        </row>
        <row r="1298">
          <cell r="B1298" t="str">
            <v>70443948</v>
          </cell>
          <cell r="C1298" t="str">
            <v>绿成 八种益生菌酸奶 180G</v>
          </cell>
          <cell r="D1298">
            <v>0</v>
          </cell>
          <cell r="E1298">
            <v>0</v>
          </cell>
          <cell r="F1298" t="e">
            <v>#DIV/0!</v>
          </cell>
        </row>
        <row r="1299">
          <cell r="B1299" t="str">
            <v>70443949</v>
          </cell>
          <cell r="C1299" t="str">
            <v>绿成 玉米酸奶 180G</v>
          </cell>
          <cell r="D1299">
            <v>56</v>
          </cell>
          <cell r="E1299">
            <v>143.72999999999999</v>
          </cell>
          <cell r="F1299">
            <v>2.90026607142857</v>
          </cell>
        </row>
        <row r="1300">
          <cell r="B1300" t="str">
            <v>70466400</v>
          </cell>
          <cell r="C1300" t="str">
            <v>天润 夏牧场纯牛奶 200ML</v>
          </cell>
          <cell r="D1300">
            <v>46563</v>
          </cell>
          <cell r="E1300">
            <v>221001.14</v>
          </cell>
          <cell r="F1300">
            <v>5.3632989326289104</v>
          </cell>
        </row>
        <row r="1301">
          <cell r="B1301" t="str">
            <v>70466719</v>
          </cell>
          <cell r="C1301" t="str">
            <v>蒙牛 浓醇风味酸牛奶爱克林 2.1KG</v>
          </cell>
          <cell r="D1301">
            <v>0</v>
          </cell>
          <cell r="E1301">
            <v>0</v>
          </cell>
          <cell r="F1301" t="e">
            <v>#DIV/0!</v>
          </cell>
        </row>
        <row r="1302">
          <cell r="B1302" t="str">
            <v>70466720</v>
          </cell>
          <cell r="C1302" t="str">
            <v>蒙牛 苹果风味酸牛奶爱克林 2.1KG</v>
          </cell>
          <cell r="D1302">
            <v>72</v>
          </cell>
          <cell r="E1302">
            <v>186.08</v>
          </cell>
          <cell r="F1302">
            <v>2.92042222222222</v>
          </cell>
        </row>
        <row r="1303">
          <cell r="B1303" t="str">
            <v>70466721</v>
          </cell>
          <cell r="C1303" t="str">
            <v>蒙牛 红枣风味酸牛奶爱克林 2.1KG</v>
          </cell>
          <cell r="D1303">
            <v>0</v>
          </cell>
          <cell r="E1303">
            <v>0</v>
          </cell>
          <cell r="F1303" t="e">
            <v>#DIV/0!</v>
          </cell>
        </row>
        <row r="1304">
          <cell r="B1304" t="str">
            <v>70466722</v>
          </cell>
          <cell r="C1304" t="str">
            <v>蒙牛 嚼酸奶燕麦风味酸奶 2.1KG</v>
          </cell>
          <cell r="D1304">
            <v>143</v>
          </cell>
          <cell r="E1304">
            <v>421.48</v>
          </cell>
          <cell r="F1304">
            <v>3.33057622377622</v>
          </cell>
        </row>
        <row r="1305">
          <cell r="B1305" t="str">
            <v>70476578</v>
          </cell>
          <cell r="C1305" t="str">
            <v>天润 香蕉牛奶调味乳康美砖 180G</v>
          </cell>
          <cell r="D1305">
            <v>5589</v>
          </cell>
          <cell r="E1305">
            <v>13995.6</v>
          </cell>
          <cell r="F1305">
            <v>2.8296704240472401</v>
          </cell>
        </row>
        <row r="1306">
          <cell r="B1306" t="str">
            <v>70478471</v>
          </cell>
          <cell r="C1306" t="str">
            <v>美汁源 果粒奶优草莓味 450ML</v>
          </cell>
          <cell r="D1306">
            <v>9</v>
          </cell>
          <cell r="E1306">
            <v>28.88</v>
          </cell>
          <cell r="F1306">
            <v>3.6260444444444402</v>
          </cell>
        </row>
        <row r="1307">
          <cell r="B1307" t="str">
            <v>70478607</v>
          </cell>
          <cell r="C1307" t="str">
            <v>李子园 原味*4 900ML</v>
          </cell>
          <cell r="D1307">
            <v>42</v>
          </cell>
          <cell r="E1307">
            <v>357.15</v>
          </cell>
          <cell r="F1307">
            <v>9.6090357142857101</v>
          </cell>
        </row>
        <row r="1308">
          <cell r="B1308" t="str">
            <v>70478608</v>
          </cell>
          <cell r="C1308" t="str">
            <v>李子园 草莓*4 900ML</v>
          </cell>
          <cell r="D1308">
            <v>125</v>
          </cell>
          <cell r="E1308">
            <v>1049.3599999999999</v>
          </cell>
          <cell r="F1308">
            <v>9.4862143999999997</v>
          </cell>
        </row>
        <row r="1309">
          <cell r="B1309" t="str">
            <v>70480757</v>
          </cell>
          <cell r="C1309" t="str">
            <v>莫斯利安 白桃大幅 200G</v>
          </cell>
          <cell r="D1309">
            <v>0</v>
          </cell>
          <cell r="E1309">
            <v>0</v>
          </cell>
          <cell r="F1309" t="e">
            <v>#DIV/0!</v>
          </cell>
        </row>
        <row r="1310">
          <cell r="B1310" t="str">
            <v>70483984</v>
          </cell>
          <cell r="C1310" t="str">
            <v>金绿成 零蔗糖酸奶 180G</v>
          </cell>
          <cell r="D1310">
            <v>86</v>
          </cell>
          <cell r="E1310">
            <v>220.76</v>
          </cell>
          <cell r="F1310">
            <v>2.9006837209302301</v>
          </cell>
        </row>
        <row r="1311">
          <cell r="B1311" t="str">
            <v>70484371</v>
          </cell>
          <cell r="C1311" t="str">
            <v>可口可乐 粗粮王原味豆奶礼盒 250ML*18</v>
          </cell>
          <cell r="D1311">
            <v>58</v>
          </cell>
          <cell r="E1311">
            <v>2463.81</v>
          </cell>
          <cell r="F1311">
            <v>48.001815517241397</v>
          </cell>
        </row>
        <row r="1312">
          <cell r="B1312" t="str">
            <v>70484385</v>
          </cell>
          <cell r="C1312" t="str">
            <v>可口可乐 美汁源果粒奶优礼盒 450G*10</v>
          </cell>
          <cell r="D1312">
            <v>34</v>
          </cell>
          <cell r="E1312">
            <v>1444.29</v>
          </cell>
          <cell r="F1312">
            <v>48.001402941176501</v>
          </cell>
        </row>
        <row r="1313">
          <cell r="B1313" t="str">
            <v>70485920</v>
          </cell>
          <cell r="C1313" t="str">
            <v>旺仔 六种坚果牛奶原味 245ML</v>
          </cell>
          <cell r="D1313">
            <v>16</v>
          </cell>
          <cell r="E1313">
            <v>73.08</v>
          </cell>
          <cell r="F1313">
            <v>5.1612749999999998</v>
          </cell>
        </row>
        <row r="1314">
          <cell r="B1314" t="str">
            <v>70486344</v>
          </cell>
          <cell r="C1314" t="str">
            <v>西域春 草莓桑葚酸奶 160G</v>
          </cell>
          <cell r="D1314">
            <v>0</v>
          </cell>
          <cell r="E1314">
            <v>0</v>
          </cell>
          <cell r="F1314" t="e">
            <v>#DIV/0!</v>
          </cell>
        </row>
        <row r="1315">
          <cell r="B1315" t="str">
            <v>70497538</v>
          </cell>
          <cell r="C1315" t="str">
            <v>伊牧欣 奶啤 300ML</v>
          </cell>
          <cell r="D1315">
            <v>0</v>
          </cell>
          <cell r="E1315">
            <v>0</v>
          </cell>
          <cell r="F1315" t="e">
            <v>#DIV/0!</v>
          </cell>
        </row>
        <row r="1316">
          <cell r="B1316" t="str">
            <v>70497541</v>
          </cell>
          <cell r="C1316" t="str">
            <v>伊牧欣 蓝莓草原厚酸奶 180G</v>
          </cell>
          <cell r="D1316">
            <v>0</v>
          </cell>
          <cell r="E1316">
            <v>0</v>
          </cell>
          <cell r="F1316" t="e">
            <v>#DIV/0!</v>
          </cell>
        </row>
        <row r="1317">
          <cell r="B1317" t="str">
            <v>70497555</v>
          </cell>
          <cell r="C1317" t="str">
            <v>伊牧欣 3.0蛋白灭菌乳纯牛奶砖 206G</v>
          </cell>
          <cell r="D1317">
            <v>0</v>
          </cell>
          <cell r="E1317">
            <v>0</v>
          </cell>
          <cell r="F1317" t="e">
            <v>#DIV/0!</v>
          </cell>
        </row>
        <row r="1318">
          <cell r="B1318" t="str">
            <v>70497558</v>
          </cell>
          <cell r="C1318" t="str">
            <v>伊牧欣 冰淇淋酸奶 180G</v>
          </cell>
          <cell r="D1318">
            <v>248</v>
          </cell>
          <cell r="E1318">
            <v>603.63</v>
          </cell>
          <cell r="F1318">
            <v>2.7504108870967698</v>
          </cell>
        </row>
        <row r="1319">
          <cell r="B1319" t="str">
            <v>70497560</v>
          </cell>
          <cell r="C1319" t="str">
            <v>伊牧欣 草莓草原厚酸奶 180G</v>
          </cell>
          <cell r="D1319">
            <v>11</v>
          </cell>
          <cell r="E1319">
            <v>26.81</v>
          </cell>
          <cell r="F1319">
            <v>2.7541181818181801</v>
          </cell>
        </row>
        <row r="1320">
          <cell r="B1320" t="str">
            <v>70497561</v>
          </cell>
          <cell r="C1320" t="str">
            <v>伊牧欣 原味草原厚酸奶 180G</v>
          </cell>
          <cell r="D1320">
            <v>29</v>
          </cell>
          <cell r="E1320">
            <v>70.61</v>
          </cell>
          <cell r="F1320">
            <v>2.7513551724137901</v>
          </cell>
        </row>
        <row r="1321">
          <cell r="B1321" t="str">
            <v>70498017</v>
          </cell>
          <cell r="C1321" t="str">
            <v>天润 零蔗糖风味酸牛奶 180G</v>
          </cell>
          <cell r="D1321">
            <v>3509</v>
          </cell>
          <cell r="E1321">
            <v>8666.81</v>
          </cell>
          <cell r="F1321">
            <v>2.7909647477913899</v>
          </cell>
        </row>
        <row r="1322">
          <cell r="B1322" t="str">
            <v>70498379</v>
          </cell>
          <cell r="C1322" t="str">
            <v>花园 厚牛奶 200G</v>
          </cell>
          <cell r="D1322">
            <v>0</v>
          </cell>
          <cell r="E1322">
            <v>0</v>
          </cell>
          <cell r="F1322" t="e">
            <v>#DIV/0!</v>
          </cell>
        </row>
        <row r="1323">
          <cell r="B1323" t="str">
            <v>70498529</v>
          </cell>
          <cell r="C1323" t="str">
            <v>天润 沙棘奶啤 300ML</v>
          </cell>
          <cell r="D1323">
            <v>20135</v>
          </cell>
          <cell r="E1323">
            <v>78960.33</v>
          </cell>
          <cell r="F1323">
            <v>4.4313470523963199</v>
          </cell>
        </row>
        <row r="1324">
          <cell r="B1324" t="str">
            <v>70498543</v>
          </cell>
          <cell r="C1324" t="str">
            <v>新农 利乐砖纯牛奶 1L</v>
          </cell>
          <cell r="D1324">
            <v>6</v>
          </cell>
          <cell r="E1324">
            <v>60.56</v>
          </cell>
          <cell r="F1324">
            <v>11.405466666666699</v>
          </cell>
        </row>
        <row r="1325">
          <cell r="B1325" t="str">
            <v>70499480</v>
          </cell>
          <cell r="C1325" t="str">
            <v>盖瑞 利乐枕纯牛奶 200G</v>
          </cell>
          <cell r="D1325">
            <v>24</v>
          </cell>
          <cell r="E1325">
            <v>43.91</v>
          </cell>
          <cell r="F1325">
            <v>2.06742916666667</v>
          </cell>
        </row>
        <row r="1326">
          <cell r="B1326" t="str">
            <v>70504491</v>
          </cell>
          <cell r="C1326" t="str">
            <v>金绿成 奶啤 300ML</v>
          </cell>
          <cell r="D1326">
            <v>3</v>
          </cell>
          <cell r="E1326">
            <v>9.3000000000000007</v>
          </cell>
          <cell r="F1326">
            <v>3.5030000000000001</v>
          </cell>
        </row>
        <row r="1327">
          <cell r="B1327" t="str">
            <v>70506396</v>
          </cell>
          <cell r="C1327" t="str">
            <v>光明 酸益乳草莓味饮品 250ML</v>
          </cell>
          <cell r="D1327">
            <v>250</v>
          </cell>
          <cell r="E1327">
            <v>310</v>
          </cell>
          <cell r="F1327">
            <v>1.4012</v>
          </cell>
        </row>
        <row r="1328">
          <cell r="B1328" t="str">
            <v>70506445</v>
          </cell>
          <cell r="C1328" t="str">
            <v>光明 酸益乳苹果味饮品 250ML</v>
          </cell>
          <cell r="D1328">
            <v>204</v>
          </cell>
          <cell r="E1328">
            <v>252.96</v>
          </cell>
          <cell r="F1328">
            <v>1.4012</v>
          </cell>
        </row>
        <row r="1329">
          <cell r="B1329" t="str">
            <v>70516830</v>
          </cell>
          <cell r="C1329" t="str">
            <v>莫斯利安 黄桃燕麦味酸奶 200G*10</v>
          </cell>
          <cell r="D1329">
            <v>1</v>
          </cell>
          <cell r="E1329">
            <v>4.62</v>
          </cell>
          <cell r="F1329">
            <v>5.2206000000000001</v>
          </cell>
        </row>
        <row r="1330">
          <cell r="B1330" t="str">
            <v>70516904</v>
          </cell>
          <cell r="C1330" t="str">
            <v>雅弥优格 嚼绊捏酸奶礼盒装 145G*6</v>
          </cell>
          <cell r="D1330">
            <v>0</v>
          </cell>
          <cell r="E1330">
            <v>0</v>
          </cell>
          <cell r="F1330" t="e">
            <v>#DIV/0!</v>
          </cell>
        </row>
        <row r="1331">
          <cell r="B1331" t="str">
            <v>70516910</v>
          </cell>
          <cell r="C1331" t="str">
            <v>雅弥优格 嚼绊酸奶草莓黄桃谷物礼盒装 180G*6</v>
          </cell>
          <cell r="D1331">
            <v>6</v>
          </cell>
          <cell r="E1331">
            <v>41.04</v>
          </cell>
          <cell r="F1331">
            <v>7.7291999999999996</v>
          </cell>
        </row>
        <row r="1332">
          <cell r="B1332" t="str">
            <v>70517550</v>
          </cell>
          <cell r="C1332" t="str">
            <v>瑞缘 白桃马蹄酸奶 180G</v>
          </cell>
          <cell r="D1332">
            <v>0</v>
          </cell>
          <cell r="E1332">
            <v>0</v>
          </cell>
          <cell r="F1332" t="e">
            <v>#DIV/0!</v>
          </cell>
        </row>
        <row r="1333">
          <cell r="B1333" t="str">
            <v>70518394</v>
          </cell>
          <cell r="C1333" t="str">
            <v>马三三 原味酸奶家庭装 1KG</v>
          </cell>
          <cell r="D1333">
            <v>8</v>
          </cell>
          <cell r="E1333">
            <v>106.21</v>
          </cell>
          <cell r="F1333">
            <v>15.002162500000001</v>
          </cell>
        </row>
        <row r="1334">
          <cell r="B1334" t="str">
            <v>70518514</v>
          </cell>
          <cell r="C1334" t="str">
            <v>天润 HELLO嗨哈密瓜酸奶风味发酵乳 180G</v>
          </cell>
          <cell r="D1334">
            <v>2</v>
          </cell>
          <cell r="E1334">
            <v>4.18</v>
          </cell>
          <cell r="F1334">
            <v>2.3616999999999999</v>
          </cell>
        </row>
        <row r="1335">
          <cell r="B1335" t="str">
            <v>70518515</v>
          </cell>
          <cell r="C1335" t="str">
            <v>天润 桃梨不了风味发酵乳 180G</v>
          </cell>
          <cell r="D1335">
            <v>87</v>
          </cell>
          <cell r="E1335">
            <v>217.17</v>
          </cell>
          <cell r="F1335">
            <v>2.8207137931034501</v>
          </cell>
        </row>
        <row r="1336">
          <cell r="B1336" t="str">
            <v>70518516</v>
          </cell>
          <cell r="C1336" t="str">
            <v>天润 杏运棘了风味发酵乳 180G</v>
          </cell>
          <cell r="D1336">
            <v>191</v>
          </cell>
          <cell r="E1336">
            <v>476.88</v>
          </cell>
          <cell r="F1336">
            <v>2.8213319371727699</v>
          </cell>
        </row>
        <row r="1337">
          <cell r="B1337" t="str">
            <v>70519516</v>
          </cell>
          <cell r="C1337" t="str">
            <v>金绿成 哈密瓜酸奶 180G</v>
          </cell>
          <cell r="D1337">
            <v>36</v>
          </cell>
          <cell r="E1337">
            <v>93.98</v>
          </cell>
          <cell r="F1337">
            <v>2.9499277777777801</v>
          </cell>
        </row>
        <row r="1338">
          <cell r="B1338" t="str">
            <v>70519709</v>
          </cell>
          <cell r="C1338" t="str">
            <v>绿成 无菌麦香牛奶 200ML</v>
          </cell>
          <cell r="D1338">
            <v>10</v>
          </cell>
          <cell r="E1338">
            <v>26.59</v>
          </cell>
          <cell r="F1338">
            <v>3.00467</v>
          </cell>
        </row>
        <row r="1339">
          <cell r="B1339" t="str">
            <v>70519711</v>
          </cell>
          <cell r="C1339" t="str">
            <v>绿成 益生菌纸杯奶 180G</v>
          </cell>
          <cell r="D1339">
            <v>3</v>
          </cell>
          <cell r="E1339">
            <v>5.31</v>
          </cell>
          <cell r="F1339">
            <v>2.0001000000000002</v>
          </cell>
        </row>
        <row r="1340">
          <cell r="B1340" t="str">
            <v>70519714</v>
          </cell>
          <cell r="C1340" t="str">
            <v>绿成 巧克力牛奶 200G</v>
          </cell>
          <cell r="D1340">
            <v>1</v>
          </cell>
          <cell r="E1340">
            <v>2.66</v>
          </cell>
          <cell r="F1340">
            <v>3.0057999999999998</v>
          </cell>
        </row>
        <row r="1341">
          <cell r="B1341" t="str">
            <v>70520288</v>
          </cell>
          <cell r="C1341" t="str">
            <v>瑞缘 奶啤 300ML</v>
          </cell>
          <cell r="D1341">
            <v>39</v>
          </cell>
          <cell r="E1341">
            <v>129.47999999999999</v>
          </cell>
          <cell r="F1341">
            <v>3.7515999999999998</v>
          </cell>
        </row>
        <row r="1342">
          <cell r="B1342" t="str">
            <v>70520308</v>
          </cell>
          <cell r="C1342" t="str">
            <v>瑞缘 有机纯牛奶 200ML</v>
          </cell>
          <cell r="D1342">
            <v>0</v>
          </cell>
          <cell r="E1342">
            <v>0</v>
          </cell>
          <cell r="F1342" t="e">
            <v>#DIV/0!</v>
          </cell>
        </row>
        <row r="1343">
          <cell r="B1343" t="str">
            <v>70521828</v>
          </cell>
          <cell r="C1343" t="str">
            <v>瑞缘 天天古丽纯牛奶 200G</v>
          </cell>
          <cell r="D1343">
            <v>967</v>
          </cell>
          <cell r="E1343">
            <v>1597.23</v>
          </cell>
          <cell r="F1343">
            <v>1.86646318510858</v>
          </cell>
        </row>
        <row r="1344">
          <cell r="B1344" t="str">
            <v>70521836</v>
          </cell>
          <cell r="C1344" t="str">
            <v>瑞缘 益生菌草莓味 170G</v>
          </cell>
          <cell r="D1344">
            <v>121</v>
          </cell>
          <cell r="E1344">
            <v>257</v>
          </cell>
          <cell r="F1344">
            <v>2.4000826446281001</v>
          </cell>
        </row>
        <row r="1345">
          <cell r="B1345" t="str">
            <v>70521841</v>
          </cell>
          <cell r="C1345" t="str">
            <v>新农 爱自然爱克林原味 180G</v>
          </cell>
          <cell r="D1345">
            <v>6</v>
          </cell>
          <cell r="E1345">
            <v>14.88</v>
          </cell>
          <cell r="F1345">
            <v>2.8024</v>
          </cell>
        </row>
        <row r="1346">
          <cell r="B1346" t="str">
            <v>70521842</v>
          </cell>
          <cell r="C1346" t="str">
            <v>瑞缘 益生菌桔粹味 170G</v>
          </cell>
          <cell r="D1346">
            <v>1</v>
          </cell>
          <cell r="E1346">
            <v>2.13</v>
          </cell>
          <cell r="F1346">
            <v>2.4068999999999998</v>
          </cell>
        </row>
        <row r="1347">
          <cell r="B1347" t="str">
            <v>70521843</v>
          </cell>
          <cell r="C1347" t="str">
            <v>新农 小芝士乳饮 200G</v>
          </cell>
          <cell r="D1347">
            <v>3</v>
          </cell>
          <cell r="E1347">
            <v>3.72</v>
          </cell>
          <cell r="F1347">
            <v>1.4012</v>
          </cell>
        </row>
        <row r="1348">
          <cell r="B1348" t="str">
            <v>70521844</v>
          </cell>
          <cell r="C1348" t="str">
            <v>新农 舒浓纯牛奶 200G</v>
          </cell>
          <cell r="D1348">
            <v>32</v>
          </cell>
          <cell r="E1348">
            <v>64.5</v>
          </cell>
          <cell r="F1348">
            <v>2.2776562500000002</v>
          </cell>
        </row>
        <row r="1349">
          <cell r="B1349" t="str">
            <v>70528326</v>
          </cell>
          <cell r="C1349" t="str">
            <v>伊牧欣 伊犁老酸奶 150G</v>
          </cell>
          <cell r="D1349">
            <v>47</v>
          </cell>
          <cell r="E1349">
            <v>114.41</v>
          </cell>
          <cell r="F1349">
            <v>2.7507085106383</v>
          </cell>
        </row>
        <row r="1350">
          <cell r="B1350" t="str">
            <v>70528329</v>
          </cell>
          <cell r="C1350" t="str">
            <v>伊牧欣 樱花白桃石榴酸奶 180G</v>
          </cell>
          <cell r="D1350">
            <v>0</v>
          </cell>
          <cell r="E1350">
            <v>0</v>
          </cell>
          <cell r="F1350" t="e">
            <v>#DIV/0!</v>
          </cell>
        </row>
        <row r="1351">
          <cell r="B1351" t="str">
            <v>70528334</v>
          </cell>
          <cell r="C1351" t="str">
            <v>伊牧欣 哈密瓜酸奶 180G</v>
          </cell>
          <cell r="D1351">
            <v>20</v>
          </cell>
          <cell r="E1351">
            <v>48.69</v>
          </cell>
          <cell r="F1351">
            <v>2.750985</v>
          </cell>
        </row>
        <row r="1352">
          <cell r="B1352" t="str">
            <v>70528337</v>
          </cell>
          <cell r="C1352" t="str">
            <v>伊牧欣 茉莉葡萄酸奶 180G</v>
          </cell>
          <cell r="D1352">
            <v>112</v>
          </cell>
          <cell r="E1352">
            <v>272.58999999999997</v>
          </cell>
          <cell r="F1352">
            <v>2.7502383928571401</v>
          </cell>
        </row>
        <row r="1353">
          <cell r="B1353" t="str">
            <v>70535963</v>
          </cell>
          <cell r="C1353" t="str">
            <v>天润 巴旦木牛奶康美砖 180G</v>
          </cell>
          <cell r="D1353">
            <v>36</v>
          </cell>
          <cell r="E1353">
            <v>95.91</v>
          </cell>
          <cell r="F1353">
            <v>3.01050833333333</v>
          </cell>
        </row>
        <row r="1354">
          <cell r="B1354" t="str">
            <v>70538271</v>
          </cell>
          <cell r="C1354" t="str">
            <v>伊利 纯牛奶 200ML</v>
          </cell>
          <cell r="D1354">
            <v>0</v>
          </cell>
          <cell r="E1354">
            <v>0</v>
          </cell>
          <cell r="F1354" t="e">
            <v>#DIV/0!</v>
          </cell>
        </row>
        <row r="1355">
          <cell r="B1355" t="str">
            <v>70538284</v>
          </cell>
          <cell r="C1355" t="str">
            <v>伊利 优酸乳牛奶饮品苹果果粒金装 250G</v>
          </cell>
          <cell r="D1355">
            <v>1818</v>
          </cell>
          <cell r="E1355">
            <v>3707.66</v>
          </cell>
          <cell r="F1355">
            <v>2.3045411441144101</v>
          </cell>
        </row>
        <row r="1356">
          <cell r="B1356" t="str">
            <v>70538288</v>
          </cell>
          <cell r="C1356" t="str">
            <v>伊利 优酸乳牛奶饮品白桃果粒金装 250G</v>
          </cell>
          <cell r="D1356">
            <v>1417</v>
          </cell>
          <cell r="E1356">
            <v>2878.93</v>
          </cell>
          <cell r="F1356">
            <v>2.2958298517995801</v>
          </cell>
        </row>
        <row r="1357">
          <cell r="B1357" t="str">
            <v>70539190</v>
          </cell>
          <cell r="C1357" t="str">
            <v>好益多 蓝莓 100ML</v>
          </cell>
          <cell r="D1357">
            <v>314</v>
          </cell>
          <cell r="E1357">
            <v>2531.12</v>
          </cell>
          <cell r="F1357">
            <v>9.1088076433120992</v>
          </cell>
        </row>
        <row r="1358">
          <cell r="B1358" t="str">
            <v>70549860</v>
          </cell>
          <cell r="C1358" t="str">
            <v>旺仔 小馒头特浓牛奶 118G/包</v>
          </cell>
          <cell r="D1358">
            <v>542</v>
          </cell>
          <cell r="E1358">
            <v>3262.88</v>
          </cell>
          <cell r="F1358">
            <v>6.8026833948339496</v>
          </cell>
        </row>
        <row r="1359">
          <cell r="B1359" t="str">
            <v>70553484</v>
          </cell>
          <cell r="C1359" t="str">
            <v>疆遇 新疆驼奶 320ML</v>
          </cell>
          <cell r="D1359">
            <v>14</v>
          </cell>
          <cell r="E1359">
            <v>428.77</v>
          </cell>
          <cell r="F1359">
            <v>34.6078642857143</v>
          </cell>
        </row>
        <row r="1360">
          <cell r="B1360" t="str">
            <v>70559364</v>
          </cell>
          <cell r="C1360" t="str">
            <v>天润 优斯麦尔佳丽新疆纯牛奶康美砖 200G</v>
          </cell>
          <cell r="D1360">
            <v>94364</v>
          </cell>
          <cell r="E1360">
            <v>193357.48</v>
          </cell>
          <cell r="F1360">
            <v>2.3154375863676799</v>
          </cell>
        </row>
        <row r="1361">
          <cell r="B1361" t="str">
            <v>70559365</v>
          </cell>
          <cell r="C1361" t="str">
            <v>天润 优斯麦尔有机浓缩纯牛奶康美砖 250G</v>
          </cell>
          <cell r="D1361">
            <v>15245</v>
          </cell>
          <cell r="E1361">
            <v>60472.89</v>
          </cell>
          <cell r="F1361">
            <v>4.4824116562807497</v>
          </cell>
        </row>
        <row r="1362">
          <cell r="B1362" t="str">
            <v>70559366</v>
          </cell>
          <cell r="C1362" t="str">
            <v>天润 优斯麦尔鲜牛乳PET 245G</v>
          </cell>
          <cell r="D1362">
            <v>1</v>
          </cell>
          <cell r="E1362">
            <v>3.58</v>
          </cell>
          <cell r="F1362">
            <v>4.0453999999999999</v>
          </cell>
        </row>
        <row r="1363">
          <cell r="B1363" t="str">
            <v>70559367</v>
          </cell>
          <cell r="C1363" t="str">
            <v>天润 优斯麦尔风味酸牛奶原味 180G</v>
          </cell>
          <cell r="D1363">
            <v>405</v>
          </cell>
          <cell r="E1363">
            <v>901.91</v>
          </cell>
          <cell r="F1363">
            <v>2.51644024691358</v>
          </cell>
        </row>
        <row r="1364">
          <cell r="B1364" t="str">
            <v>70559368</v>
          </cell>
          <cell r="C1364" t="str">
            <v>天润 优斯麦尔纯牛奶M版无菌枕 200G</v>
          </cell>
          <cell r="D1364">
            <v>3411</v>
          </cell>
          <cell r="E1364">
            <v>5269.5</v>
          </cell>
          <cell r="F1364">
            <v>1.74568601583113</v>
          </cell>
        </row>
        <row r="1365">
          <cell r="B1365" t="str">
            <v>70559369</v>
          </cell>
          <cell r="C1365" t="str">
            <v>天润 优斯麦尔纯牛奶康美砖 250G</v>
          </cell>
          <cell r="D1365">
            <v>2113</v>
          </cell>
          <cell r="E1365">
            <v>6449.62</v>
          </cell>
          <cell r="F1365">
            <v>3.4491578797917599</v>
          </cell>
        </row>
        <row r="1366">
          <cell r="B1366" t="str">
            <v>70559370</v>
          </cell>
          <cell r="C1366" t="str">
            <v>天润 优斯麦尔纯牛奶梦幻盖 250ML</v>
          </cell>
          <cell r="D1366">
            <v>17408</v>
          </cell>
          <cell r="E1366">
            <v>86314.85</v>
          </cell>
          <cell r="F1366">
            <v>5.6029285673253701</v>
          </cell>
        </row>
        <row r="1367">
          <cell r="B1367" t="str">
            <v>70574052</v>
          </cell>
          <cell r="C1367" t="str">
            <v>盼盼 在益起乳酸菌熊猫版 100ML*12</v>
          </cell>
          <cell r="D1367">
            <v>20</v>
          </cell>
          <cell r="E1367">
            <v>163.97</v>
          </cell>
          <cell r="F1367">
            <v>9.2643050000000002</v>
          </cell>
        </row>
        <row r="1368">
          <cell r="B1368" t="str">
            <v>70647021</v>
          </cell>
          <cell r="C1368" t="str">
            <v>新农 畜牧连砖纯牛奶 200G</v>
          </cell>
          <cell r="D1368">
            <v>8</v>
          </cell>
          <cell r="E1368">
            <v>14.71</v>
          </cell>
          <cell r="F1368">
            <v>2.0777874999999999</v>
          </cell>
        </row>
        <row r="1369">
          <cell r="B1369" t="str">
            <v>70647023</v>
          </cell>
          <cell r="C1369" t="str">
            <v>光明 纯牛奶.篮版250ML</v>
          </cell>
          <cell r="D1369">
            <v>2</v>
          </cell>
          <cell r="E1369">
            <v>80.73</v>
          </cell>
          <cell r="F1369">
            <v>45.612450000000003</v>
          </cell>
        </row>
        <row r="1370">
          <cell r="B1370" t="str">
            <v>70647323</v>
          </cell>
          <cell r="C1370" t="str">
            <v>伊利 红枣发酵乳 180G</v>
          </cell>
          <cell r="D1370">
            <v>6</v>
          </cell>
          <cell r="E1370">
            <v>12.77</v>
          </cell>
          <cell r="F1370">
            <v>2.4050166666666701</v>
          </cell>
        </row>
        <row r="1371">
          <cell r="B1371" t="str">
            <v>70647433</v>
          </cell>
          <cell r="C1371" t="str">
            <v>新农 开提米纯牛奶 200G</v>
          </cell>
          <cell r="D1371">
            <v>249</v>
          </cell>
          <cell r="E1371">
            <v>502.66</v>
          </cell>
          <cell r="F1371">
            <v>2.2811477911646598</v>
          </cell>
        </row>
        <row r="1372">
          <cell r="B1372" t="str">
            <v>70647434</v>
          </cell>
          <cell r="C1372" t="str">
            <v>伊利 原味发酵乳 180G</v>
          </cell>
          <cell r="D1372">
            <v>17</v>
          </cell>
          <cell r="E1372">
            <v>36.19</v>
          </cell>
          <cell r="F1372">
            <v>2.4055705882352898</v>
          </cell>
        </row>
        <row r="1373">
          <cell r="B1373" t="str">
            <v>70647596</v>
          </cell>
          <cell r="C1373" t="str">
            <v>伊利 畅轻苹果西梅马蹄爆珠250G</v>
          </cell>
          <cell r="D1373">
            <v>2</v>
          </cell>
          <cell r="E1373">
            <v>14.16</v>
          </cell>
          <cell r="F1373">
            <v>8.0004000000000008</v>
          </cell>
        </row>
        <row r="1374">
          <cell r="B1374" t="str">
            <v>70656720</v>
          </cell>
          <cell r="C1374" t="str">
            <v>旺旺 旺仔牛奶（瓶） 245ML</v>
          </cell>
          <cell r="D1374">
            <v>24</v>
          </cell>
          <cell r="E1374">
            <v>88.35</v>
          </cell>
          <cell r="F1374">
            <v>4.1598125000000001</v>
          </cell>
        </row>
        <row r="1375">
          <cell r="B1375" t="str">
            <v>70659606</v>
          </cell>
          <cell r="C1375" t="str">
            <v>冰扎 骆驼酸奶饮品  330G</v>
          </cell>
          <cell r="D1375">
            <v>1769</v>
          </cell>
          <cell r="E1375">
            <v>11593.13</v>
          </cell>
          <cell r="F1375">
            <v>7.4054476540418301</v>
          </cell>
        </row>
        <row r="1376">
          <cell r="B1376" t="str">
            <v>70681952</v>
          </cell>
          <cell r="C1376" t="str">
            <v>花园 优酪乳益生菌 180G</v>
          </cell>
          <cell r="D1376">
            <v>5</v>
          </cell>
          <cell r="E1376">
            <v>8.85</v>
          </cell>
          <cell r="F1376">
            <v>2.0001000000000002</v>
          </cell>
        </row>
        <row r="1377">
          <cell r="B1377" t="str">
            <v>70681954</v>
          </cell>
          <cell r="C1377" t="str">
            <v>花园 手工酸奶 1KG</v>
          </cell>
          <cell r="D1377">
            <v>1</v>
          </cell>
          <cell r="E1377">
            <v>12.4</v>
          </cell>
          <cell r="F1377">
            <v>14.012</v>
          </cell>
        </row>
        <row r="1378">
          <cell r="B1378" t="str">
            <v>70683244</v>
          </cell>
          <cell r="C1378" t="str">
            <v>花园 花园酸奶 1.2KG</v>
          </cell>
          <cell r="D1378">
            <v>1</v>
          </cell>
          <cell r="E1378">
            <v>10.62</v>
          </cell>
          <cell r="F1378">
            <v>12.0006</v>
          </cell>
        </row>
        <row r="1379">
          <cell r="B1379" t="str">
            <v>70688298</v>
          </cell>
          <cell r="C1379" t="str">
            <v>曼琳娜 手工酸奶礼盒 320G*8</v>
          </cell>
          <cell r="D1379">
            <v>3</v>
          </cell>
          <cell r="E1379">
            <v>118.95</v>
          </cell>
          <cell r="F1379">
            <v>44.804499999999997</v>
          </cell>
        </row>
        <row r="1380">
          <cell r="B1380" t="str">
            <v>70688300</v>
          </cell>
          <cell r="C1380" t="str">
            <v>曼琳娜 手工酸奶 320G</v>
          </cell>
          <cell r="D1380">
            <v>11</v>
          </cell>
          <cell r="E1380">
            <v>54.56</v>
          </cell>
          <cell r="F1380">
            <v>5.6048</v>
          </cell>
        </row>
        <row r="1381">
          <cell r="B1381" t="str">
            <v>70688487</v>
          </cell>
          <cell r="C1381" t="str">
            <v>天润 沙漠有机浓缩纯牛奶（康美砖250G） 250G</v>
          </cell>
          <cell r="D1381">
            <v>22363</v>
          </cell>
          <cell r="E1381">
            <v>88657</v>
          </cell>
          <cell r="F1381">
            <v>4.4798287349640002</v>
          </cell>
        </row>
        <row r="1382">
          <cell r="B1382" t="str">
            <v>70712770</v>
          </cell>
          <cell r="C1382" t="str">
            <v>李子园 AD钙奶饮品 220G</v>
          </cell>
          <cell r="D1382">
            <v>906</v>
          </cell>
          <cell r="E1382">
            <v>1996.79</v>
          </cell>
          <cell r="F1382">
            <v>2.49047759381898</v>
          </cell>
        </row>
        <row r="1383">
          <cell r="B1383" t="str">
            <v>70712774</v>
          </cell>
          <cell r="C1383" t="str">
            <v>李子园 AD钙奶饮品 450G</v>
          </cell>
          <cell r="D1383">
            <v>275</v>
          </cell>
          <cell r="E1383">
            <v>1253.4100000000001</v>
          </cell>
          <cell r="F1383">
            <v>5.1503756363636404</v>
          </cell>
        </row>
        <row r="1384">
          <cell r="B1384" t="str">
            <v>70720733</v>
          </cell>
          <cell r="C1384" t="str">
            <v>金绿成 果蔬沙拉酸奶（小翠袋） 180G</v>
          </cell>
          <cell r="D1384">
            <v>48</v>
          </cell>
          <cell r="E1384">
            <v>125.31</v>
          </cell>
          <cell r="F1384">
            <v>2.9500062499999999</v>
          </cell>
        </row>
        <row r="1385">
          <cell r="B1385" t="str">
            <v>70001464</v>
          </cell>
          <cell r="C1385" t="str">
            <v>张裕 95解百纳干红葡萄酒特选级 张裕 750ML</v>
          </cell>
          <cell r="D1385">
            <v>22</v>
          </cell>
          <cell r="E1385">
            <v>2723.05</v>
          </cell>
          <cell r="F1385">
            <v>139.86574999999999</v>
          </cell>
        </row>
        <row r="1386">
          <cell r="B1386" t="str">
            <v>70003703</v>
          </cell>
          <cell r="C1386" t="str">
            <v>劳道酒 红坛 500ML</v>
          </cell>
          <cell r="D1386">
            <v>2852</v>
          </cell>
          <cell r="E1386">
            <v>91209.79</v>
          </cell>
          <cell r="F1386">
            <v>36.138521283309899</v>
          </cell>
        </row>
        <row r="1387">
          <cell r="B1387" t="str">
            <v>70003710</v>
          </cell>
          <cell r="C1387" t="str">
            <v>劳道酒 窖坛 500ML</v>
          </cell>
          <cell r="D1387">
            <v>125</v>
          </cell>
          <cell r="E1387">
            <v>1395.62</v>
          </cell>
          <cell r="F1387">
            <v>12.6164048</v>
          </cell>
        </row>
        <row r="1388">
          <cell r="B1388" t="str">
            <v>70003753</v>
          </cell>
          <cell r="C1388" t="str">
            <v>劳道酒 黑坛 500ML*4</v>
          </cell>
          <cell r="D1388">
            <v>47</v>
          </cell>
          <cell r="E1388">
            <v>8318.59</v>
          </cell>
          <cell r="F1388">
            <v>200.00014255319101</v>
          </cell>
        </row>
        <row r="1389">
          <cell r="B1389" t="str">
            <v>70003783</v>
          </cell>
          <cell r="C1389" t="str">
            <v>泸洲 老字号特曲52度 -</v>
          </cell>
          <cell r="D1389">
            <v>26</v>
          </cell>
          <cell r="E1389">
            <v>7193.59</v>
          </cell>
          <cell r="F1389">
            <v>312.644488461538</v>
          </cell>
        </row>
        <row r="1390">
          <cell r="B1390" t="str">
            <v>70003806</v>
          </cell>
          <cell r="C1390" t="str">
            <v>贵州茅台 飞天茅台53°酱香型白酒 500ML</v>
          </cell>
          <cell r="D1390">
            <v>3149</v>
          </cell>
          <cell r="E1390">
            <v>4037965.67</v>
          </cell>
          <cell r="F1390">
            <v>1449.00006576691</v>
          </cell>
        </row>
        <row r="1391">
          <cell r="B1391" t="str">
            <v>70004094</v>
          </cell>
          <cell r="C1391" t="str">
            <v>张裕 金奖白兰地三星 700ML</v>
          </cell>
          <cell r="D1391">
            <v>3</v>
          </cell>
          <cell r="E1391">
            <v>167.26</v>
          </cell>
          <cell r="F1391">
            <v>63.001266666666702</v>
          </cell>
        </row>
        <row r="1392">
          <cell r="B1392" t="str">
            <v>70004168</v>
          </cell>
          <cell r="C1392" t="str">
            <v>歌思美露 V168干红葡萄 750ml</v>
          </cell>
          <cell r="D1392">
            <v>0</v>
          </cell>
          <cell r="E1392">
            <v>0</v>
          </cell>
          <cell r="F1392" t="e">
            <v>#DIV/0!</v>
          </cell>
        </row>
        <row r="1393">
          <cell r="B1393" t="str">
            <v>70019088</v>
          </cell>
          <cell r="C1393" t="str">
            <v>泸州老窖 52度国窖1573  500ML</v>
          </cell>
          <cell r="D1393">
            <v>946</v>
          </cell>
          <cell r="E1393">
            <v>746450.88</v>
          </cell>
          <cell r="F1393">
            <v>891.63794334038096</v>
          </cell>
        </row>
        <row r="1394">
          <cell r="B1394" t="str">
            <v>70019495</v>
          </cell>
          <cell r="C1394" t="str">
            <v>疆域王 红域 500ML</v>
          </cell>
          <cell r="D1394">
            <v>311</v>
          </cell>
          <cell r="E1394">
            <v>22017.78</v>
          </cell>
          <cell r="F1394">
            <v>80.000293890675195</v>
          </cell>
        </row>
        <row r="1395">
          <cell r="B1395" t="str">
            <v>70019936</v>
          </cell>
          <cell r="C1395" t="str">
            <v>疆域王 天域 500ML</v>
          </cell>
          <cell r="D1395">
            <v>102</v>
          </cell>
          <cell r="E1395">
            <v>32315.02</v>
          </cell>
          <cell r="F1395">
            <v>357.99973137254898</v>
          </cell>
        </row>
        <row r="1396">
          <cell r="B1396" t="str">
            <v>70019937</v>
          </cell>
          <cell r="C1396" t="str">
            <v>疆域王 金域 500ML</v>
          </cell>
          <cell r="D1396">
            <v>126</v>
          </cell>
          <cell r="E1396">
            <v>18732.86</v>
          </cell>
          <cell r="F1396">
            <v>168.001046031746</v>
          </cell>
        </row>
        <row r="1397">
          <cell r="B1397" t="str">
            <v>70021715</v>
          </cell>
          <cell r="C1397" t="str">
            <v>张裕 红印象大酒窖 干红 750ML</v>
          </cell>
          <cell r="D1397">
            <v>56</v>
          </cell>
          <cell r="E1397">
            <v>1168.49</v>
          </cell>
          <cell r="F1397">
            <v>23.578458928571401</v>
          </cell>
        </row>
        <row r="1398">
          <cell r="B1398" t="str">
            <v>70026686</v>
          </cell>
          <cell r="C1398" t="str">
            <v>伊力老窖 46度伊力老窖 250ML</v>
          </cell>
          <cell r="D1398">
            <v>64</v>
          </cell>
          <cell r="E1398">
            <v>3180.1</v>
          </cell>
          <cell r="F1398">
            <v>56.148640624999999</v>
          </cell>
        </row>
        <row r="1399">
          <cell r="B1399" t="str">
            <v>70026687</v>
          </cell>
          <cell r="C1399" t="str">
            <v>伊力老窖 52度伊力老窖 500ML</v>
          </cell>
          <cell r="D1399">
            <v>962</v>
          </cell>
          <cell r="E1399">
            <v>89803.1</v>
          </cell>
          <cell r="F1399">
            <v>105.48596985447</v>
          </cell>
        </row>
        <row r="1400">
          <cell r="B1400" t="str">
            <v>70027052</v>
          </cell>
          <cell r="C1400" t="str">
            <v>红花郎 10年红花郎53度 500ml</v>
          </cell>
          <cell r="D1400">
            <v>161</v>
          </cell>
          <cell r="E1400">
            <v>55856.05</v>
          </cell>
          <cell r="F1400">
            <v>392.03314596273299</v>
          </cell>
        </row>
        <row r="1401">
          <cell r="B1401" t="str">
            <v>70039325</v>
          </cell>
          <cell r="C1401" t="str">
            <v>张裕 1995解百纳干型葡萄酒12度 750ML</v>
          </cell>
          <cell r="D1401">
            <v>61</v>
          </cell>
          <cell r="E1401">
            <v>5020.55</v>
          </cell>
          <cell r="F1401">
            <v>93.003631147541</v>
          </cell>
        </row>
        <row r="1402">
          <cell r="B1402" t="str">
            <v>70041155</v>
          </cell>
          <cell r="C1402" t="str">
            <v>劲酒 中国劲酒35度 258ML</v>
          </cell>
          <cell r="D1402">
            <v>7</v>
          </cell>
          <cell r="E1402">
            <v>169.12</v>
          </cell>
          <cell r="F1402">
            <v>27.300799999999999</v>
          </cell>
        </row>
        <row r="1403">
          <cell r="B1403" t="str">
            <v>70042458</v>
          </cell>
          <cell r="C1403" t="str">
            <v>郎酒 十五年红花郎53度 500ML</v>
          </cell>
          <cell r="D1403">
            <v>46</v>
          </cell>
          <cell r="E1403">
            <v>24225.040000000001</v>
          </cell>
          <cell r="F1403">
            <v>595.09337391304302</v>
          </cell>
        </row>
        <row r="1404">
          <cell r="B1404" t="str">
            <v>70042885</v>
          </cell>
          <cell r="C1404" t="str">
            <v>茅台 15年陈年茅台酒53° 500ML</v>
          </cell>
          <cell r="D1404">
            <v>12</v>
          </cell>
          <cell r="E1404">
            <v>49901</v>
          </cell>
          <cell r="F1404">
            <v>4699.0108333333301</v>
          </cell>
        </row>
        <row r="1405">
          <cell r="B1405" t="str">
            <v>70046905</v>
          </cell>
          <cell r="C1405" t="str">
            <v>郎酒 53度二十年青花郎酒 500ML</v>
          </cell>
          <cell r="D1405">
            <v>42</v>
          </cell>
          <cell r="E1405">
            <v>35620.47</v>
          </cell>
          <cell r="F1405">
            <v>958.36026428571404</v>
          </cell>
        </row>
        <row r="1406">
          <cell r="B1406" t="str">
            <v>70066887</v>
          </cell>
          <cell r="C1406" t="str">
            <v>五粮液 52度 500ML</v>
          </cell>
          <cell r="D1406">
            <v>562</v>
          </cell>
          <cell r="E1406">
            <v>454427.97</v>
          </cell>
          <cell r="F1406">
            <v>913.707484163701</v>
          </cell>
        </row>
        <row r="1407">
          <cell r="B1407" t="str">
            <v>70072384</v>
          </cell>
          <cell r="C1407" t="str">
            <v>沪州老窖头曲42度 250ML</v>
          </cell>
          <cell r="D1407">
            <v>1262</v>
          </cell>
          <cell r="E1407">
            <v>39693.54</v>
          </cell>
          <cell r="F1407">
            <v>35.541759270998398</v>
          </cell>
        </row>
        <row r="1408">
          <cell r="B1408" t="str">
            <v>70078480</v>
          </cell>
          <cell r="C1408" t="str">
            <v>泸州老窖 六年陈头曲 500ML</v>
          </cell>
          <cell r="D1408">
            <v>26</v>
          </cell>
          <cell r="E1408">
            <v>1725.68</v>
          </cell>
          <cell r="F1408">
            <v>75.000707692307699</v>
          </cell>
        </row>
        <row r="1409">
          <cell r="B1409" t="str">
            <v>70078786</v>
          </cell>
          <cell r="C1409" t="str">
            <v>泸州老窖 喜装酒 500ML</v>
          </cell>
          <cell r="D1409">
            <v>54</v>
          </cell>
          <cell r="E1409">
            <v>3392.94</v>
          </cell>
          <cell r="F1409">
            <v>71.000411111111106</v>
          </cell>
        </row>
        <row r="1410">
          <cell r="B1410" t="str">
            <v>70093493</v>
          </cell>
          <cell r="C1410" t="str">
            <v>国窖 1573 52度 250ML</v>
          </cell>
          <cell r="D1410">
            <v>162</v>
          </cell>
          <cell r="E1410">
            <v>67845.19</v>
          </cell>
          <cell r="F1410">
            <v>473.241140123457</v>
          </cell>
        </row>
        <row r="1411">
          <cell r="B1411" t="str">
            <v>70094165</v>
          </cell>
          <cell r="C1411" t="str">
            <v>牛沫王 雪山小麦 1000ml</v>
          </cell>
          <cell r="D1411">
            <v>425</v>
          </cell>
          <cell r="E1411">
            <v>4513.46</v>
          </cell>
          <cell r="F1411">
            <v>12.0004936470588</v>
          </cell>
        </row>
        <row r="1412">
          <cell r="B1412" t="str">
            <v>70094167</v>
          </cell>
          <cell r="C1412" t="str">
            <v>牛沫王 湿岛小麦 1000ml</v>
          </cell>
          <cell r="D1412">
            <v>447</v>
          </cell>
          <cell r="E1412">
            <v>6329.48</v>
          </cell>
          <cell r="F1412">
            <v>16.000698881431799</v>
          </cell>
        </row>
        <row r="1413">
          <cell r="B1413" t="str">
            <v>70094168</v>
          </cell>
          <cell r="C1413" t="str">
            <v>牛沫王 戈壁IPA 1000ml</v>
          </cell>
          <cell r="D1413">
            <v>246</v>
          </cell>
          <cell r="E1413">
            <v>4354.1400000000003</v>
          </cell>
          <cell r="F1413">
            <v>20.000724390243899</v>
          </cell>
        </row>
        <row r="1414">
          <cell r="B1414" t="str">
            <v>70094169</v>
          </cell>
          <cell r="C1414" t="str">
            <v>牛沫王 雅丹世涛 1000ml</v>
          </cell>
          <cell r="D1414">
            <v>431</v>
          </cell>
          <cell r="E1414">
            <v>7628.59</v>
          </cell>
          <cell r="F1414">
            <v>20.000711600928099</v>
          </cell>
        </row>
        <row r="1415">
          <cell r="B1415" t="str">
            <v>70094171</v>
          </cell>
          <cell r="C1415" t="str">
            <v>百岁清花 荣耀1酒 475ml*4</v>
          </cell>
          <cell r="D1415">
            <v>0</v>
          </cell>
          <cell r="E1415">
            <v>0</v>
          </cell>
          <cell r="F1415" t="e">
            <v>#DIV/0!</v>
          </cell>
        </row>
        <row r="1416">
          <cell r="B1416" t="str">
            <v>70108033</v>
          </cell>
          <cell r="C1416" t="str">
            <v>贵州茅台 飞天53度 500ML</v>
          </cell>
          <cell r="D1416">
            <v>60</v>
          </cell>
          <cell r="E1416">
            <v>79911.5</v>
          </cell>
          <cell r="F1416">
            <v>1504.9999166666701</v>
          </cell>
        </row>
        <row r="1417">
          <cell r="B1417" t="str">
            <v>70117135</v>
          </cell>
          <cell r="C1417" t="str">
            <v>伊力 特曲十年50度 250ML</v>
          </cell>
          <cell r="D1417">
            <v>841</v>
          </cell>
          <cell r="E1417">
            <v>18661.46</v>
          </cell>
          <cell r="F1417">
            <v>25.074256599286599</v>
          </cell>
        </row>
        <row r="1418">
          <cell r="B1418" t="str">
            <v>70117142</v>
          </cell>
          <cell r="C1418" t="str">
            <v>伊力 特曲十年52度 500ML</v>
          </cell>
          <cell r="D1418">
            <v>608</v>
          </cell>
          <cell r="E1418">
            <v>24130.23</v>
          </cell>
          <cell r="F1418">
            <v>44.847302467105301</v>
          </cell>
        </row>
        <row r="1419">
          <cell r="B1419" t="str">
            <v>70117298</v>
          </cell>
          <cell r="C1419" t="str">
            <v>尼雅 天山天池B区赤霞珠干红葡萄酒12度 750ML</v>
          </cell>
          <cell r="D1419">
            <v>25</v>
          </cell>
          <cell r="E1419">
            <v>1565.36</v>
          </cell>
          <cell r="F1419">
            <v>70.754272</v>
          </cell>
        </row>
        <row r="1420">
          <cell r="B1420" t="str">
            <v>70117300</v>
          </cell>
          <cell r="C1420" t="str">
            <v>尼雅 昌吉葡园干红葡萄酒 750ML</v>
          </cell>
          <cell r="D1420">
            <v>45</v>
          </cell>
          <cell r="E1420">
            <v>1224.27</v>
          </cell>
          <cell r="F1420">
            <v>30.74278</v>
          </cell>
        </row>
        <row r="1421">
          <cell r="B1421" t="str">
            <v>70119495</v>
          </cell>
          <cell r="C1421" t="str">
            <v>疆域王 蓝域 500ML</v>
          </cell>
          <cell r="D1421">
            <v>813</v>
          </cell>
          <cell r="E1421">
            <v>43168.68</v>
          </cell>
          <cell r="F1421">
            <v>60.000748339483401</v>
          </cell>
        </row>
        <row r="1422">
          <cell r="B1422" t="str">
            <v>70119496</v>
          </cell>
          <cell r="C1422" t="str">
            <v>疆域王 三年 500ML</v>
          </cell>
          <cell r="D1422">
            <v>84</v>
          </cell>
          <cell r="E1422">
            <v>3716.82</v>
          </cell>
          <cell r="F1422">
            <v>50.000078571428602</v>
          </cell>
        </row>
        <row r="1423">
          <cell r="B1423" t="str">
            <v>70120652</v>
          </cell>
          <cell r="C1423" t="str">
            <v>老伊力 新疆故事50度 500ml</v>
          </cell>
          <cell r="D1423">
            <v>1127</v>
          </cell>
          <cell r="E1423">
            <v>33739.800000000003</v>
          </cell>
          <cell r="F1423">
            <v>33.829613132209403</v>
          </cell>
        </row>
        <row r="1424">
          <cell r="B1424" t="str">
            <v>70120653</v>
          </cell>
          <cell r="C1424" t="str">
            <v>老伊力 十五年精装46度 250ML</v>
          </cell>
          <cell r="D1424">
            <v>826</v>
          </cell>
          <cell r="E1424">
            <v>37979.360000000001</v>
          </cell>
          <cell r="F1424">
            <v>51.957235835351099</v>
          </cell>
        </row>
        <row r="1425">
          <cell r="B1425" t="str">
            <v>70120654</v>
          </cell>
          <cell r="C1425" t="str">
            <v>老伊力 50度亲情装 250ML</v>
          </cell>
          <cell r="D1425">
            <v>25537</v>
          </cell>
          <cell r="E1425">
            <v>576624.74</v>
          </cell>
          <cell r="F1425">
            <v>25.515368140345402</v>
          </cell>
        </row>
        <row r="1426">
          <cell r="B1426" t="str">
            <v>70120683</v>
          </cell>
          <cell r="C1426" t="str">
            <v>乌苏 纯生啤酒 520ML</v>
          </cell>
          <cell r="D1426">
            <v>382</v>
          </cell>
          <cell r="E1426">
            <v>2401.35</v>
          </cell>
          <cell r="F1426">
            <v>7.1034698952879598</v>
          </cell>
        </row>
        <row r="1427">
          <cell r="B1427" t="str">
            <v>70120947</v>
          </cell>
          <cell r="C1427" t="str">
            <v>乌苏啤酒 绿罐啤酒9度 330ML</v>
          </cell>
          <cell r="D1427">
            <v>693</v>
          </cell>
          <cell r="E1427">
            <v>1656.27</v>
          </cell>
          <cell r="F1427">
            <v>2.7006999999999999</v>
          </cell>
        </row>
        <row r="1428">
          <cell r="B1428" t="str">
            <v>70123986</v>
          </cell>
          <cell r="C1428" t="str">
            <v>疆域王 小王 268ML</v>
          </cell>
          <cell r="D1428">
            <v>188</v>
          </cell>
          <cell r="E1428">
            <v>6654.88</v>
          </cell>
          <cell r="F1428">
            <v>40.000076595744702</v>
          </cell>
        </row>
        <row r="1429">
          <cell r="B1429" t="str">
            <v>70125186</v>
          </cell>
          <cell r="C1429" t="str">
            <v>佳丽 奶啤 300G</v>
          </cell>
          <cell r="D1429">
            <v>93743</v>
          </cell>
          <cell r="E1429">
            <v>313569.40000000002</v>
          </cell>
          <cell r="F1429">
            <v>3.7798387292917899</v>
          </cell>
        </row>
        <row r="1430">
          <cell r="B1430" t="str">
            <v>70125789</v>
          </cell>
          <cell r="C1430" t="str">
            <v>伊力 中度伊力特区 500ML</v>
          </cell>
          <cell r="D1430">
            <v>15947</v>
          </cell>
          <cell r="E1430">
            <v>529217.43000000005</v>
          </cell>
          <cell r="F1430">
            <v>37.500200407600197</v>
          </cell>
        </row>
        <row r="1431">
          <cell r="B1431" t="str">
            <v>70125802</v>
          </cell>
          <cell r="C1431" t="str">
            <v>伊力 50度伊力美酒（红） 500ML</v>
          </cell>
          <cell r="D1431">
            <v>49</v>
          </cell>
          <cell r="E1431">
            <v>1111.08</v>
          </cell>
          <cell r="F1431">
            <v>25.622865306122399</v>
          </cell>
        </row>
        <row r="1432">
          <cell r="B1432" t="str">
            <v>70125866</v>
          </cell>
          <cell r="C1432" t="str">
            <v>中信国安 尼雅特酿级赤霞珠干红·B区 750ML</v>
          </cell>
          <cell r="D1432">
            <v>12</v>
          </cell>
          <cell r="E1432">
            <v>1418.74</v>
          </cell>
          <cell r="F1432">
            <v>133.59801666666701</v>
          </cell>
        </row>
        <row r="1433">
          <cell r="B1433" t="str">
            <v>70128608</v>
          </cell>
          <cell r="C1433" t="str">
            <v>伊力特 百年浓香 500ML</v>
          </cell>
          <cell r="D1433">
            <v>479</v>
          </cell>
          <cell r="E1433">
            <v>41734.53</v>
          </cell>
          <cell r="F1433">
            <v>98.455154279749493</v>
          </cell>
        </row>
        <row r="1434">
          <cell r="B1434" t="str">
            <v>70128912</v>
          </cell>
          <cell r="C1434" t="str">
            <v>尼雅 高级干红葡萄酒 750ML</v>
          </cell>
          <cell r="D1434">
            <v>126</v>
          </cell>
          <cell r="E1434">
            <v>4936.53</v>
          </cell>
          <cell r="F1434">
            <v>44.272054761904798</v>
          </cell>
        </row>
        <row r="1435">
          <cell r="B1435" t="str">
            <v>70130812</v>
          </cell>
          <cell r="C1435" t="str">
            <v>伊力牌 伊力王酒蓝瓶52％ 500ML</v>
          </cell>
          <cell r="D1435">
            <v>1274</v>
          </cell>
          <cell r="E1435">
            <v>430391.05</v>
          </cell>
          <cell r="F1435">
            <v>381.74402394034502</v>
          </cell>
        </row>
        <row r="1436">
          <cell r="B1436" t="str">
            <v>70133365</v>
          </cell>
          <cell r="C1436" t="str">
            <v>疆域王 光瓶 500ML</v>
          </cell>
          <cell r="D1436">
            <v>1444</v>
          </cell>
          <cell r="E1436">
            <v>35782.050000000003</v>
          </cell>
          <cell r="F1436">
            <v>28.0011887119114</v>
          </cell>
        </row>
        <row r="1437">
          <cell r="B1437" t="str">
            <v>70134484</v>
          </cell>
          <cell r="C1437" t="str">
            <v>格兰 苏格兰威士忌（三桶陈酿） 700ml</v>
          </cell>
          <cell r="D1437">
            <v>1311</v>
          </cell>
          <cell r="E1437">
            <v>72517.86</v>
          </cell>
          <cell r="F1437">
            <v>62.505859496567503</v>
          </cell>
        </row>
        <row r="1438">
          <cell r="B1438" t="str">
            <v>70140523</v>
          </cell>
          <cell r="C1438" t="str">
            <v>凯勒山雷司令 干白葡萄酒 750ML</v>
          </cell>
          <cell r="D1438">
            <v>27</v>
          </cell>
          <cell r="E1438">
            <v>1624.84</v>
          </cell>
          <cell r="F1438">
            <v>68.002562962962998</v>
          </cell>
        </row>
        <row r="1439">
          <cell r="B1439" t="str">
            <v>70145467</v>
          </cell>
          <cell r="C1439" t="str">
            <v>伊力 伊力金窖液纯粮50度 500ML</v>
          </cell>
          <cell r="D1439">
            <v>239</v>
          </cell>
          <cell r="E1439">
            <v>12479.19</v>
          </cell>
          <cell r="F1439">
            <v>59.002028033472797</v>
          </cell>
        </row>
        <row r="1440">
          <cell r="B1440" t="str">
            <v>70145468</v>
          </cell>
          <cell r="C1440" t="str">
            <v>伊力珍酒 十年经典 50度 250ML</v>
          </cell>
          <cell r="D1440">
            <v>80</v>
          </cell>
          <cell r="E1440">
            <v>3273.54</v>
          </cell>
          <cell r="F1440">
            <v>46.238752499999997</v>
          </cell>
        </row>
        <row r="1441">
          <cell r="B1441" t="str">
            <v>70153995</v>
          </cell>
          <cell r="C1441" t="str">
            <v>青岛啤酒 经典10度 500ML</v>
          </cell>
          <cell r="D1441">
            <v>3820</v>
          </cell>
          <cell r="E1441">
            <v>16336.16</v>
          </cell>
          <cell r="F1441">
            <v>4.8324242931937196</v>
          </cell>
        </row>
        <row r="1442">
          <cell r="B1442" t="str">
            <v>70170472</v>
          </cell>
          <cell r="C1442" t="str">
            <v>乡都 干红12.5度 750G</v>
          </cell>
          <cell r="D1442">
            <v>25</v>
          </cell>
          <cell r="E1442">
            <v>1453</v>
          </cell>
          <cell r="F1442">
            <v>65.675600000000003</v>
          </cell>
        </row>
        <row r="1443">
          <cell r="B1443" t="str">
            <v>70175410</v>
          </cell>
          <cell r="C1443" t="str">
            <v>泸州老窖 青瓷头曲52° 500ML</v>
          </cell>
          <cell r="D1443">
            <v>134</v>
          </cell>
          <cell r="E1443">
            <v>15896.54</v>
          </cell>
          <cell r="F1443">
            <v>134.052911940299</v>
          </cell>
        </row>
        <row r="1444">
          <cell r="B1444" t="str">
            <v>70175411</v>
          </cell>
          <cell r="C1444" t="str">
            <v>泸州老窖 红瓷头曲52度 500ML</v>
          </cell>
          <cell r="D1444">
            <v>266</v>
          </cell>
          <cell r="E1444">
            <v>21526.27</v>
          </cell>
          <cell r="F1444">
            <v>91.446184586466202</v>
          </cell>
        </row>
        <row r="1445">
          <cell r="B1445" t="str">
            <v>70179876</v>
          </cell>
          <cell r="C1445" t="str">
            <v>张裕 红印象葡萄园 干红 750ML</v>
          </cell>
          <cell r="D1445">
            <v>70</v>
          </cell>
          <cell r="E1445">
            <v>3902.82</v>
          </cell>
          <cell r="F1445">
            <v>63.002665714285698</v>
          </cell>
        </row>
        <row r="1446">
          <cell r="B1446" t="str">
            <v>70184645</v>
          </cell>
          <cell r="C1446" t="str">
            <v>汾酒 53°青花瓷20年汾酒 500ML</v>
          </cell>
          <cell r="D1446">
            <v>27</v>
          </cell>
          <cell r="E1446">
            <v>9927.17</v>
          </cell>
          <cell r="F1446">
            <v>415.47044814814802</v>
          </cell>
        </row>
        <row r="1447">
          <cell r="B1447" t="str">
            <v>70186321</v>
          </cell>
          <cell r="C1447" t="str">
            <v>雪花  勇闯天涯8度罐装 330ml</v>
          </cell>
          <cell r="D1447">
            <v>51102</v>
          </cell>
          <cell r="E1447">
            <v>118378.44</v>
          </cell>
          <cell r="F1447">
            <v>2.6176595280028199</v>
          </cell>
        </row>
        <row r="1448">
          <cell r="B1448" t="str">
            <v>70187161</v>
          </cell>
          <cell r="C1448" t="str">
            <v>张裕 红印象老门头 干红 750ML</v>
          </cell>
          <cell r="D1448">
            <v>37</v>
          </cell>
          <cell r="E1448">
            <v>2323.09</v>
          </cell>
          <cell r="F1448">
            <v>70.948424324324293</v>
          </cell>
        </row>
        <row r="1449">
          <cell r="B1449" t="str">
            <v>70187560</v>
          </cell>
          <cell r="C1449" t="str">
            <v>楼兰 古堡(尊享版) 750ML</v>
          </cell>
          <cell r="D1449">
            <v>2</v>
          </cell>
          <cell r="E1449">
            <v>407.08</v>
          </cell>
          <cell r="F1449">
            <v>230.00020000000001</v>
          </cell>
        </row>
        <row r="1450">
          <cell r="B1450" t="str">
            <v>70190642</v>
          </cell>
          <cell r="C1450" t="str">
            <v>伊力 伊力王50度 500ML</v>
          </cell>
          <cell r="D1450">
            <v>235</v>
          </cell>
          <cell r="E1450">
            <v>87648.71</v>
          </cell>
          <cell r="F1450">
            <v>421.45975446808501</v>
          </cell>
        </row>
        <row r="1451">
          <cell r="B1451" t="str">
            <v>70190643</v>
          </cell>
          <cell r="C1451" t="str">
            <v>伊力 柔雅红花瓷50度 500ML</v>
          </cell>
          <cell r="D1451">
            <v>8</v>
          </cell>
          <cell r="E1451">
            <v>1059.82</v>
          </cell>
          <cell r="F1451">
            <v>149.69957500000001</v>
          </cell>
        </row>
        <row r="1452">
          <cell r="B1452" t="str">
            <v>70190646</v>
          </cell>
          <cell r="C1452" t="str">
            <v>伊力 柔雅蓝花瓷十年50度 500ML</v>
          </cell>
          <cell r="D1452">
            <v>7</v>
          </cell>
          <cell r="E1452">
            <v>359.31</v>
          </cell>
          <cell r="F1452">
            <v>58.002899999999997</v>
          </cell>
        </row>
        <row r="1453">
          <cell r="B1453" t="str">
            <v>70191419</v>
          </cell>
          <cell r="C1453" t="str">
            <v>伊力 柔雅雅韵46度 250ML</v>
          </cell>
          <cell r="D1453">
            <v>11</v>
          </cell>
          <cell r="E1453">
            <v>184.65</v>
          </cell>
          <cell r="F1453">
            <v>18.968590909090899</v>
          </cell>
        </row>
        <row r="1454">
          <cell r="B1454" t="str">
            <v>70199632</v>
          </cell>
          <cell r="C1454" t="str">
            <v>喜力 听装 500ml</v>
          </cell>
          <cell r="D1454">
            <v>25609</v>
          </cell>
          <cell r="E1454">
            <v>113881.85</v>
          </cell>
          <cell r="F1454">
            <v>5.0250494162208597</v>
          </cell>
        </row>
        <row r="1455">
          <cell r="B1455" t="str">
            <v>70202103</v>
          </cell>
          <cell r="C1455" t="str">
            <v>西域 沙地2006干红葡萄酒 750ML</v>
          </cell>
          <cell r="D1455">
            <v>2</v>
          </cell>
          <cell r="E1455">
            <v>391.3</v>
          </cell>
          <cell r="F1455">
            <v>221.08449999999999</v>
          </cell>
        </row>
        <row r="1456">
          <cell r="B1456" t="str">
            <v>70202107</v>
          </cell>
          <cell r="C1456" t="str">
            <v>尼雅 窖藏3年 750ML</v>
          </cell>
          <cell r="D1456">
            <v>41</v>
          </cell>
          <cell r="E1456">
            <v>2371.48</v>
          </cell>
          <cell r="F1456">
            <v>65.360302439024395</v>
          </cell>
        </row>
        <row r="1457">
          <cell r="B1457" t="str">
            <v>70205136</v>
          </cell>
          <cell r="C1457" t="str">
            <v>伊力 伊力金窖液疆来情50度 500ML</v>
          </cell>
          <cell r="D1457">
            <v>168</v>
          </cell>
          <cell r="E1457">
            <v>5946.9</v>
          </cell>
          <cell r="F1457">
            <v>39.9999821428571</v>
          </cell>
        </row>
        <row r="1458">
          <cell r="B1458" t="str">
            <v>70205141</v>
          </cell>
          <cell r="C1458" t="str">
            <v>伊力特 50度伊力美酒 500ML</v>
          </cell>
          <cell r="D1458">
            <v>187</v>
          </cell>
          <cell r="E1458">
            <v>5089.6400000000003</v>
          </cell>
          <cell r="F1458">
            <v>30.755578609625701</v>
          </cell>
        </row>
        <row r="1459">
          <cell r="B1459" t="str">
            <v>70226043</v>
          </cell>
          <cell r="C1459" t="str">
            <v>乡都 金贝纳12.5度 750ML</v>
          </cell>
          <cell r="D1459">
            <v>57</v>
          </cell>
          <cell r="E1459">
            <v>4774.45</v>
          </cell>
          <cell r="F1459">
            <v>94.651377192982395</v>
          </cell>
        </row>
        <row r="1460">
          <cell r="B1460" t="str">
            <v>70233006</v>
          </cell>
          <cell r="C1460" t="str">
            <v>伊力 50度 金奖伊力特曲 500ML</v>
          </cell>
          <cell r="D1460">
            <v>46</v>
          </cell>
          <cell r="E1460">
            <v>5425.56</v>
          </cell>
          <cell r="F1460">
            <v>133.28006086956501</v>
          </cell>
        </row>
        <row r="1461">
          <cell r="B1461" t="str">
            <v>70237063</v>
          </cell>
          <cell r="C1461" t="str">
            <v>伊力特 珍酒 珍藏 50度 500ML</v>
          </cell>
          <cell r="D1461">
            <v>98</v>
          </cell>
          <cell r="E1461">
            <v>14147.52</v>
          </cell>
          <cell r="F1461">
            <v>163.12956734693901</v>
          </cell>
        </row>
        <row r="1462">
          <cell r="B1462" t="str">
            <v>70237064</v>
          </cell>
          <cell r="C1462" t="str">
            <v>伊力特 珍酒 珍藏2号 50度 500ML</v>
          </cell>
          <cell r="D1462">
            <v>62</v>
          </cell>
          <cell r="E1462">
            <v>7352.29</v>
          </cell>
          <cell r="F1462">
            <v>134.00141451612899</v>
          </cell>
        </row>
        <row r="1463">
          <cell r="B1463" t="str">
            <v>70237065</v>
          </cell>
          <cell r="C1463" t="str">
            <v>伊力特 珍酒 鉴藏2号 50度 500ML</v>
          </cell>
          <cell r="D1463">
            <v>33</v>
          </cell>
          <cell r="E1463">
            <v>2679.45</v>
          </cell>
          <cell r="F1463">
            <v>91.750863636363604</v>
          </cell>
        </row>
        <row r="1464">
          <cell r="B1464" t="str">
            <v>70242180</v>
          </cell>
          <cell r="C1464" t="str">
            <v>乐堡 啤酒听装 500ML</v>
          </cell>
          <cell r="D1464">
            <v>3504</v>
          </cell>
          <cell r="E1464">
            <v>14069.18</v>
          </cell>
          <cell r="F1464">
            <v>4.5371499429223698</v>
          </cell>
        </row>
        <row r="1465">
          <cell r="B1465" t="str">
            <v>70245735</v>
          </cell>
          <cell r="C1465" t="str">
            <v>汾酒 53度玻汾 475ML</v>
          </cell>
          <cell r="D1465">
            <v>407</v>
          </cell>
          <cell r="E1465">
            <v>13931.7</v>
          </cell>
          <cell r="F1465">
            <v>38.680149877149901</v>
          </cell>
        </row>
        <row r="1466">
          <cell r="B1466" t="str">
            <v>70246068</v>
          </cell>
          <cell r="C1466" t="str">
            <v>伊力 50°伊力古酒(红韵) 500ML</v>
          </cell>
          <cell r="D1466">
            <v>17</v>
          </cell>
          <cell r="E1466">
            <v>988.04</v>
          </cell>
          <cell r="F1466">
            <v>65.675600000000003</v>
          </cell>
        </row>
        <row r="1467">
          <cell r="B1467" t="str">
            <v>70250787</v>
          </cell>
          <cell r="C1467" t="str">
            <v>青岛啤酒 11°青岛啤酒全麦白啤听 500ML</v>
          </cell>
          <cell r="D1467">
            <v>2327</v>
          </cell>
          <cell r="E1467">
            <v>12532.51</v>
          </cell>
          <cell r="F1467">
            <v>6.0858342501074301</v>
          </cell>
        </row>
        <row r="1468">
          <cell r="B1468" t="str">
            <v>70255719</v>
          </cell>
          <cell r="C1468" t="str">
            <v>丝路酒庄 五星干红葡萄酒 750ML</v>
          </cell>
          <cell r="D1468">
            <v>13</v>
          </cell>
          <cell r="E1468">
            <v>939.89</v>
          </cell>
          <cell r="F1468">
            <v>81.698130769230801</v>
          </cell>
        </row>
        <row r="1469">
          <cell r="B1469" t="str">
            <v>70263866</v>
          </cell>
          <cell r="C1469" t="str">
            <v>伊利 柔雅十五年封坛窖46度 250ML</v>
          </cell>
          <cell r="D1469">
            <v>3</v>
          </cell>
          <cell r="E1469">
            <v>172.59</v>
          </cell>
          <cell r="F1469">
            <v>65.008899999999997</v>
          </cell>
        </row>
        <row r="1470">
          <cell r="B1470" t="str">
            <v>70266339</v>
          </cell>
          <cell r="C1470" t="str">
            <v>和布克河 粮食酒 260ML</v>
          </cell>
          <cell r="D1470">
            <v>45</v>
          </cell>
          <cell r="E1470">
            <v>718.99</v>
          </cell>
          <cell r="F1470">
            <v>18.054637777777799</v>
          </cell>
        </row>
        <row r="1471">
          <cell r="B1471" t="str">
            <v>70270214</v>
          </cell>
          <cell r="C1471" t="str">
            <v>伊力 古酒46度 250ML</v>
          </cell>
          <cell r="D1471">
            <v>166</v>
          </cell>
          <cell r="E1471">
            <v>5490.61</v>
          </cell>
          <cell r="F1471">
            <v>37.375839156626498</v>
          </cell>
        </row>
        <row r="1472">
          <cell r="B1472" t="str">
            <v>70270713</v>
          </cell>
          <cell r="C1472" t="str">
            <v>楼兰 酒庄深根900干红 750ML</v>
          </cell>
          <cell r="D1472">
            <v>7</v>
          </cell>
          <cell r="E1472">
            <v>660.8</v>
          </cell>
          <cell r="F1472">
            <v>106.672</v>
          </cell>
        </row>
        <row r="1473">
          <cell r="B1473" t="str">
            <v>70270897</v>
          </cell>
          <cell r="C1473" t="str">
            <v>伊力 金质伊力特十年 250ML</v>
          </cell>
          <cell r="D1473">
            <v>3761</v>
          </cell>
          <cell r="E1473">
            <v>116695.28</v>
          </cell>
          <cell r="F1473">
            <v>35.061331135336303</v>
          </cell>
        </row>
        <row r="1474">
          <cell r="B1474" t="str">
            <v>70275251</v>
          </cell>
          <cell r="C1474" t="str">
            <v>丝路果酒 欢庆级葡萄烈酒 500ML/46°VOL</v>
          </cell>
          <cell r="D1474">
            <v>2</v>
          </cell>
          <cell r="E1474">
            <v>77.400000000000006</v>
          </cell>
          <cell r="F1474">
            <v>43.731000000000002</v>
          </cell>
        </row>
        <row r="1475">
          <cell r="B1475" t="str">
            <v>70275252</v>
          </cell>
          <cell r="C1475" t="str">
            <v>丝路果酒 鉴赏级葡萄烈酒 500ML/50°VOL</v>
          </cell>
          <cell r="D1475">
            <v>163</v>
          </cell>
          <cell r="E1475">
            <v>9263.0300000000007</v>
          </cell>
          <cell r="F1475">
            <v>64.216097546012307</v>
          </cell>
        </row>
        <row r="1476">
          <cell r="B1476" t="str">
            <v>70275253</v>
          </cell>
          <cell r="C1476" t="str">
            <v>丝路果酒 珍品级葡萄烈酒 500ML/52％ VOL</v>
          </cell>
          <cell r="D1476">
            <v>11</v>
          </cell>
          <cell r="E1476">
            <v>1153.23</v>
          </cell>
          <cell r="F1476">
            <v>118.468172727273</v>
          </cell>
        </row>
        <row r="1477">
          <cell r="B1477" t="str">
            <v>70277851</v>
          </cell>
          <cell r="C1477" t="str">
            <v>茅台 迎宾酒（中国红）53° 500ML</v>
          </cell>
          <cell r="D1477">
            <v>2</v>
          </cell>
          <cell r="E1477">
            <v>273.49</v>
          </cell>
          <cell r="F1477">
            <v>154.52185</v>
          </cell>
        </row>
        <row r="1478">
          <cell r="B1478" t="str">
            <v>70277938</v>
          </cell>
          <cell r="C1478" t="str">
            <v>江小白 重庆高粱酒 100ml</v>
          </cell>
          <cell r="D1478">
            <v>118</v>
          </cell>
          <cell r="E1478">
            <v>1209.8800000000001</v>
          </cell>
          <cell r="F1478">
            <v>11.5861389830508</v>
          </cell>
        </row>
        <row r="1479">
          <cell r="B1479" t="str">
            <v>70280770</v>
          </cell>
          <cell r="C1479" t="str">
            <v>山粮 十二生肖 46° 250ML</v>
          </cell>
          <cell r="D1479">
            <v>60</v>
          </cell>
          <cell r="E1479">
            <v>3132.86</v>
          </cell>
          <cell r="F1479">
            <v>59.002196666666698</v>
          </cell>
        </row>
        <row r="1480">
          <cell r="B1480" t="str">
            <v>70282270</v>
          </cell>
          <cell r="C1480" t="str">
            <v>江小白 青春版40度 300ML</v>
          </cell>
          <cell r="D1480">
            <v>102</v>
          </cell>
          <cell r="E1480">
            <v>2798.92</v>
          </cell>
          <cell r="F1480">
            <v>31.007643137254899</v>
          </cell>
        </row>
        <row r="1481">
          <cell r="B1481" t="str">
            <v>70282339</v>
          </cell>
          <cell r="C1481" t="str">
            <v>伊力 伊力老窖（献给最可爱的人）46度 250ML</v>
          </cell>
          <cell r="D1481">
            <v>57</v>
          </cell>
          <cell r="E1481">
            <v>2749.04</v>
          </cell>
          <cell r="F1481">
            <v>54.498512280701704</v>
          </cell>
        </row>
        <row r="1482">
          <cell r="B1482" t="str">
            <v>70284110</v>
          </cell>
          <cell r="C1482" t="str">
            <v>伊力 伊力老窖(一带一路)50度 500ML</v>
          </cell>
          <cell r="D1482">
            <v>1</v>
          </cell>
          <cell r="E1482">
            <v>76.95</v>
          </cell>
          <cell r="F1482">
            <v>86.953500000000005</v>
          </cell>
        </row>
        <row r="1483">
          <cell r="B1483" t="str">
            <v>70284274</v>
          </cell>
          <cell r="C1483" t="str">
            <v>和布克河 粮食酒46度 260ML</v>
          </cell>
          <cell r="D1483">
            <v>288</v>
          </cell>
          <cell r="E1483">
            <v>5459.57</v>
          </cell>
          <cell r="F1483">
            <v>21.4212295138889</v>
          </cell>
        </row>
        <row r="1484">
          <cell r="B1484" t="str">
            <v>70286844</v>
          </cell>
          <cell r="C1484" t="str">
            <v>五粮印象 (珍品) 500毫升</v>
          </cell>
          <cell r="D1484">
            <v>8</v>
          </cell>
          <cell r="E1484">
            <v>1504.28</v>
          </cell>
          <cell r="F1484">
            <v>212.47954999999999</v>
          </cell>
        </row>
        <row r="1485">
          <cell r="B1485" t="str">
            <v>70286845</v>
          </cell>
          <cell r="C1485" t="str">
            <v>五粮印象 (佳酿) 500毫升</v>
          </cell>
          <cell r="D1485">
            <v>1</v>
          </cell>
          <cell r="E1485">
            <v>82.63</v>
          </cell>
          <cell r="F1485">
            <v>93.371899999999997</v>
          </cell>
        </row>
        <row r="1486">
          <cell r="B1486" t="str">
            <v>70286846</v>
          </cell>
          <cell r="C1486" t="str">
            <v>五粮印象 (醇品) 500毫升</v>
          </cell>
          <cell r="D1486">
            <v>3</v>
          </cell>
          <cell r="E1486">
            <v>291.72000000000003</v>
          </cell>
          <cell r="F1486">
            <v>109.88120000000001</v>
          </cell>
        </row>
        <row r="1487">
          <cell r="B1487" t="str">
            <v>70286847</v>
          </cell>
          <cell r="C1487" t="str">
            <v>五粮印象 (精制) 500毫升</v>
          </cell>
          <cell r="D1487">
            <v>6</v>
          </cell>
          <cell r="E1487">
            <v>433.18</v>
          </cell>
          <cell r="F1487">
            <v>81.582233333333306</v>
          </cell>
        </row>
        <row r="1488">
          <cell r="B1488" t="str">
            <v>70286955</v>
          </cell>
          <cell r="C1488" t="str">
            <v>有缘 46°小酒 100ML</v>
          </cell>
          <cell r="D1488">
            <v>336</v>
          </cell>
          <cell r="E1488">
            <v>3032.91</v>
          </cell>
          <cell r="F1488">
            <v>10.1999651785714</v>
          </cell>
        </row>
        <row r="1489">
          <cell r="B1489" t="str">
            <v>70293532</v>
          </cell>
          <cell r="C1489" t="str">
            <v>张裕 38°酝酿芬芳白兰地 100ML</v>
          </cell>
          <cell r="D1489">
            <v>145</v>
          </cell>
          <cell r="E1489">
            <v>1283.25</v>
          </cell>
          <cell r="F1489">
            <v>10.000500000000001</v>
          </cell>
        </row>
        <row r="1490">
          <cell r="B1490" t="str">
            <v>70295611</v>
          </cell>
          <cell r="C1490" t="str">
            <v>牛栏山 二锅头(红标)清香 500ML</v>
          </cell>
          <cell r="D1490">
            <v>915</v>
          </cell>
          <cell r="E1490">
            <v>12392.88</v>
          </cell>
          <cell r="F1490">
            <v>15.3048681967213</v>
          </cell>
        </row>
        <row r="1491">
          <cell r="B1491" t="str">
            <v>70298321</v>
          </cell>
          <cell r="C1491" t="str">
            <v>苏玺 蓝梦经典型酒 500ML</v>
          </cell>
          <cell r="D1491">
            <v>3</v>
          </cell>
          <cell r="E1491">
            <v>419.48</v>
          </cell>
          <cell r="F1491">
            <v>158.00413333333299</v>
          </cell>
        </row>
        <row r="1492">
          <cell r="B1492" t="str">
            <v>70300067</v>
          </cell>
          <cell r="C1492" t="str">
            <v>斯大林 穆库扎尼干红葡萄酒 750ml</v>
          </cell>
          <cell r="D1492">
            <v>2</v>
          </cell>
          <cell r="E1492">
            <v>158.76</v>
          </cell>
          <cell r="F1492">
            <v>89.699399999999997</v>
          </cell>
        </row>
        <row r="1493">
          <cell r="B1493" t="str">
            <v>70301405</v>
          </cell>
          <cell r="C1493" t="str">
            <v>肆拾玖坊 江湖结义-义薄云天酒 500ML</v>
          </cell>
          <cell r="D1493">
            <v>526</v>
          </cell>
          <cell r="E1493">
            <v>51752.86</v>
          </cell>
          <cell r="F1493">
            <v>111.18009847908699</v>
          </cell>
        </row>
        <row r="1494">
          <cell r="B1494" t="str">
            <v>70303388</v>
          </cell>
          <cell r="C1494" t="str">
            <v>天佑德 高原生态昆仑好客定制酒K6 500ML</v>
          </cell>
          <cell r="D1494">
            <v>3</v>
          </cell>
          <cell r="E1494">
            <v>339.81</v>
          </cell>
          <cell r="F1494">
            <v>127.99509999999999</v>
          </cell>
        </row>
        <row r="1495">
          <cell r="B1495" t="str">
            <v>70303389</v>
          </cell>
          <cell r="C1495" t="str">
            <v>天佑德 高原生态昆仑好客定制酒K9 500ML</v>
          </cell>
          <cell r="D1495">
            <v>6</v>
          </cell>
          <cell r="E1495">
            <v>998.23</v>
          </cell>
          <cell r="F1495">
            <v>187.99998333333301</v>
          </cell>
        </row>
        <row r="1496">
          <cell r="B1496" t="str">
            <v>70303858</v>
          </cell>
          <cell r="C1496" t="str">
            <v>新天赤 霞珠干红紫钻 750ML</v>
          </cell>
          <cell r="D1496">
            <v>92</v>
          </cell>
          <cell r="E1496">
            <v>6250.34</v>
          </cell>
          <cell r="F1496">
            <v>76.770480434782598</v>
          </cell>
        </row>
        <row r="1497">
          <cell r="B1497" t="str">
            <v>70303859</v>
          </cell>
          <cell r="C1497" t="str">
            <v>新天赤 霞珠干红金钻 750ML</v>
          </cell>
          <cell r="D1497">
            <v>4</v>
          </cell>
          <cell r="E1497">
            <v>194.71</v>
          </cell>
          <cell r="F1497">
            <v>55.005575</v>
          </cell>
        </row>
        <row r="1498">
          <cell r="B1498" t="str">
            <v>70304206</v>
          </cell>
          <cell r="C1498" t="str">
            <v>好客之義 畅享款 500ML</v>
          </cell>
          <cell r="D1498">
            <v>2594</v>
          </cell>
          <cell r="E1498">
            <v>405635.07</v>
          </cell>
          <cell r="F1498">
            <v>176.70301815728601</v>
          </cell>
        </row>
        <row r="1499">
          <cell r="B1499" t="str">
            <v>70304207</v>
          </cell>
          <cell r="C1499" t="str">
            <v>好客之義 尊享款 500ML</v>
          </cell>
          <cell r="D1499">
            <v>1304</v>
          </cell>
          <cell r="E1499">
            <v>313632.78000000003</v>
          </cell>
          <cell r="F1499">
            <v>271.78300720858903</v>
          </cell>
        </row>
        <row r="1500">
          <cell r="B1500" t="str">
            <v>70304208</v>
          </cell>
          <cell r="C1500" t="str">
            <v>好客之義 智享款 500ML</v>
          </cell>
          <cell r="D1500">
            <v>747</v>
          </cell>
          <cell r="E1500">
            <v>85903.76</v>
          </cell>
          <cell r="F1500">
            <v>129.948124230254</v>
          </cell>
        </row>
        <row r="1501">
          <cell r="B1501" t="str">
            <v>70306105</v>
          </cell>
          <cell r="C1501" t="str">
            <v>新疆 红乌苏 620ML</v>
          </cell>
          <cell r="D1501">
            <v>8313</v>
          </cell>
          <cell r="E1501">
            <v>33242.959999999999</v>
          </cell>
          <cell r="F1501">
            <v>4.5187711776735204</v>
          </cell>
        </row>
        <row r="1502">
          <cell r="B1502" t="str">
            <v>70306665</v>
          </cell>
          <cell r="C1502" t="str">
            <v>伊力 小酒海 250ML</v>
          </cell>
          <cell r="D1502">
            <v>956</v>
          </cell>
          <cell r="E1502">
            <v>98413.16</v>
          </cell>
          <cell r="F1502">
            <v>116.325178661088</v>
          </cell>
        </row>
        <row r="1503">
          <cell r="B1503" t="str">
            <v>70307641</v>
          </cell>
          <cell r="C1503" t="str">
            <v>茅台 精品茅台 500ML</v>
          </cell>
          <cell r="D1503">
            <v>7</v>
          </cell>
          <cell r="E1503">
            <v>19631.04</v>
          </cell>
          <cell r="F1503">
            <v>3169.01074285714</v>
          </cell>
        </row>
        <row r="1504">
          <cell r="B1504" t="str">
            <v>70311448</v>
          </cell>
          <cell r="C1504" t="str">
            <v>蕴河 老窖42° 500ML</v>
          </cell>
          <cell r="D1504">
            <v>59</v>
          </cell>
          <cell r="E1504">
            <v>2610.71</v>
          </cell>
          <cell r="F1504">
            <v>50.001733898305098</v>
          </cell>
        </row>
        <row r="1505">
          <cell r="B1505" t="str">
            <v>70313866</v>
          </cell>
          <cell r="C1505" t="str">
            <v>乐堡 瓶装啤酒 495ML</v>
          </cell>
          <cell r="D1505">
            <v>3681</v>
          </cell>
          <cell r="E1505">
            <v>14164.03</v>
          </cell>
          <cell r="F1505">
            <v>4.3480994023363202</v>
          </cell>
        </row>
        <row r="1506">
          <cell r="B1506" t="str">
            <v>70314515</v>
          </cell>
          <cell r="C1506" t="str">
            <v>唐庭霞露 云霞精选干红 750ML</v>
          </cell>
          <cell r="D1506">
            <v>558</v>
          </cell>
          <cell r="E1506">
            <v>28296.68</v>
          </cell>
          <cell r="F1506">
            <v>57.3033125448029</v>
          </cell>
        </row>
        <row r="1507">
          <cell r="B1507" t="str">
            <v>70314516</v>
          </cell>
          <cell r="C1507" t="str">
            <v>山粮 山粮糜子V6 500ML</v>
          </cell>
          <cell r="D1507">
            <v>97</v>
          </cell>
          <cell r="E1507">
            <v>1401.12</v>
          </cell>
          <cell r="F1507">
            <v>16.3223257731959</v>
          </cell>
        </row>
        <row r="1508">
          <cell r="B1508" t="str">
            <v>70314517</v>
          </cell>
          <cell r="C1508" t="str">
            <v>山粮 山粮糜子V6礼盒 盒</v>
          </cell>
          <cell r="D1508">
            <v>2837</v>
          </cell>
          <cell r="E1508">
            <v>566711.21</v>
          </cell>
          <cell r="F1508">
            <v>225.72564938315099</v>
          </cell>
        </row>
        <row r="1509">
          <cell r="B1509" t="str">
            <v>70315688</v>
          </cell>
          <cell r="C1509" t="str">
            <v>乌苏啤酒 红乌苏 500ML</v>
          </cell>
          <cell r="D1509">
            <v>11792</v>
          </cell>
          <cell r="E1509">
            <v>50913.16</v>
          </cell>
          <cell r="F1509">
            <v>4.8788899932157399</v>
          </cell>
        </row>
        <row r="1510">
          <cell r="B1510" t="str">
            <v>70317079</v>
          </cell>
          <cell r="C1510" t="str">
            <v>西南花 经典 500ML</v>
          </cell>
          <cell r="D1510">
            <v>21</v>
          </cell>
          <cell r="E1510">
            <v>2796.48</v>
          </cell>
          <cell r="F1510">
            <v>150.47725714285701</v>
          </cell>
        </row>
        <row r="1511">
          <cell r="B1511" t="str">
            <v>70317080</v>
          </cell>
          <cell r="C1511" t="str">
            <v>西南花 典藏 500ML</v>
          </cell>
          <cell r="D1511">
            <v>20</v>
          </cell>
          <cell r="E1511">
            <v>5097.34</v>
          </cell>
          <cell r="F1511">
            <v>287.99970999999999</v>
          </cell>
        </row>
        <row r="1512">
          <cell r="B1512" t="str">
            <v>70317868</v>
          </cell>
          <cell r="C1512" t="str">
            <v>五粮液 52°白酒 500ML</v>
          </cell>
          <cell r="D1512">
            <v>4116</v>
          </cell>
          <cell r="E1512">
            <v>3199056</v>
          </cell>
          <cell r="F1512">
            <v>878.26367346938798</v>
          </cell>
        </row>
        <row r="1513">
          <cell r="B1513" t="str">
            <v>70318060</v>
          </cell>
          <cell r="C1513" t="str">
            <v>慧华圣果 沙棘酒 1*6*500ML</v>
          </cell>
          <cell r="D1513">
            <v>2</v>
          </cell>
          <cell r="E1513">
            <v>215.92</v>
          </cell>
          <cell r="F1513">
            <v>121.9948</v>
          </cell>
        </row>
        <row r="1514">
          <cell r="B1514" t="str">
            <v>70318624</v>
          </cell>
          <cell r="C1514" t="str">
            <v>尼雅 生态赤霞珠干红葡萄酒精选级 750ml</v>
          </cell>
          <cell r="D1514">
            <v>314</v>
          </cell>
          <cell r="E1514">
            <v>11888.42</v>
          </cell>
          <cell r="F1514">
            <v>42.783167515923601</v>
          </cell>
        </row>
        <row r="1515">
          <cell r="B1515" t="str">
            <v>70319383</v>
          </cell>
          <cell r="C1515" t="str">
            <v>新疆第一窖（蓝）500ML</v>
          </cell>
          <cell r="D1515">
            <v>2248</v>
          </cell>
          <cell r="E1515">
            <v>75933.33</v>
          </cell>
          <cell r="F1515">
            <v>38.169334030249097</v>
          </cell>
        </row>
        <row r="1516">
          <cell r="B1516" t="str">
            <v>70322078</v>
          </cell>
          <cell r="C1516" t="str">
            <v>奥兰 小红帽干红葡萄酒 750ML</v>
          </cell>
          <cell r="D1516">
            <v>63</v>
          </cell>
          <cell r="E1516">
            <v>1312.36</v>
          </cell>
          <cell r="F1516">
            <v>23.539155555555599</v>
          </cell>
        </row>
        <row r="1517">
          <cell r="B1517" t="str">
            <v>70322310</v>
          </cell>
          <cell r="C1517" t="str">
            <v>尼雅 赤霞珠干红葡萄酒 750毫升/瓶</v>
          </cell>
          <cell r="D1517">
            <v>153</v>
          </cell>
          <cell r="E1517">
            <v>9506.3700000000008</v>
          </cell>
          <cell r="F1517">
            <v>70.210445098039202</v>
          </cell>
        </row>
        <row r="1518">
          <cell r="B1518" t="str">
            <v>70322311</v>
          </cell>
          <cell r="C1518" t="str">
            <v>尼雅 赤霞珠干红葡萄酒优酿级 750毫升/瓶</v>
          </cell>
          <cell r="D1518">
            <v>13</v>
          </cell>
          <cell r="E1518">
            <v>1518.59</v>
          </cell>
          <cell r="F1518">
            <v>132.000515384615</v>
          </cell>
        </row>
        <row r="1519">
          <cell r="B1519" t="str">
            <v>70322347</v>
          </cell>
          <cell r="C1519" t="str">
            <v>弹约 黑糯米酒 248ML</v>
          </cell>
          <cell r="D1519">
            <v>19</v>
          </cell>
          <cell r="E1519">
            <v>281.95999999999998</v>
          </cell>
          <cell r="F1519">
            <v>16.769200000000001</v>
          </cell>
        </row>
        <row r="1520">
          <cell r="B1520" t="str">
            <v>70322348</v>
          </cell>
          <cell r="C1520" t="str">
            <v>弹约 青梅酒 248ML</v>
          </cell>
          <cell r="D1520">
            <v>15</v>
          </cell>
          <cell r="E1520">
            <v>61.05</v>
          </cell>
          <cell r="F1520">
            <v>4.5991</v>
          </cell>
        </row>
        <row r="1521">
          <cell r="B1521" t="str">
            <v>70329091</v>
          </cell>
          <cell r="C1521" t="str">
            <v>伊力特 扁瓶特 1</v>
          </cell>
          <cell r="D1521">
            <v>40081</v>
          </cell>
          <cell r="E1521">
            <v>832578.31</v>
          </cell>
          <cell r="F1521">
            <v>23.472804827723898</v>
          </cell>
        </row>
        <row r="1522">
          <cell r="B1522" t="str">
            <v>70334809</v>
          </cell>
          <cell r="C1522" t="str">
            <v>古井贡 10年 500ML</v>
          </cell>
          <cell r="D1522">
            <v>2</v>
          </cell>
          <cell r="E1522">
            <v>244.23</v>
          </cell>
          <cell r="F1522">
            <v>137.98994999999999</v>
          </cell>
        </row>
        <row r="1523">
          <cell r="B1523" t="str">
            <v>70335303</v>
          </cell>
          <cell r="C1523" t="str">
            <v>茅台 不老酒(黄瓶)53° 500ML</v>
          </cell>
          <cell r="D1523">
            <v>5</v>
          </cell>
          <cell r="E1523">
            <v>831.85</v>
          </cell>
          <cell r="F1523">
            <v>187.99809999999999</v>
          </cell>
        </row>
        <row r="1524">
          <cell r="B1524" t="str">
            <v>70349936</v>
          </cell>
          <cell r="C1524" t="str">
            <v>榆泉 52°金色胡杨珍窖酒 500ML/瓶</v>
          </cell>
          <cell r="D1524">
            <v>386</v>
          </cell>
          <cell r="E1524">
            <v>12263.54</v>
          </cell>
          <cell r="F1524">
            <v>35.901036787564799</v>
          </cell>
        </row>
        <row r="1525">
          <cell r="B1525" t="str">
            <v>70349938</v>
          </cell>
          <cell r="C1525" t="str">
            <v>榆泉 46°金榆钱陈年老窖 250ML/瓶</v>
          </cell>
          <cell r="D1525">
            <v>1361</v>
          </cell>
          <cell r="E1525">
            <v>18622.740000000002</v>
          </cell>
          <cell r="F1525">
            <v>15.461936958119001</v>
          </cell>
        </row>
        <row r="1526">
          <cell r="B1526" t="str">
            <v>70349940</v>
          </cell>
          <cell r="C1526" t="str">
            <v>榆泉 50°金榆钱陈年老窖 500ML/瓶</v>
          </cell>
          <cell r="D1526">
            <v>1518</v>
          </cell>
          <cell r="E1526">
            <v>26015.33</v>
          </cell>
          <cell r="F1526">
            <v>19.365825362318802</v>
          </cell>
        </row>
        <row r="1527">
          <cell r="B1527" t="str">
            <v>70350722</v>
          </cell>
          <cell r="C1527" t="str">
            <v>弹约 青梅酒 500ML</v>
          </cell>
          <cell r="D1527">
            <v>17</v>
          </cell>
          <cell r="E1527">
            <v>583.67999999999995</v>
          </cell>
          <cell r="F1527">
            <v>38.797552941176498</v>
          </cell>
        </row>
        <row r="1528">
          <cell r="B1528" t="str">
            <v>70357506</v>
          </cell>
          <cell r="C1528" t="str">
            <v>新疆 绿乌苏 620ML</v>
          </cell>
          <cell r="D1528">
            <v>78</v>
          </cell>
          <cell r="E1528">
            <v>276.12</v>
          </cell>
          <cell r="F1528">
            <v>4.0002000000000004</v>
          </cell>
        </row>
        <row r="1529">
          <cell r="B1529" t="str">
            <v>70363136</v>
          </cell>
          <cell r="C1529" t="str">
            <v>张裕 好客义醴泉赤霞珠干红 750ML</v>
          </cell>
          <cell r="D1529">
            <v>35</v>
          </cell>
          <cell r="E1529">
            <v>1669.45</v>
          </cell>
          <cell r="F1529">
            <v>53.8993857142857</v>
          </cell>
        </row>
        <row r="1530">
          <cell r="B1530" t="str">
            <v>70364783</v>
          </cell>
          <cell r="C1530" t="str">
            <v>习缘 珍藏 500ml</v>
          </cell>
          <cell r="D1530">
            <v>76</v>
          </cell>
          <cell r="E1530">
            <v>13305.61</v>
          </cell>
          <cell r="F1530">
            <v>197.83341184210499</v>
          </cell>
        </row>
        <row r="1531">
          <cell r="B1531" t="str">
            <v>70367818</v>
          </cell>
          <cell r="C1531" t="str">
            <v>郎酒 红花郎红十53°酱香型白酒 500ML</v>
          </cell>
          <cell r="D1531">
            <v>388</v>
          </cell>
          <cell r="E1531">
            <v>123659.69</v>
          </cell>
          <cell r="F1531">
            <v>360.142911597938</v>
          </cell>
        </row>
        <row r="1532">
          <cell r="B1532" t="str">
            <v>70368773</v>
          </cell>
          <cell r="C1532" t="str">
            <v>五粮人家 永怡 500ML/瓶</v>
          </cell>
          <cell r="D1532">
            <v>4</v>
          </cell>
          <cell r="E1532">
            <v>648.46</v>
          </cell>
          <cell r="F1532">
            <v>183.18995000000001</v>
          </cell>
        </row>
        <row r="1533">
          <cell r="B1533" t="str">
            <v>70368780</v>
          </cell>
          <cell r="C1533" t="str">
            <v>泸州老窖 满堂礼 500ML/瓶</v>
          </cell>
          <cell r="D1533">
            <v>471</v>
          </cell>
          <cell r="E1533">
            <v>49049.25</v>
          </cell>
          <cell r="F1533">
            <v>117.676544585987</v>
          </cell>
        </row>
        <row r="1534">
          <cell r="B1534" t="str">
            <v>70368782</v>
          </cell>
          <cell r="C1534" t="str">
            <v>伊力特 1979G20 500ML/瓶</v>
          </cell>
          <cell r="D1534">
            <v>220</v>
          </cell>
          <cell r="E1534">
            <v>9487.1</v>
          </cell>
          <cell r="F1534">
            <v>48.729195454545497</v>
          </cell>
        </row>
        <row r="1535">
          <cell r="B1535" t="str">
            <v>70368808</v>
          </cell>
          <cell r="C1535" t="str">
            <v>西域 2002赤霞珠干红葡萄酒 750ML/瓶</v>
          </cell>
          <cell r="D1535">
            <v>7</v>
          </cell>
          <cell r="E1535">
            <v>1369.91</v>
          </cell>
          <cell r="F1535">
            <v>221.14261428571399</v>
          </cell>
        </row>
        <row r="1536">
          <cell r="B1536" t="str">
            <v>70368810</v>
          </cell>
          <cell r="C1536" t="str">
            <v>尼雅 生态赤霞珠干红葡萄酒臻选级 750ML/瓶</v>
          </cell>
          <cell r="D1536">
            <v>159</v>
          </cell>
          <cell r="E1536">
            <v>8799.9599999999991</v>
          </cell>
          <cell r="F1536">
            <v>62.540596226415097</v>
          </cell>
        </row>
        <row r="1537">
          <cell r="B1537" t="str">
            <v>70368812</v>
          </cell>
          <cell r="C1537" t="str">
            <v>尼雅 生态赤霞珠干红葡萄酒臻藏级 750ML/瓶</v>
          </cell>
          <cell r="D1537">
            <v>35</v>
          </cell>
          <cell r="E1537">
            <v>4659.78</v>
          </cell>
          <cell r="F1537">
            <v>150.44432571428601</v>
          </cell>
        </row>
        <row r="1538">
          <cell r="B1538" t="str">
            <v>70369104</v>
          </cell>
          <cell r="C1538" t="str">
            <v>街娃 52度大师版 100ml</v>
          </cell>
          <cell r="D1538">
            <v>255</v>
          </cell>
          <cell r="E1538">
            <v>2823.24</v>
          </cell>
          <cell r="F1538">
            <v>12.510828235294101</v>
          </cell>
        </row>
        <row r="1539">
          <cell r="B1539" t="str">
            <v>70369105</v>
          </cell>
          <cell r="C1539" t="str">
            <v>街娃 42度畅饮版 100ml</v>
          </cell>
          <cell r="D1539">
            <v>224</v>
          </cell>
          <cell r="E1539">
            <v>2480.17</v>
          </cell>
          <cell r="F1539">
            <v>12.511571875</v>
          </cell>
        </row>
        <row r="1540">
          <cell r="B1540" t="str">
            <v>70370995</v>
          </cell>
          <cell r="C1540" t="str">
            <v>悠蜜 蓝莓精酿（半甜型） 550ML</v>
          </cell>
          <cell r="D1540">
            <v>5</v>
          </cell>
          <cell r="E1540">
            <v>659.29</v>
          </cell>
          <cell r="F1540">
            <v>148.99954</v>
          </cell>
        </row>
        <row r="1541">
          <cell r="B1541" t="str">
            <v>70370996</v>
          </cell>
          <cell r="C1541" t="str">
            <v>悠蜜 蓝莓精酿（半干型） 550ML</v>
          </cell>
          <cell r="D1541">
            <v>2</v>
          </cell>
          <cell r="E1541">
            <v>281.39999999999998</v>
          </cell>
          <cell r="F1541">
            <v>158.99100000000001</v>
          </cell>
        </row>
        <row r="1542">
          <cell r="B1542" t="str">
            <v>70372438</v>
          </cell>
          <cell r="C1542" t="str">
            <v>贵州迎宾酒（酱香传奇）53％vol 500ml</v>
          </cell>
          <cell r="D1542">
            <v>12783</v>
          </cell>
          <cell r="E1542">
            <v>689838.86</v>
          </cell>
          <cell r="F1542">
            <v>60.980827020261302</v>
          </cell>
        </row>
        <row r="1543">
          <cell r="B1543" t="str">
            <v>70373006</v>
          </cell>
          <cell r="C1543" t="str">
            <v>习缘酒 尊藏 500ML</v>
          </cell>
          <cell r="D1543">
            <v>146</v>
          </cell>
          <cell r="E1543">
            <v>45145.81</v>
          </cell>
          <cell r="F1543">
            <v>349.41620068493103</v>
          </cell>
        </row>
        <row r="1544">
          <cell r="B1544" t="str">
            <v>70378579</v>
          </cell>
          <cell r="C1544" t="str">
            <v>慧华圣果 35度沙棘酒 150ML</v>
          </cell>
          <cell r="D1544">
            <v>25</v>
          </cell>
          <cell r="E1544">
            <v>420.42</v>
          </cell>
          <cell r="F1544">
            <v>19.002984000000001</v>
          </cell>
        </row>
        <row r="1545">
          <cell r="B1545" t="str">
            <v>70384430</v>
          </cell>
          <cell r="C1545" t="str">
            <v>郎酒 小郎酒 100ML</v>
          </cell>
          <cell r="D1545">
            <v>91</v>
          </cell>
          <cell r="E1545">
            <v>1208.07</v>
          </cell>
          <cell r="F1545">
            <v>15.0013087912088</v>
          </cell>
        </row>
        <row r="1546">
          <cell r="B1546" t="str">
            <v>70394615</v>
          </cell>
          <cell r="C1546" t="str">
            <v>肖尔布拉克 肖克疆怀酒 250ML/瓶</v>
          </cell>
          <cell r="D1546">
            <v>683</v>
          </cell>
          <cell r="E1546">
            <v>27141.85</v>
          </cell>
          <cell r="F1546">
            <v>44.905256954612</v>
          </cell>
        </row>
        <row r="1547">
          <cell r="B1547" t="str">
            <v>70398667</v>
          </cell>
          <cell r="C1547" t="str">
            <v>冰青 青梅果酒标准款 350ML</v>
          </cell>
          <cell r="D1547">
            <v>15</v>
          </cell>
          <cell r="E1547">
            <v>286.27</v>
          </cell>
          <cell r="F1547">
            <v>21.565673333333301</v>
          </cell>
        </row>
        <row r="1548">
          <cell r="B1548" t="str">
            <v>70399753</v>
          </cell>
          <cell r="C1548" t="str">
            <v>伊力老窖 镀金时光46° 250ML</v>
          </cell>
          <cell r="D1548">
            <v>103074</v>
          </cell>
          <cell r="E1548">
            <v>5538754.6799999997</v>
          </cell>
          <cell r="F1548">
            <v>60.721353478083699</v>
          </cell>
        </row>
        <row r="1549">
          <cell r="B1549" t="str">
            <v>70406940</v>
          </cell>
          <cell r="C1549" t="str">
            <v>泸州老窖 国窖1573曾娜大师装 500ML</v>
          </cell>
          <cell r="D1549">
            <v>244</v>
          </cell>
          <cell r="E1549">
            <v>195132.92</v>
          </cell>
          <cell r="F1549">
            <v>903.68934262295102</v>
          </cell>
        </row>
        <row r="1550">
          <cell r="B1550" t="str">
            <v>70407218</v>
          </cell>
          <cell r="C1550" t="str">
            <v>泸州老窖 泸州老窖酒香六窖52度 500ML</v>
          </cell>
          <cell r="D1550">
            <v>11901</v>
          </cell>
          <cell r="E1550">
            <v>632262.42000000004</v>
          </cell>
          <cell r="F1550">
            <v>60.033319435341603</v>
          </cell>
        </row>
        <row r="1551">
          <cell r="B1551" t="str">
            <v>70408520</v>
          </cell>
          <cell r="C1551" t="str">
            <v>泉 青梅酒 330ML</v>
          </cell>
          <cell r="D1551">
            <v>2</v>
          </cell>
          <cell r="E1551">
            <v>16.239999999999998</v>
          </cell>
          <cell r="F1551">
            <v>9.1755999999999993</v>
          </cell>
        </row>
        <row r="1552">
          <cell r="B1552" t="str">
            <v>70409549</v>
          </cell>
          <cell r="C1552" t="str">
            <v>三只猴子 调和纯麦苏格兰威士忌 700ML</v>
          </cell>
          <cell r="D1552">
            <v>48</v>
          </cell>
          <cell r="E1552">
            <v>7752.25</v>
          </cell>
          <cell r="F1552">
            <v>182.50088541666699</v>
          </cell>
        </row>
        <row r="1553">
          <cell r="B1553" t="str">
            <v>70410065</v>
          </cell>
          <cell r="C1553" t="str">
            <v>洋河 2021新版52度天之蓝 500ML</v>
          </cell>
          <cell r="D1553">
            <v>37</v>
          </cell>
          <cell r="E1553">
            <v>11465.13</v>
          </cell>
          <cell r="F1553">
            <v>350.15126756756803</v>
          </cell>
        </row>
        <row r="1554">
          <cell r="B1554" t="str">
            <v>70410728</v>
          </cell>
          <cell r="C1554" t="str">
            <v>雪花 勇闯天涯SUPERX啤酒8度 500ML</v>
          </cell>
          <cell r="D1554">
            <v>54960</v>
          </cell>
          <cell r="E1554">
            <v>168707.92</v>
          </cell>
          <cell r="F1554">
            <v>3.46870359534207</v>
          </cell>
        </row>
        <row r="1555">
          <cell r="B1555" t="str">
            <v>70415903</v>
          </cell>
          <cell r="C1555" t="str">
            <v>茅台 53％VOL贵州茅台酒（辛丑牛年） 500ML</v>
          </cell>
          <cell r="D1555">
            <v>6</v>
          </cell>
          <cell r="E1555">
            <v>13003.54</v>
          </cell>
          <cell r="F1555">
            <v>2449.0000333333301</v>
          </cell>
        </row>
        <row r="1556">
          <cell r="B1556" t="str">
            <v>70416381</v>
          </cell>
          <cell r="C1556" t="str">
            <v>悠蜜UMEET 蓝莓精酿遇见蓝雪（半干型） 450ML</v>
          </cell>
          <cell r="D1556">
            <v>6</v>
          </cell>
          <cell r="E1556">
            <v>562.79999999999995</v>
          </cell>
          <cell r="F1556">
            <v>105.994</v>
          </cell>
        </row>
        <row r="1557">
          <cell r="B1557" t="str">
            <v>70418477</v>
          </cell>
          <cell r="C1557" t="str">
            <v>习酒国色天香 典藏酱香型白酒 500ML</v>
          </cell>
          <cell r="D1557">
            <v>4404</v>
          </cell>
          <cell r="E1557">
            <v>1193625.73</v>
          </cell>
          <cell r="F1557">
            <v>306.26636578110799</v>
          </cell>
        </row>
        <row r="1558">
          <cell r="B1558" t="str">
            <v>70418478</v>
          </cell>
          <cell r="C1558" t="str">
            <v>习酒国色天香 尊藏酱香型白酒 500ML</v>
          </cell>
          <cell r="D1558">
            <v>1232</v>
          </cell>
          <cell r="E1558">
            <v>473550.22</v>
          </cell>
          <cell r="F1558">
            <v>434.34395178571401</v>
          </cell>
        </row>
        <row r="1559">
          <cell r="B1559" t="str">
            <v>70418479</v>
          </cell>
          <cell r="C1559" t="str">
            <v>习酒国色天香 珍藏酱香型白酒 500ML</v>
          </cell>
          <cell r="D1559">
            <v>12666</v>
          </cell>
          <cell r="E1559">
            <v>2150281.9</v>
          </cell>
          <cell r="F1559">
            <v>191.83787675667099</v>
          </cell>
        </row>
        <row r="1560">
          <cell r="B1560" t="str">
            <v>70424790</v>
          </cell>
          <cell r="C1560" t="str">
            <v>乌苏 绿乌苏啤酒 500ML</v>
          </cell>
          <cell r="D1560">
            <v>27374</v>
          </cell>
          <cell r="E1560">
            <v>82862.559999999998</v>
          </cell>
          <cell r="F1560">
            <v>3.4205703514283599</v>
          </cell>
        </row>
        <row r="1561">
          <cell r="B1561" t="str">
            <v>70424793</v>
          </cell>
          <cell r="C1561" t="str">
            <v>乌苏 小麦白啤酒瓶 465ML</v>
          </cell>
          <cell r="D1561">
            <v>3539</v>
          </cell>
          <cell r="E1561">
            <v>20320.009999999998</v>
          </cell>
          <cell r="F1561">
            <v>6.4881636903080002</v>
          </cell>
        </row>
        <row r="1562">
          <cell r="B1562" t="str">
            <v>70426755</v>
          </cell>
          <cell r="C1562" t="str">
            <v>郎酒 53度红花郎酒红十五（2020版） 500ML</v>
          </cell>
          <cell r="D1562">
            <v>382</v>
          </cell>
          <cell r="E1562">
            <v>189509.73</v>
          </cell>
          <cell r="F1562">
            <v>560.591609685864</v>
          </cell>
        </row>
        <row r="1563">
          <cell r="B1563" t="str">
            <v>70427969</v>
          </cell>
          <cell r="C1563" t="str">
            <v>泸州老窖 老窖醇香52度 500ML</v>
          </cell>
          <cell r="D1563">
            <v>616</v>
          </cell>
          <cell r="E1563">
            <v>43610.76</v>
          </cell>
          <cell r="F1563">
            <v>80.000257792207805</v>
          </cell>
        </row>
        <row r="1564">
          <cell r="B1564" t="str">
            <v>70429451</v>
          </cell>
          <cell r="C1564" t="str">
            <v>泸州贡 精品9 500ML</v>
          </cell>
          <cell r="D1564">
            <v>131</v>
          </cell>
          <cell r="E1564">
            <v>3367.02</v>
          </cell>
          <cell r="F1564">
            <v>29.043760305343501</v>
          </cell>
        </row>
        <row r="1565">
          <cell r="B1565" t="str">
            <v>70430692</v>
          </cell>
          <cell r="C1565" t="str">
            <v>泸州老窖 三人炫藏炫酒52° 500ML</v>
          </cell>
          <cell r="D1565">
            <v>7374</v>
          </cell>
          <cell r="E1565">
            <v>1092656.74</v>
          </cell>
          <cell r="F1565">
            <v>167.43993981556801</v>
          </cell>
        </row>
        <row r="1566">
          <cell r="B1566" t="str">
            <v>70430694</v>
          </cell>
          <cell r="C1566" t="str">
            <v>泸州老窖 三人炫红运开怀酒52° 500ML</v>
          </cell>
          <cell r="D1566">
            <v>9819</v>
          </cell>
          <cell r="E1566">
            <v>1277281.71</v>
          </cell>
          <cell r="F1566">
            <v>146.99341402383101</v>
          </cell>
        </row>
        <row r="1567">
          <cell r="B1567" t="str">
            <v>70431907</v>
          </cell>
          <cell r="C1567" t="str">
            <v>泸州老窖 泸州印象 500ML*6瓶/箱</v>
          </cell>
          <cell r="D1567">
            <v>645</v>
          </cell>
          <cell r="E1567">
            <v>24518.18</v>
          </cell>
          <cell r="F1567">
            <v>42.954330852713198</v>
          </cell>
        </row>
        <row r="1568">
          <cell r="B1568" t="str">
            <v>70431978</v>
          </cell>
          <cell r="C1568" t="str">
            <v>青花瓷 白酒（42度） 清韵酒 500ML</v>
          </cell>
          <cell r="D1568">
            <v>379</v>
          </cell>
          <cell r="E1568">
            <v>30176.31</v>
          </cell>
          <cell r="F1568">
            <v>89.971583905013205</v>
          </cell>
        </row>
        <row r="1569">
          <cell r="B1569" t="str">
            <v>70434168</v>
          </cell>
          <cell r="C1569" t="str">
            <v>山粮糜子酒 山粮色皮口酒 500ML/瓶</v>
          </cell>
          <cell r="D1569">
            <v>226</v>
          </cell>
          <cell r="E1569">
            <v>53599.89</v>
          </cell>
          <cell r="F1569">
            <v>267.99945000000002</v>
          </cell>
        </row>
        <row r="1570">
          <cell r="B1570" t="str">
            <v>70434169</v>
          </cell>
          <cell r="C1570" t="str">
            <v>山粮糜子酒 十二生肖帝王黄52° 250ML/瓶</v>
          </cell>
          <cell r="D1570">
            <v>91</v>
          </cell>
          <cell r="E1570">
            <v>4344.84</v>
          </cell>
          <cell r="F1570">
            <v>53.952408791208804</v>
          </cell>
        </row>
        <row r="1571">
          <cell r="B1571" t="str">
            <v>70434171</v>
          </cell>
          <cell r="C1571" t="str">
            <v>山粮糜子酒 黑金刚50° 1L/瓶</v>
          </cell>
          <cell r="D1571">
            <v>31</v>
          </cell>
          <cell r="E1571">
            <v>1618.63</v>
          </cell>
          <cell r="F1571">
            <v>59.001674193548403</v>
          </cell>
        </row>
        <row r="1572">
          <cell r="B1572" t="str">
            <v>70434172</v>
          </cell>
          <cell r="C1572" t="str">
            <v>山粮糜子酒 梅兰竹菊 1L/瓶</v>
          </cell>
          <cell r="D1572">
            <v>124</v>
          </cell>
          <cell r="E1572">
            <v>9626.01</v>
          </cell>
          <cell r="F1572">
            <v>87.720897580645101</v>
          </cell>
        </row>
        <row r="1573">
          <cell r="B1573" t="str">
            <v>70437705</v>
          </cell>
          <cell r="C1573" t="str">
            <v>青花瓷 53度清韵（红瓶） 500ML</v>
          </cell>
          <cell r="D1573">
            <v>3</v>
          </cell>
          <cell r="E1573">
            <v>238.94</v>
          </cell>
          <cell r="F1573">
            <v>90.000733333333301</v>
          </cell>
        </row>
        <row r="1574">
          <cell r="B1574" t="str">
            <v>70437706</v>
          </cell>
          <cell r="C1574" t="str">
            <v>青花瓷 53度清韵（蓝瓶） 500ML</v>
          </cell>
          <cell r="D1574">
            <v>48</v>
          </cell>
          <cell r="E1574">
            <v>3823.06</v>
          </cell>
          <cell r="F1574">
            <v>90.001204166666696</v>
          </cell>
        </row>
        <row r="1575">
          <cell r="B1575" t="str">
            <v>70439382</v>
          </cell>
          <cell r="C1575" t="str">
            <v>肖尔布拉克 小窖酒 250ML</v>
          </cell>
          <cell r="D1575">
            <v>552</v>
          </cell>
          <cell r="E1575">
            <v>16028.3</v>
          </cell>
          <cell r="F1575">
            <v>32.811556159420299</v>
          </cell>
        </row>
        <row r="1576">
          <cell r="B1576" t="str">
            <v>70439571</v>
          </cell>
          <cell r="C1576" t="str">
            <v>RIO 强爽8度白桃味 500ML</v>
          </cell>
          <cell r="D1576">
            <v>4</v>
          </cell>
          <cell r="E1576">
            <v>37.18</v>
          </cell>
          <cell r="F1576">
            <v>10.503349999999999</v>
          </cell>
        </row>
        <row r="1577">
          <cell r="B1577" t="str">
            <v>70439574</v>
          </cell>
          <cell r="C1577" t="str">
            <v>RIO 强爽8度葡萄 500ML</v>
          </cell>
          <cell r="D1577">
            <v>78</v>
          </cell>
          <cell r="E1577">
            <v>724.84</v>
          </cell>
          <cell r="F1577">
            <v>10.500887179487201</v>
          </cell>
        </row>
        <row r="1578">
          <cell r="B1578" t="str">
            <v>70439579</v>
          </cell>
          <cell r="C1578" t="str">
            <v>RIO 强爽8度苹果 500ML</v>
          </cell>
          <cell r="D1578">
            <v>7</v>
          </cell>
          <cell r="E1578">
            <v>65.06</v>
          </cell>
          <cell r="F1578">
            <v>10.502542857142901</v>
          </cell>
        </row>
        <row r="1579">
          <cell r="B1579" t="str">
            <v>70439594</v>
          </cell>
          <cell r="C1579" t="str">
            <v>山粮糜子酒 52°色皮口糜子酒 0.5KG</v>
          </cell>
          <cell r="D1579">
            <v>30</v>
          </cell>
          <cell r="E1579">
            <v>7645.99</v>
          </cell>
          <cell r="F1579">
            <v>287.99895666666703</v>
          </cell>
        </row>
        <row r="1580">
          <cell r="B1580" t="str">
            <v>70439602</v>
          </cell>
          <cell r="C1580" t="str">
            <v>山粮糜子酒 52°钜惠装 0.5KG</v>
          </cell>
          <cell r="D1580">
            <v>1</v>
          </cell>
          <cell r="E1580">
            <v>60.18</v>
          </cell>
          <cell r="F1580">
            <v>68.003399999999999</v>
          </cell>
        </row>
        <row r="1581">
          <cell r="B1581" t="str">
            <v>70439606</v>
          </cell>
          <cell r="C1581" t="str">
            <v>山粮糜子酒 50°山粮老窖1988 0.5KG</v>
          </cell>
          <cell r="D1581">
            <v>600</v>
          </cell>
          <cell r="E1581">
            <v>20982.73</v>
          </cell>
          <cell r="F1581">
            <v>39.517474833333303</v>
          </cell>
        </row>
        <row r="1582">
          <cell r="B1582" t="str">
            <v>70439608</v>
          </cell>
          <cell r="C1582" t="str">
            <v>山粮糜子酒 糜香原浆 0.325KG</v>
          </cell>
          <cell r="D1582">
            <v>67</v>
          </cell>
          <cell r="E1582">
            <v>4446.9399999999996</v>
          </cell>
          <cell r="F1582">
            <v>75.000629850746293</v>
          </cell>
        </row>
        <row r="1583">
          <cell r="B1583" t="str">
            <v>70441580</v>
          </cell>
          <cell r="C1583" t="str">
            <v>格兰 8年调配苏格兰威士忌 700ML</v>
          </cell>
          <cell r="D1583">
            <v>645</v>
          </cell>
          <cell r="E1583">
            <v>84480.92</v>
          </cell>
          <cell r="F1583">
            <v>148.00533271317801</v>
          </cell>
        </row>
        <row r="1584">
          <cell r="B1584" t="str">
            <v>70442211</v>
          </cell>
          <cell r="C1584" t="str">
            <v>和布克河 粮食酒42度红 260ML</v>
          </cell>
          <cell r="D1584">
            <v>650</v>
          </cell>
          <cell r="E1584">
            <v>10026.9</v>
          </cell>
          <cell r="F1584">
            <v>17.431380000000001</v>
          </cell>
        </row>
        <row r="1585">
          <cell r="B1585" t="str">
            <v>70442213</v>
          </cell>
          <cell r="C1585" t="str">
            <v>和布克河 粮食酒46度白 260ML</v>
          </cell>
          <cell r="D1585">
            <v>614</v>
          </cell>
          <cell r="E1585">
            <v>12282.24</v>
          </cell>
          <cell r="F1585">
            <v>22.604122475570001</v>
          </cell>
        </row>
        <row r="1586">
          <cell r="B1586" t="str">
            <v>70442225</v>
          </cell>
          <cell r="C1586" t="str">
            <v>乌苏 啤酒红罐啤酒11度 330ML</v>
          </cell>
          <cell r="D1586">
            <v>4400</v>
          </cell>
          <cell r="E1586">
            <v>12129.25</v>
          </cell>
          <cell r="F1586">
            <v>3.1150119318181799</v>
          </cell>
        </row>
        <row r="1587">
          <cell r="B1587" t="str">
            <v>70456834</v>
          </cell>
          <cell r="C1587" t="str">
            <v>茅台醇 茅台醇1992(53°) 500ML</v>
          </cell>
          <cell r="D1587">
            <v>54</v>
          </cell>
          <cell r="E1587">
            <v>10943.36</v>
          </cell>
          <cell r="F1587">
            <v>228.99994074074101</v>
          </cell>
        </row>
        <row r="1588">
          <cell r="B1588" t="str">
            <v>70456835</v>
          </cell>
          <cell r="C1588" t="str">
            <v>茅台醇 茅台醇1998(53°) 500ML</v>
          </cell>
          <cell r="D1588">
            <v>125</v>
          </cell>
          <cell r="E1588">
            <v>15028.48</v>
          </cell>
          <cell r="F1588">
            <v>135.85745919999999</v>
          </cell>
        </row>
        <row r="1589">
          <cell r="B1589" t="str">
            <v>70456836</v>
          </cell>
          <cell r="C1589" t="str">
            <v>茅台醇 茅台醇2008(53°) 500ML</v>
          </cell>
          <cell r="D1589">
            <v>1392</v>
          </cell>
          <cell r="E1589">
            <v>105808.34</v>
          </cell>
          <cell r="F1589">
            <v>85.893264511494195</v>
          </cell>
        </row>
        <row r="1590">
          <cell r="B1590" t="str">
            <v>70458110</v>
          </cell>
          <cell r="C1590" t="str">
            <v>奥兰 小红帽格兰珍藏干红葡萄酒N3(裸瓶) 750ML</v>
          </cell>
          <cell r="D1590">
            <v>362</v>
          </cell>
          <cell r="E1590">
            <v>21566.32</v>
          </cell>
          <cell r="F1590">
            <v>67.320280662983393</v>
          </cell>
        </row>
        <row r="1591">
          <cell r="B1591" t="str">
            <v>70460617</v>
          </cell>
          <cell r="C1591" t="str">
            <v>泸州老窖 定制酒鉴藏装6 500ML</v>
          </cell>
          <cell r="D1591">
            <v>2024</v>
          </cell>
          <cell r="E1591">
            <v>164241.22</v>
          </cell>
          <cell r="F1591">
            <v>91.695938043478293</v>
          </cell>
        </row>
        <row r="1592">
          <cell r="B1592" t="str">
            <v>70460625</v>
          </cell>
          <cell r="C1592" t="str">
            <v>劲牌 36度蓝标劲酒 125ML</v>
          </cell>
          <cell r="D1592">
            <v>59</v>
          </cell>
          <cell r="E1592">
            <v>717.99</v>
          </cell>
          <cell r="F1592">
            <v>13.7513338983051</v>
          </cell>
        </row>
        <row r="1593">
          <cell r="B1593" t="str">
            <v>70461531</v>
          </cell>
          <cell r="C1593" t="str">
            <v>乌苏 红乌苏啤酒 500ML</v>
          </cell>
          <cell r="D1593">
            <v>10823</v>
          </cell>
          <cell r="E1593">
            <v>43038.99</v>
          </cell>
          <cell r="F1593">
            <v>4.4935839138870897</v>
          </cell>
        </row>
        <row r="1594">
          <cell r="B1594" t="str">
            <v>70461655</v>
          </cell>
          <cell r="C1594" t="str">
            <v>泸州老窖 泸州印象52度 500ML</v>
          </cell>
          <cell r="D1594">
            <v>3926</v>
          </cell>
          <cell r="E1594">
            <v>156475.72</v>
          </cell>
          <cell r="F1594">
            <v>45.037586245542499</v>
          </cell>
        </row>
        <row r="1595">
          <cell r="B1595" t="str">
            <v>70466121</v>
          </cell>
          <cell r="C1595" t="str">
            <v>洋河 海之蓝52度(22版) 480ML</v>
          </cell>
          <cell r="D1595">
            <v>71</v>
          </cell>
          <cell r="E1595">
            <v>9755.33</v>
          </cell>
          <cell r="F1595">
            <v>155.26088591549299</v>
          </cell>
        </row>
        <row r="1596">
          <cell r="B1596" t="str">
            <v>70469006</v>
          </cell>
          <cell r="C1596" t="str">
            <v>五粮好客 52度 500ML</v>
          </cell>
          <cell r="D1596">
            <v>2314</v>
          </cell>
          <cell r="E1596">
            <v>772079.04</v>
          </cell>
          <cell r="F1596">
            <v>377.03081901469301</v>
          </cell>
        </row>
        <row r="1597">
          <cell r="B1597" t="str">
            <v>70469095</v>
          </cell>
          <cell r="C1597" t="str">
            <v>沱牌 吉祥如意52％VOL 500ML*4</v>
          </cell>
          <cell r="D1597">
            <v>6</v>
          </cell>
          <cell r="E1597">
            <v>2437.17</v>
          </cell>
          <cell r="F1597">
            <v>459.00035000000003</v>
          </cell>
        </row>
        <row r="1598">
          <cell r="B1598" t="str">
            <v>70469423</v>
          </cell>
          <cell r="C1598" t="str">
            <v>洋河 52度洋河梦之蓝M3（水晶版） 550ML</v>
          </cell>
          <cell r="D1598">
            <v>20</v>
          </cell>
          <cell r="E1598">
            <v>9734.52</v>
          </cell>
          <cell r="F1598">
            <v>550.00037999999995</v>
          </cell>
        </row>
        <row r="1599">
          <cell r="B1599" t="str">
            <v>70471187</v>
          </cell>
          <cell r="C1599" t="str">
            <v>舍得 舍得酒(真年份) 500ML</v>
          </cell>
          <cell r="D1599">
            <v>425</v>
          </cell>
          <cell r="E1599">
            <v>187210.71</v>
          </cell>
          <cell r="F1599">
            <v>497.76024070588198</v>
          </cell>
        </row>
        <row r="1600">
          <cell r="B1600" t="str">
            <v>70471188</v>
          </cell>
          <cell r="C1600" t="str">
            <v>沱牌 九零年代·沱牌曲酒 480ML</v>
          </cell>
          <cell r="D1600">
            <v>21</v>
          </cell>
          <cell r="E1600">
            <v>3447.57</v>
          </cell>
          <cell r="F1600">
            <v>185.5121</v>
          </cell>
        </row>
        <row r="1601">
          <cell r="B1601" t="str">
            <v>70472557</v>
          </cell>
          <cell r="C1601" t="str">
            <v>泸州老窖 二曲浓香型白酒42° 500ML</v>
          </cell>
          <cell r="D1601">
            <v>186</v>
          </cell>
          <cell r="E1601">
            <v>12839.18</v>
          </cell>
          <cell r="F1601">
            <v>78.001469892473096</v>
          </cell>
        </row>
        <row r="1602">
          <cell r="B1602" t="str">
            <v>70473600</v>
          </cell>
          <cell r="C1602" t="str">
            <v>洋河 52度洋河蓝之梦M6＋ 瓶</v>
          </cell>
          <cell r="D1602">
            <v>8</v>
          </cell>
          <cell r="E1602">
            <v>5309.74</v>
          </cell>
          <cell r="F1602">
            <v>750.00077499999998</v>
          </cell>
        </row>
        <row r="1603">
          <cell r="B1603" t="str">
            <v>70475072</v>
          </cell>
          <cell r="C1603" t="str">
            <v>泸州福 红耀 500ML</v>
          </cell>
          <cell r="D1603">
            <v>5221</v>
          </cell>
          <cell r="E1603">
            <v>470852.27</v>
          </cell>
          <cell r="F1603">
            <v>101.908267592415</v>
          </cell>
        </row>
        <row r="1604">
          <cell r="B1604" t="str">
            <v>70475895</v>
          </cell>
          <cell r="C1604" t="str">
            <v>杜康 名品52°浓香型白酒 500ML</v>
          </cell>
          <cell r="D1604">
            <v>8806</v>
          </cell>
          <cell r="E1604">
            <v>569696.26</v>
          </cell>
          <cell r="F1604">
            <v>73.1043349761526</v>
          </cell>
        </row>
        <row r="1605">
          <cell r="B1605" t="str">
            <v>70476989</v>
          </cell>
          <cell r="C1605" t="str">
            <v>轩都 新雅干白葡萄酒 750ML</v>
          </cell>
          <cell r="D1605">
            <v>12</v>
          </cell>
          <cell r="E1605">
            <v>4264.78</v>
          </cell>
          <cell r="F1605">
            <v>401.60011666666702</v>
          </cell>
        </row>
        <row r="1606">
          <cell r="B1606" t="str">
            <v>70483484</v>
          </cell>
          <cell r="C1606" t="str">
            <v>山粮 山粮糜子酒梅兰竹菊 1L</v>
          </cell>
          <cell r="D1606">
            <v>147</v>
          </cell>
          <cell r="E1606">
            <v>10397.91</v>
          </cell>
          <cell r="F1606">
            <v>79.929512244897893</v>
          </cell>
        </row>
        <row r="1607">
          <cell r="B1607" t="str">
            <v>70483485</v>
          </cell>
          <cell r="C1607" t="str">
            <v>山粮 山粮糜子酒黑金刚 1L</v>
          </cell>
          <cell r="D1607">
            <v>164</v>
          </cell>
          <cell r="E1607">
            <v>8563.02</v>
          </cell>
          <cell r="F1607">
            <v>59.001296341463402</v>
          </cell>
        </row>
        <row r="1608">
          <cell r="B1608" t="str">
            <v>70485926</v>
          </cell>
          <cell r="C1608" t="str">
            <v>洋河 52度洋河大曲天蓝瓶 500ML</v>
          </cell>
          <cell r="D1608">
            <v>5</v>
          </cell>
          <cell r="E1608">
            <v>243.74</v>
          </cell>
          <cell r="F1608">
            <v>55.085239999999999</v>
          </cell>
        </row>
        <row r="1609">
          <cell r="B1609" t="str">
            <v>70485939</v>
          </cell>
          <cell r="C1609" t="str">
            <v>洋河 盛世(G10)52度 500ML</v>
          </cell>
          <cell r="D1609">
            <v>12</v>
          </cell>
          <cell r="E1609">
            <v>4657.7</v>
          </cell>
          <cell r="F1609">
            <v>438.60008333333298</v>
          </cell>
        </row>
        <row r="1610">
          <cell r="B1610" t="str">
            <v>70486151</v>
          </cell>
          <cell r="C1610" t="str">
            <v>沙地酒庄 赤霞珠干红葡萄酒 750ML</v>
          </cell>
          <cell r="D1610">
            <v>1329</v>
          </cell>
          <cell r="E1610">
            <v>69579.350000000006</v>
          </cell>
          <cell r="F1610">
            <v>59.1607716328066</v>
          </cell>
        </row>
        <row r="1611">
          <cell r="B1611" t="str">
            <v>70488371</v>
          </cell>
          <cell r="C1611" t="str">
            <v>乌苏 小麦白罐装啤酒 500ML</v>
          </cell>
          <cell r="D1611">
            <v>6945</v>
          </cell>
          <cell r="E1611">
            <v>40660.050000000003</v>
          </cell>
          <cell r="F1611">
            <v>6.6156740820734301</v>
          </cell>
        </row>
        <row r="1612">
          <cell r="B1612" t="str">
            <v>70490902</v>
          </cell>
          <cell r="C1612" t="str">
            <v>唐庭霞露 云霞赤霞珠干红葡萄酒 750ML</v>
          </cell>
          <cell r="D1612">
            <v>9</v>
          </cell>
          <cell r="E1612">
            <v>238.95</v>
          </cell>
          <cell r="F1612">
            <v>30.0015</v>
          </cell>
        </row>
        <row r="1613">
          <cell r="B1613" t="str">
            <v>70494752</v>
          </cell>
          <cell r="C1613" t="str">
            <v>郎牌 郎酒 500ML</v>
          </cell>
          <cell r="D1613">
            <v>66</v>
          </cell>
          <cell r="E1613">
            <v>14017.72</v>
          </cell>
          <cell r="F1613">
            <v>240.00035757575799</v>
          </cell>
        </row>
        <row r="1614">
          <cell r="B1614" t="str">
            <v>70495076</v>
          </cell>
          <cell r="C1614" t="str">
            <v>乌苏 经典乌苏 620ML</v>
          </cell>
          <cell r="D1614">
            <v>330</v>
          </cell>
          <cell r="E1614">
            <v>1168.19</v>
          </cell>
          <cell r="F1614">
            <v>4.0001657575757603</v>
          </cell>
        </row>
        <row r="1615">
          <cell r="B1615" t="str">
            <v>70497544</v>
          </cell>
          <cell r="C1615" t="str">
            <v>中珠 马瑟兰干红葡萄酒 750ML</v>
          </cell>
          <cell r="D1615">
            <v>299</v>
          </cell>
          <cell r="E1615">
            <v>30633.88</v>
          </cell>
          <cell r="F1615">
            <v>115.77352642140499</v>
          </cell>
        </row>
        <row r="1616">
          <cell r="B1616" t="str">
            <v>70497548</v>
          </cell>
          <cell r="C1616" t="str">
            <v>中珠 赤霞珠干红葡萄酒 750ML</v>
          </cell>
          <cell r="D1616">
            <v>455</v>
          </cell>
          <cell r="E1616">
            <v>35122.69</v>
          </cell>
          <cell r="F1616">
            <v>87.2277795604396</v>
          </cell>
        </row>
        <row r="1617">
          <cell r="B1617" t="str">
            <v>70498508</v>
          </cell>
          <cell r="C1617" t="str">
            <v>山粮糜子酒 酒富贵吉祥 500ML</v>
          </cell>
          <cell r="D1617">
            <v>340</v>
          </cell>
          <cell r="E1617">
            <v>22398.92</v>
          </cell>
          <cell r="F1617">
            <v>74.443469411764696</v>
          </cell>
        </row>
        <row r="1618">
          <cell r="B1618" t="str">
            <v>70498591</v>
          </cell>
          <cell r="C1618" t="str">
            <v>泸州老窖 泸州御酒52° 500ML</v>
          </cell>
          <cell r="D1618">
            <v>2688</v>
          </cell>
          <cell r="E1618">
            <v>121105.42</v>
          </cell>
          <cell r="F1618">
            <v>50.911132663690502</v>
          </cell>
        </row>
        <row r="1619">
          <cell r="B1619" t="str">
            <v>70498595</v>
          </cell>
          <cell r="C1619" t="str">
            <v>肖尔布拉克 馆藏浓香52度 500ML</v>
          </cell>
          <cell r="D1619">
            <v>7</v>
          </cell>
          <cell r="E1619">
            <v>806.55</v>
          </cell>
          <cell r="F1619">
            <v>130.200214285714</v>
          </cell>
        </row>
        <row r="1620">
          <cell r="B1620" t="str">
            <v>70498597</v>
          </cell>
          <cell r="C1620" t="str">
            <v>肖尔布拉克 馆藏浓香46度 500ML</v>
          </cell>
          <cell r="D1620">
            <v>7</v>
          </cell>
          <cell r="E1620">
            <v>676.46</v>
          </cell>
          <cell r="F1620">
            <v>109.199971428571</v>
          </cell>
        </row>
        <row r="1621">
          <cell r="B1621" t="str">
            <v>70498599</v>
          </cell>
          <cell r="C1621" t="str">
            <v>肖尔布拉克 河谷醇46度 258ML</v>
          </cell>
          <cell r="D1621">
            <v>1</v>
          </cell>
          <cell r="E1621">
            <v>45.29</v>
          </cell>
          <cell r="F1621">
            <v>51.177700000000002</v>
          </cell>
        </row>
        <row r="1622">
          <cell r="B1622" t="str">
            <v>70498601</v>
          </cell>
          <cell r="C1622" t="str">
            <v>肖尔布拉克 52度原浆 500ML</v>
          </cell>
          <cell r="D1622">
            <v>1</v>
          </cell>
          <cell r="E1622">
            <v>57.96</v>
          </cell>
          <cell r="F1622">
            <v>65.494799999999998</v>
          </cell>
        </row>
        <row r="1623">
          <cell r="B1623" t="str">
            <v>70498603</v>
          </cell>
          <cell r="C1623" t="str">
            <v>肖尔布拉克 46度原浆 500ML</v>
          </cell>
          <cell r="D1623">
            <v>5</v>
          </cell>
          <cell r="E1623">
            <v>252.6</v>
          </cell>
          <cell r="F1623">
            <v>57.087600000000002</v>
          </cell>
        </row>
        <row r="1624">
          <cell r="B1624" t="str">
            <v>70499134</v>
          </cell>
          <cell r="C1624" t="str">
            <v>榆泉 52⁰榆泉酒社 500ML</v>
          </cell>
          <cell r="D1624">
            <v>85</v>
          </cell>
          <cell r="E1624">
            <v>2256.71</v>
          </cell>
          <cell r="F1624">
            <v>30.000968235294099</v>
          </cell>
        </row>
        <row r="1625">
          <cell r="B1625" t="str">
            <v>70501442</v>
          </cell>
          <cell r="C1625" t="str">
            <v>山粮 山粮糜子酒超值版简装金糜子46° 600ML</v>
          </cell>
          <cell r="D1625">
            <v>71</v>
          </cell>
          <cell r="E1625">
            <v>2796.08</v>
          </cell>
          <cell r="F1625">
            <v>44.500991549295797</v>
          </cell>
        </row>
        <row r="1626">
          <cell r="B1626" t="str">
            <v>70501446</v>
          </cell>
          <cell r="C1626" t="str">
            <v>山粮 糜子酒疆来50° 253ml</v>
          </cell>
          <cell r="D1626">
            <v>64</v>
          </cell>
          <cell r="E1626">
            <v>3535.44</v>
          </cell>
          <cell r="F1626">
            <v>62.4226125</v>
          </cell>
        </row>
        <row r="1627">
          <cell r="B1627" t="str">
            <v>70501910</v>
          </cell>
          <cell r="C1627" t="str">
            <v>洋河 海之蓝46度白酒 480ML</v>
          </cell>
          <cell r="D1627">
            <v>79</v>
          </cell>
          <cell r="E1627">
            <v>10836.32</v>
          </cell>
          <cell r="F1627">
            <v>155.00052658227801</v>
          </cell>
        </row>
        <row r="1628">
          <cell r="B1628" t="str">
            <v>70503625</v>
          </cell>
          <cell r="C1628" t="str">
            <v>苏州桥 蜜桃米露米酒 750ML</v>
          </cell>
          <cell r="D1628">
            <v>3</v>
          </cell>
          <cell r="E1628">
            <v>69.03</v>
          </cell>
          <cell r="F1628">
            <v>26.001300000000001</v>
          </cell>
        </row>
        <row r="1629">
          <cell r="B1629" t="str">
            <v>70504614</v>
          </cell>
          <cell r="C1629" t="str">
            <v>汾杏 （朋友）酒53° 475ML</v>
          </cell>
          <cell r="D1629">
            <v>6440</v>
          </cell>
          <cell r="E1629">
            <v>277133.05</v>
          </cell>
          <cell r="F1629">
            <v>48.627382996894397</v>
          </cell>
        </row>
        <row r="1630">
          <cell r="B1630" t="str">
            <v>70505647</v>
          </cell>
          <cell r="C1630" t="str">
            <v>中珠 一级园干红葡萄酒 750ML</v>
          </cell>
          <cell r="D1630">
            <v>996</v>
          </cell>
          <cell r="E1630">
            <v>46247.89</v>
          </cell>
          <cell r="F1630">
            <v>52.469995682730897</v>
          </cell>
        </row>
        <row r="1631">
          <cell r="B1631" t="str">
            <v>70505869</v>
          </cell>
          <cell r="C1631" t="str">
            <v>金龙泉 言值系列9° 500ML</v>
          </cell>
          <cell r="D1631">
            <v>221</v>
          </cell>
          <cell r="E1631">
            <v>489.02</v>
          </cell>
          <cell r="F1631">
            <v>2.5004190045248902</v>
          </cell>
        </row>
        <row r="1632">
          <cell r="B1632" t="str">
            <v>70506486</v>
          </cell>
          <cell r="C1632" t="str">
            <v>九言欢 威士忌青梅气泡酒 350ML</v>
          </cell>
          <cell r="D1632">
            <v>0</v>
          </cell>
          <cell r="E1632">
            <v>0</v>
          </cell>
          <cell r="F1632" t="e">
            <v>#DIV/0!</v>
          </cell>
        </row>
        <row r="1633">
          <cell r="B1633" t="str">
            <v>70506490</v>
          </cell>
          <cell r="C1633" t="str">
            <v>九言欢 威士忌白桃气泡酒 350ML</v>
          </cell>
          <cell r="D1633">
            <v>1</v>
          </cell>
          <cell r="E1633">
            <v>12.22</v>
          </cell>
          <cell r="F1633">
            <v>13.8086</v>
          </cell>
        </row>
        <row r="1634">
          <cell r="B1634" t="str">
            <v>70510578</v>
          </cell>
          <cell r="C1634" t="str">
            <v>悠蜜 蓝莓精酿遇见蓝雪 450ML</v>
          </cell>
          <cell r="D1634">
            <v>79</v>
          </cell>
          <cell r="E1634">
            <v>5383.22</v>
          </cell>
          <cell r="F1634">
            <v>77.000488607594903</v>
          </cell>
        </row>
        <row r="1635">
          <cell r="B1635" t="str">
            <v>70510580</v>
          </cell>
          <cell r="C1635" t="str">
            <v>悠蜜 蓝莓精酿遇见丹红丹青款 550ML</v>
          </cell>
          <cell r="D1635">
            <v>174</v>
          </cell>
          <cell r="E1635">
            <v>31874.33</v>
          </cell>
          <cell r="F1635">
            <v>206.999959195402</v>
          </cell>
        </row>
        <row r="1636">
          <cell r="B1636" t="str">
            <v>70510581</v>
          </cell>
          <cell r="C1636" t="str">
            <v>悠蜜 蓝莓精酿遇见丹红水墨款 550ML</v>
          </cell>
          <cell r="D1636">
            <v>1432</v>
          </cell>
          <cell r="E1636">
            <v>249649.58</v>
          </cell>
          <cell r="F1636">
            <v>197.00001773743</v>
          </cell>
        </row>
        <row r="1637">
          <cell r="B1637" t="str">
            <v>70510583</v>
          </cell>
          <cell r="C1637" t="str">
            <v>悠蜜 蓝莓精酿遇见灿烂 750ml</v>
          </cell>
          <cell r="D1637">
            <v>18</v>
          </cell>
          <cell r="E1637">
            <v>6515.02</v>
          </cell>
          <cell r="F1637">
            <v>408.99847777777802</v>
          </cell>
        </row>
        <row r="1638">
          <cell r="B1638" t="str">
            <v>70513717</v>
          </cell>
          <cell r="C1638" t="str">
            <v>小鸟 伏特加酒 500毫升/瓶</v>
          </cell>
          <cell r="D1638">
            <v>4</v>
          </cell>
          <cell r="E1638">
            <v>138.62</v>
          </cell>
          <cell r="F1638">
            <v>39.160150000000002</v>
          </cell>
        </row>
        <row r="1639">
          <cell r="B1639" t="str">
            <v>70514356</v>
          </cell>
          <cell r="C1639" t="str">
            <v>幸运莫斯卡托 甜白 750ML</v>
          </cell>
          <cell r="D1639">
            <v>174</v>
          </cell>
          <cell r="E1639">
            <v>4711.8599999999997</v>
          </cell>
          <cell r="F1639">
            <v>30.600010344827599</v>
          </cell>
        </row>
        <row r="1640">
          <cell r="B1640" t="str">
            <v>70514571</v>
          </cell>
          <cell r="C1640" t="str">
            <v>幸运莫斯卡托 桃红 750ML</v>
          </cell>
          <cell r="D1640">
            <v>179</v>
          </cell>
          <cell r="E1640">
            <v>4847.28</v>
          </cell>
          <cell r="F1640">
            <v>30.600147486033499</v>
          </cell>
        </row>
        <row r="1641">
          <cell r="B1641" t="str">
            <v>70514602</v>
          </cell>
          <cell r="C1641" t="str">
            <v>奥兰 小红帽橡木桶干红葡萄洒 750ML</v>
          </cell>
          <cell r="D1641">
            <v>139</v>
          </cell>
          <cell r="E1641">
            <v>3253.05</v>
          </cell>
          <cell r="F1641">
            <v>26.445658273381301</v>
          </cell>
        </row>
        <row r="1642">
          <cell r="B1642" t="str">
            <v>70514606</v>
          </cell>
          <cell r="C1642" t="str">
            <v>沱牌 特曲(窖龄20) 500ML</v>
          </cell>
          <cell r="D1642">
            <v>48</v>
          </cell>
          <cell r="E1642">
            <v>5231.37</v>
          </cell>
          <cell r="F1642">
            <v>123.15516875</v>
          </cell>
        </row>
        <row r="1643">
          <cell r="B1643" t="str">
            <v>70517816</v>
          </cell>
          <cell r="C1643" t="str">
            <v>黄金酱酒 贵宾窖藏 500ML</v>
          </cell>
          <cell r="D1643">
            <v>944</v>
          </cell>
          <cell r="E1643">
            <v>182116.86</v>
          </cell>
          <cell r="F1643">
            <v>218.00005487288101</v>
          </cell>
        </row>
        <row r="1644">
          <cell r="B1644" t="str">
            <v>70517917</v>
          </cell>
          <cell r="C1644" t="str">
            <v>黄金酱酒 贵宾典藏 500ML</v>
          </cell>
          <cell r="D1644">
            <v>3057</v>
          </cell>
          <cell r="E1644">
            <v>292249.42</v>
          </cell>
          <cell r="F1644">
            <v>108.028081321557</v>
          </cell>
        </row>
        <row r="1645">
          <cell r="B1645" t="str">
            <v>70518292</v>
          </cell>
          <cell r="C1645" t="str">
            <v>蕴河 牧羊人 500ML</v>
          </cell>
          <cell r="D1645">
            <v>9</v>
          </cell>
          <cell r="E1645">
            <v>278.8</v>
          </cell>
          <cell r="F1645">
            <v>35.0048888888889</v>
          </cell>
        </row>
        <row r="1646">
          <cell r="B1646" t="str">
            <v>70518464</v>
          </cell>
          <cell r="C1646" t="str">
            <v>蕴河 观云瓶 500ML</v>
          </cell>
          <cell r="D1646">
            <v>46</v>
          </cell>
          <cell r="E1646">
            <v>2849.68</v>
          </cell>
          <cell r="F1646">
            <v>70.003008695652198</v>
          </cell>
        </row>
        <row r="1647">
          <cell r="B1647" t="str">
            <v>70519352</v>
          </cell>
          <cell r="C1647" t="str">
            <v>怀沅 酱酒红盒 500ML</v>
          </cell>
          <cell r="D1647">
            <v>157</v>
          </cell>
          <cell r="E1647">
            <v>16988.73</v>
          </cell>
          <cell r="F1647">
            <v>122.27557261146499</v>
          </cell>
        </row>
        <row r="1648">
          <cell r="B1648" t="str">
            <v>70524448</v>
          </cell>
          <cell r="C1648" t="str">
            <v>五粮液 第八代二月初二(龙抬头)限量款 500ML</v>
          </cell>
          <cell r="D1648">
            <v>92</v>
          </cell>
          <cell r="E1648">
            <v>72484.960000000006</v>
          </cell>
          <cell r="F1648">
            <v>890.30439999999999</v>
          </cell>
        </row>
        <row r="1649">
          <cell r="B1649" t="str">
            <v>70524942</v>
          </cell>
          <cell r="C1649" t="str">
            <v>乌苏 啤酒1986 620ML</v>
          </cell>
          <cell r="D1649">
            <v>730</v>
          </cell>
          <cell r="E1649">
            <v>2584.1799999999998</v>
          </cell>
          <cell r="F1649">
            <v>4.0001690410958899</v>
          </cell>
        </row>
        <row r="1650">
          <cell r="B1650" t="str">
            <v>70525900</v>
          </cell>
          <cell r="C1650" t="str">
            <v>牛沫王 西游混合精酿啤酒礼盒 1L*4罐</v>
          </cell>
          <cell r="D1650">
            <v>47</v>
          </cell>
          <cell r="E1650">
            <v>2869.94</v>
          </cell>
          <cell r="F1650">
            <v>69.000685106383003</v>
          </cell>
        </row>
        <row r="1651">
          <cell r="B1651" t="str">
            <v>70528689</v>
          </cell>
          <cell r="C1651" t="str">
            <v>RIO 强爽荔枝伏特加风味 500ml</v>
          </cell>
          <cell r="D1651">
            <v>9</v>
          </cell>
          <cell r="E1651">
            <v>83.63</v>
          </cell>
          <cell r="F1651">
            <v>10.500211111111099</v>
          </cell>
        </row>
        <row r="1652">
          <cell r="B1652" t="str">
            <v>70531507</v>
          </cell>
          <cell r="C1652" t="str">
            <v>好客三酉 IPA98啤酒 750ML</v>
          </cell>
          <cell r="D1652">
            <v>768</v>
          </cell>
          <cell r="E1652">
            <v>21084.080000000002</v>
          </cell>
          <cell r="F1652">
            <v>31.0221489583333</v>
          </cell>
        </row>
        <row r="1653">
          <cell r="B1653" t="str">
            <v>70531509</v>
          </cell>
          <cell r="C1653" t="str">
            <v>好客三酉 精酿95啤酒 750ML</v>
          </cell>
          <cell r="D1653">
            <v>335</v>
          </cell>
          <cell r="E1653">
            <v>3035.28</v>
          </cell>
          <cell r="F1653">
            <v>10.238407164179099</v>
          </cell>
        </row>
        <row r="1654">
          <cell r="B1654" t="str">
            <v>70531511</v>
          </cell>
          <cell r="C1654" t="str">
            <v>好客三酉 艾尔92啤酒 500ML</v>
          </cell>
          <cell r="D1654">
            <v>344</v>
          </cell>
          <cell r="E1654">
            <v>1182.99</v>
          </cell>
          <cell r="F1654">
            <v>3.8859845930232599</v>
          </cell>
        </row>
        <row r="1655">
          <cell r="B1655" t="str">
            <v>70543120</v>
          </cell>
          <cell r="C1655" t="str">
            <v>喜神 醪糟 400G</v>
          </cell>
          <cell r="D1655">
            <v>0</v>
          </cell>
          <cell r="E1655">
            <v>0</v>
          </cell>
          <cell r="F1655" t="e">
            <v>#DIV/0!</v>
          </cell>
        </row>
        <row r="1656">
          <cell r="B1656" t="str">
            <v>70543438</v>
          </cell>
          <cell r="C1656" t="str">
            <v>剑南春 绵竹特曲 银棉柔 52度500ML</v>
          </cell>
          <cell r="D1656">
            <v>5577</v>
          </cell>
          <cell r="E1656">
            <v>415373.8</v>
          </cell>
          <cell r="F1656">
            <v>84.162164963241906</v>
          </cell>
        </row>
        <row r="1657">
          <cell r="B1657" t="str">
            <v>70546338</v>
          </cell>
          <cell r="C1657" t="str">
            <v>衡水老白干 E路同行41° 500ML</v>
          </cell>
          <cell r="D1657">
            <v>662</v>
          </cell>
          <cell r="E1657">
            <v>62166.6</v>
          </cell>
          <cell r="F1657">
            <v>106.115193353474</v>
          </cell>
        </row>
        <row r="1658">
          <cell r="B1658" t="str">
            <v>70546340</v>
          </cell>
          <cell r="C1658" t="str">
            <v>衡水老白干 E路同行52° 500ML</v>
          </cell>
          <cell r="D1658">
            <v>3263</v>
          </cell>
          <cell r="E1658">
            <v>362196.51</v>
          </cell>
          <cell r="F1658">
            <v>125.431215537849</v>
          </cell>
        </row>
        <row r="1659">
          <cell r="B1659" t="str">
            <v>70563858</v>
          </cell>
          <cell r="C1659" t="str">
            <v>金星 金星毛尖中式精酿啤酒 1L</v>
          </cell>
          <cell r="D1659">
            <v>2</v>
          </cell>
          <cell r="E1659">
            <v>23.9</v>
          </cell>
          <cell r="F1659">
            <v>13.503500000000001</v>
          </cell>
        </row>
        <row r="1660">
          <cell r="B1660" t="str">
            <v>70563863</v>
          </cell>
          <cell r="C1660" t="str">
            <v>金星 茉莉花茶中式精酿啤酒 1L</v>
          </cell>
          <cell r="D1660">
            <v>5</v>
          </cell>
          <cell r="E1660">
            <v>59.75</v>
          </cell>
          <cell r="F1660">
            <v>13.503500000000001</v>
          </cell>
        </row>
        <row r="1661">
          <cell r="B1661" t="str">
            <v>70563871</v>
          </cell>
          <cell r="C1661" t="str">
            <v>金星 蜜桃乌龙中式精酿啤酒 1L</v>
          </cell>
          <cell r="D1661">
            <v>4</v>
          </cell>
          <cell r="E1661">
            <v>47.8</v>
          </cell>
          <cell r="F1661">
            <v>13.503500000000001</v>
          </cell>
        </row>
        <row r="1662">
          <cell r="B1662" t="str">
            <v>70566191</v>
          </cell>
          <cell r="C1662" t="str">
            <v>牛沫王 湿岛精品礼盒 提（ 1L*6罐）</v>
          </cell>
          <cell r="D1662">
            <v>0</v>
          </cell>
          <cell r="E1662">
            <v>0</v>
          </cell>
          <cell r="F1662" t="e">
            <v>#DIV/0!</v>
          </cell>
        </row>
        <row r="1663">
          <cell r="B1663" t="str">
            <v>70566193</v>
          </cell>
          <cell r="C1663" t="str">
            <v>牛沫王 雪山礼盒 提</v>
          </cell>
          <cell r="D1663">
            <v>0</v>
          </cell>
          <cell r="E1663">
            <v>0</v>
          </cell>
          <cell r="F1663" t="e">
            <v>#DIV/0!</v>
          </cell>
        </row>
        <row r="1664">
          <cell r="B1664" t="str">
            <v>70566249</v>
          </cell>
          <cell r="C1664" t="str">
            <v>六只天鹅 原浆精酿啤酒 500ML/罐</v>
          </cell>
          <cell r="D1664">
            <v>0</v>
          </cell>
          <cell r="E1664">
            <v>0</v>
          </cell>
          <cell r="F1664" t="e">
            <v>#DIV/0!</v>
          </cell>
        </row>
        <row r="1665">
          <cell r="B1665" t="str">
            <v>70574734</v>
          </cell>
          <cell r="C1665" t="str">
            <v>杜康 品质酒 500ML</v>
          </cell>
          <cell r="D1665">
            <v>30</v>
          </cell>
          <cell r="E1665">
            <v>2508.52</v>
          </cell>
          <cell r="F1665">
            <v>94.487586666666701</v>
          </cell>
        </row>
        <row r="1666">
          <cell r="B1666" t="str">
            <v>70574735</v>
          </cell>
          <cell r="C1666" t="str">
            <v>杜康 珍品酒 500ML</v>
          </cell>
          <cell r="D1666">
            <v>18</v>
          </cell>
          <cell r="E1666">
            <v>5118.0600000000004</v>
          </cell>
          <cell r="F1666">
            <v>321.30043333333299</v>
          </cell>
        </row>
        <row r="1667">
          <cell r="B1667" t="str">
            <v>70574845</v>
          </cell>
          <cell r="C1667" t="str">
            <v>泸州老窖 泸州福福庆双辉 500ML</v>
          </cell>
          <cell r="D1667">
            <v>4843</v>
          </cell>
          <cell r="E1667">
            <v>386357.21</v>
          </cell>
          <cell r="F1667">
            <v>90.147356452612001</v>
          </cell>
        </row>
        <row r="1668">
          <cell r="B1668" t="str">
            <v>70580245</v>
          </cell>
          <cell r="C1668" t="str">
            <v>六只天鹅 原浆精酿啤酒13° 2L</v>
          </cell>
          <cell r="D1668">
            <v>0</v>
          </cell>
          <cell r="E1668">
            <v>0</v>
          </cell>
          <cell r="F1668" t="e">
            <v>#DIV/0!</v>
          </cell>
        </row>
        <row r="1669">
          <cell r="B1669" t="str">
            <v>70580247</v>
          </cell>
          <cell r="C1669" t="str">
            <v>六只天鹅 原浆精酿啤酒13° 10L</v>
          </cell>
          <cell r="D1669">
            <v>0</v>
          </cell>
          <cell r="E1669">
            <v>0</v>
          </cell>
          <cell r="F1669" t="e">
            <v>#DIV/0!</v>
          </cell>
        </row>
        <row r="1670">
          <cell r="B1670" t="str">
            <v>70597343</v>
          </cell>
          <cell r="C1670" t="str">
            <v>火爆 口杯酒系列(241)42％VOL 50ML</v>
          </cell>
          <cell r="D1670">
            <v>70</v>
          </cell>
          <cell r="E1670">
            <v>0</v>
          </cell>
          <cell r="F1670">
            <v>0</v>
          </cell>
        </row>
        <row r="1671">
          <cell r="B1671" t="str">
            <v>70640288</v>
          </cell>
          <cell r="C1671" t="str">
            <v>乌苏 乌苏秘酿1L罐 1L</v>
          </cell>
          <cell r="D1671">
            <v>927</v>
          </cell>
          <cell r="E1671">
            <v>10676.51</v>
          </cell>
          <cell r="F1671">
            <v>13.014515965479999</v>
          </cell>
        </row>
        <row r="1672">
          <cell r="B1672" t="str">
            <v>70656933</v>
          </cell>
          <cell r="C1672" t="str">
            <v>参天地 陈酿 500ML</v>
          </cell>
          <cell r="D1672">
            <v>2760</v>
          </cell>
          <cell r="E1672">
            <v>709268.05</v>
          </cell>
          <cell r="F1672">
            <v>290.38873061594199</v>
          </cell>
        </row>
        <row r="1673">
          <cell r="B1673" t="str">
            <v>70656934</v>
          </cell>
          <cell r="C1673" t="str">
            <v>参天地 佳酿 500ML</v>
          </cell>
          <cell r="D1673">
            <v>2598</v>
          </cell>
          <cell r="E1673">
            <v>482940.47</v>
          </cell>
          <cell r="F1673">
            <v>210.05493883756699</v>
          </cell>
        </row>
        <row r="1674">
          <cell r="B1674" t="str">
            <v>70656954</v>
          </cell>
          <cell r="C1674" t="str">
            <v>参天地 精酿 500ML</v>
          </cell>
          <cell r="D1674">
            <v>16706</v>
          </cell>
          <cell r="E1674">
            <v>1554081.16</v>
          </cell>
          <cell r="F1674">
            <v>105.11862269843201</v>
          </cell>
        </row>
        <row r="1675">
          <cell r="B1675" t="str">
            <v>70686389</v>
          </cell>
          <cell r="C1675" t="str">
            <v>北牧元 新疆酸奶子精酿 750ML*4</v>
          </cell>
          <cell r="D1675">
            <v>193</v>
          </cell>
          <cell r="E1675">
            <v>10418.780000000001</v>
          </cell>
          <cell r="F1675">
            <v>61.001147150259101</v>
          </cell>
        </row>
        <row r="1676">
          <cell r="B1676" t="str">
            <v>70686391</v>
          </cell>
          <cell r="C1676" t="str">
            <v>北牧元 新疆奶皮子精酿 750ML*4</v>
          </cell>
          <cell r="D1676">
            <v>166</v>
          </cell>
          <cell r="E1676">
            <v>8961.2999999999993</v>
          </cell>
          <cell r="F1676">
            <v>61.001620481927702</v>
          </cell>
        </row>
        <row r="1677">
          <cell r="B1677" t="str">
            <v>70686398</v>
          </cell>
          <cell r="C1677" t="str">
            <v>北牧元 新疆枸杞子精酿 750ML*2</v>
          </cell>
          <cell r="D1677">
            <v>6</v>
          </cell>
          <cell r="E1677">
            <v>164.61</v>
          </cell>
          <cell r="F1677">
            <v>31.001550000000002</v>
          </cell>
        </row>
        <row r="1678">
          <cell r="B1678" t="str">
            <v>70690872</v>
          </cell>
          <cell r="C1678" t="str">
            <v>优斯麦尔 46度伊力特（佳藏） 500ML</v>
          </cell>
          <cell r="D1678">
            <v>40507</v>
          </cell>
          <cell r="E1678">
            <v>1797937.87</v>
          </cell>
          <cell r="F1678">
            <v>50.156017308119601</v>
          </cell>
        </row>
        <row r="1679">
          <cell r="B1679" t="str">
            <v>70690981</v>
          </cell>
          <cell r="C1679" t="str">
            <v>优斯麦尔 46度伊力特（佳藏） 250ML</v>
          </cell>
          <cell r="D1679">
            <v>75420</v>
          </cell>
          <cell r="E1679">
            <v>2472192.96</v>
          </cell>
          <cell r="F1679">
            <v>37.040281686555304</v>
          </cell>
        </row>
        <row r="1680">
          <cell r="B1680" t="str">
            <v>70690982</v>
          </cell>
          <cell r="C1680" t="str">
            <v>优斯麦尔 52度伊力特（礼藏） 500ML</v>
          </cell>
          <cell r="D1680">
            <v>18574</v>
          </cell>
          <cell r="E1680">
            <v>3262073.23</v>
          </cell>
          <cell r="F1680">
            <v>198.45713093033299</v>
          </cell>
        </row>
        <row r="1681">
          <cell r="B1681" t="str">
            <v>70000159</v>
          </cell>
          <cell r="C1681" t="str">
            <v>箭牌 益达 木糖醇清爽蜜瓜 56g</v>
          </cell>
          <cell r="D1681">
            <v>2603</v>
          </cell>
          <cell r="E1681">
            <v>23100.17</v>
          </cell>
          <cell r="F1681">
            <v>10.028118363426801</v>
          </cell>
        </row>
        <row r="1682">
          <cell r="B1682" t="str">
            <v>70000659</v>
          </cell>
          <cell r="C1682" t="str">
            <v>好丽友 木糖醇3＋无糖口香糖超檬/苹果/蜜桃 101g</v>
          </cell>
          <cell r="D1682">
            <v>5359</v>
          </cell>
          <cell r="E1682">
            <v>54418.8</v>
          </cell>
          <cell r="F1682">
            <v>11.474760962866201</v>
          </cell>
        </row>
        <row r="1683">
          <cell r="B1683" t="str">
            <v>70000792</v>
          </cell>
          <cell r="C1683" t="str">
            <v>箭牌 益达 木糖醇清爽草莓 56g</v>
          </cell>
          <cell r="D1683">
            <v>1588</v>
          </cell>
          <cell r="E1683">
            <v>14112.14</v>
          </cell>
          <cell r="F1683">
            <v>10.0420139798489</v>
          </cell>
        </row>
        <row r="1684">
          <cell r="B1684" t="str">
            <v>70000793</v>
          </cell>
          <cell r="C1684" t="str">
            <v>昆仑好客优选益达 木糖醇冰凉薄荷瓶装40粒 56g</v>
          </cell>
          <cell r="D1684">
            <v>4819</v>
          </cell>
          <cell r="E1684">
            <v>44538.99</v>
          </cell>
          <cell r="F1684">
            <v>10.443880203361701</v>
          </cell>
        </row>
        <row r="1685">
          <cell r="B1685" t="str">
            <v>70000795</v>
          </cell>
          <cell r="C1685" t="str">
            <v>昆仑好客优选益达 木糖醇香橙薄荷味40粒 56g</v>
          </cell>
          <cell r="D1685">
            <v>4650</v>
          </cell>
          <cell r="E1685">
            <v>43025.87</v>
          </cell>
          <cell r="F1685">
            <v>10.4557490537634</v>
          </cell>
        </row>
        <row r="1686">
          <cell r="B1686" t="str">
            <v>70001139</v>
          </cell>
          <cell r="C1686" t="str">
            <v>阿尔卑斯 牛奶糖条形原味 31g</v>
          </cell>
          <cell r="D1686">
            <v>4878</v>
          </cell>
          <cell r="E1686">
            <v>9888.75</v>
          </cell>
          <cell r="F1686">
            <v>2.2907518450184501</v>
          </cell>
        </row>
        <row r="1687">
          <cell r="B1687" t="str">
            <v>70001360</v>
          </cell>
          <cell r="C1687" t="str">
            <v>费列罗 榛果威化巧克力8粒心型装 100g</v>
          </cell>
          <cell r="D1687">
            <v>66</v>
          </cell>
          <cell r="E1687">
            <v>2336.37</v>
          </cell>
          <cell r="F1687">
            <v>40.001486363636403</v>
          </cell>
        </row>
        <row r="1688">
          <cell r="B1688" t="str">
            <v>70001869</v>
          </cell>
          <cell r="C1688" t="str">
            <v>徐福记 蜜桃味夹馅棉花糖袋装CN 20*64g</v>
          </cell>
          <cell r="D1688">
            <v>0</v>
          </cell>
          <cell r="E1688">
            <v>0</v>
          </cell>
          <cell r="F1688" t="e">
            <v>#DIV/0!</v>
          </cell>
        </row>
        <row r="1689">
          <cell r="B1689" t="str">
            <v>70004249</v>
          </cell>
          <cell r="C1689" t="str">
            <v>好丽友 新木糖醇3＋葡萄/西柚/菠萝 101g</v>
          </cell>
          <cell r="D1689">
            <v>5530</v>
          </cell>
          <cell r="E1689">
            <v>55184.62</v>
          </cell>
          <cell r="F1689">
            <v>11.276423254972901</v>
          </cell>
        </row>
        <row r="1690">
          <cell r="B1690" t="str">
            <v>70004310</v>
          </cell>
          <cell r="C1690" t="str">
            <v>德芙 丝滑牛奶巧克力 80G</v>
          </cell>
          <cell r="D1690">
            <v>3222</v>
          </cell>
          <cell r="E1690">
            <v>35600.81</v>
          </cell>
          <cell r="F1690">
            <v>12.485696865301099</v>
          </cell>
        </row>
        <row r="1691">
          <cell r="B1691" t="str">
            <v>70004311</v>
          </cell>
          <cell r="C1691" t="str">
            <v>德芙 榛仁巧克力 80G</v>
          </cell>
          <cell r="D1691">
            <v>3140</v>
          </cell>
          <cell r="E1691">
            <v>34617.879999999997</v>
          </cell>
          <cell r="F1691">
            <v>12.458026878980901</v>
          </cell>
        </row>
        <row r="1692">
          <cell r="B1692" t="str">
            <v>70004314</v>
          </cell>
          <cell r="C1692" t="str">
            <v>德芙 黑巧克力 80G</v>
          </cell>
          <cell r="D1692">
            <v>2934</v>
          </cell>
          <cell r="E1692">
            <v>32374.02</v>
          </cell>
          <cell r="F1692">
            <v>12.4685216768916</v>
          </cell>
        </row>
        <row r="1693">
          <cell r="B1693" t="str">
            <v>70004321</v>
          </cell>
          <cell r="C1693" t="str">
            <v>德芙 脆香米分享装 120G</v>
          </cell>
          <cell r="D1693">
            <v>318</v>
          </cell>
          <cell r="E1693">
            <v>4817.21</v>
          </cell>
          <cell r="F1693">
            <v>17.1177588050314</v>
          </cell>
        </row>
        <row r="1694">
          <cell r="B1694" t="str">
            <v>70004358</v>
          </cell>
          <cell r="C1694" t="str">
            <v>士力架 花生夹心巧克力 35G</v>
          </cell>
          <cell r="D1694">
            <v>6039</v>
          </cell>
          <cell r="E1694">
            <v>17712.099999999999</v>
          </cell>
          <cell r="F1694">
            <v>3.31423629740023</v>
          </cell>
        </row>
        <row r="1695">
          <cell r="B1695" t="str">
            <v>70004487</v>
          </cell>
          <cell r="C1695" t="str">
            <v>阿尔卑斯 草莓牛奶味条形装 31g</v>
          </cell>
          <cell r="D1695">
            <v>3</v>
          </cell>
          <cell r="E1695">
            <v>6</v>
          </cell>
          <cell r="F1695">
            <v>2.2599999999999998</v>
          </cell>
        </row>
        <row r="1696">
          <cell r="B1696" t="str">
            <v>70004489</v>
          </cell>
          <cell r="C1696" t="str">
            <v>阿尔卑斯 葡萄牛奶硬糖 35G*24</v>
          </cell>
          <cell r="D1696">
            <v>21</v>
          </cell>
          <cell r="E1696">
            <v>41.87</v>
          </cell>
          <cell r="F1696">
            <v>2.25300476190476</v>
          </cell>
        </row>
        <row r="1697">
          <cell r="B1697" t="str">
            <v>70004496</v>
          </cell>
          <cell r="C1697" t="str">
            <v>阿尔卑斯 香橙牛奶硬糖条形装 31G</v>
          </cell>
          <cell r="D1697">
            <v>4</v>
          </cell>
          <cell r="E1697">
            <v>7.99</v>
          </cell>
          <cell r="F1697">
            <v>2.2571750000000002</v>
          </cell>
        </row>
        <row r="1698">
          <cell r="B1698" t="str">
            <v>70004529</v>
          </cell>
          <cell r="C1698" t="str">
            <v>阿尔卑斯 棒棒糖 12支/包</v>
          </cell>
          <cell r="D1698">
            <v>1105</v>
          </cell>
          <cell r="E1698">
            <v>5084.5</v>
          </cell>
          <cell r="F1698">
            <v>5.19953393665158</v>
          </cell>
        </row>
        <row r="1699">
          <cell r="B1699" t="str">
            <v>70004657</v>
          </cell>
          <cell r="C1699" t="str">
            <v>悠哈 特浓加钙草莓牛奶糖</v>
          </cell>
          <cell r="D1699">
            <v>15</v>
          </cell>
          <cell r="E1699">
            <v>144.69</v>
          </cell>
          <cell r="F1699">
            <v>10.899979999999999</v>
          </cell>
        </row>
        <row r="1700">
          <cell r="B1700" t="str">
            <v>70014160</v>
          </cell>
          <cell r="C1700" t="str">
            <v>阿尔卑斯 条形软糖酸奶味 33G</v>
          </cell>
          <cell r="D1700">
            <v>5877</v>
          </cell>
          <cell r="E1700">
            <v>11880.08</v>
          </cell>
          <cell r="F1700">
            <v>2.2842420282456999</v>
          </cell>
        </row>
        <row r="1701">
          <cell r="B1701" t="str">
            <v>70020262</v>
          </cell>
          <cell r="C1701" t="str">
            <v>不二家 水果棒糖8支装 50G</v>
          </cell>
          <cell r="D1701">
            <v>0</v>
          </cell>
          <cell r="E1701">
            <v>0</v>
          </cell>
          <cell r="F1701" t="e">
            <v>#DIV/0!</v>
          </cell>
        </row>
        <row r="1702">
          <cell r="B1702" t="str">
            <v>70020276</v>
          </cell>
          <cell r="C1702" t="str">
            <v>不二家 牛奶棒糖8支装 46G</v>
          </cell>
          <cell r="D1702">
            <v>6</v>
          </cell>
          <cell r="E1702">
            <v>25.02</v>
          </cell>
          <cell r="F1702">
            <v>4.7121000000000004</v>
          </cell>
        </row>
        <row r="1703">
          <cell r="B1703" t="str">
            <v>70023846</v>
          </cell>
          <cell r="C1703" t="str">
            <v>曼妥思 劲嚼充气糖水果味 37g</v>
          </cell>
          <cell r="D1703">
            <v>2</v>
          </cell>
          <cell r="E1703">
            <v>4.03</v>
          </cell>
          <cell r="F1703">
            <v>2.2769499999999998</v>
          </cell>
        </row>
        <row r="1704">
          <cell r="B1704" t="str">
            <v>70024981</v>
          </cell>
          <cell r="C1704" t="str">
            <v>清嘴 含片(柠檬味) 6.9g</v>
          </cell>
          <cell r="D1704">
            <v>82</v>
          </cell>
          <cell r="E1704">
            <v>276.48</v>
          </cell>
          <cell r="F1704">
            <v>3.8100292682926802</v>
          </cell>
        </row>
        <row r="1705">
          <cell r="B1705" t="str">
            <v>70024983</v>
          </cell>
          <cell r="C1705" t="str">
            <v>清嘴 含片(草莓味) 6.9g</v>
          </cell>
          <cell r="D1705">
            <v>67</v>
          </cell>
          <cell r="E1705">
            <v>230.43</v>
          </cell>
          <cell r="F1705">
            <v>3.88635671641791</v>
          </cell>
        </row>
        <row r="1706">
          <cell r="B1706" t="str">
            <v>70025158</v>
          </cell>
          <cell r="C1706" t="str">
            <v>费列罗 榛果威化巧克力16粒装  200g</v>
          </cell>
          <cell r="D1706">
            <v>56</v>
          </cell>
          <cell r="E1706">
            <v>2741.22</v>
          </cell>
          <cell r="F1706">
            <v>55.313903571428597</v>
          </cell>
        </row>
        <row r="1707">
          <cell r="B1707" t="str">
            <v>70025161</v>
          </cell>
          <cell r="C1707" t="str">
            <v>费列罗巧克力3粒装37.5g</v>
          </cell>
          <cell r="D1707">
            <v>594</v>
          </cell>
          <cell r="E1707">
            <v>4639.1499999999996</v>
          </cell>
          <cell r="F1707">
            <v>8.8253190235690209</v>
          </cell>
        </row>
        <row r="1708">
          <cell r="B1708" t="str">
            <v>70025164</v>
          </cell>
          <cell r="C1708" t="str">
            <v>费列罗 榛果五粒装 62.5g</v>
          </cell>
          <cell r="D1708">
            <v>15</v>
          </cell>
          <cell r="E1708">
            <v>272.16000000000003</v>
          </cell>
          <cell r="F1708">
            <v>20.50272</v>
          </cell>
        </row>
        <row r="1709">
          <cell r="B1709" t="str">
            <v>70025165</v>
          </cell>
          <cell r="C1709" t="str">
            <v>健达巧克力4条装50g</v>
          </cell>
          <cell r="D1709">
            <v>135</v>
          </cell>
          <cell r="E1709">
            <v>987.73</v>
          </cell>
          <cell r="F1709">
            <v>8.2676659259259306</v>
          </cell>
        </row>
        <row r="1710">
          <cell r="B1710" t="str">
            <v>70025269</v>
          </cell>
          <cell r="C1710" t="str">
            <v>箭牌薄荷糖铁盒装35粒原味 3.8g</v>
          </cell>
          <cell r="D1710">
            <v>1377</v>
          </cell>
          <cell r="E1710">
            <v>8422.36</v>
          </cell>
          <cell r="F1710">
            <v>6.9115953522149596</v>
          </cell>
        </row>
        <row r="1711">
          <cell r="B1711" t="str">
            <v>70026783</v>
          </cell>
          <cell r="C1711" t="str">
            <v>旺仔 桔子味QQ糖 70G</v>
          </cell>
          <cell r="D1711">
            <v>0</v>
          </cell>
          <cell r="E1711">
            <v>0</v>
          </cell>
          <cell r="F1711" t="e">
            <v>#DIV/0!</v>
          </cell>
        </row>
        <row r="1712">
          <cell r="B1712" t="str">
            <v>70026784</v>
          </cell>
          <cell r="C1712" t="str">
            <v>旺仔 葡萄味QQ糖 70G</v>
          </cell>
          <cell r="D1712">
            <v>2</v>
          </cell>
          <cell r="E1712">
            <v>6.66</v>
          </cell>
          <cell r="F1712">
            <v>3.7629000000000001</v>
          </cell>
        </row>
        <row r="1713">
          <cell r="B1713" t="str">
            <v>70026785</v>
          </cell>
          <cell r="C1713" t="str">
            <v>旺仔 菠萝味QQ糖 70G</v>
          </cell>
          <cell r="D1713">
            <v>0</v>
          </cell>
          <cell r="E1713">
            <v>0</v>
          </cell>
          <cell r="F1713" t="e">
            <v>#DIV/0!</v>
          </cell>
        </row>
        <row r="1714">
          <cell r="B1714" t="str">
            <v>70026786</v>
          </cell>
          <cell r="C1714" t="str">
            <v>旺仔 水蜜桃味QQ糖 70G</v>
          </cell>
          <cell r="D1714">
            <v>0</v>
          </cell>
          <cell r="E1714">
            <v>0</v>
          </cell>
          <cell r="F1714" t="e">
            <v>#DIV/0!</v>
          </cell>
        </row>
        <row r="1715">
          <cell r="B1715" t="str">
            <v>70026788</v>
          </cell>
          <cell r="C1715" t="str">
            <v>旺仔 荔枝味QQ糖 70G</v>
          </cell>
          <cell r="D1715">
            <v>5</v>
          </cell>
          <cell r="E1715">
            <v>16.649999999999999</v>
          </cell>
          <cell r="F1715">
            <v>3.7629000000000001</v>
          </cell>
        </row>
        <row r="1716">
          <cell r="B1716" t="str">
            <v>70026790</v>
          </cell>
          <cell r="C1716" t="str">
            <v>旺仔 草莓味QQ糖 70G</v>
          </cell>
          <cell r="D1716">
            <v>0</v>
          </cell>
          <cell r="E1716">
            <v>0</v>
          </cell>
          <cell r="F1716" t="e">
            <v>#DIV/0!</v>
          </cell>
        </row>
        <row r="1717">
          <cell r="B1717" t="str">
            <v>70026791</v>
          </cell>
          <cell r="C1717" t="str">
            <v>旺仔 蓝莓味QQ糖 70G</v>
          </cell>
          <cell r="D1717">
            <v>0</v>
          </cell>
          <cell r="E1717">
            <v>0</v>
          </cell>
          <cell r="F1717" t="e">
            <v>#DIV/0!</v>
          </cell>
        </row>
        <row r="1718">
          <cell r="B1718" t="str">
            <v>70026973</v>
          </cell>
          <cell r="C1718" t="str">
            <v>旺旺 旺仔牛奶糖 58G</v>
          </cell>
          <cell r="D1718">
            <v>8</v>
          </cell>
          <cell r="E1718">
            <v>25.18</v>
          </cell>
          <cell r="F1718">
            <v>3.5566749999999998</v>
          </cell>
        </row>
        <row r="1719">
          <cell r="B1719" t="str">
            <v>70027294</v>
          </cell>
          <cell r="C1719" t="str">
            <v>春光 鲜奶椰子糖 200G</v>
          </cell>
          <cell r="D1719">
            <v>59</v>
          </cell>
          <cell r="E1719">
            <v>689.25</v>
          </cell>
          <cell r="F1719">
            <v>13.200889830508499</v>
          </cell>
        </row>
        <row r="1720">
          <cell r="B1720" t="str">
            <v>70035717</v>
          </cell>
          <cell r="C1720" t="str">
            <v>曼妥思 冻感粒方无糖口香糖薄荷味 46G</v>
          </cell>
          <cell r="D1720">
            <v>1860</v>
          </cell>
          <cell r="E1720">
            <v>14818.67</v>
          </cell>
          <cell r="F1720">
            <v>9.0027403763440805</v>
          </cell>
        </row>
        <row r="1721">
          <cell r="B1721" t="str">
            <v>70035718</v>
          </cell>
          <cell r="C1721" t="str">
            <v>曼妥思 冻感粒方无糖口香糖葡萄味 46G</v>
          </cell>
          <cell r="D1721">
            <v>2111</v>
          </cell>
          <cell r="E1721">
            <v>16849.07</v>
          </cell>
          <cell r="F1721">
            <v>9.0191611084793895</v>
          </cell>
        </row>
        <row r="1722">
          <cell r="B1722" t="str">
            <v>70036879</v>
          </cell>
          <cell r="C1722" t="str">
            <v>明治 牛奶巧克力 65G</v>
          </cell>
          <cell r="D1722">
            <v>199</v>
          </cell>
          <cell r="E1722">
            <v>2249.85</v>
          </cell>
          <cell r="F1722">
            <v>12.7755301507538</v>
          </cell>
        </row>
        <row r="1723">
          <cell r="B1723" t="str">
            <v>70038014</v>
          </cell>
          <cell r="C1723" t="str">
            <v>昆仑好客优选箭牌 彩虹糖迷你桶 30g</v>
          </cell>
          <cell r="D1723">
            <v>2326</v>
          </cell>
          <cell r="E1723">
            <v>7373.74</v>
          </cell>
          <cell r="F1723">
            <v>3.5822554600171999</v>
          </cell>
        </row>
        <row r="1724">
          <cell r="B1724" t="str">
            <v>70044485</v>
          </cell>
          <cell r="C1724" t="str">
            <v>昆仑好客优选德芙 丝滑牛奶巧克力 43g</v>
          </cell>
          <cell r="D1724">
            <v>2852</v>
          </cell>
          <cell r="E1724">
            <v>17442.03</v>
          </cell>
          <cell r="F1724">
            <v>6.9107622370266499</v>
          </cell>
        </row>
        <row r="1725">
          <cell r="B1725" t="str">
            <v>70044486</v>
          </cell>
          <cell r="C1725" t="str">
            <v>德芙 黑巧克力 43G</v>
          </cell>
          <cell r="D1725">
            <v>873</v>
          </cell>
          <cell r="E1725">
            <v>5303.88</v>
          </cell>
          <cell r="F1725">
            <v>6.8652742268041198</v>
          </cell>
        </row>
        <row r="1726">
          <cell r="B1726" t="str">
            <v>70044487</v>
          </cell>
          <cell r="C1726" t="str">
            <v>德芙 榛子巧克力 43G</v>
          </cell>
          <cell r="D1726">
            <v>3900</v>
          </cell>
          <cell r="E1726">
            <v>24687.97</v>
          </cell>
          <cell r="F1726">
            <v>7.1531810512820497</v>
          </cell>
        </row>
        <row r="1727">
          <cell r="B1727" t="str">
            <v>70044488</v>
          </cell>
          <cell r="C1727" t="str">
            <v>德芙 榛仁、巴旦木及葡萄干巧克力 43G</v>
          </cell>
          <cell r="D1727">
            <v>29</v>
          </cell>
          <cell r="E1727">
            <v>184.77</v>
          </cell>
          <cell r="F1727">
            <v>7.19965862068966</v>
          </cell>
        </row>
        <row r="1728">
          <cell r="B1728" t="str">
            <v>70044495</v>
          </cell>
          <cell r="C1728" t="str">
            <v>德芙 士力架 花生 70G</v>
          </cell>
          <cell r="D1728">
            <v>7610</v>
          </cell>
          <cell r="E1728">
            <v>39377.39</v>
          </cell>
          <cell r="F1728">
            <v>5.8471025886990802</v>
          </cell>
        </row>
        <row r="1729">
          <cell r="B1729" t="str">
            <v>70045003</v>
          </cell>
          <cell r="C1729" t="str">
            <v>M＆M 牛奶巧克力豆筒装 30.6G</v>
          </cell>
          <cell r="D1729">
            <v>0</v>
          </cell>
          <cell r="E1729">
            <v>0</v>
          </cell>
          <cell r="F1729" t="e">
            <v>#DIV/0!</v>
          </cell>
        </row>
        <row r="1730">
          <cell r="B1730" t="str">
            <v>70045276</v>
          </cell>
          <cell r="C1730" t="str">
            <v>好丽友 木糖醇花香茉莉＋玫瑰 101g</v>
          </cell>
          <cell r="D1730">
            <v>5600</v>
          </cell>
          <cell r="E1730">
            <v>56362.11</v>
          </cell>
          <cell r="F1730">
            <v>11.373068625</v>
          </cell>
        </row>
        <row r="1731">
          <cell r="B1731" t="str">
            <v>70045396</v>
          </cell>
          <cell r="C1731" t="str">
            <v>悠哈 特浓牛奶糖(条) 40G</v>
          </cell>
          <cell r="D1731">
            <v>1033</v>
          </cell>
          <cell r="E1731">
            <v>4348.6000000000004</v>
          </cell>
          <cell r="F1731">
            <v>4.7569390125847004</v>
          </cell>
        </row>
        <row r="1732">
          <cell r="B1732" t="str">
            <v>70047666</v>
          </cell>
          <cell r="C1732" t="str">
            <v>悠哈 特浓 牛奶糖 102G</v>
          </cell>
          <cell r="D1732">
            <v>466</v>
          </cell>
          <cell r="E1732">
            <v>3734.96</v>
          </cell>
          <cell r="F1732">
            <v>9.0568772532188806</v>
          </cell>
        </row>
        <row r="1733">
          <cell r="B1733" t="str">
            <v>70053745</v>
          </cell>
          <cell r="C1733" t="str">
            <v>万多吉 苹果味嘉云糖 200G</v>
          </cell>
          <cell r="D1733">
            <v>5</v>
          </cell>
          <cell r="E1733">
            <v>73.040000000000006</v>
          </cell>
          <cell r="F1733">
            <v>16.50704</v>
          </cell>
        </row>
        <row r="1734">
          <cell r="B1734" t="str">
            <v>70054793</v>
          </cell>
          <cell r="C1734" t="str">
            <v>德芙 奶香白巧克力 43g</v>
          </cell>
          <cell r="D1734">
            <v>2066</v>
          </cell>
          <cell r="E1734">
            <v>12988.23</v>
          </cell>
          <cell r="F1734">
            <v>7.1039205711519804</v>
          </cell>
        </row>
        <row r="1735">
          <cell r="B1735" t="str">
            <v>70054853</v>
          </cell>
          <cell r="C1735" t="str">
            <v>曼妥思 冻感粒方无糖口香糖热带水果味 46G</v>
          </cell>
          <cell r="D1735">
            <v>201</v>
          </cell>
          <cell r="E1735">
            <v>1597.48</v>
          </cell>
          <cell r="F1735">
            <v>8.9808577114427894</v>
          </cell>
        </row>
        <row r="1736">
          <cell r="B1736" t="str">
            <v>70054855</v>
          </cell>
          <cell r="C1736" t="str">
            <v>曼妥思 清劲夹心无糖口香糖瓶装清新薄荷味 56G</v>
          </cell>
          <cell r="D1736">
            <v>1431</v>
          </cell>
          <cell r="E1736">
            <v>11412.15</v>
          </cell>
          <cell r="F1736">
            <v>9.0116907756813394</v>
          </cell>
        </row>
        <row r="1737">
          <cell r="B1737" t="str">
            <v>70055009</v>
          </cell>
          <cell r="C1737" t="str">
            <v>大三角 巧克力 100G</v>
          </cell>
          <cell r="D1737">
            <v>17</v>
          </cell>
          <cell r="E1737">
            <v>228.71</v>
          </cell>
          <cell r="F1737">
            <v>15.2024882352941</v>
          </cell>
        </row>
        <row r="1738">
          <cell r="B1738" t="str">
            <v>70058438</v>
          </cell>
          <cell r="C1738" t="str">
            <v>顺发 芝麻官芝麻杆 85G</v>
          </cell>
          <cell r="D1738">
            <v>372</v>
          </cell>
          <cell r="E1738">
            <v>1050.43</v>
          </cell>
          <cell r="F1738">
            <v>3.1908223118279602</v>
          </cell>
        </row>
        <row r="1739">
          <cell r="B1739" t="str">
            <v>70058980</v>
          </cell>
          <cell r="C1739" t="str">
            <v>马大姐 原味话梅糖 100g</v>
          </cell>
          <cell r="D1739">
            <v>8</v>
          </cell>
          <cell r="E1739">
            <v>32.57</v>
          </cell>
          <cell r="F1739">
            <v>4.6005124999999998</v>
          </cell>
        </row>
        <row r="1740">
          <cell r="B1740" t="str">
            <v>70059631</v>
          </cell>
          <cell r="C1740" t="str">
            <v>南国 大粒椰子糖 200G</v>
          </cell>
          <cell r="D1740">
            <v>33</v>
          </cell>
          <cell r="E1740">
            <v>264.79000000000002</v>
          </cell>
          <cell r="F1740">
            <v>9.0670515151515207</v>
          </cell>
        </row>
        <row r="1741">
          <cell r="B1741" t="str">
            <v>70066042</v>
          </cell>
          <cell r="C1741" t="str">
            <v>瑞士 三角巧克力 100G</v>
          </cell>
          <cell r="D1741">
            <v>7</v>
          </cell>
          <cell r="E1741">
            <v>94.18</v>
          </cell>
          <cell r="F1741">
            <v>15.2033428571429</v>
          </cell>
        </row>
        <row r="1742">
          <cell r="B1742" t="str">
            <v>70069768</v>
          </cell>
          <cell r="C1742" t="str">
            <v>徐福记 熊博士口嚼糖 桔子味 22G</v>
          </cell>
          <cell r="D1742">
            <v>389</v>
          </cell>
          <cell r="E1742">
            <v>397.08</v>
          </cell>
          <cell r="F1742">
            <v>1.1534714652956299</v>
          </cell>
        </row>
        <row r="1743">
          <cell r="B1743" t="str">
            <v>70069769</v>
          </cell>
          <cell r="C1743" t="str">
            <v>徐福记 熊博士口嚼糖 葡萄味 22G</v>
          </cell>
          <cell r="D1743">
            <v>4189</v>
          </cell>
          <cell r="E1743">
            <v>4293.8599999999997</v>
          </cell>
          <cell r="F1743">
            <v>1.1582864168059199</v>
          </cell>
        </row>
        <row r="1744">
          <cell r="B1744" t="str">
            <v>70069770</v>
          </cell>
          <cell r="C1744" t="str">
            <v>徐福记 熊博士口嚼糖 水蜜桃味 22G</v>
          </cell>
          <cell r="D1744">
            <v>4548</v>
          </cell>
          <cell r="E1744">
            <v>4671.96</v>
          </cell>
          <cell r="F1744">
            <v>1.1607992084432699</v>
          </cell>
        </row>
        <row r="1745">
          <cell r="B1745" t="str">
            <v>70069887</v>
          </cell>
          <cell r="C1745" t="str">
            <v>费列罗 健达奇趣蛋彩蛋 20克</v>
          </cell>
          <cell r="D1745">
            <v>14</v>
          </cell>
          <cell r="E1745">
            <v>89.1</v>
          </cell>
          <cell r="F1745">
            <v>7.1916428571428597</v>
          </cell>
        </row>
        <row r="1746">
          <cell r="B1746" t="str">
            <v>70069932</v>
          </cell>
          <cell r="C1746" t="str">
            <v>熊博士 60果汁软糖(草莓) 60G</v>
          </cell>
          <cell r="D1746">
            <v>12</v>
          </cell>
          <cell r="E1746">
            <v>38.04</v>
          </cell>
          <cell r="F1746">
            <v>3.5821000000000001</v>
          </cell>
        </row>
        <row r="1747">
          <cell r="B1747" t="str">
            <v>70077867</v>
          </cell>
          <cell r="C1747" t="str">
            <v>嘉云 红心柚味糖 200g</v>
          </cell>
          <cell r="D1747">
            <v>1</v>
          </cell>
          <cell r="E1747">
            <v>13.28</v>
          </cell>
          <cell r="F1747">
            <v>15.006399999999999</v>
          </cell>
        </row>
        <row r="1748">
          <cell r="B1748" t="str">
            <v>70079069</v>
          </cell>
          <cell r="C1748" t="str">
            <v>箭牌 大大柔软泡泡糖 4.8G</v>
          </cell>
          <cell r="D1748">
            <v>352884</v>
          </cell>
          <cell r="E1748">
            <v>49681.760000000002</v>
          </cell>
          <cell r="F1748">
            <v>0.15909020754695599</v>
          </cell>
        </row>
        <row r="1749">
          <cell r="B1749" t="str">
            <v>70087561</v>
          </cell>
          <cell r="C1749" t="str">
            <v>不二家 8支牛奶棒棒糖(草莓芒果味) 46G</v>
          </cell>
          <cell r="D1749">
            <v>6</v>
          </cell>
          <cell r="E1749">
            <v>25.02</v>
          </cell>
          <cell r="F1749">
            <v>4.7121000000000004</v>
          </cell>
        </row>
        <row r="1750">
          <cell r="B1750" t="str">
            <v>70087564</v>
          </cell>
          <cell r="C1750" t="str">
            <v>不二家 8支装清爽型棒棒糖 50G</v>
          </cell>
          <cell r="D1750">
            <v>3</v>
          </cell>
          <cell r="E1750">
            <v>12.24</v>
          </cell>
          <cell r="F1750">
            <v>4.6104000000000003</v>
          </cell>
        </row>
        <row r="1751">
          <cell r="B1751" t="str">
            <v>70090053</v>
          </cell>
          <cell r="C1751" t="str">
            <v>嘉云 酸樱桃味糖 200G</v>
          </cell>
          <cell r="D1751">
            <v>198</v>
          </cell>
          <cell r="E1751">
            <v>2592.2199999999998</v>
          </cell>
          <cell r="F1751">
            <v>14.7939828282828</v>
          </cell>
        </row>
        <row r="1752">
          <cell r="B1752" t="str">
            <v>70091652</v>
          </cell>
          <cell r="C1752" t="str">
            <v>绿箭 金装口香糖薄荷味 32g</v>
          </cell>
          <cell r="D1752">
            <v>1131</v>
          </cell>
          <cell r="E1752">
            <v>4866.26</v>
          </cell>
          <cell r="F1752">
            <v>4.8619573828470397</v>
          </cell>
        </row>
        <row r="1753">
          <cell r="B1753" t="str">
            <v>70091653</v>
          </cell>
          <cell r="C1753" t="str">
            <v>昆仑好客优选益达奔涌西瓜40粒 -2024版 56g*6*6</v>
          </cell>
          <cell r="D1753">
            <v>5524</v>
          </cell>
          <cell r="E1753">
            <v>51022.2</v>
          </cell>
          <cell r="F1753">
            <v>10.437198769008001</v>
          </cell>
        </row>
        <row r="1754">
          <cell r="B1754" t="str">
            <v>70092619</v>
          </cell>
          <cell r="C1754" t="str">
            <v>悠哈 特浓抹茶牛奶条糖 40G</v>
          </cell>
          <cell r="D1754">
            <v>164</v>
          </cell>
          <cell r="E1754">
            <v>696.77</v>
          </cell>
          <cell r="F1754">
            <v>4.8009152439024403</v>
          </cell>
        </row>
        <row r="1755">
          <cell r="B1755" t="str">
            <v>70101333</v>
          </cell>
          <cell r="C1755" t="str">
            <v>嘉云 柠檬味硬糖</v>
          </cell>
          <cell r="D1755">
            <v>165</v>
          </cell>
          <cell r="E1755">
            <v>2200</v>
          </cell>
          <cell r="F1755">
            <v>15.0666666666667</v>
          </cell>
        </row>
        <row r="1756">
          <cell r="B1756" t="str">
            <v>70101334</v>
          </cell>
          <cell r="C1756" t="str">
            <v>嘉云 四季水果味糖 200g</v>
          </cell>
          <cell r="D1756">
            <v>404</v>
          </cell>
          <cell r="E1756">
            <v>5002.68</v>
          </cell>
          <cell r="F1756">
            <v>13.992644554455399</v>
          </cell>
        </row>
        <row r="1757">
          <cell r="B1757" t="str">
            <v>70101335</v>
          </cell>
          <cell r="C1757" t="str">
            <v>嘉云 混合水果味糖果 200g</v>
          </cell>
          <cell r="D1757">
            <v>270</v>
          </cell>
          <cell r="E1757">
            <v>3579.93</v>
          </cell>
          <cell r="F1757">
            <v>14.982670000000001</v>
          </cell>
        </row>
        <row r="1758">
          <cell r="B1758" t="str">
            <v>70101336</v>
          </cell>
          <cell r="C1758" t="str">
            <v>瑞奥 瑞奥润喉糖柠檬 15G</v>
          </cell>
          <cell r="D1758">
            <v>70</v>
          </cell>
          <cell r="E1758">
            <v>417.98</v>
          </cell>
          <cell r="F1758">
            <v>6.7473914285714303</v>
          </cell>
        </row>
        <row r="1759">
          <cell r="B1759" t="str">
            <v>70101339</v>
          </cell>
          <cell r="C1759" t="str">
            <v>瑞奥 瑞奥润喉糖皓洁冰爽 15G</v>
          </cell>
          <cell r="D1759">
            <v>39</v>
          </cell>
          <cell r="E1759">
            <v>232.44</v>
          </cell>
          <cell r="F1759">
            <v>6.7347999999999999</v>
          </cell>
        </row>
        <row r="1760">
          <cell r="B1760" t="str">
            <v>70101548</v>
          </cell>
          <cell r="C1760" t="str">
            <v>徐福记 葡萄果汁糖 60G</v>
          </cell>
          <cell r="D1760">
            <v>2</v>
          </cell>
          <cell r="E1760">
            <v>6.34</v>
          </cell>
          <cell r="F1760">
            <v>3.5821000000000001</v>
          </cell>
        </row>
        <row r="1761">
          <cell r="B1761" t="str">
            <v>70104234</v>
          </cell>
          <cell r="C1761" t="str">
            <v>昆仑好客优选绿箭 薄荷糖茉莉花茶味35粒 23.8g</v>
          </cell>
          <cell r="D1761">
            <v>2766</v>
          </cell>
          <cell r="E1761">
            <v>17028.27</v>
          </cell>
          <cell r="F1761">
            <v>6.9565962039045504</v>
          </cell>
        </row>
        <row r="1762">
          <cell r="B1762" t="str">
            <v>70104235</v>
          </cell>
          <cell r="C1762" t="str">
            <v>昆仑好客优选绿箭 薄荷糖冰柠薄荷味35粒 23.8g</v>
          </cell>
          <cell r="D1762">
            <v>2346</v>
          </cell>
          <cell r="E1762">
            <v>14428.07</v>
          </cell>
          <cell r="F1762">
            <v>6.9495818840579702</v>
          </cell>
        </row>
        <row r="1763">
          <cell r="B1763" t="str">
            <v>70104803</v>
          </cell>
          <cell r="C1763" t="str">
            <v>嘉云 薄荷味糖果 200g</v>
          </cell>
          <cell r="D1763">
            <v>196</v>
          </cell>
          <cell r="E1763">
            <v>2528.06</v>
          </cell>
          <cell r="F1763">
            <v>14.5750397959184</v>
          </cell>
        </row>
        <row r="1764">
          <cell r="B1764" t="str">
            <v>70118646</v>
          </cell>
          <cell r="C1764" t="str">
            <v>不二家 果味大棒棒糖(蜜桃味＋葡萄味＋哈密瓜味＋香橙味)280克盒装</v>
          </cell>
          <cell r="D1764">
            <v>14178</v>
          </cell>
          <cell r="E1764">
            <v>8840.5400000000009</v>
          </cell>
          <cell r="F1764">
            <v>0.70459939342643496</v>
          </cell>
        </row>
        <row r="1765">
          <cell r="B1765" t="str">
            <v>70118647</v>
          </cell>
          <cell r="C1765" t="str">
            <v>不二家 牛奶大棒棒糖(香醇牛奶味＋乳酸牛奶味＋奶茶味＋巧克力牛奶味)280克盒装</v>
          </cell>
          <cell r="D1765">
            <v>11698</v>
          </cell>
          <cell r="E1765">
            <v>7276.59</v>
          </cell>
          <cell r="F1765">
            <v>0.70290192340571001</v>
          </cell>
        </row>
        <row r="1766">
          <cell r="B1766" t="str">
            <v>70119339</v>
          </cell>
          <cell r="C1766" t="str">
            <v>嘉云 橙味糖 200g</v>
          </cell>
          <cell r="D1766">
            <v>229</v>
          </cell>
          <cell r="E1766">
            <v>3020.49</v>
          </cell>
          <cell r="F1766">
            <v>14.9046013100437</v>
          </cell>
        </row>
        <row r="1767">
          <cell r="B1767" t="str">
            <v>70120965</v>
          </cell>
          <cell r="C1767" t="str">
            <v>建达 牛奶巧G力 100G</v>
          </cell>
          <cell r="D1767">
            <v>101</v>
          </cell>
          <cell r="E1767">
            <v>1387.59</v>
          </cell>
          <cell r="F1767">
            <v>15.5245217821782</v>
          </cell>
        </row>
        <row r="1768">
          <cell r="B1768" t="str">
            <v>70125930</v>
          </cell>
          <cell r="C1768" t="str">
            <v>百诺 能量脆牛奶巧克力 23g</v>
          </cell>
          <cell r="D1768">
            <v>24</v>
          </cell>
          <cell r="E1768">
            <v>39.35</v>
          </cell>
          <cell r="F1768">
            <v>1.8527291666666701</v>
          </cell>
        </row>
        <row r="1769">
          <cell r="B1769" t="str">
            <v>70156919</v>
          </cell>
          <cell r="C1769" t="str">
            <v>口力 午餐橡皮糖 77G</v>
          </cell>
          <cell r="D1769">
            <v>1</v>
          </cell>
          <cell r="E1769">
            <v>8.32</v>
          </cell>
          <cell r="F1769">
            <v>9.4016000000000002</v>
          </cell>
        </row>
        <row r="1770">
          <cell r="B1770" t="str">
            <v>70159869</v>
          </cell>
          <cell r="C1770" t="str">
            <v>益达冰爽柠檬40粒 -2024版 56g*6*6</v>
          </cell>
          <cell r="D1770">
            <v>2</v>
          </cell>
          <cell r="E1770">
            <v>17.84</v>
          </cell>
          <cell r="F1770">
            <v>10.079599999999999</v>
          </cell>
        </row>
        <row r="1771">
          <cell r="B1771" t="str">
            <v>70162178</v>
          </cell>
          <cell r="C1771" t="str">
            <v>瑞奥 清香荔枝味薄荷糖 14G</v>
          </cell>
          <cell r="D1771">
            <v>12</v>
          </cell>
          <cell r="E1771">
            <v>105.11</v>
          </cell>
          <cell r="F1771">
            <v>9.8978583333333301</v>
          </cell>
        </row>
        <row r="1772">
          <cell r="B1772" t="str">
            <v>70162179</v>
          </cell>
          <cell r="C1772" t="str">
            <v>瑞奥 百香果薄荷糖 14G</v>
          </cell>
          <cell r="D1772">
            <v>11</v>
          </cell>
          <cell r="E1772">
            <v>84.68</v>
          </cell>
          <cell r="F1772">
            <v>8.6989454545454592</v>
          </cell>
        </row>
        <row r="1773">
          <cell r="B1773" t="str">
            <v>70164922</v>
          </cell>
          <cell r="C1773" t="str">
            <v>昆仑好客优选益达 木糖醇沁香蓝莓味40粒 56g</v>
          </cell>
          <cell r="D1773">
            <v>5590</v>
          </cell>
          <cell r="E1773">
            <v>50080</v>
          </cell>
          <cell r="F1773">
            <v>10.123506261180699</v>
          </cell>
        </row>
        <row r="1774">
          <cell r="B1774" t="str">
            <v>70167614</v>
          </cell>
          <cell r="C1774" t="str">
            <v>京都念慈庵金桔柠檬糖罐装 60G</v>
          </cell>
          <cell r="D1774">
            <v>217</v>
          </cell>
          <cell r="E1774">
            <v>3199.66</v>
          </cell>
          <cell r="F1774">
            <v>16.6618239631336</v>
          </cell>
        </row>
        <row r="1775">
          <cell r="B1775" t="str">
            <v>70167616</v>
          </cell>
          <cell r="C1775" t="str">
            <v>京都念慈庵枇杷糖罐装 60G</v>
          </cell>
          <cell r="D1775">
            <v>141</v>
          </cell>
          <cell r="E1775">
            <v>2083.54</v>
          </cell>
          <cell r="F1775">
            <v>16.6978737588652</v>
          </cell>
        </row>
        <row r="1776">
          <cell r="B1776" t="str">
            <v>70179931</v>
          </cell>
          <cell r="C1776" t="str">
            <v>口力 汉堡橡皮糖 108G</v>
          </cell>
          <cell r="D1776">
            <v>0</v>
          </cell>
          <cell r="E1776">
            <v>0</v>
          </cell>
          <cell r="F1776" t="e">
            <v>#DIV/0!</v>
          </cell>
        </row>
        <row r="1777">
          <cell r="B1777" t="str">
            <v>70180226</v>
          </cell>
          <cell r="C1777" t="str">
            <v>悠哈 特浓巧克力牛奶糖 102g</v>
          </cell>
          <cell r="D1777">
            <v>359</v>
          </cell>
          <cell r="E1777">
            <v>2938.36</v>
          </cell>
          <cell r="F1777">
            <v>9.2488768802228396</v>
          </cell>
        </row>
        <row r="1778">
          <cell r="B1778" t="str">
            <v>70180229</v>
          </cell>
          <cell r="C1778" t="str">
            <v>悠哈 特浓草莓牛奶糖 102g</v>
          </cell>
          <cell r="D1778">
            <v>410</v>
          </cell>
          <cell r="E1778">
            <v>3352.17</v>
          </cell>
          <cell r="F1778">
            <v>9.2389075609756102</v>
          </cell>
        </row>
        <row r="1779">
          <cell r="B1779" t="str">
            <v>70180943</v>
          </cell>
          <cell r="C1779" t="str">
            <v>明治 黑巧克力 65G</v>
          </cell>
          <cell r="D1779">
            <v>286</v>
          </cell>
          <cell r="E1779">
            <v>3231.84</v>
          </cell>
          <cell r="F1779">
            <v>12.769158041958001</v>
          </cell>
        </row>
        <row r="1780">
          <cell r="B1780" t="str">
            <v>70183862</v>
          </cell>
          <cell r="C1780" t="str">
            <v>徐福记 熊博士口嚼糖哈密瓜味 24G</v>
          </cell>
          <cell r="D1780">
            <v>4417</v>
          </cell>
          <cell r="E1780">
            <v>4524.58</v>
          </cell>
          <cell r="F1780">
            <v>1.15752216436495</v>
          </cell>
        </row>
        <row r="1781">
          <cell r="B1781" t="str">
            <v>70188786</v>
          </cell>
          <cell r="C1781" t="str">
            <v>旺仔 牛奶糖原味 42G</v>
          </cell>
          <cell r="D1781">
            <v>0</v>
          </cell>
          <cell r="E1781">
            <v>0</v>
          </cell>
          <cell r="F1781" t="e">
            <v>#DIV/0!</v>
          </cell>
        </row>
        <row r="1782">
          <cell r="B1782" t="str">
            <v>70192353</v>
          </cell>
          <cell r="C1782" t="str">
            <v>箭牌 绿箭瓶装 40粒</v>
          </cell>
          <cell r="D1782">
            <v>1112</v>
          </cell>
          <cell r="E1782">
            <v>8029.04</v>
          </cell>
          <cell r="F1782">
            <v>8.1590064748201403</v>
          </cell>
        </row>
        <row r="1783">
          <cell r="B1783" t="str">
            <v>70193080</v>
          </cell>
          <cell r="C1783" t="str">
            <v>明治 澳洲坚果夹心巧克力 58G</v>
          </cell>
          <cell r="D1783">
            <v>205</v>
          </cell>
          <cell r="E1783">
            <v>2902.72</v>
          </cell>
          <cell r="F1783">
            <v>16.0003590243902</v>
          </cell>
        </row>
        <row r="1784">
          <cell r="B1784" t="str">
            <v>70193081</v>
          </cell>
          <cell r="C1784" t="str">
            <v>明治 澳洲坚果夹心黑巧克力 58G</v>
          </cell>
          <cell r="D1784">
            <v>219</v>
          </cell>
          <cell r="E1784">
            <v>3100.96</v>
          </cell>
          <cell r="F1784">
            <v>16.000387214611901</v>
          </cell>
        </row>
        <row r="1785">
          <cell r="B1785" t="str">
            <v>70196447</v>
          </cell>
          <cell r="C1785" t="str">
            <v>熊博士 口嚼糖 22G</v>
          </cell>
          <cell r="D1785">
            <v>823</v>
          </cell>
          <cell r="E1785">
            <v>840.7</v>
          </cell>
          <cell r="F1785">
            <v>1.15430255164034</v>
          </cell>
        </row>
        <row r="1786">
          <cell r="B1786" t="str">
            <v>70198041</v>
          </cell>
          <cell r="C1786" t="str">
            <v>曼妥思 冻感粒方无糖口香糖橘柚味 46g</v>
          </cell>
          <cell r="D1786">
            <v>2195</v>
          </cell>
          <cell r="E1786">
            <v>17511.740000000002</v>
          </cell>
          <cell r="F1786">
            <v>9.0151554441913397</v>
          </cell>
        </row>
        <row r="1787">
          <cell r="B1787" t="str">
            <v>70198985</v>
          </cell>
          <cell r="C1787" t="str">
            <v>清嘴 百香果味咀嚼片 25G</v>
          </cell>
          <cell r="D1787">
            <v>24</v>
          </cell>
          <cell r="E1787">
            <v>155.96</v>
          </cell>
          <cell r="F1787">
            <v>7.3431166666666696</v>
          </cell>
        </row>
        <row r="1788">
          <cell r="B1788" t="str">
            <v>70198986</v>
          </cell>
          <cell r="C1788" t="str">
            <v>清嘴 芒果味咀嚼片 25G</v>
          </cell>
          <cell r="D1788">
            <v>33</v>
          </cell>
          <cell r="E1788">
            <v>214.5</v>
          </cell>
          <cell r="F1788">
            <v>7.3449999999999998</v>
          </cell>
        </row>
        <row r="1789">
          <cell r="B1789" t="str">
            <v>70198987</v>
          </cell>
          <cell r="C1789" t="str">
            <v>清嘴 西柚味咀嚼片 25G</v>
          </cell>
          <cell r="D1789">
            <v>32</v>
          </cell>
          <cell r="E1789">
            <v>207.98</v>
          </cell>
          <cell r="F1789">
            <v>7.3442937500000003</v>
          </cell>
        </row>
        <row r="1790">
          <cell r="B1790" t="str">
            <v>70198988</v>
          </cell>
          <cell r="C1790" t="str">
            <v>清嘴 青苹果味咀嚼片 25G</v>
          </cell>
          <cell r="D1790">
            <v>17</v>
          </cell>
          <cell r="E1790">
            <v>110.5</v>
          </cell>
          <cell r="F1790">
            <v>7.3449999999999998</v>
          </cell>
        </row>
        <row r="1791">
          <cell r="B1791" t="str">
            <v>70206387</v>
          </cell>
          <cell r="C1791" t="str">
            <v>脆香米 脆米心牛奶巧克力 24G</v>
          </cell>
          <cell r="D1791">
            <v>986</v>
          </cell>
          <cell r="E1791">
            <v>2916.81</v>
          </cell>
          <cell r="F1791">
            <v>3.3427944219066901</v>
          </cell>
        </row>
        <row r="1792">
          <cell r="B1792" t="str">
            <v>70206421</v>
          </cell>
          <cell r="C1792" t="str">
            <v>真知棒 什锦水果味108支常规装(4种口味) 972g</v>
          </cell>
          <cell r="D1792">
            <v>3024</v>
          </cell>
          <cell r="E1792">
            <v>813.38</v>
          </cell>
          <cell r="F1792">
            <v>0.30394160052910102</v>
          </cell>
        </row>
        <row r="1793">
          <cell r="B1793" t="str">
            <v>70206429</v>
          </cell>
          <cell r="C1793" t="str">
            <v>炫迈 跃动鲜果味无糖口香糖 28片</v>
          </cell>
          <cell r="D1793">
            <v>4372</v>
          </cell>
          <cell r="E1793">
            <v>33899.839999999997</v>
          </cell>
          <cell r="F1793">
            <v>8.7618525160109808</v>
          </cell>
        </row>
        <row r="1794">
          <cell r="B1794" t="str">
            <v>70206431</v>
          </cell>
          <cell r="C1794" t="str">
            <v>炫迈 炫动薄荷味无糖口香糖 50.4G</v>
          </cell>
          <cell r="D1794">
            <v>4263</v>
          </cell>
          <cell r="E1794">
            <v>31234.59</v>
          </cell>
          <cell r="F1794">
            <v>8.2794010555946507</v>
          </cell>
        </row>
        <row r="1795">
          <cell r="B1795" t="str">
            <v>70206433</v>
          </cell>
          <cell r="C1795" t="str">
            <v>炫迈 水蜜西瓜味无糖口香糖 50.4G</v>
          </cell>
          <cell r="D1795">
            <v>4881</v>
          </cell>
          <cell r="E1795">
            <v>35236.46</v>
          </cell>
          <cell r="F1795">
            <v>8.1575906166769094</v>
          </cell>
        </row>
        <row r="1796">
          <cell r="B1796" t="str">
            <v>70214482</v>
          </cell>
          <cell r="C1796" t="str">
            <v>宝奴咪 毛毛虫橡皮糖 150G</v>
          </cell>
          <cell r="D1796">
            <v>324</v>
          </cell>
          <cell r="E1796">
            <v>2675.71</v>
          </cell>
          <cell r="F1796">
            <v>9.3319515432098807</v>
          </cell>
        </row>
        <row r="1797">
          <cell r="B1797" t="str">
            <v>70214483</v>
          </cell>
          <cell r="C1797" t="str">
            <v>宝奴咪 小熊橡皮糖 150G</v>
          </cell>
          <cell r="D1797">
            <v>333</v>
          </cell>
          <cell r="E1797">
            <v>2754.08</v>
          </cell>
          <cell r="F1797">
            <v>9.3456768768768796</v>
          </cell>
        </row>
        <row r="1798">
          <cell r="B1798" t="str">
            <v>70214484</v>
          </cell>
          <cell r="C1798" t="str">
            <v>宝奴咪 酸桃心橡皮糖 150G</v>
          </cell>
          <cell r="D1798">
            <v>254</v>
          </cell>
          <cell r="E1798">
            <v>2093.0700000000002</v>
          </cell>
          <cell r="F1798">
            <v>9.3116893700787404</v>
          </cell>
        </row>
        <row r="1799">
          <cell r="B1799" t="str">
            <v>70214485</v>
          </cell>
          <cell r="C1799" t="str">
            <v>宝奴咪 酸沙彩虫橡皮糖 150G</v>
          </cell>
          <cell r="D1799">
            <v>259</v>
          </cell>
          <cell r="E1799">
            <v>2067.5</v>
          </cell>
          <cell r="F1799">
            <v>9.0203667953667903</v>
          </cell>
        </row>
        <row r="1800">
          <cell r="B1800" t="str">
            <v>70215674</v>
          </cell>
          <cell r="C1800" t="str">
            <v>昆仑好客优选士力架 花生夹心巧克力 51g</v>
          </cell>
          <cell r="D1800">
            <v>4931</v>
          </cell>
          <cell r="E1800">
            <v>15285.3</v>
          </cell>
          <cell r="F1800">
            <v>3.5028166700466401</v>
          </cell>
        </row>
        <row r="1801">
          <cell r="B1801" t="str">
            <v>70216277</v>
          </cell>
          <cell r="C1801" t="str">
            <v>嘉云 糖野生浆果味 175G</v>
          </cell>
          <cell r="D1801">
            <v>80</v>
          </cell>
          <cell r="E1801">
            <v>1027.58</v>
          </cell>
          <cell r="F1801">
            <v>14.5145675</v>
          </cell>
        </row>
        <row r="1802">
          <cell r="B1802" t="str">
            <v>70217391</v>
          </cell>
          <cell r="C1802" t="str">
            <v>旺仔 牛奶糖(草莓) 42G</v>
          </cell>
          <cell r="D1802">
            <v>18</v>
          </cell>
          <cell r="E1802">
            <v>48.96</v>
          </cell>
          <cell r="F1802">
            <v>3.0735999999999999</v>
          </cell>
        </row>
        <row r="1803">
          <cell r="B1803" t="str">
            <v>70224337</v>
          </cell>
          <cell r="C1803" t="str">
            <v>好丽友 新木糖醇3+草莓/青提/香瓜 101g</v>
          </cell>
          <cell r="D1803">
            <v>5431</v>
          </cell>
          <cell r="E1803">
            <v>53562.1</v>
          </cell>
          <cell r="F1803">
            <v>11.1443883262751</v>
          </cell>
        </row>
        <row r="1804">
          <cell r="B1804" t="str">
            <v>70230783</v>
          </cell>
          <cell r="C1804" t="str">
            <v>京都 念慈菴柠檬草薄荷糖 60G</v>
          </cell>
          <cell r="D1804">
            <v>139</v>
          </cell>
          <cell r="E1804">
            <v>2048.83</v>
          </cell>
          <cell r="F1804">
            <v>16.655956115107902</v>
          </cell>
        </row>
        <row r="1805">
          <cell r="B1805" t="str">
            <v>70233092</v>
          </cell>
          <cell r="C1805" t="str">
            <v>德芙 什锦巧克力(碗装) 252G</v>
          </cell>
          <cell r="D1805">
            <v>5</v>
          </cell>
          <cell r="E1805">
            <v>168.15</v>
          </cell>
          <cell r="F1805">
            <v>38.001899999999999</v>
          </cell>
        </row>
        <row r="1806">
          <cell r="B1806" t="str">
            <v>70233265</v>
          </cell>
          <cell r="C1806" t="str">
            <v>昆仑好客优选＋ 益达摇益摇蜜瓜70粒 98G</v>
          </cell>
          <cell r="D1806">
            <v>3436</v>
          </cell>
          <cell r="E1806">
            <v>38063.24</v>
          </cell>
          <cell r="F1806">
            <v>12.517887427241</v>
          </cell>
        </row>
        <row r="1807">
          <cell r="B1807" t="str">
            <v>70233717</v>
          </cell>
          <cell r="C1807" t="str">
            <v>昆仑好客优选益达清爽草莓70粒瓶装-2024版 98g*6*6</v>
          </cell>
          <cell r="D1807">
            <v>2937</v>
          </cell>
          <cell r="E1807">
            <v>32527</v>
          </cell>
          <cell r="F1807">
            <v>12.514644194756601</v>
          </cell>
        </row>
        <row r="1808">
          <cell r="B1808" t="str">
            <v>70235370</v>
          </cell>
          <cell r="C1808" t="str">
            <v>德芙 丝滑牛奶巧克力 84G</v>
          </cell>
          <cell r="D1808">
            <v>1897</v>
          </cell>
          <cell r="E1808">
            <v>21203.77</v>
          </cell>
          <cell r="F1808">
            <v>12.6306062730627</v>
          </cell>
        </row>
        <row r="1809">
          <cell r="B1809" t="str">
            <v>70235371</v>
          </cell>
          <cell r="C1809" t="str">
            <v>德芙 棒仁果粒巧克力 84G</v>
          </cell>
          <cell r="D1809">
            <v>1835</v>
          </cell>
          <cell r="E1809">
            <v>20422.990000000002</v>
          </cell>
          <cell r="F1809">
            <v>12.5765551498638</v>
          </cell>
        </row>
        <row r="1810">
          <cell r="B1810" t="str">
            <v>70236403</v>
          </cell>
          <cell r="C1810" t="str">
            <v>德芙 丝滑牛奶碗装巧克力 252g</v>
          </cell>
          <cell r="D1810">
            <v>39</v>
          </cell>
          <cell r="E1810">
            <v>1185.2</v>
          </cell>
          <cell r="F1810">
            <v>34.340410256410301</v>
          </cell>
        </row>
        <row r="1811">
          <cell r="B1811" t="str">
            <v>70239752</v>
          </cell>
          <cell r="C1811" t="str">
            <v>德芙 香浓黑巧克力 84G</v>
          </cell>
          <cell r="D1811">
            <v>1977</v>
          </cell>
          <cell r="E1811">
            <v>22115.05</v>
          </cell>
          <cell r="F1811">
            <v>12.640367475973701</v>
          </cell>
        </row>
        <row r="1812">
          <cell r="B1812" t="str">
            <v>70240566</v>
          </cell>
          <cell r="C1812" t="str">
            <v>健达奇趣蛋女孩版20g</v>
          </cell>
          <cell r="D1812">
            <v>289</v>
          </cell>
          <cell r="E1812">
            <v>1840.74</v>
          </cell>
          <cell r="F1812">
            <v>7.1973570934256097</v>
          </cell>
        </row>
        <row r="1813">
          <cell r="B1813" t="str">
            <v>70240567</v>
          </cell>
          <cell r="C1813" t="str">
            <v>健达奇趣蛋男孩版20g</v>
          </cell>
          <cell r="D1813">
            <v>292</v>
          </cell>
          <cell r="E1813">
            <v>1857.27</v>
          </cell>
          <cell r="F1813">
            <v>7.1873804794520497</v>
          </cell>
        </row>
        <row r="1814">
          <cell r="B1814" t="str">
            <v>70241016</v>
          </cell>
          <cell r="C1814" t="str">
            <v>德芙 心语礼盒 150G</v>
          </cell>
          <cell r="D1814">
            <v>7</v>
          </cell>
          <cell r="E1814">
            <v>369.92</v>
          </cell>
          <cell r="F1814">
            <v>59.715657142857097</v>
          </cell>
        </row>
        <row r="1815">
          <cell r="B1815" t="str">
            <v>70243582</v>
          </cell>
          <cell r="C1815" t="str">
            <v>卡夫 炫迈无糖薄荷糖劲爽薄荷味 22.5G</v>
          </cell>
          <cell r="D1815">
            <v>3057</v>
          </cell>
          <cell r="E1815">
            <v>11756.44</v>
          </cell>
          <cell r="F1815">
            <v>4.3456909388289198</v>
          </cell>
        </row>
        <row r="1816">
          <cell r="B1816" t="str">
            <v>70243583</v>
          </cell>
          <cell r="C1816" t="str">
            <v>卡夫 炫迈无糖薄荷糖缤纷果莓味 22.5G</v>
          </cell>
          <cell r="D1816">
            <v>1855</v>
          </cell>
          <cell r="E1816">
            <v>10658.79</v>
          </cell>
          <cell r="F1816">
            <v>6.4929556334231799</v>
          </cell>
        </row>
        <row r="1817">
          <cell r="B1817" t="str">
            <v>70247266</v>
          </cell>
          <cell r="C1817" t="str">
            <v>酷滋 无糖薄荷糖水蜜桃味 21g</v>
          </cell>
          <cell r="D1817">
            <v>54</v>
          </cell>
          <cell r="E1817">
            <v>399.6</v>
          </cell>
          <cell r="F1817">
            <v>8.3620000000000001</v>
          </cell>
        </row>
        <row r="1818">
          <cell r="B1818" t="str">
            <v>70249088</v>
          </cell>
          <cell r="C1818" t="str">
            <v>清嘴 水果罐子夹心软糖缤纷果味 30g</v>
          </cell>
          <cell r="D1818">
            <v>4</v>
          </cell>
          <cell r="E1818">
            <v>8.92</v>
          </cell>
          <cell r="F1818">
            <v>2.5198999999999998</v>
          </cell>
        </row>
        <row r="1819">
          <cell r="B1819" t="str">
            <v>70251221</v>
          </cell>
          <cell r="C1819" t="str">
            <v>清嘴 水果罐子夹心软糖草莓味 30G</v>
          </cell>
          <cell r="D1819">
            <v>20</v>
          </cell>
          <cell r="E1819">
            <v>44.49</v>
          </cell>
          <cell r="F1819">
            <v>2.5136850000000002</v>
          </cell>
        </row>
        <row r="1820">
          <cell r="B1820" t="str">
            <v>70251573</v>
          </cell>
          <cell r="C1820" t="str">
            <v>酷滋 无糖薄荷糖西瓜味 21g</v>
          </cell>
          <cell r="D1820">
            <v>44</v>
          </cell>
          <cell r="E1820">
            <v>325.60000000000002</v>
          </cell>
          <cell r="F1820">
            <v>8.3620000000000001</v>
          </cell>
        </row>
        <row r="1821">
          <cell r="B1821" t="str">
            <v>70253722</v>
          </cell>
          <cell r="C1821" t="str">
            <v>卡夫 炫迈无糖口香糖葡萄味 28片</v>
          </cell>
          <cell r="D1821">
            <v>3405</v>
          </cell>
          <cell r="E1821">
            <v>25226.09</v>
          </cell>
          <cell r="F1821">
            <v>8.3716539500734193</v>
          </cell>
        </row>
        <row r="1822">
          <cell r="B1822" t="str">
            <v>70254861</v>
          </cell>
          <cell r="C1822" t="str">
            <v>曼妥思 清劲夹心无糖口香糖瓶装特强薄荷味 56G</v>
          </cell>
          <cell r="D1822">
            <v>1235</v>
          </cell>
          <cell r="E1822">
            <v>9821.91</v>
          </cell>
          <cell r="F1822">
            <v>8.9868488259109292</v>
          </cell>
        </row>
        <row r="1823">
          <cell r="B1823" t="str">
            <v>70255054</v>
          </cell>
          <cell r="C1823" t="str">
            <v>益达元气白桃40粒 -2024版 56g*6*6</v>
          </cell>
          <cell r="D1823">
            <v>28</v>
          </cell>
          <cell r="E1823">
            <v>249.54</v>
          </cell>
          <cell r="F1823">
            <v>10.0707214285714</v>
          </cell>
        </row>
        <row r="1824">
          <cell r="B1824" t="str">
            <v>70255055</v>
          </cell>
          <cell r="C1824" t="str">
            <v>昆仑好客优选益达混合水果70粒瓶装-2024版 98g*6*6</v>
          </cell>
          <cell r="D1824">
            <v>3160</v>
          </cell>
          <cell r="E1824">
            <v>34951.120000000003</v>
          </cell>
          <cell r="F1824">
            <v>12.4983435443038</v>
          </cell>
        </row>
        <row r="1825">
          <cell r="B1825" t="str">
            <v>70255886</v>
          </cell>
          <cell r="C1825" t="str">
            <v>养生堂 清嘴水果罐子夹心软糖蓝莓味 30G</v>
          </cell>
          <cell r="D1825">
            <v>10</v>
          </cell>
          <cell r="E1825">
            <v>22.25</v>
          </cell>
          <cell r="F1825">
            <v>2.5142500000000001</v>
          </cell>
        </row>
        <row r="1826">
          <cell r="B1826" t="str">
            <v>70260396</v>
          </cell>
          <cell r="C1826" t="str">
            <v>都市牧场 含片西瓜味 38G</v>
          </cell>
          <cell r="D1826">
            <v>0</v>
          </cell>
          <cell r="E1826">
            <v>0</v>
          </cell>
          <cell r="F1826" t="e">
            <v>#DIV/0!</v>
          </cell>
        </row>
        <row r="1827">
          <cell r="B1827" t="str">
            <v>70261321</v>
          </cell>
          <cell r="C1827" t="str">
            <v>德芙 便携罐装小巧粒黑巧 42G</v>
          </cell>
          <cell r="D1827">
            <v>66</v>
          </cell>
          <cell r="E1827">
            <v>845.01</v>
          </cell>
          <cell r="F1827">
            <v>14.467595454545499</v>
          </cell>
        </row>
        <row r="1828">
          <cell r="B1828" t="str">
            <v>70261970</v>
          </cell>
          <cell r="C1828" t="str">
            <v>德芙 便携罐装小巧粒牛奶 42G</v>
          </cell>
          <cell r="D1828">
            <v>25</v>
          </cell>
          <cell r="E1828">
            <v>316.58</v>
          </cell>
          <cell r="F1828">
            <v>14.309416000000001</v>
          </cell>
        </row>
        <row r="1829">
          <cell r="B1829" t="str">
            <v>70266665</v>
          </cell>
          <cell r="C1829" t="str">
            <v>德芙 草莓曲奇白巧克力 42G</v>
          </cell>
          <cell r="D1829">
            <v>2025</v>
          </cell>
          <cell r="E1829">
            <v>12362.93</v>
          </cell>
          <cell r="F1829">
            <v>6.8988201975308598</v>
          </cell>
        </row>
        <row r="1830">
          <cell r="B1830" t="str">
            <v>70268348</v>
          </cell>
          <cell r="C1830" t="str">
            <v>德芙 抹茶曲奇白巧克力 42G</v>
          </cell>
          <cell r="D1830">
            <v>2114</v>
          </cell>
          <cell r="E1830">
            <v>12856.94</v>
          </cell>
          <cell r="F1830">
            <v>6.8724419110690604</v>
          </cell>
        </row>
        <row r="1831">
          <cell r="B1831" t="str">
            <v>70275319</v>
          </cell>
          <cell r="C1831" t="str">
            <v>酷滋 清口含片（水蜜桃味） 55粒/瓶</v>
          </cell>
          <cell r="D1831">
            <v>0</v>
          </cell>
          <cell r="E1831">
            <v>0</v>
          </cell>
          <cell r="F1831" t="e">
            <v>#DIV/0!</v>
          </cell>
        </row>
        <row r="1832">
          <cell r="B1832" t="str">
            <v>70275320</v>
          </cell>
          <cell r="C1832" t="str">
            <v>酷滋 清口含片（柠檬味） 55粒/瓶</v>
          </cell>
          <cell r="D1832">
            <v>4</v>
          </cell>
          <cell r="E1832">
            <v>19.88</v>
          </cell>
          <cell r="F1832">
            <v>5.6161000000000003</v>
          </cell>
        </row>
        <row r="1833">
          <cell r="B1833" t="str">
            <v>70275321</v>
          </cell>
          <cell r="C1833" t="str">
            <v>酷滋 清口含片（话梅味） 55粒/瓶</v>
          </cell>
          <cell r="D1833">
            <v>10</v>
          </cell>
          <cell r="E1833">
            <v>49.7</v>
          </cell>
          <cell r="F1833">
            <v>5.6161000000000003</v>
          </cell>
        </row>
        <row r="1834">
          <cell r="B1834" t="str">
            <v>70279542</v>
          </cell>
          <cell r="C1834" t="str">
            <v>嘉云 热带什果味糖果 200g</v>
          </cell>
          <cell r="D1834">
            <v>355</v>
          </cell>
          <cell r="E1834">
            <v>4564.1000000000004</v>
          </cell>
          <cell r="F1834">
            <v>14.5279802816901</v>
          </cell>
        </row>
        <row r="1835">
          <cell r="B1835" t="str">
            <v>70280245</v>
          </cell>
          <cell r="C1835" t="str">
            <v>阿尔曼 巧克美可威化巧克力 35G</v>
          </cell>
          <cell r="D1835">
            <v>11876</v>
          </cell>
          <cell r="E1835">
            <v>10541.88</v>
          </cell>
          <cell r="F1835">
            <v>1.0030586392724801</v>
          </cell>
        </row>
        <row r="1836">
          <cell r="B1836" t="str">
            <v>70280247</v>
          </cell>
          <cell r="C1836" t="str">
            <v>阿尔曼 爱乐芬威化巧克力 175G</v>
          </cell>
          <cell r="D1836">
            <v>1343</v>
          </cell>
          <cell r="E1836">
            <v>7462.8</v>
          </cell>
          <cell r="F1836">
            <v>6.2791988086373802</v>
          </cell>
        </row>
        <row r="1837">
          <cell r="B1837" t="str">
            <v>70282101</v>
          </cell>
          <cell r="C1837" t="str">
            <v>悠哈 CORORO葡萄味软糖 52G</v>
          </cell>
          <cell r="D1837">
            <v>196</v>
          </cell>
          <cell r="E1837">
            <v>1214.6500000000001</v>
          </cell>
          <cell r="F1837">
            <v>7.0028290816326502</v>
          </cell>
        </row>
        <row r="1838">
          <cell r="B1838" t="str">
            <v>70282103</v>
          </cell>
          <cell r="C1838" t="str">
            <v>悠哈 CORORO草莓软糖 52G</v>
          </cell>
          <cell r="D1838">
            <v>34</v>
          </cell>
          <cell r="E1838">
            <v>210.77</v>
          </cell>
          <cell r="F1838">
            <v>7.0050029411764703</v>
          </cell>
        </row>
        <row r="1839">
          <cell r="B1839" t="str">
            <v>70284597</v>
          </cell>
          <cell r="C1839" t="str">
            <v>炫迈 瓶装无糖颗粒口香糖(酸甜草莓) 56G</v>
          </cell>
          <cell r="D1839">
            <v>7485</v>
          </cell>
          <cell r="E1839">
            <v>48431.25</v>
          </cell>
          <cell r="F1839">
            <v>7.3115981963927803</v>
          </cell>
        </row>
        <row r="1840">
          <cell r="B1840" t="str">
            <v>70284598</v>
          </cell>
          <cell r="C1840" t="str">
            <v>炫迈 瓶装无糖颗粒口香糖(炫动薄荷) 56G</v>
          </cell>
          <cell r="D1840">
            <v>7100</v>
          </cell>
          <cell r="E1840">
            <v>46662.8</v>
          </cell>
          <cell r="F1840">
            <v>7.4266146478873196</v>
          </cell>
        </row>
        <row r="1841">
          <cell r="B1841" t="str">
            <v>70284599</v>
          </cell>
          <cell r="C1841" t="str">
            <v>炫迈 瓶装无糖颗粒口香糖(水蜜西瓜) 56G</v>
          </cell>
          <cell r="D1841">
            <v>8412</v>
          </cell>
          <cell r="E1841">
            <v>53969.59</v>
          </cell>
          <cell r="F1841">
            <v>7.24983793390395</v>
          </cell>
        </row>
        <row r="1842">
          <cell r="B1842" t="str">
            <v>70285275</v>
          </cell>
          <cell r="C1842" t="str">
            <v>优之唯品 清口含片柠檬味草莓味薄荷味 40G</v>
          </cell>
          <cell r="D1842">
            <v>0</v>
          </cell>
          <cell r="E1842">
            <v>0</v>
          </cell>
          <cell r="F1842" t="e">
            <v>#DIV/0!</v>
          </cell>
        </row>
        <row r="1843">
          <cell r="B1843" t="str">
            <v>70287099</v>
          </cell>
          <cell r="C1843" t="str">
            <v>好丽友 扭扭大王软糖(葡萄/橙子/桃子) 40G</v>
          </cell>
          <cell r="D1843">
            <v>7</v>
          </cell>
          <cell r="E1843">
            <v>15.4</v>
          </cell>
          <cell r="F1843">
            <v>2.4860000000000002</v>
          </cell>
        </row>
        <row r="1844">
          <cell r="B1844" t="str">
            <v>70293553</v>
          </cell>
          <cell r="C1844" t="str">
            <v>酷滋 轻咀嚼无糖口香糖(水蜜桃口味) 34G</v>
          </cell>
          <cell r="D1844">
            <v>20</v>
          </cell>
          <cell r="E1844">
            <v>177</v>
          </cell>
          <cell r="F1844">
            <v>10.000500000000001</v>
          </cell>
        </row>
        <row r="1845">
          <cell r="B1845" t="str">
            <v>70293906</v>
          </cell>
          <cell r="C1845" t="str">
            <v>炫迈 口香糖草莓味 50.4G</v>
          </cell>
          <cell r="D1845">
            <v>4521</v>
          </cell>
          <cell r="E1845">
            <v>32841.1</v>
          </cell>
          <cell r="F1845">
            <v>8.2084589692545897</v>
          </cell>
        </row>
        <row r="1846">
          <cell r="B1846" t="str">
            <v>70295122</v>
          </cell>
          <cell r="C1846" t="str">
            <v>炫迈 无糖薄荷糖清香葡萄味 22.5G</v>
          </cell>
          <cell r="D1846">
            <v>2679</v>
          </cell>
          <cell r="E1846">
            <v>14523.24</v>
          </cell>
          <cell r="F1846">
            <v>6.1258907054871203</v>
          </cell>
        </row>
        <row r="1847">
          <cell r="B1847" t="str">
            <v>70299603</v>
          </cell>
          <cell r="C1847" t="str">
            <v>炫迈 果味浪起来口香糖酷爽柠檬味 37.8G</v>
          </cell>
          <cell r="D1847">
            <v>0</v>
          </cell>
          <cell r="E1847">
            <v>0</v>
          </cell>
          <cell r="F1847" t="e">
            <v>#DIV/0!</v>
          </cell>
        </row>
        <row r="1848">
          <cell r="B1848" t="str">
            <v>70300523</v>
          </cell>
          <cell r="C1848" t="str">
            <v>炫迈 果味浪起来热情百香果味 37.8G</v>
          </cell>
          <cell r="D1848">
            <v>1283</v>
          </cell>
          <cell r="E1848">
            <v>9050.02</v>
          </cell>
          <cell r="F1848">
            <v>7.9707892439594703</v>
          </cell>
        </row>
        <row r="1849">
          <cell r="B1849" t="str">
            <v>70301376</v>
          </cell>
          <cell r="C1849" t="str">
            <v>都市牧场 无糖薄荷糖海盐柠檬味 22g</v>
          </cell>
          <cell r="D1849">
            <v>10</v>
          </cell>
          <cell r="E1849">
            <v>64.900000000000006</v>
          </cell>
          <cell r="F1849">
            <v>7.3337000000000003</v>
          </cell>
        </row>
        <row r="1850">
          <cell r="B1850" t="str">
            <v>70302708</v>
          </cell>
          <cell r="C1850" t="str">
            <v>都市牧场 无糖薄荷糖清新蜜桃味 22g+赠6g</v>
          </cell>
          <cell r="D1850">
            <v>14</v>
          </cell>
          <cell r="E1850">
            <v>90.86</v>
          </cell>
          <cell r="F1850">
            <v>7.3337000000000003</v>
          </cell>
        </row>
        <row r="1851">
          <cell r="B1851" t="str">
            <v>70304320</v>
          </cell>
          <cell r="C1851" t="str">
            <v>阿尔卑斯 乐嚼Q凝胶糖果草莓牛奶味 1袋</v>
          </cell>
          <cell r="D1851">
            <v>3</v>
          </cell>
          <cell r="E1851">
            <v>9.36</v>
          </cell>
          <cell r="F1851">
            <v>3.5255999999999998</v>
          </cell>
        </row>
        <row r="1852">
          <cell r="B1852" t="str">
            <v>70306191</v>
          </cell>
          <cell r="C1852" t="str">
            <v>费列罗 臻品巧克力糖果组合3粒装 32.4G</v>
          </cell>
          <cell r="D1852">
            <v>421</v>
          </cell>
          <cell r="E1852">
            <v>3663.44</v>
          </cell>
          <cell r="F1852">
            <v>9.8329862232779099</v>
          </cell>
        </row>
        <row r="1853">
          <cell r="B1853" t="str">
            <v>70312934</v>
          </cell>
          <cell r="C1853" t="str">
            <v>瑞欧 水蜜桃味薄荷糖 16g</v>
          </cell>
          <cell r="D1853">
            <v>41</v>
          </cell>
          <cell r="E1853">
            <v>253.6</v>
          </cell>
          <cell r="F1853">
            <v>6.9894634146341499</v>
          </cell>
        </row>
        <row r="1854">
          <cell r="B1854" t="str">
            <v>70312935</v>
          </cell>
          <cell r="C1854" t="str">
            <v>瑞欧 黑加仑味薄荷糖 16g</v>
          </cell>
          <cell r="D1854">
            <v>31</v>
          </cell>
          <cell r="E1854">
            <v>184.75</v>
          </cell>
          <cell r="F1854">
            <v>6.7344354838709704</v>
          </cell>
        </row>
        <row r="1855">
          <cell r="B1855" t="str">
            <v>70316681</v>
          </cell>
          <cell r="C1855" t="str">
            <v>阿尔曼 脆脆巧克力(果仁) 35G</v>
          </cell>
          <cell r="D1855">
            <v>1389</v>
          </cell>
          <cell r="E1855">
            <v>1823.54</v>
          </cell>
          <cell r="F1855">
            <v>1.48351346292297</v>
          </cell>
        </row>
        <row r="1856">
          <cell r="B1856" t="str">
            <v>70316682</v>
          </cell>
          <cell r="C1856" t="str">
            <v>阿尔曼 脆脆巧克力(奶油) 35G</v>
          </cell>
          <cell r="D1856">
            <v>4758</v>
          </cell>
          <cell r="E1856">
            <v>6298.74</v>
          </cell>
          <cell r="F1856">
            <v>1.4959176544766699</v>
          </cell>
        </row>
        <row r="1857">
          <cell r="B1857" t="str">
            <v>70316683</v>
          </cell>
          <cell r="C1857" t="str">
            <v>阿尔曼 脆脆巧克力(玫瑰) 35G</v>
          </cell>
          <cell r="D1857">
            <v>8</v>
          </cell>
          <cell r="E1857">
            <v>10.64</v>
          </cell>
          <cell r="F1857">
            <v>1.5028999999999999</v>
          </cell>
        </row>
        <row r="1858">
          <cell r="B1858" t="str">
            <v>70318000</v>
          </cell>
          <cell r="C1858" t="str">
            <v>口力 比萨橡皮糖 17G</v>
          </cell>
          <cell r="D1858">
            <v>976</v>
          </cell>
          <cell r="E1858">
            <v>1475.19</v>
          </cell>
          <cell r="F1858">
            <v>1.7079556352459</v>
          </cell>
        </row>
        <row r="1859">
          <cell r="B1859" t="str">
            <v>70318001</v>
          </cell>
          <cell r="C1859" t="str">
            <v>口力 汉堡橡皮糖 9G</v>
          </cell>
          <cell r="D1859">
            <v>2352</v>
          </cell>
          <cell r="E1859">
            <v>1359.03</v>
          </cell>
          <cell r="F1859">
            <v>0.65293533163265305</v>
          </cell>
        </row>
        <row r="1860">
          <cell r="B1860" t="str">
            <v>70320086</v>
          </cell>
          <cell r="C1860" t="str">
            <v>阿尔卑斯 果然好嚼草莓味软糖条形 47G</v>
          </cell>
          <cell r="D1860">
            <v>2092</v>
          </cell>
          <cell r="E1860">
            <v>7375.63</v>
          </cell>
          <cell r="F1860">
            <v>3.98396840344168</v>
          </cell>
        </row>
        <row r="1861">
          <cell r="B1861" t="str">
            <v>70321217</v>
          </cell>
          <cell r="C1861" t="str">
            <v>酷滋 无糖薄荷糖(百香果味) 21G</v>
          </cell>
          <cell r="D1861">
            <v>1</v>
          </cell>
          <cell r="E1861">
            <v>7.71</v>
          </cell>
          <cell r="F1861">
            <v>8.7123000000000008</v>
          </cell>
        </row>
        <row r="1862">
          <cell r="B1862" t="str">
            <v>70325263</v>
          </cell>
          <cell r="C1862" t="str">
            <v>绿箭 口香糖 13.5g</v>
          </cell>
          <cell r="D1862">
            <v>29115</v>
          </cell>
          <cell r="E1862">
            <v>42461.57</v>
          </cell>
          <cell r="F1862">
            <v>1.6480018581487199</v>
          </cell>
        </row>
        <row r="1863">
          <cell r="B1863" t="str">
            <v>70326144</v>
          </cell>
          <cell r="C1863" t="str">
            <v>优之唯 品果汁维C软糖-什锦味 1*68G</v>
          </cell>
          <cell r="D1863">
            <v>0</v>
          </cell>
          <cell r="E1863">
            <v>0</v>
          </cell>
          <cell r="F1863" t="e">
            <v>#DIV/0!</v>
          </cell>
        </row>
        <row r="1864">
          <cell r="B1864" t="str">
            <v>70328184</v>
          </cell>
          <cell r="C1864" t="str">
            <v>阿麦斯 4D积木软糖 72G</v>
          </cell>
          <cell r="D1864">
            <v>6</v>
          </cell>
          <cell r="E1864">
            <v>35.58</v>
          </cell>
          <cell r="F1864">
            <v>6.7008999999999999</v>
          </cell>
        </row>
        <row r="1865">
          <cell r="B1865" t="str">
            <v>70328551</v>
          </cell>
          <cell r="C1865" t="str">
            <v>贝欧宝活性益生菌水蜜桃味软糖（活菌型45g＋7g）</v>
          </cell>
          <cell r="D1865">
            <v>0</v>
          </cell>
          <cell r="E1865">
            <v>0</v>
          </cell>
          <cell r="F1865" t="e">
            <v>#DIV/0!</v>
          </cell>
        </row>
        <row r="1866">
          <cell r="B1866" t="str">
            <v>70330713</v>
          </cell>
          <cell r="C1866" t="str">
            <v>好丽友 果滋果资青苹果味 60G</v>
          </cell>
          <cell r="D1866">
            <v>1046</v>
          </cell>
          <cell r="E1866">
            <v>2451.11</v>
          </cell>
          <cell r="F1866">
            <v>2.64794866156788</v>
          </cell>
        </row>
        <row r="1867">
          <cell r="B1867" t="str">
            <v>70330719</v>
          </cell>
          <cell r="C1867" t="str">
            <v>好丽友 果滋果资香橙味 60G</v>
          </cell>
          <cell r="D1867">
            <v>2342</v>
          </cell>
          <cell r="E1867">
            <v>5799.72</v>
          </cell>
          <cell r="F1867">
            <v>2.79832775405636</v>
          </cell>
        </row>
        <row r="1868">
          <cell r="B1868" t="str">
            <v>70330724</v>
          </cell>
          <cell r="C1868" t="str">
            <v>好丽友 果滋果姿桃子味 60G</v>
          </cell>
          <cell r="D1868">
            <v>6044</v>
          </cell>
          <cell r="E1868">
            <v>15565.02</v>
          </cell>
          <cell r="F1868">
            <v>2.9100715751158202</v>
          </cell>
        </row>
        <row r="1869">
          <cell r="B1869" t="str">
            <v>70330729</v>
          </cell>
          <cell r="C1869" t="str">
            <v>好丽友 果滋果姿葡萄味 60G</v>
          </cell>
          <cell r="D1869">
            <v>4323</v>
          </cell>
          <cell r="E1869">
            <v>10590.81</v>
          </cell>
          <cell r="F1869">
            <v>2.7683588480222099</v>
          </cell>
        </row>
        <row r="1870">
          <cell r="B1870" t="str">
            <v>70331258</v>
          </cell>
          <cell r="C1870" t="str">
            <v>徐福记 熊博士果汁大棒糖 142.5G</v>
          </cell>
          <cell r="D1870">
            <v>0</v>
          </cell>
          <cell r="E1870">
            <v>0</v>
          </cell>
          <cell r="F1870" t="e">
            <v>#DIV/0!</v>
          </cell>
        </row>
        <row r="1871">
          <cell r="B1871" t="str">
            <v>70355055</v>
          </cell>
          <cell r="C1871" t="str">
            <v>阿尔卑斯 果然好嚼葡萄味软糖条形 47G</v>
          </cell>
          <cell r="D1871">
            <v>2481</v>
          </cell>
          <cell r="E1871">
            <v>8735.5400000000009</v>
          </cell>
          <cell r="F1871">
            <v>3.9787022168480402</v>
          </cell>
        </row>
        <row r="1872">
          <cell r="B1872" t="str">
            <v>70358365</v>
          </cell>
          <cell r="C1872" t="str">
            <v>脆香米 棒棒巧克力 12G</v>
          </cell>
          <cell r="D1872">
            <v>0</v>
          </cell>
          <cell r="E1872">
            <v>0</v>
          </cell>
          <cell r="F1872" t="e">
            <v>#DIV/0!</v>
          </cell>
        </row>
        <row r="1873">
          <cell r="B1873" t="str">
            <v>70358373</v>
          </cell>
          <cell r="C1873" t="str">
            <v>彩虹糖 花花果味 40G</v>
          </cell>
          <cell r="D1873">
            <v>0</v>
          </cell>
          <cell r="E1873">
            <v>0</v>
          </cell>
          <cell r="F1873" t="e">
            <v>#DIV/0!</v>
          </cell>
        </row>
        <row r="1874">
          <cell r="B1874" t="str">
            <v>70359202</v>
          </cell>
          <cell r="C1874" t="str">
            <v>炫迈 无糖口香糖炫动薄荷味（5片） 9G</v>
          </cell>
          <cell r="D1874">
            <v>7789</v>
          </cell>
          <cell r="E1874">
            <v>13116.58</v>
          </cell>
          <cell r="F1874">
            <v>1.9029060726665801</v>
          </cell>
        </row>
        <row r="1875">
          <cell r="B1875" t="str">
            <v>70359204</v>
          </cell>
          <cell r="C1875" t="str">
            <v>炫迈 无糖口香糖水蜜西瓜味（5片） 9G</v>
          </cell>
          <cell r="D1875">
            <v>3491</v>
          </cell>
          <cell r="E1875">
            <v>6222.61</v>
          </cell>
          <cell r="F1875">
            <v>2.0141934402749899</v>
          </cell>
        </row>
        <row r="1876">
          <cell r="B1876" t="str">
            <v>70361952</v>
          </cell>
          <cell r="C1876" t="str">
            <v>酷滋 维C果C软糖什果味 68G</v>
          </cell>
          <cell r="D1876">
            <v>0</v>
          </cell>
          <cell r="E1876">
            <v>0</v>
          </cell>
          <cell r="F1876" t="e">
            <v>#DIV/0!</v>
          </cell>
        </row>
        <row r="1877">
          <cell r="B1877" t="str">
            <v>70361954</v>
          </cell>
          <cell r="C1877" t="str">
            <v>酷滋 维C果C软糖草莓味 68G</v>
          </cell>
          <cell r="D1877">
            <v>4</v>
          </cell>
          <cell r="E1877">
            <v>19.88</v>
          </cell>
          <cell r="F1877">
            <v>5.6161000000000003</v>
          </cell>
        </row>
        <row r="1878">
          <cell r="B1878" t="str">
            <v>70362895</v>
          </cell>
          <cell r="C1878" t="str">
            <v>炫迈 无糖口香糖活力蓝莓味28片 50.4G</v>
          </cell>
          <cell r="D1878">
            <v>5197</v>
          </cell>
          <cell r="E1878">
            <v>38203.42</v>
          </cell>
          <cell r="F1878">
            <v>8.3066893592457198</v>
          </cell>
        </row>
        <row r="1879">
          <cell r="B1879" t="str">
            <v>70363849</v>
          </cell>
          <cell r="C1879" t="str">
            <v>阿麦斯 4D葡萄爆浆果汁软糖 65G</v>
          </cell>
          <cell r="D1879">
            <v>13</v>
          </cell>
          <cell r="E1879">
            <v>77.09</v>
          </cell>
          <cell r="F1879">
            <v>6.7008999999999999</v>
          </cell>
        </row>
        <row r="1880">
          <cell r="B1880" t="str">
            <v>70363851</v>
          </cell>
          <cell r="C1880" t="str">
            <v>阿麦斯 4D水蜜桃爆浆果汁软糖 65G</v>
          </cell>
          <cell r="D1880">
            <v>4</v>
          </cell>
          <cell r="E1880">
            <v>23.72</v>
          </cell>
          <cell r="F1880">
            <v>6.7008999999999999</v>
          </cell>
        </row>
        <row r="1881">
          <cell r="B1881" t="str">
            <v>70368734</v>
          </cell>
          <cell r="C1881" t="str">
            <v>雀巢 脆脆鲨白桃味涂层威化饼干 75G</v>
          </cell>
          <cell r="D1881">
            <v>11</v>
          </cell>
          <cell r="E1881">
            <v>78.87</v>
          </cell>
          <cell r="F1881">
            <v>8.1021000000000001</v>
          </cell>
        </row>
        <row r="1882">
          <cell r="B1882" t="str">
            <v>70369792</v>
          </cell>
          <cell r="C1882" t="str">
            <v>慧华圣果 沙棘油凝胶糖果 100ML</v>
          </cell>
          <cell r="D1882">
            <v>13</v>
          </cell>
          <cell r="E1882">
            <v>5358.06</v>
          </cell>
          <cell r="F1882">
            <v>465.73906153846099</v>
          </cell>
        </row>
        <row r="1883">
          <cell r="B1883" t="str">
            <v>70373725</v>
          </cell>
          <cell r="C1883" t="str">
            <v>好丽友 木糖醇3＋缤果Q立方草莓/青提/香瓜 90G</v>
          </cell>
          <cell r="D1883">
            <v>1543</v>
          </cell>
          <cell r="E1883">
            <v>16941.46</v>
          </cell>
          <cell r="F1883">
            <v>12.4069020090732</v>
          </cell>
        </row>
        <row r="1884">
          <cell r="B1884" t="str">
            <v>70373726</v>
          </cell>
          <cell r="C1884" t="str">
            <v>好丽友Q立方葡萄味/ 金桔味/ 菠萝味90克</v>
          </cell>
          <cell r="D1884">
            <v>1512</v>
          </cell>
          <cell r="E1884">
            <v>16637.53</v>
          </cell>
          <cell r="F1884">
            <v>12.4341328703704</v>
          </cell>
        </row>
        <row r="1885">
          <cell r="B1885" t="str">
            <v>70374028</v>
          </cell>
          <cell r="C1885" t="str">
            <v>脆香米 草莓牛奶 24G</v>
          </cell>
          <cell r="D1885">
            <v>0</v>
          </cell>
          <cell r="E1885">
            <v>0</v>
          </cell>
          <cell r="F1885" t="e">
            <v>#DIV/0!</v>
          </cell>
        </row>
        <row r="1886">
          <cell r="B1886" t="str">
            <v>70375232</v>
          </cell>
          <cell r="C1886" t="str">
            <v>马大姐 花生牛轧糖 330G</v>
          </cell>
          <cell r="D1886">
            <v>9</v>
          </cell>
          <cell r="E1886">
            <v>175.23</v>
          </cell>
          <cell r="F1886">
            <v>22.001100000000001</v>
          </cell>
        </row>
        <row r="1887">
          <cell r="B1887" t="str">
            <v>70375480</v>
          </cell>
          <cell r="C1887" t="str">
            <v>阿麦斯 4D草莓爆汁软糖 65G</v>
          </cell>
          <cell r="D1887">
            <v>0</v>
          </cell>
          <cell r="E1887">
            <v>0</v>
          </cell>
          <cell r="F1887" t="e">
            <v>#DIV/0!</v>
          </cell>
        </row>
        <row r="1888">
          <cell r="B1888" t="str">
            <v>70379654</v>
          </cell>
          <cell r="C1888" t="str">
            <v>马大姐 芒果味软糖 108G</v>
          </cell>
          <cell r="D1888">
            <v>0</v>
          </cell>
          <cell r="E1888">
            <v>0</v>
          </cell>
          <cell r="F1888" t="e">
            <v>#DIV/0!</v>
          </cell>
        </row>
        <row r="1889">
          <cell r="B1889" t="str">
            <v>70381497</v>
          </cell>
          <cell r="C1889" t="str">
            <v>养生堂 清嘴草本润喉糖（甘草薄荷味） 24G</v>
          </cell>
          <cell r="D1889">
            <v>13</v>
          </cell>
          <cell r="E1889">
            <v>61.29</v>
          </cell>
          <cell r="F1889">
            <v>5.3275153846153804</v>
          </cell>
        </row>
        <row r="1890">
          <cell r="B1890" t="str">
            <v>70381498</v>
          </cell>
          <cell r="C1890" t="str">
            <v>养生堂 清嘴草本润喉糖（柠檬薄荷味） 24G</v>
          </cell>
          <cell r="D1890">
            <v>165</v>
          </cell>
          <cell r="E1890">
            <v>556.11</v>
          </cell>
          <cell r="F1890">
            <v>3.8085109090909102</v>
          </cell>
        </row>
        <row r="1891">
          <cell r="B1891" t="str">
            <v>70382964</v>
          </cell>
          <cell r="C1891" t="str">
            <v>酷滋 无糖夹心口香糖 西瓜味 34G</v>
          </cell>
          <cell r="D1891">
            <v>7</v>
          </cell>
          <cell r="E1891">
            <v>61.95</v>
          </cell>
          <cell r="F1891">
            <v>10.000500000000001</v>
          </cell>
        </row>
        <row r="1892">
          <cell r="B1892" t="str">
            <v>70384089</v>
          </cell>
          <cell r="C1892" t="str">
            <v>明治 雪吻巧克力可可味 33G</v>
          </cell>
          <cell r="D1892">
            <v>0</v>
          </cell>
          <cell r="E1892">
            <v>0</v>
          </cell>
          <cell r="F1892" t="e">
            <v>#DIV/0!</v>
          </cell>
        </row>
        <row r="1893">
          <cell r="B1893" t="str">
            <v>70384091</v>
          </cell>
          <cell r="C1893" t="str">
            <v>明治 雪吻巧克力草莓味 33G</v>
          </cell>
          <cell r="D1893">
            <v>0</v>
          </cell>
          <cell r="E1893">
            <v>0</v>
          </cell>
          <cell r="F1893" t="e">
            <v>#DIV/0!</v>
          </cell>
        </row>
        <row r="1894">
          <cell r="B1894" t="str">
            <v>70384093</v>
          </cell>
          <cell r="C1894" t="str">
            <v>明治雪 吻巧克力卡布奇诺 33G</v>
          </cell>
          <cell r="D1894">
            <v>12</v>
          </cell>
          <cell r="E1894">
            <v>106.41</v>
          </cell>
          <cell r="F1894">
            <v>10.020275</v>
          </cell>
        </row>
        <row r="1895">
          <cell r="B1895" t="str">
            <v>70385338</v>
          </cell>
          <cell r="C1895" t="str">
            <v>亿智小猪佩奇 益生菌奶片糖 16G</v>
          </cell>
          <cell r="D1895">
            <v>2264</v>
          </cell>
          <cell r="E1895">
            <v>3523.21</v>
          </cell>
          <cell r="F1895">
            <v>1.7584926236749101</v>
          </cell>
        </row>
        <row r="1896">
          <cell r="B1896" t="str">
            <v>70386546</v>
          </cell>
          <cell r="C1896" t="str">
            <v>阿尔曼 巧克美可威化巧克力 175G/袋</v>
          </cell>
          <cell r="D1896">
            <v>1026</v>
          </cell>
          <cell r="E1896">
            <v>5786.03</v>
          </cell>
          <cell r="F1896">
            <v>6.3725281676413204</v>
          </cell>
        </row>
        <row r="1897">
          <cell r="B1897" t="str">
            <v>70392278</v>
          </cell>
          <cell r="C1897" t="str">
            <v>都市牧场 夹心无糖薄荷糖劲爽薄荷百香果味 41.6G</v>
          </cell>
          <cell r="D1897">
            <v>1</v>
          </cell>
          <cell r="E1897">
            <v>7.53</v>
          </cell>
          <cell r="F1897">
            <v>8.5089000000000006</v>
          </cell>
        </row>
        <row r="1898">
          <cell r="B1898" t="str">
            <v>70392279</v>
          </cell>
          <cell r="C1898" t="str">
            <v>都市牧场 夹心无糖薄荷糖卡曼橘黑加仑味 41.6G</v>
          </cell>
          <cell r="D1898">
            <v>14</v>
          </cell>
          <cell r="E1898">
            <v>105.35</v>
          </cell>
          <cell r="F1898">
            <v>8.5032499999999995</v>
          </cell>
        </row>
        <row r="1899">
          <cell r="B1899" t="str">
            <v>70392721</v>
          </cell>
          <cell r="C1899" t="str">
            <v>炫迈 无糖口香糖酸甜草莓味 5片</v>
          </cell>
          <cell r="D1899">
            <v>3712</v>
          </cell>
          <cell r="E1899">
            <v>6550.19</v>
          </cell>
          <cell r="F1899">
            <v>1.9939964170258599</v>
          </cell>
        </row>
        <row r="1900">
          <cell r="B1900" t="str">
            <v>70393594</v>
          </cell>
          <cell r="C1900" t="str">
            <v>好丽友 果滋果心青葡萄味 70G</v>
          </cell>
          <cell r="D1900">
            <v>2824</v>
          </cell>
          <cell r="E1900">
            <v>7391.28</v>
          </cell>
          <cell r="F1900">
            <v>2.95755892351275</v>
          </cell>
        </row>
        <row r="1901">
          <cell r="B1901" t="str">
            <v>70393595</v>
          </cell>
          <cell r="C1901" t="str">
            <v>好丽友 果滋果心紫葡萄味 70G</v>
          </cell>
          <cell r="D1901">
            <v>2585</v>
          </cell>
          <cell r="E1901">
            <v>7042.01</v>
          </cell>
          <cell r="F1901">
            <v>3.0783254545454501</v>
          </cell>
        </row>
        <row r="1902">
          <cell r="B1902" t="str">
            <v>70399945</v>
          </cell>
          <cell r="C1902" t="str">
            <v>益美滋 亲吻糖茉莉青提味 90G</v>
          </cell>
          <cell r="D1902">
            <v>8</v>
          </cell>
          <cell r="E1902">
            <v>54.16</v>
          </cell>
          <cell r="F1902">
            <v>7.6501000000000001</v>
          </cell>
        </row>
        <row r="1903">
          <cell r="B1903" t="str">
            <v>70399946</v>
          </cell>
          <cell r="C1903" t="str">
            <v>益美滋 亲吻糖玫瑰荔枝味 90G</v>
          </cell>
          <cell r="D1903">
            <v>0</v>
          </cell>
          <cell r="E1903">
            <v>0</v>
          </cell>
          <cell r="F1903" t="e">
            <v>#DIV/0!</v>
          </cell>
        </row>
        <row r="1904">
          <cell r="B1904" t="str">
            <v>70401288</v>
          </cell>
          <cell r="C1904" t="str">
            <v>金稻谷 旋转木马 10G</v>
          </cell>
          <cell r="D1904">
            <v>229</v>
          </cell>
          <cell r="E1904">
            <v>1726.57</v>
          </cell>
          <cell r="F1904">
            <v>8.5197558951965107</v>
          </cell>
        </row>
        <row r="1905">
          <cell r="B1905" t="str">
            <v>70401289</v>
          </cell>
          <cell r="C1905" t="str">
            <v>金稻谷 汉堡包串烧 28G</v>
          </cell>
          <cell r="D1905">
            <v>0</v>
          </cell>
          <cell r="E1905">
            <v>0</v>
          </cell>
          <cell r="F1905" t="e">
            <v>#DIV/0!</v>
          </cell>
        </row>
        <row r="1906">
          <cell r="B1906" t="str">
            <v>70401295</v>
          </cell>
          <cell r="C1906" t="str">
            <v>金稻谷 跳跳糖 15G</v>
          </cell>
          <cell r="D1906">
            <v>522</v>
          </cell>
          <cell r="E1906">
            <v>1045.82</v>
          </cell>
          <cell r="F1906">
            <v>2.2639398467432899</v>
          </cell>
        </row>
        <row r="1907">
          <cell r="B1907" t="str">
            <v>70408213</v>
          </cell>
          <cell r="C1907" t="str">
            <v>爱亿华 草莓夹心棉花糖 90G</v>
          </cell>
          <cell r="D1907">
            <v>9</v>
          </cell>
          <cell r="E1907">
            <v>61.2</v>
          </cell>
          <cell r="F1907">
            <v>7.6840000000000002</v>
          </cell>
        </row>
        <row r="1908">
          <cell r="B1908" t="str">
            <v>70408214</v>
          </cell>
          <cell r="C1908" t="str">
            <v>爱亿华 水蜜桃夹心棉花糖 90G</v>
          </cell>
          <cell r="D1908">
            <v>12</v>
          </cell>
          <cell r="E1908">
            <v>81.86</v>
          </cell>
          <cell r="F1908">
            <v>7.70848333333333</v>
          </cell>
        </row>
        <row r="1909">
          <cell r="B1909" t="str">
            <v>70409251</v>
          </cell>
          <cell r="C1909" t="str">
            <v>RIO瑞欧 56T薄荷糖樱花味 14G</v>
          </cell>
          <cell r="D1909">
            <v>35</v>
          </cell>
          <cell r="E1909">
            <v>260.07</v>
          </cell>
          <cell r="F1909">
            <v>8.3965457142857094</v>
          </cell>
        </row>
        <row r="1910">
          <cell r="B1910" t="str">
            <v>70409253</v>
          </cell>
          <cell r="C1910" t="str">
            <v>RIO瑞欧 56T薄荷糖荔枝玫瑰味 14G</v>
          </cell>
          <cell r="D1910">
            <v>16</v>
          </cell>
          <cell r="E1910">
            <v>138.33000000000001</v>
          </cell>
          <cell r="F1910">
            <v>9.7695562500000008</v>
          </cell>
        </row>
        <row r="1911">
          <cell r="B1911" t="str">
            <v>70409379</v>
          </cell>
          <cell r="C1911" t="str">
            <v>王老吉 润喉糖铁盒 56G</v>
          </cell>
          <cell r="D1911">
            <v>1</v>
          </cell>
          <cell r="E1911">
            <v>7.78</v>
          </cell>
          <cell r="F1911">
            <v>8.7913999999999994</v>
          </cell>
        </row>
        <row r="1912">
          <cell r="B1912" t="str">
            <v>70412442</v>
          </cell>
          <cell r="C1912" t="str">
            <v>雀巢 脆脆鲨巧克力味9条装 110G</v>
          </cell>
          <cell r="D1912">
            <v>628</v>
          </cell>
          <cell r="E1912">
            <v>4240.74</v>
          </cell>
          <cell r="F1912">
            <v>7.6306308917197399</v>
          </cell>
        </row>
        <row r="1913">
          <cell r="B1913" t="str">
            <v>70415995</v>
          </cell>
          <cell r="C1913" t="str">
            <v>明治 雪吻巧克力（绿茶味 ） 33G</v>
          </cell>
          <cell r="D1913">
            <v>0</v>
          </cell>
          <cell r="E1913">
            <v>0</v>
          </cell>
          <cell r="F1913" t="e">
            <v>#DIV/0!</v>
          </cell>
        </row>
        <row r="1914">
          <cell r="B1914" t="str">
            <v>70417672</v>
          </cell>
          <cell r="C1914" t="str">
            <v>明治 咔吃咔吃巧克脆原味 75G</v>
          </cell>
          <cell r="D1914">
            <v>4</v>
          </cell>
          <cell r="E1914">
            <v>36.1</v>
          </cell>
          <cell r="F1914">
            <v>10.19825</v>
          </cell>
        </row>
        <row r="1915">
          <cell r="B1915" t="str">
            <v>70417676</v>
          </cell>
          <cell r="C1915" t="str">
            <v>明治 咔吃咔吃巧克脆黑味 75G</v>
          </cell>
          <cell r="D1915">
            <v>4</v>
          </cell>
          <cell r="E1915">
            <v>36.1</v>
          </cell>
          <cell r="F1915">
            <v>10.19825</v>
          </cell>
        </row>
        <row r="1916">
          <cell r="B1916" t="str">
            <v>70418457</v>
          </cell>
          <cell r="C1916" t="str">
            <v>八点半 库德士手工松露巧克力 168G</v>
          </cell>
          <cell r="D1916">
            <v>1</v>
          </cell>
          <cell r="E1916">
            <v>32.04</v>
          </cell>
          <cell r="F1916">
            <v>36.205199999999998</v>
          </cell>
        </row>
        <row r="1917">
          <cell r="B1917" t="str">
            <v>70418953</v>
          </cell>
          <cell r="C1917" t="str">
            <v>优之唯品 无糖薄荷糖（桃子味）铁盒 22G</v>
          </cell>
          <cell r="D1917">
            <v>1</v>
          </cell>
          <cell r="E1917">
            <v>3.79</v>
          </cell>
          <cell r="F1917">
            <v>4.2827000000000002</v>
          </cell>
        </row>
        <row r="1918">
          <cell r="B1918" t="str">
            <v>70418954</v>
          </cell>
          <cell r="C1918" t="str">
            <v>优之唯品 无糖薄荷糖（百香果味） 铁盒装 22G</v>
          </cell>
          <cell r="D1918">
            <v>8</v>
          </cell>
          <cell r="E1918">
            <v>30.32</v>
          </cell>
          <cell r="F1918">
            <v>4.2827000000000002</v>
          </cell>
        </row>
        <row r="1919">
          <cell r="B1919" t="str">
            <v>70418955</v>
          </cell>
          <cell r="C1919" t="str">
            <v>优之唯品 无糖薄荷糖（青柠味） 铁盒装 22G</v>
          </cell>
          <cell r="D1919">
            <v>4</v>
          </cell>
          <cell r="E1919">
            <v>15.16</v>
          </cell>
          <cell r="F1919">
            <v>4.2827000000000002</v>
          </cell>
        </row>
        <row r="1920">
          <cell r="B1920" t="str">
            <v>70420460</v>
          </cell>
          <cell r="C1920" t="str">
            <v>昆仑好客优选＋德芙 零糖黑巧克力 35G</v>
          </cell>
          <cell r="D1920">
            <v>1395</v>
          </cell>
          <cell r="E1920">
            <v>15598.93</v>
          </cell>
          <cell r="F1920">
            <v>12.635692401433699</v>
          </cell>
        </row>
        <row r="1921">
          <cell r="B1921" t="str">
            <v>70420461</v>
          </cell>
          <cell r="C1921" t="str">
            <v>昆仑好客优选＋M＆M’S M豆牛奶巧克力棒 13G</v>
          </cell>
          <cell r="D1921">
            <v>1301</v>
          </cell>
          <cell r="E1921">
            <v>6198.24</v>
          </cell>
          <cell r="F1921">
            <v>5.3835597232897801</v>
          </cell>
        </row>
        <row r="1922">
          <cell r="B1922" t="str">
            <v>70420462</v>
          </cell>
          <cell r="C1922" t="str">
            <v>昆仑好客优选＋箭牌 绿箭维生素C口香糖奇异果味 35G</v>
          </cell>
          <cell r="D1922">
            <v>29</v>
          </cell>
          <cell r="E1922">
            <v>234.3</v>
          </cell>
          <cell r="F1922">
            <v>9.1296206896551695</v>
          </cell>
        </row>
        <row r="1923">
          <cell r="B1923" t="str">
            <v>70420463</v>
          </cell>
          <cell r="C1923" t="str">
            <v>昆仑好客优选＋箭牌 绿箭维生素C口香糖白桃味 35G</v>
          </cell>
          <cell r="D1923">
            <v>20</v>
          </cell>
          <cell r="E1923">
            <v>161.58000000000001</v>
          </cell>
          <cell r="F1923">
            <v>9.12927</v>
          </cell>
        </row>
        <row r="1924">
          <cell r="B1924" t="str">
            <v>70426737</v>
          </cell>
          <cell r="C1924" t="str">
            <v>CHOCOMAGIC 黑巧72％益生菌黑克力 30G</v>
          </cell>
          <cell r="D1924">
            <v>54</v>
          </cell>
          <cell r="E1924">
            <v>569.70000000000005</v>
          </cell>
          <cell r="F1924">
            <v>11.9215</v>
          </cell>
        </row>
        <row r="1925">
          <cell r="B1925" t="str">
            <v>70428306</v>
          </cell>
          <cell r="C1925" t="str">
            <v>都市牧场 无糖蜂蜜西柚味（铁盒） 22G</v>
          </cell>
          <cell r="D1925">
            <v>12</v>
          </cell>
          <cell r="E1925">
            <v>77.88</v>
          </cell>
          <cell r="F1925">
            <v>7.3337000000000003</v>
          </cell>
        </row>
        <row r="1926">
          <cell r="B1926" t="str">
            <v>70428308</v>
          </cell>
          <cell r="C1926" t="str">
            <v>都市牧场 无糖杨枝甘露味（铁盒） 22G</v>
          </cell>
          <cell r="D1926">
            <v>18</v>
          </cell>
          <cell r="E1926">
            <v>116.82</v>
          </cell>
          <cell r="F1926">
            <v>7.3337000000000003</v>
          </cell>
        </row>
        <row r="1927">
          <cell r="B1927" t="str">
            <v>70430718</v>
          </cell>
          <cell r="C1927" t="str">
            <v>秦汉#6941279803821 优之唯品清口含片（混合味）40G*64瓶 个</v>
          </cell>
          <cell r="D1927">
            <v>0</v>
          </cell>
          <cell r="E1927">
            <v>0</v>
          </cell>
          <cell r="F1927" t="e">
            <v>#DIV/0!</v>
          </cell>
        </row>
        <row r="1928">
          <cell r="B1928" t="str">
            <v>70431110</v>
          </cell>
          <cell r="C1928" t="str">
            <v>优之唯品 无糖薄荷糖桃子味 16克</v>
          </cell>
          <cell r="D1928">
            <v>1</v>
          </cell>
          <cell r="E1928">
            <v>3.2</v>
          </cell>
          <cell r="F1928">
            <v>3.6160000000000001</v>
          </cell>
        </row>
        <row r="1929">
          <cell r="B1929" t="str">
            <v>70431111</v>
          </cell>
          <cell r="C1929" t="str">
            <v>优之唯品 无糖薄荷糖西瓜味 16克</v>
          </cell>
          <cell r="D1929">
            <v>2</v>
          </cell>
          <cell r="E1929">
            <v>6.4</v>
          </cell>
          <cell r="F1929">
            <v>3.6160000000000001</v>
          </cell>
        </row>
        <row r="1930">
          <cell r="B1930" t="str">
            <v>70434753</v>
          </cell>
          <cell r="C1930" t="str">
            <v>优之唯品 无糖薄荷糖（蓝莓味） 16G</v>
          </cell>
          <cell r="D1930">
            <v>3</v>
          </cell>
          <cell r="E1930">
            <v>9.6</v>
          </cell>
          <cell r="F1930">
            <v>3.6160000000000001</v>
          </cell>
        </row>
        <row r="1931">
          <cell r="B1931" t="str">
            <v>70435597</v>
          </cell>
          <cell r="C1931" t="str">
            <v>百诺 跳跳糖（白桃）夹心巧克力 38G</v>
          </cell>
          <cell r="D1931">
            <v>23</v>
          </cell>
          <cell r="E1931">
            <v>101.89</v>
          </cell>
          <cell r="F1931">
            <v>5.0058999999999996</v>
          </cell>
        </row>
        <row r="1932">
          <cell r="B1932" t="str">
            <v>70435600</v>
          </cell>
          <cell r="C1932" t="str">
            <v>百诺 跳跳糖（牛奶）夹心巧克力 38G</v>
          </cell>
          <cell r="D1932">
            <v>12</v>
          </cell>
          <cell r="E1932">
            <v>53.16</v>
          </cell>
          <cell r="F1932">
            <v>5.0058999999999996</v>
          </cell>
        </row>
        <row r="1933">
          <cell r="B1933" t="str">
            <v>70441345</v>
          </cell>
          <cell r="C1933" t="str">
            <v>大粒大力 可乐味 16g</v>
          </cell>
          <cell r="D1933">
            <v>22</v>
          </cell>
          <cell r="E1933">
            <v>30.82</v>
          </cell>
          <cell r="F1933">
            <v>1.5830272727272701</v>
          </cell>
        </row>
        <row r="1934">
          <cell r="B1934" t="str">
            <v>70441347</v>
          </cell>
          <cell r="C1934" t="str">
            <v>大粒大力 草莓味 16g</v>
          </cell>
          <cell r="D1934">
            <v>24</v>
          </cell>
          <cell r="E1934">
            <v>33.6</v>
          </cell>
          <cell r="F1934">
            <v>1.5820000000000001</v>
          </cell>
        </row>
        <row r="1935">
          <cell r="B1935" t="str">
            <v>70441348</v>
          </cell>
          <cell r="C1935" t="str">
            <v>大粒大力 葡萄味 16g</v>
          </cell>
          <cell r="D1935">
            <v>80</v>
          </cell>
          <cell r="E1935">
            <v>112.61</v>
          </cell>
          <cell r="F1935">
            <v>1.5906162500000001</v>
          </cell>
        </row>
        <row r="1936">
          <cell r="B1936" t="str">
            <v>70443367</v>
          </cell>
          <cell r="C1936" t="str">
            <v>优之唯品 维C软糖（提子味） 68G</v>
          </cell>
          <cell r="D1936">
            <v>0</v>
          </cell>
          <cell r="E1936">
            <v>0</v>
          </cell>
          <cell r="F1936" t="e">
            <v>#DIV/0!</v>
          </cell>
        </row>
        <row r="1937">
          <cell r="B1937" t="str">
            <v>70445392</v>
          </cell>
          <cell r="C1937" t="str">
            <v>黑巧控糖计划 72％蓝莓针叶樱桃巧克力 30G</v>
          </cell>
          <cell r="D1937">
            <v>32</v>
          </cell>
          <cell r="E1937">
            <v>337.59</v>
          </cell>
          <cell r="F1937">
            <v>11.921146875</v>
          </cell>
        </row>
        <row r="1938">
          <cell r="B1938" t="str">
            <v>70445393</v>
          </cell>
          <cell r="C1938" t="str">
            <v>黑巧控糖计划 72％藜麦黑巧克力 30G</v>
          </cell>
          <cell r="D1938">
            <v>42</v>
          </cell>
          <cell r="E1938">
            <v>443.1</v>
          </cell>
          <cell r="F1938">
            <v>11.9215</v>
          </cell>
        </row>
        <row r="1939">
          <cell r="B1939" t="str">
            <v>70445394</v>
          </cell>
          <cell r="C1939" t="str">
            <v>黑巧控糖计划 72％海盐黑巧克力 30G</v>
          </cell>
          <cell r="D1939">
            <v>39</v>
          </cell>
          <cell r="E1939">
            <v>411.44</v>
          </cell>
          <cell r="F1939">
            <v>11.9212102564103</v>
          </cell>
        </row>
        <row r="1940">
          <cell r="B1940" t="str">
            <v>70450154</v>
          </cell>
          <cell r="C1940" t="str">
            <v>优之唯品 无糖薄荷糖柠檬味 包</v>
          </cell>
          <cell r="D1940">
            <v>1</v>
          </cell>
          <cell r="E1940">
            <v>3.79</v>
          </cell>
          <cell r="F1940">
            <v>4.2827000000000002</v>
          </cell>
        </row>
        <row r="1941">
          <cell r="B1941" t="str">
            <v>70458211</v>
          </cell>
          <cell r="C1941" t="str">
            <v>喜之郎 蒟蒻果冻芒果味 120G</v>
          </cell>
          <cell r="D1941">
            <v>0</v>
          </cell>
          <cell r="E1941">
            <v>0</v>
          </cell>
          <cell r="F1941" t="e">
            <v>#DIV/0!</v>
          </cell>
        </row>
        <row r="1942">
          <cell r="B1942" t="str">
            <v>70461068</v>
          </cell>
          <cell r="C1942" t="str">
            <v>瑞欧 红葡萄味薄荷糖 22.5G</v>
          </cell>
          <cell r="D1942">
            <v>15</v>
          </cell>
          <cell r="E1942">
            <v>135.96</v>
          </cell>
          <cell r="F1942">
            <v>10.242319999999999</v>
          </cell>
        </row>
        <row r="1943">
          <cell r="B1943" t="str">
            <v>70461070</v>
          </cell>
          <cell r="C1943" t="str">
            <v>瑞欧 茉莉香桃味薄荷糖 22.5G</v>
          </cell>
          <cell r="D1943">
            <v>21</v>
          </cell>
          <cell r="E1943">
            <v>191.36</v>
          </cell>
          <cell r="F1943">
            <v>10.2969904761905</v>
          </cell>
        </row>
        <row r="1944">
          <cell r="B1944" t="str">
            <v>70464548</v>
          </cell>
          <cell r="C1944" t="str">
            <v>阿尔卑斯 乐嚼Q海底世界动物造型凝胶糖果 50G</v>
          </cell>
          <cell r="D1944">
            <v>1</v>
          </cell>
          <cell r="E1944">
            <v>3.12</v>
          </cell>
          <cell r="F1944">
            <v>3.5255999999999998</v>
          </cell>
        </row>
        <row r="1945">
          <cell r="B1945" t="str">
            <v>70468148</v>
          </cell>
          <cell r="C1945" t="str">
            <v>都市牧场 气泡夹心无糖薄荷糖小青柠＋百香果味 41.6G</v>
          </cell>
          <cell r="D1945">
            <v>17</v>
          </cell>
          <cell r="E1945">
            <v>127.91</v>
          </cell>
          <cell r="F1945">
            <v>8.5022529411764705</v>
          </cell>
        </row>
        <row r="1946">
          <cell r="B1946" t="str">
            <v>70468149</v>
          </cell>
          <cell r="C1946" t="str">
            <v>都市牧场 气泡夹心无糖薄荷糖清新蜜桃味 41.6G</v>
          </cell>
          <cell r="D1946">
            <v>2</v>
          </cell>
          <cell r="E1946">
            <v>15.06</v>
          </cell>
          <cell r="F1946">
            <v>8.5089000000000006</v>
          </cell>
        </row>
        <row r="1947">
          <cell r="B1947" t="str">
            <v>70468193</v>
          </cell>
          <cell r="C1947" t="str">
            <v>好丽友 果滋果心荔枝味 70g</v>
          </cell>
          <cell r="D1947">
            <v>3133</v>
          </cell>
          <cell r="E1947">
            <v>9416.2099999999991</v>
          </cell>
          <cell r="F1947">
            <v>3.3962072454516399</v>
          </cell>
        </row>
        <row r="1948">
          <cell r="B1948" t="str">
            <v>70471279</v>
          </cell>
          <cell r="C1948" t="str">
            <v>益达有范口袋装清爽西瓜味20片装-2024版 54g*9*4</v>
          </cell>
          <cell r="D1948">
            <v>3866</v>
          </cell>
          <cell r="E1948">
            <v>24265.71</v>
          </cell>
          <cell r="F1948">
            <v>7.0926674340403499</v>
          </cell>
        </row>
        <row r="1949">
          <cell r="B1949" t="str">
            <v>70471280</v>
          </cell>
          <cell r="C1949" t="str">
            <v>益达有范口袋装清爽草莓味20片装-2024版 54g*9*4</v>
          </cell>
          <cell r="D1949">
            <v>3866</v>
          </cell>
          <cell r="E1949">
            <v>24325.11</v>
          </cell>
          <cell r="F1949">
            <v>7.1100295654423196</v>
          </cell>
        </row>
        <row r="1950">
          <cell r="B1950" t="str">
            <v>70472414</v>
          </cell>
          <cell r="C1950" t="str">
            <v>淸嘴 气泡压片糖沁爽西柚味 26G</v>
          </cell>
          <cell r="D1950">
            <v>60</v>
          </cell>
          <cell r="E1950">
            <v>303.19</v>
          </cell>
          <cell r="F1950">
            <v>5.71007833333333</v>
          </cell>
        </row>
        <row r="1951">
          <cell r="B1951" t="str">
            <v>70472821</v>
          </cell>
          <cell r="C1951" t="str">
            <v>阿尔卑斯 乐嚼Q缤纷乐园啫喱糖袋装 60G</v>
          </cell>
          <cell r="D1951">
            <v>7</v>
          </cell>
          <cell r="E1951">
            <v>21.84</v>
          </cell>
          <cell r="F1951">
            <v>3.5255999999999998</v>
          </cell>
        </row>
        <row r="1952">
          <cell r="B1952" t="str">
            <v>70473058</v>
          </cell>
          <cell r="C1952" t="str">
            <v>曼妥思 白桃味盒装无糖薄荷糖 21G</v>
          </cell>
          <cell r="D1952">
            <v>33</v>
          </cell>
          <cell r="E1952">
            <v>261.41000000000003</v>
          </cell>
          <cell r="F1952">
            <v>8.9513121212121192</v>
          </cell>
        </row>
        <row r="1953">
          <cell r="B1953" t="str">
            <v>70476573</v>
          </cell>
          <cell r="C1953" t="str">
            <v>库德士 松露形巧克力 160G</v>
          </cell>
          <cell r="D1953">
            <v>12</v>
          </cell>
          <cell r="E1953">
            <v>366.38</v>
          </cell>
          <cell r="F1953">
            <v>34.500783333333302</v>
          </cell>
        </row>
        <row r="1954">
          <cell r="B1954" t="str">
            <v>70477861</v>
          </cell>
          <cell r="C1954" t="str">
            <v>CODEX 松露形咖啡味牛奶巧克力 112G</v>
          </cell>
          <cell r="D1954">
            <v>5</v>
          </cell>
          <cell r="E1954">
            <v>107.97</v>
          </cell>
          <cell r="F1954">
            <v>24.401219999999999</v>
          </cell>
        </row>
        <row r="1955">
          <cell r="B1955" t="str">
            <v>70480658</v>
          </cell>
          <cell r="C1955" t="str">
            <v>薇莉 99％黑巧克力 80G</v>
          </cell>
          <cell r="D1955">
            <v>1</v>
          </cell>
          <cell r="E1955">
            <v>32.92</v>
          </cell>
          <cell r="F1955">
            <v>37.199599999999997</v>
          </cell>
        </row>
        <row r="1956">
          <cell r="B1956" t="str">
            <v>70480665</v>
          </cell>
          <cell r="C1956" t="str">
            <v>艾达的世界 50％黑巧克力 100G</v>
          </cell>
          <cell r="D1956">
            <v>1</v>
          </cell>
          <cell r="E1956">
            <v>16.46</v>
          </cell>
          <cell r="F1956">
            <v>18.599799999999998</v>
          </cell>
        </row>
        <row r="1957">
          <cell r="B1957" t="str">
            <v>70483708</v>
          </cell>
          <cell r="C1957" t="str">
            <v>百诺 75％可可总量黑巧克力 30G</v>
          </cell>
          <cell r="D1957">
            <v>2</v>
          </cell>
          <cell r="E1957">
            <v>8.86</v>
          </cell>
          <cell r="F1957">
            <v>5.0058999999999996</v>
          </cell>
        </row>
        <row r="1958">
          <cell r="B1958" t="str">
            <v>70483908</v>
          </cell>
          <cell r="C1958" t="str">
            <v>雀巢 趣满果花心杂果味筒装 60G</v>
          </cell>
          <cell r="D1958">
            <v>106</v>
          </cell>
          <cell r="E1958">
            <v>707.92</v>
          </cell>
          <cell r="F1958">
            <v>7.5466943396226398</v>
          </cell>
        </row>
        <row r="1959">
          <cell r="B1959" t="str">
            <v>70483965</v>
          </cell>
          <cell r="C1959" t="str">
            <v>雀巢 趣满果情迷热带味筒装 60G</v>
          </cell>
          <cell r="D1959">
            <v>10</v>
          </cell>
          <cell r="E1959">
            <v>67.7</v>
          </cell>
          <cell r="F1959">
            <v>7.6501000000000001</v>
          </cell>
        </row>
        <row r="1960">
          <cell r="B1960" t="str">
            <v>70484018</v>
          </cell>
          <cell r="C1960" t="str">
            <v>IMINT益美滋 无糖薄荷糖(清新草莓味) 21G</v>
          </cell>
          <cell r="D1960">
            <v>3</v>
          </cell>
          <cell r="E1960">
            <v>16.260000000000002</v>
          </cell>
          <cell r="F1960">
            <v>6.1246</v>
          </cell>
        </row>
        <row r="1961">
          <cell r="B1961" t="str">
            <v>70484029</v>
          </cell>
          <cell r="C1961" t="str">
            <v>IMINT益美滋 无糖薄荷糖(水蜜桃味) 21G</v>
          </cell>
          <cell r="D1961">
            <v>31</v>
          </cell>
          <cell r="E1961">
            <v>168.02</v>
          </cell>
          <cell r="F1961">
            <v>6.1246</v>
          </cell>
        </row>
        <row r="1962">
          <cell r="B1962" t="str">
            <v>70484060</v>
          </cell>
          <cell r="C1962" t="str">
            <v>X-IT 无糖清润糖(樱花味) 45G</v>
          </cell>
          <cell r="D1962">
            <v>76</v>
          </cell>
          <cell r="E1962">
            <v>702.27</v>
          </cell>
          <cell r="F1962">
            <v>10.441646052631601</v>
          </cell>
        </row>
        <row r="1963">
          <cell r="B1963" t="str">
            <v>70484068</v>
          </cell>
          <cell r="C1963" t="str">
            <v>X-IT 无糖清润糖(茉莉花味) 45G</v>
          </cell>
          <cell r="D1963">
            <v>39</v>
          </cell>
          <cell r="E1963">
            <v>362.82</v>
          </cell>
          <cell r="F1963">
            <v>10.5124769230769</v>
          </cell>
        </row>
        <row r="1964">
          <cell r="B1964" t="str">
            <v>70484084</v>
          </cell>
          <cell r="C1964" t="str">
            <v>益美滋 元宇宙喵系列草莓芝芝味无糖薄荷糖 16G</v>
          </cell>
          <cell r="D1964">
            <v>5</v>
          </cell>
          <cell r="E1964">
            <v>28.55</v>
          </cell>
          <cell r="F1964">
            <v>6.4523000000000001</v>
          </cell>
        </row>
        <row r="1965">
          <cell r="B1965" t="str">
            <v>70484090</v>
          </cell>
          <cell r="C1965" t="str">
            <v>益美滋 元宇宙喵系列啵啵奶茶味无糖薄荷糖 16G</v>
          </cell>
          <cell r="D1965">
            <v>28</v>
          </cell>
          <cell r="E1965">
            <v>111.41</v>
          </cell>
          <cell r="F1965">
            <v>4.4961892857142898</v>
          </cell>
        </row>
        <row r="1966">
          <cell r="B1966" t="str">
            <v>70484096</v>
          </cell>
          <cell r="C1966" t="str">
            <v>益美滋 元宇宙喵系列青梅子酒味无糖薄荷糖 16G</v>
          </cell>
          <cell r="D1966">
            <v>11</v>
          </cell>
          <cell r="E1966">
            <v>45.71</v>
          </cell>
          <cell r="F1966">
            <v>4.6956636363636397</v>
          </cell>
        </row>
        <row r="1967">
          <cell r="B1967" t="str">
            <v>70484245</v>
          </cell>
          <cell r="C1967" t="str">
            <v>不二家 奥特曼盒装大棒棒糖(葡萄味＋香橙味) 10G</v>
          </cell>
          <cell r="D1967">
            <v>2406</v>
          </cell>
          <cell r="E1967">
            <v>2619.66</v>
          </cell>
          <cell r="F1967">
            <v>1.2303473815461301</v>
          </cell>
        </row>
        <row r="1968">
          <cell r="B1968" t="str">
            <v>70485431</v>
          </cell>
          <cell r="C1968" t="str">
            <v>炫迈 无糖颗粒口香糖冰爆咖啡味 40粒</v>
          </cell>
          <cell r="D1968">
            <v>3491</v>
          </cell>
          <cell r="E1968">
            <v>22633.68</v>
          </cell>
          <cell r="F1968">
            <v>7.3262842738470404</v>
          </cell>
        </row>
        <row r="1969">
          <cell r="B1969" t="str">
            <v>70485432</v>
          </cell>
          <cell r="C1969" t="str">
            <v>炫迈 无糖颗粒口香糖冰爆薄荷味 40粒</v>
          </cell>
          <cell r="D1969">
            <v>3643</v>
          </cell>
          <cell r="E1969">
            <v>23907.279999999999</v>
          </cell>
          <cell r="F1969">
            <v>7.4156536920120804</v>
          </cell>
        </row>
        <row r="1970">
          <cell r="B1970" t="str">
            <v>70485856</v>
          </cell>
          <cell r="C1970" t="str">
            <v>炫迈 无糖薄荷糖沁凉蜜桃味 22.5G</v>
          </cell>
          <cell r="D1970">
            <v>17</v>
          </cell>
          <cell r="E1970">
            <v>122.23</v>
          </cell>
          <cell r="F1970">
            <v>8.1247000000000007</v>
          </cell>
        </row>
        <row r="1971">
          <cell r="B1971" t="str">
            <v>70485863</v>
          </cell>
          <cell r="C1971" t="str">
            <v>荷氏 0糖薄荷味糖缤纷混合口味 15G</v>
          </cell>
          <cell r="D1971">
            <v>25</v>
          </cell>
          <cell r="E1971">
            <v>111.91</v>
          </cell>
          <cell r="F1971">
            <v>5.0583320000000001</v>
          </cell>
        </row>
        <row r="1972">
          <cell r="B1972" t="str">
            <v>70485870</v>
          </cell>
          <cell r="C1972" t="str">
            <v>荷氏 0糖薄荷味糖特强薄荷味 15G</v>
          </cell>
          <cell r="D1972">
            <v>11</v>
          </cell>
          <cell r="E1972">
            <v>51.11</v>
          </cell>
          <cell r="F1972">
            <v>5.2503909090909104</v>
          </cell>
        </row>
        <row r="1973">
          <cell r="B1973" t="str">
            <v>70486045</v>
          </cell>
          <cell r="C1973" t="str">
            <v>雅客 V9果心功能软糖草莓 68G</v>
          </cell>
          <cell r="D1973">
            <v>5</v>
          </cell>
          <cell r="E1973">
            <v>17.7</v>
          </cell>
          <cell r="F1973">
            <v>4.0002000000000004</v>
          </cell>
        </row>
        <row r="1974">
          <cell r="B1974" t="str">
            <v>70486046</v>
          </cell>
          <cell r="C1974" t="str">
            <v>雅客 V9果心功能软糖香橙 68G</v>
          </cell>
          <cell r="D1974">
            <v>3</v>
          </cell>
          <cell r="E1974">
            <v>10.62</v>
          </cell>
          <cell r="F1974">
            <v>4.0002000000000004</v>
          </cell>
        </row>
        <row r="1975">
          <cell r="B1975" t="str">
            <v>70486048</v>
          </cell>
          <cell r="C1975" t="str">
            <v>雅客 V9果心功能软糖葡萄 68G</v>
          </cell>
          <cell r="D1975">
            <v>4</v>
          </cell>
          <cell r="E1975">
            <v>14.16</v>
          </cell>
          <cell r="F1975">
            <v>4.0002000000000004</v>
          </cell>
        </row>
        <row r="1976">
          <cell r="B1976" t="str">
            <v>70490582</v>
          </cell>
          <cell r="C1976" t="str">
            <v>优之唯品 清口含片薄荷味 40G</v>
          </cell>
          <cell r="D1976">
            <v>2</v>
          </cell>
          <cell r="E1976">
            <v>6.4</v>
          </cell>
          <cell r="F1976">
            <v>3.6160000000000001</v>
          </cell>
        </row>
        <row r="1977">
          <cell r="B1977" t="str">
            <v>70490606</v>
          </cell>
          <cell r="C1977" t="str">
            <v>优之唯品 维C软糖香橙味 68G</v>
          </cell>
          <cell r="D1977">
            <v>0</v>
          </cell>
          <cell r="E1977">
            <v>0</v>
          </cell>
          <cell r="F1977" t="e">
            <v>#DIV/0!</v>
          </cell>
        </row>
        <row r="1978">
          <cell r="B1978" t="str">
            <v>70490689</v>
          </cell>
          <cell r="C1978" t="str">
            <v>CODEX 益生菌黑巧克力 40G</v>
          </cell>
          <cell r="D1978">
            <v>1</v>
          </cell>
          <cell r="E1978">
            <v>7.79</v>
          </cell>
          <cell r="F1978">
            <v>8.8026999999999997</v>
          </cell>
        </row>
        <row r="1979">
          <cell r="B1979" t="str">
            <v>70490693</v>
          </cell>
          <cell r="C1979" t="str">
            <v>CODEX 生巧克力-生酪风味 40G</v>
          </cell>
          <cell r="D1979">
            <v>1</v>
          </cell>
          <cell r="E1979">
            <v>6.46</v>
          </cell>
          <cell r="F1979">
            <v>7.2998000000000003</v>
          </cell>
        </row>
        <row r="1980">
          <cell r="B1980" t="str">
            <v>70490698</v>
          </cell>
          <cell r="C1980" t="str">
            <v>雀巢 趣满果黑加仑味筒装 60G</v>
          </cell>
          <cell r="D1980">
            <v>9</v>
          </cell>
          <cell r="E1980">
            <v>60.93</v>
          </cell>
          <cell r="F1980">
            <v>7.6501000000000001</v>
          </cell>
        </row>
        <row r="1981">
          <cell r="B1981" t="str">
            <v>70490707</v>
          </cell>
          <cell r="C1981" t="str">
            <v>CODEX 经典牛奶巧克力麦丽素 65G</v>
          </cell>
          <cell r="D1981">
            <v>0</v>
          </cell>
          <cell r="E1981">
            <v>0</v>
          </cell>
          <cell r="F1981" t="e">
            <v>#DIV/0!</v>
          </cell>
        </row>
        <row r="1982">
          <cell r="B1982" t="str">
            <v>70490710</v>
          </cell>
          <cell r="C1982" t="str">
            <v>CODEX 醇香黑巧克力麦丽素 65G</v>
          </cell>
          <cell r="D1982">
            <v>0</v>
          </cell>
          <cell r="E1982">
            <v>0</v>
          </cell>
          <cell r="F1982" t="e">
            <v>#DIV/0!</v>
          </cell>
        </row>
        <row r="1983">
          <cell r="B1983" t="str">
            <v>70490727</v>
          </cell>
          <cell r="C1983" t="str">
            <v>CODEX 椰子脆快黑巧克力 40G</v>
          </cell>
          <cell r="D1983">
            <v>0</v>
          </cell>
          <cell r="E1983">
            <v>0</v>
          </cell>
          <cell r="F1983" t="e">
            <v>#DIV/0!</v>
          </cell>
        </row>
        <row r="1984">
          <cell r="B1984" t="str">
            <v>70490918</v>
          </cell>
          <cell r="C1984" t="str">
            <v>百诺 牛奶巧克力 68G</v>
          </cell>
          <cell r="D1984">
            <v>3</v>
          </cell>
          <cell r="E1984">
            <v>31.86</v>
          </cell>
          <cell r="F1984">
            <v>12.0006</v>
          </cell>
        </row>
        <row r="1985">
          <cell r="B1985" t="str">
            <v>70494545</v>
          </cell>
          <cell r="C1985" t="str">
            <v>甘一研 食社剥皮の软糖紫葡萄味 72G</v>
          </cell>
          <cell r="D1985">
            <v>0</v>
          </cell>
          <cell r="E1985">
            <v>0</v>
          </cell>
          <cell r="F1985" t="e">
            <v>#DIV/0!</v>
          </cell>
        </row>
        <row r="1986">
          <cell r="B1986" t="str">
            <v>70496836</v>
          </cell>
          <cell r="C1986" t="str">
            <v>百诺 榛仁味巧克力 68G</v>
          </cell>
          <cell r="D1986">
            <v>7</v>
          </cell>
          <cell r="E1986">
            <v>74.34</v>
          </cell>
          <cell r="F1986">
            <v>12.0006</v>
          </cell>
        </row>
        <row r="1987">
          <cell r="B1987" t="str">
            <v>70498338</v>
          </cell>
          <cell r="C1987" t="str">
            <v>薇莉 92％黑巧克力 80G</v>
          </cell>
          <cell r="D1987">
            <v>7</v>
          </cell>
          <cell r="E1987">
            <v>233.99</v>
          </cell>
          <cell r="F1987">
            <v>37.7726714285714</v>
          </cell>
        </row>
        <row r="1988">
          <cell r="B1988" t="str">
            <v>70498957</v>
          </cell>
          <cell r="C1988" t="str">
            <v>RIO 瑞欧蜜桃乌龙茶味薄荷糖 14G</v>
          </cell>
          <cell r="D1988">
            <v>9</v>
          </cell>
          <cell r="E1988">
            <v>61.32</v>
          </cell>
          <cell r="F1988">
            <v>7.6990666666666696</v>
          </cell>
        </row>
        <row r="1989">
          <cell r="B1989" t="str">
            <v>70498959</v>
          </cell>
          <cell r="C1989" t="str">
            <v>RIO 瑞欧荔枝红茶味薄荷糖 14G</v>
          </cell>
          <cell r="D1989">
            <v>9</v>
          </cell>
          <cell r="E1989">
            <v>67.16</v>
          </cell>
          <cell r="F1989">
            <v>8.43231111111111</v>
          </cell>
        </row>
        <row r="1990">
          <cell r="B1990" t="str">
            <v>70499107</v>
          </cell>
          <cell r="C1990" t="str">
            <v>阿尔卑斯 阿尔卑斯蜜香好棒棒棒糖 10G</v>
          </cell>
          <cell r="D1990">
            <v>5</v>
          </cell>
          <cell r="E1990">
            <v>37.85</v>
          </cell>
          <cell r="F1990">
            <v>8.5541</v>
          </cell>
        </row>
        <row r="1991">
          <cell r="B1991" t="str">
            <v>70499109</v>
          </cell>
          <cell r="C1991" t="str">
            <v>阿尔卑斯 阿尔卑斯乐嚼Q缤纷乐园酸酸哒 50G</v>
          </cell>
          <cell r="D1991">
            <v>2</v>
          </cell>
          <cell r="E1991">
            <v>6.25</v>
          </cell>
          <cell r="F1991">
            <v>3.53125</v>
          </cell>
        </row>
        <row r="1992">
          <cell r="B1992" t="str">
            <v>70499111</v>
          </cell>
          <cell r="C1992" t="str">
            <v>曼妥思 曼妥思百香果盒装无糖薄荷糖 21G</v>
          </cell>
          <cell r="D1992">
            <v>41</v>
          </cell>
          <cell r="E1992">
            <v>324.75</v>
          </cell>
          <cell r="F1992">
            <v>8.9504268292682898</v>
          </cell>
        </row>
        <row r="1993">
          <cell r="B1993" t="str">
            <v>70499115</v>
          </cell>
          <cell r="C1993" t="str">
            <v>徐福记 熊博士口嚼糖可乐味条装开盒有礼 22G</v>
          </cell>
          <cell r="D1993">
            <v>3099</v>
          </cell>
          <cell r="E1993">
            <v>3180.95</v>
          </cell>
          <cell r="F1993">
            <v>1.15988173604388</v>
          </cell>
        </row>
        <row r="1994">
          <cell r="B1994" t="str">
            <v>70499243</v>
          </cell>
          <cell r="C1994" t="str">
            <v>雀巢 趣满果黑加仑味果汁软糖迷你筒 30G</v>
          </cell>
          <cell r="D1994">
            <v>138</v>
          </cell>
          <cell r="E1994">
            <v>434.55</v>
          </cell>
          <cell r="F1994">
            <v>3.5582717391304302</v>
          </cell>
        </row>
        <row r="1995">
          <cell r="B1995" t="str">
            <v>70499244</v>
          </cell>
          <cell r="C1995" t="str">
            <v>雀巢 趣满果花心杂果味果汁软糖迷你筒 30G</v>
          </cell>
          <cell r="D1995">
            <v>302</v>
          </cell>
          <cell r="E1995">
            <v>947.54</v>
          </cell>
          <cell r="F1995">
            <v>3.5454311258278102</v>
          </cell>
        </row>
        <row r="1996">
          <cell r="B1996" t="str">
            <v>70499245</v>
          </cell>
          <cell r="C1996" t="str">
            <v>徐福记 熊博士草莓果汁软糖袋装 20G</v>
          </cell>
          <cell r="D1996">
            <v>2953</v>
          </cell>
          <cell r="E1996">
            <v>3021.73</v>
          </cell>
          <cell r="F1996">
            <v>1.1563003386386701</v>
          </cell>
        </row>
        <row r="1997">
          <cell r="B1997" t="str">
            <v>70509077</v>
          </cell>
          <cell r="C1997" t="str">
            <v>糖田米田 酸柠檬味酸爆糖 80G</v>
          </cell>
          <cell r="D1997">
            <v>25</v>
          </cell>
          <cell r="E1997">
            <v>146.02000000000001</v>
          </cell>
          <cell r="F1997">
            <v>6.600104</v>
          </cell>
        </row>
        <row r="1998">
          <cell r="B1998" t="str">
            <v>70509119</v>
          </cell>
          <cell r="C1998" t="str">
            <v>糖田米田 黑咖啡味咖啡糖透明盒 100G</v>
          </cell>
          <cell r="D1998">
            <v>0</v>
          </cell>
          <cell r="E1998">
            <v>0</v>
          </cell>
          <cell r="F1998" t="e">
            <v>#DIV/0!</v>
          </cell>
        </row>
        <row r="1999">
          <cell r="B1999" t="str">
            <v>70509481</v>
          </cell>
          <cell r="C1999" t="str">
            <v>百诺 饼干奶香白巧克力 袋</v>
          </cell>
          <cell r="D1999">
            <v>13</v>
          </cell>
          <cell r="E1999">
            <v>57.59</v>
          </cell>
          <cell r="F1999">
            <v>5.0058999999999996</v>
          </cell>
        </row>
        <row r="2000">
          <cell r="B2000" t="str">
            <v>70509964</v>
          </cell>
          <cell r="C2000" t="str">
            <v>阿尔卑斯 珍宝珠 贺年糖311.7g</v>
          </cell>
          <cell r="D2000">
            <v>4</v>
          </cell>
          <cell r="E2000">
            <v>80.72</v>
          </cell>
          <cell r="F2000">
            <v>22.8034</v>
          </cell>
        </row>
        <row r="2001">
          <cell r="B2001" t="str">
            <v>70510630</v>
          </cell>
          <cell r="C2001" t="str">
            <v>玛氏箭牌 彩虹糖 原果味 40G</v>
          </cell>
          <cell r="D2001">
            <v>1311</v>
          </cell>
          <cell r="E2001">
            <v>3995.48</v>
          </cell>
          <cell r="F2001">
            <v>3.44385385202136</v>
          </cell>
        </row>
        <row r="2002">
          <cell r="B2002" t="str">
            <v>70514610</v>
          </cell>
          <cell r="C2002" t="str">
            <v>阿尔卑斯 巧克溢礼盒 300g</v>
          </cell>
          <cell r="D2002">
            <v>0</v>
          </cell>
          <cell r="E2002">
            <v>0</v>
          </cell>
          <cell r="F2002" t="e">
            <v>#DIV/0!</v>
          </cell>
        </row>
        <row r="2003">
          <cell r="B2003" t="str">
            <v>70515851</v>
          </cell>
          <cell r="C2003" t="str">
            <v>南国 传统椰子糖 55G</v>
          </cell>
          <cell r="D2003">
            <v>28</v>
          </cell>
          <cell r="E2003">
            <v>93.22</v>
          </cell>
          <cell r="F2003">
            <v>3.7620928571428598</v>
          </cell>
        </row>
        <row r="2004">
          <cell r="B2004" t="str">
            <v>70515862</v>
          </cell>
          <cell r="C2004" t="str">
            <v>南国 榴莲软糖 50G</v>
          </cell>
          <cell r="D2004">
            <v>26</v>
          </cell>
          <cell r="E2004">
            <v>104.65</v>
          </cell>
          <cell r="F2004">
            <v>4.5482500000000003</v>
          </cell>
        </row>
        <row r="2005">
          <cell r="B2005" t="str">
            <v>70515863</v>
          </cell>
          <cell r="C2005" t="str">
            <v>南国 炭烧咖啡糖 50G</v>
          </cell>
          <cell r="D2005">
            <v>26</v>
          </cell>
          <cell r="E2005">
            <v>93.63</v>
          </cell>
          <cell r="F2005">
            <v>4.0693038461538498</v>
          </cell>
        </row>
        <row r="2006">
          <cell r="B2006" t="str">
            <v>70515864</v>
          </cell>
          <cell r="C2006" t="str">
            <v>南国 特浓椰子糖 50G</v>
          </cell>
          <cell r="D2006">
            <v>6</v>
          </cell>
          <cell r="E2006">
            <v>23.38</v>
          </cell>
          <cell r="F2006">
            <v>4.40323333333333</v>
          </cell>
        </row>
        <row r="2007">
          <cell r="B2007" t="str">
            <v>70516845</v>
          </cell>
          <cell r="C2007" t="str">
            <v>雅客 V9维生素C果汁软糖草莓 36G</v>
          </cell>
          <cell r="D2007">
            <v>1</v>
          </cell>
          <cell r="E2007">
            <v>1.77</v>
          </cell>
          <cell r="F2007">
            <v>2.0001000000000002</v>
          </cell>
        </row>
        <row r="2008">
          <cell r="B2008" t="str">
            <v>70517034</v>
          </cell>
          <cell r="C2008" t="str">
            <v>马大姐 大虾酥糖 330G</v>
          </cell>
          <cell r="D2008">
            <v>20</v>
          </cell>
          <cell r="E2008">
            <v>389.39</v>
          </cell>
          <cell r="F2008">
            <v>22.000534999999999</v>
          </cell>
        </row>
        <row r="2009">
          <cell r="B2009" t="str">
            <v>70518993</v>
          </cell>
          <cell r="C2009" t="str">
            <v>小猪佩奇 星趣蛋 25G</v>
          </cell>
          <cell r="D2009">
            <v>6</v>
          </cell>
          <cell r="E2009">
            <v>21.78</v>
          </cell>
          <cell r="F2009">
            <v>4.1018999999999997</v>
          </cell>
        </row>
        <row r="2010">
          <cell r="B2010" t="str">
            <v>70523736</v>
          </cell>
          <cell r="C2010" t="str">
            <v>珍宝珠 混合口味迷你硬糖棒棒糖 58G</v>
          </cell>
          <cell r="D2010">
            <v>0</v>
          </cell>
          <cell r="E2010">
            <v>0</v>
          </cell>
          <cell r="F2010" t="e">
            <v>#DIV/0!</v>
          </cell>
        </row>
        <row r="2011">
          <cell r="B2011" t="str">
            <v>70523759</v>
          </cell>
          <cell r="C2011" t="str">
            <v>亿智 汪汪队果汁软糖（蓝莓味） 105g</v>
          </cell>
          <cell r="D2011">
            <v>528</v>
          </cell>
          <cell r="E2011">
            <v>2854.89</v>
          </cell>
          <cell r="F2011">
            <v>6.1098971590909104</v>
          </cell>
        </row>
        <row r="2012">
          <cell r="B2012" t="str">
            <v>70523761</v>
          </cell>
          <cell r="C2012" t="str">
            <v>亿智 汪汪队果汁软糖（草莓味） 105g</v>
          </cell>
          <cell r="D2012">
            <v>525</v>
          </cell>
          <cell r="E2012">
            <v>2844.06</v>
          </cell>
          <cell r="F2012">
            <v>6.1215005714285704</v>
          </cell>
        </row>
        <row r="2013">
          <cell r="B2013" t="str">
            <v>70523888</v>
          </cell>
          <cell r="C2013" t="str">
            <v>流行E派 泓润吸管糖 150G</v>
          </cell>
          <cell r="D2013">
            <v>0</v>
          </cell>
          <cell r="E2013">
            <v>0</v>
          </cell>
          <cell r="F2013" t="e">
            <v>#DIV/0!</v>
          </cell>
        </row>
        <row r="2014">
          <cell r="B2014" t="str">
            <v>70524311</v>
          </cell>
          <cell r="C2014" t="str">
            <v>炫迈 无糖薄荷糖冰摇荔枝味 22.5G</v>
          </cell>
          <cell r="D2014">
            <v>1812</v>
          </cell>
          <cell r="E2014">
            <v>9829.77</v>
          </cell>
          <cell r="F2014">
            <v>6.1300442052980104</v>
          </cell>
        </row>
        <row r="2015">
          <cell r="B2015" t="str">
            <v>70524313</v>
          </cell>
          <cell r="C2015" t="str">
            <v>炫迈 无糖口香糖卡曼橘柠檬草味 50.4G</v>
          </cell>
          <cell r="D2015">
            <v>2779</v>
          </cell>
          <cell r="E2015">
            <v>20132.63</v>
          </cell>
          <cell r="F2015">
            <v>8.1863518891687708</v>
          </cell>
        </row>
        <row r="2016">
          <cell r="B2016" t="str">
            <v>70524315</v>
          </cell>
          <cell r="C2016" t="str">
            <v>炫迈 无糖口香糖白桃槐花味 50.4G</v>
          </cell>
          <cell r="D2016">
            <v>3753</v>
          </cell>
          <cell r="E2016">
            <v>30051.64</v>
          </cell>
          <cell r="F2016">
            <v>9.0483221955768691</v>
          </cell>
        </row>
        <row r="2017">
          <cell r="B2017" t="str">
            <v>70524318</v>
          </cell>
          <cell r="C2017" t="str">
            <v>炫迈 无糖薄荷糖激爽爆柠味 22.5G</v>
          </cell>
          <cell r="D2017">
            <v>2030</v>
          </cell>
          <cell r="E2017">
            <v>10092.120000000001</v>
          </cell>
          <cell r="F2017">
            <v>5.6177810837438402</v>
          </cell>
        </row>
        <row r="2018">
          <cell r="B2018" t="str">
            <v>70524321</v>
          </cell>
          <cell r="C2018" t="str">
            <v>炫迈 无糖口香糖海盐荔枝味 50.4G</v>
          </cell>
          <cell r="D2018">
            <v>1587</v>
          </cell>
          <cell r="E2018">
            <v>10526.47</v>
          </cell>
          <cell r="F2018">
            <v>7.4952180844360399</v>
          </cell>
        </row>
        <row r="2019">
          <cell r="B2019" t="str">
            <v>70534479</v>
          </cell>
          <cell r="C2019" t="str">
            <v>雅客 益牙无糖口香糖海盐薄荷味时尚版 56G</v>
          </cell>
          <cell r="D2019">
            <v>0</v>
          </cell>
          <cell r="E2019">
            <v>0</v>
          </cell>
          <cell r="F2019" t="e">
            <v>#DIV/0!</v>
          </cell>
        </row>
        <row r="2020">
          <cell r="B2020" t="str">
            <v>70534485</v>
          </cell>
          <cell r="C2020" t="str">
            <v>雅客 益牙无糖口香糖经典草莓味时尚版 56G</v>
          </cell>
          <cell r="D2020">
            <v>4</v>
          </cell>
          <cell r="E2020">
            <v>29.4</v>
          </cell>
          <cell r="F2020">
            <v>8.3055000000000003</v>
          </cell>
        </row>
        <row r="2021">
          <cell r="B2021" t="str">
            <v>70534498</v>
          </cell>
          <cell r="C2021" t="str">
            <v>雅客 益牙无糖口香糖清新蓝莓味时尚版 56G</v>
          </cell>
          <cell r="D2021">
            <v>0</v>
          </cell>
          <cell r="E2021">
            <v>0</v>
          </cell>
          <cell r="F2021" t="e">
            <v>#DIV/0!</v>
          </cell>
        </row>
        <row r="2022">
          <cell r="B2022" t="str">
            <v>70534502</v>
          </cell>
          <cell r="C2022" t="str">
            <v>雅客 益牙无糖口香糖清爽西瓜味时尚版 56G</v>
          </cell>
          <cell r="D2022">
            <v>8</v>
          </cell>
          <cell r="E2022">
            <v>58.8</v>
          </cell>
          <cell r="F2022">
            <v>8.3055000000000003</v>
          </cell>
        </row>
        <row r="2023">
          <cell r="B2023" t="str">
            <v>70534505</v>
          </cell>
          <cell r="C2023" t="str">
            <v>雅客 V9维生素C果汁软糖雪梨味 36G</v>
          </cell>
          <cell r="D2023">
            <v>3</v>
          </cell>
          <cell r="E2023">
            <v>5.31</v>
          </cell>
          <cell r="F2023">
            <v>2.0001000000000002</v>
          </cell>
        </row>
        <row r="2024">
          <cell r="B2024" t="str">
            <v>70534511</v>
          </cell>
          <cell r="C2024" t="str">
            <v>雅客 V9维生素C果汁软糖葡萄味 36G</v>
          </cell>
          <cell r="D2024">
            <v>2</v>
          </cell>
          <cell r="E2024">
            <v>3.54</v>
          </cell>
          <cell r="F2024">
            <v>2.0001000000000002</v>
          </cell>
        </row>
        <row r="2025">
          <cell r="B2025" t="str">
            <v>70534516</v>
          </cell>
          <cell r="C2025" t="str">
            <v>雅客 V9维生素C果汁软糖香橙味 36G</v>
          </cell>
          <cell r="D2025">
            <v>0</v>
          </cell>
          <cell r="E2025">
            <v>0</v>
          </cell>
          <cell r="F2025" t="e">
            <v>#DIV/0!</v>
          </cell>
        </row>
        <row r="2026">
          <cell r="B2026" t="str">
            <v>70534526</v>
          </cell>
          <cell r="C2026" t="str">
            <v>金稻谷 魔幻陀螺 5G</v>
          </cell>
          <cell r="D2026">
            <v>56</v>
          </cell>
          <cell r="E2026">
            <v>645.64</v>
          </cell>
          <cell r="F2026">
            <v>13.0280928571429</v>
          </cell>
        </row>
        <row r="2027">
          <cell r="B2027" t="str">
            <v>70534550</v>
          </cell>
          <cell r="C2027" t="str">
            <v>雅客 贪吃熊果汁果心剥皮软糖白桃味 56G</v>
          </cell>
          <cell r="D2027">
            <v>6</v>
          </cell>
          <cell r="E2027">
            <v>13.3</v>
          </cell>
          <cell r="F2027">
            <v>2.5048333333333299</v>
          </cell>
        </row>
        <row r="2028">
          <cell r="B2028" t="str">
            <v>70534555</v>
          </cell>
          <cell r="C2028" t="str">
            <v>雅客 贪吃熊果汁果心剥皮软糖荔枝味 56G</v>
          </cell>
          <cell r="D2028">
            <v>0</v>
          </cell>
          <cell r="E2028">
            <v>0</v>
          </cell>
          <cell r="F2028" t="e">
            <v>#DIV/0!</v>
          </cell>
        </row>
        <row r="2029">
          <cell r="B2029" t="str">
            <v>70534606</v>
          </cell>
          <cell r="C2029" t="str">
            <v>明治 巴旦木夹心巧G力 37G</v>
          </cell>
          <cell r="D2029">
            <v>5</v>
          </cell>
          <cell r="E2029">
            <v>44.25</v>
          </cell>
          <cell r="F2029">
            <v>10.000500000000001</v>
          </cell>
        </row>
        <row r="2030">
          <cell r="B2030" t="str">
            <v>70534609</v>
          </cell>
          <cell r="C2030" t="str">
            <v>金稻谷 水果串烧软糖 45G</v>
          </cell>
          <cell r="D2030">
            <v>55</v>
          </cell>
          <cell r="E2030">
            <v>170.5</v>
          </cell>
          <cell r="F2030">
            <v>3.5030000000000001</v>
          </cell>
        </row>
        <row r="2031">
          <cell r="B2031" t="str">
            <v>70534732</v>
          </cell>
          <cell r="C2031" t="str">
            <v>好丽友 果滋果点杨枝甘露味 70G</v>
          </cell>
          <cell r="D2031">
            <v>3</v>
          </cell>
          <cell r="E2031">
            <v>9.48</v>
          </cell>
          <cell r="F2031">
            <v>3.5708000000000002</v>
          </cell>
        </row>
        <row r="2032">
          <cell r="B2032" t="str">
            <v>70534733</v>
          </cell>
          <cell r="C2032" t="str">
            <v>好丽友 果滋果心黄金奇异果味 70G</v>
          </cell>
          <cell r="D2032">
            <v>36</v>
          </cell>
          <cell r="E2032">
            <v>113.46</v>
          </cell>
          <cell r="F2032">
            <v>3.56138333333333</v>
          </cell>
        </row>
        <row r="2033">
          <cell r="B2033" t="str">
            <v>70534768</v>
          </cell>
          <cell r="C2033" t="str">
            <v>雅客 贪吃熊果汁果心剥皮软糖青提味 56G</v>
          </cell>
          <cell r="D2033">
            <v>3</v>
          </cell>
          <cell r="E2033">
            <v>6.66</v>
          </cell>
          <cell r="F2033">
            <v>2.5085999999999999</v>
          </cell>
        </row>
        <row r="2034">
          <cell r="B2034" t="str">
            <v>70534847</v>
          </cell>
          <cell r="C2034" t="str">
            <v>百诺 海盐黑黑巧克力 68G</v>
          </cell>
          <cell r="D2034">
            <v>14</v>
          </cell>
          <cell r="E2034">
            <v>148.68</v>
          </cell>
          <cell r="F2034">
            <v>12.0006</v>
          </cell>
        </row>
        <row r="2035">
          <cell r="B2035" t="str">
            <v>70534993</v>
          </cell>
          <cell r="C2035" t="str">
            <v>金稻谷 煎蛋布町 82G</v>
          </cell>
          <cell r="D2035">
            <v>304</v>
          </cell>
          <cell r="E2035">
            <v>1213.3399999999999</v>
          </cell>
          <cell r="F2035">
            <v>4.5101125</v>
          </cell>
        </row>
        <row r="2036">
          <cell r="B2036" t="str">
            <v>70534994</v>
          </cell>
          <cell r="C2036" t="str">
            <v>金稻谷 冰箱玩具糖 5G</v>
          </cell>
          <cell r="D2036">
            <v>4</v>
          </cell>
          <cell r="E2036">
            <v>46.03</v>
          </cell>
          <cell r="F2036">
            <v>13.003475</v>
          </cell>
        </row>
        <row r="2037">
          <cell r="B2037" t="str">
            <v>70535076</v>
          </cell>
          <cell r="C2037" t="str">
            <v>金稻谷 汉堡包橡皮糖 55G</v>
          </cell>
          <cell r="D2037">
            <v>248</v>
          </cell>
          <cell r="E2037">
            <v>1033.71</v>
          </cell>
          <cell r="F2037">
            <v>4.7100495967741898</v>
          </cell>
        </row>
        <row r="2038">
          <cell r="B2038" t="str">
            <v>70535078</v>
          </cell>
          <cell r="C2038" t="str">
            <v>金稻谷 解解鸭捏捏乐玩具糖 10G</v>
          </cell>
          <cell r="D2038">
            <v>453</v>
          </cell>
          <cell r="E2038">
            <v>3214.02</v>
          </cell>
          <cell r="F2038">
            <v>8.0173125827814609</v>
          </cell>
        </row>
        <row r="2039">
          <cell r="B2039" t="str">
            <v>70535918</v>
          </cell>
          <cell r="C2039" t="str">
            <v>马大姐 白桃软糖 90G</v>
          </cell>
          <cell r="D2039">
            <v>13</v>
          </cell>
          <cell r="E2039">
            <v>52.93</v>
          </cell>
          <cell r="F2039">
            <v>4.6008384615384603</v>
          </cell>
        </row>
        <row r="2040">
          <cell r="B2040" t="str">
            <v>70535921</v>
          </cell>
          <cell r="C2040" t="str">
            <v>马大姐 薄荷味硬糖 100G</v>
          </cell>
          <cell r="D2040">
            <v>7</v>
          </cell>
          <cell r="E2040">
            <v>28.53</v>
          </cell>
          <cell r="F2040">
            <v>4.6055571428571396</v>
          </cell>
        </row>
        <row r="2041">
          <cell r="B2041" t="str">
            <v>70535965</v>
          </cell>
          <cell r="C2041" t="str">
            <v>糖果叔叔 幻彩海洋软糖 70G</v>
          </cell>
          <cell r="D2041">
            <v>100</v>
          </cell>
          <cell r="E2041">
            <v>336.66</v>
          </cell>
          <cell r="F2041">
            <v>3.8042579999999999</v>
          </cell>
        </row>
        <row r="2042">
          <cell r="B2042" t="str">
            <v>70535970</v>
          </cell>
          <cell r="C2042" t="str">
            <v>糖果叔叔 幻彩动物软糖 70G</v>
          </cell>
          <cell r="D2042">
            <v>69</v>
          </cell>
          <cell r="E2042">
            <v>232.23</v>
          </cell>
          <cell r="F2042">
            <v>3.8031869565217402</v>
          </cell>
        </row>
        <row r="2043">
          <cell r="B2043" t="str">
            <v>70535974</v>
          </cell>
          <cell r="C2043" t="str">
            <v>糖果叔叔 太空造型软糖 70G</v>
          </cell>
          <cell r="D2043">
            <v>128</v>
          </cell>
          <cell r="E2043">
            <v>432.06</v>
          </cell>
          <cell r="F2043">
            <v>3.8142796875</v>
          </cell>
        </row>
        <row r="2044">
          <cell r="B2044" t="str">
            <v>70536049</v>
          </cell>
          <cell r="C2044" t="str">
            <v>嘉云 菠萝味夹心葡萄柚味糖 175G</v>
          </cell>
          <cell r="D2044">
            <v>36</v>
          </cell>
          <cell r="E2044">
            <v>461.97</v>
          </cell>
          <cell r="F2044">
            <v>14.500724999999999</v>
          </cell>
        </row>
        <row r="2045">
          <cell r="B2045" t="str">
            <v>70536099</v>
          </cell>
          <cell r="C2045" t="str">
            <v>阿尔卑斯 杨枝甘露味硬糖条形 31G</v>
          </cell>
          <cell r="D2045">
            <v>40</v>
          </cell>
          <cell r="E2045">
            <v>79.739999999999995</v>
          </cell>
          <cell r="F2045">
            <v>2.2526549999999999</v>
          </cell>
        </row>
        <row r="2046">
          <cell r="B2046" t="str">
            <v>70536135</v>
          </cell>
          <cell r="C2046" t="str">
            <v>曼妥思 口香糖口袋瓶薄荷味 30G</v>
          </cell>
          <cell r="D2046">
            <v>9</v>
          </cell>
          <cell r="E2046">
            <v>60.54</v>
          </cell>
          <cell r="F2046">
            <v>7.6011333333333297</v>
          </cell>
        </row>
        <row r="2047">
          <cell r="B2047" t="str">
            <v>70536136</v>
          </cell>
          <cell r="C2047" t="str">
            <v>曼妥思 口香糖口袋瓶西瓜味 30G</v>
          </cell>
          <cell r="D2047">
            <v>1</v>
          </cell>
          <cell r="E2047">
            <v>6.73</v>
          </cell>
          <cell r="F2047">
            <v>7.6048999999999998</v>
          </cell>
        </row>
        <row r="2048">
          <cell r="B2048" t="str">
            <v>70536137</v>
          </cell>
          <cell r="C2048" t="str">
            <v>廿一研食社 剥皮软糖青葡萄味 72G</v>
          </cell>
          <cell r="D2048">
            <v>0</v>
          </cell>
          <cell r="E2048">
            <v>0</v>
          </cell>
          <cell r="F2048" t="e">
            <v>#DIV/0!</v>
          </cell>
        </row>
        <row r="2049">
          <cell r="B2049" t="str">
            <v>70536138</v>
          </cell>
          <cell r="C2049" t="str">
            <v>廿一研食社 剥皮软糖水蜜桃味 72G</v>
          </cell>
          <cell r="D2049">
            <v>0</v>
          </cell>
          <cell r="E2049">
            <v>0</v>
          </cell>
          <cell r="F2049" t="e">
            <v>#DIV/0!</v>
          </cell>
        </row>
        <row r="2050">
          <cell r="B2050" t="str">
            <v>70536139</v>
          </cell>
          <cell r="C2050" t="str">
            <v>廿一研食社 剥皮软糖芒果味 72G</v>
          </cell>
          <cell r="D2050">
            <v>0</v>
          </cell>
          <cell r="E2050">
            <v>0</v>
          </cell>
          <cell r="F2050" t="e">
            <v>#DIV/0!</v>
          </cell>
        </row>
        <row r="2051">
          <cell r="B2051" t="str">
            <v>70539213</v>
          </cell>
          <cell r="C2051" t="str">
            <v>加减乘除 青葡萄味 100G</v>
          </cell>
          <cell r="D2051">
            <v>52</v>
          </cell>
          <cell r="E2051">
            <v>290.52</v>
          </cell>
          <cell r="F2051">
            <v>6.3132230769230802</v>
          </cell>
        </row>
        <row r="2052">
          <cell r="B2052" t="str">
            <v>70539218</v>
          </cell>
          <cell r="C2052" t="str">
            <v>加减乘除 芒果味 100G</v>
          </cell>
          <cell r="D2052">
            <v>108</v>
          </cell>
          <cell r="E2052">
            <v>587.77</v>
          </cell>
          <cell r="F2052">
            <v>6.1498157407407401</v>
          </cell>
        </row>
        <row r="2053">
          <cell r="B2053" t="str">
            <v>70547534</v>
          </cell>
          <cell r="C2053" t="str">
            <v>诺梵 低糖松露巧克力礼盒 500G</v>
          </cell>
          <cell r="D2053">
            <v>5</v>
          </cell>
          <cell r="E2053">
            <v>150.44999999999999</v>
          </cell>
          <cell r="F2053">
            <v>34.0017</v>
          </cell>
        </row>
        <row r="2054">
          <cell r="B2054" t="str">
            <v>70547758</v>
          </cell>
          <cell r="C2054" t="str">
            <v>阿尔卑斯 珍宝珠混合口味糖果圆听 470.5G</v>
          </cell>
          <cell r="D2054">
            <v>4</v>
          </cell>
          <cell r="E2054">
            <v>141.12</v>
          </cell>
          <cell r="F2054">
            <v>39.866399999999999</v>
          </cell>
        </row>
        <row r="2055">
          <cell r="B2055" t="str">
            <v>70547877</v>
          </cell>
          <cell r="C2055" t="str">
            <v>贝欧宝 维C柑橘味软糖 70G</v>
          </cell>
          <cell r="D2055">
            <v>12</v>
          </cell>
          <cell r="E2055">
            <v>116.85</v>
          </cell>
          <cell r="F2055">
            <v>11.003375</v>
          </cell>
        </row>
        <row r="2056">
          <cell r="B2056" t="str">
            <v>70547947</v>
          </cell>
          <cell r="C2056" t="str">
            <v>贝欧宝 叶黄素酯蓝莓软糖 70G</v>
          </cell>
          <cell r="D2056">
            <v>11</v>
          </cell>
          <cell r="E2056">
            <v>107.12</v>
          </cell>
          <cell r="F2056">
            <v>11.004145454545499</v>
          </cell>
        </row>
        <row r="2057">
          <cell r="B2057" t="str">
            <v>70549962</v>
          </cell>
          <cell r="C2057" t="str">
            <v>SENZ心之 榛仁牛奶巧克力 30G</v>
          </cell>
          <cell r="D2057">
            <v>104</v>
          </cell>
          <cell r="E2057">
            <v>1097.1500000000001</v>
          </cell>
          <cell r="F2057">
            <v>11.9209567307692</v>
          </cell>
        </row>
        <row r="2058">
          <cell r="B2058" t="str">
            <v>70550201</v>
          </cell>
          <cell r="C2058" t="str">
            <v>SENZ心之 香浓至醇72％黑巧克力 40G</v>
          </cell>
          <cell r="D2058">
            <v>77</v>
          </cell>
          <cell r="E2058">
            <v>1079.49</v>
          </cell>
          <cell r="F2058">
            <v>15.841866233766201</v>
          </cell>
        </row>
        <row r="2059">
          <cell r="B2059" t="str">
            <v>70550202</v>
          </cell>
          <cell r="C2059" t="str">
            <v>SENZ心之 香浓至醇无蔗糖黑巧克力 40G</v>
          </cell>
          <cell r="D2059">
            <v>56</v>
          </cell>
          <cell r="E2059">
            <v>785.08</v>
          </cell>
          <cell r="F2059">
            <v>15.841792857142901</v>
          </cell>
        </row>
        <row r="2060">
          <cell r="B2060" t="str">
            <v>70550203</v>
          </cell>
          <cell r="C2060" t="str">
            <v>SENZ心之 至醇益生菌黑巧克力 40G</v>
          </cell>
          <cell r="D2060">
            <v>70</v>
          </cell>
          <cell r="E2060">
            <v>981.34</v>
          </cell>
          <cell r="F2060">
            <v>15.8416314285714</v>
          </cell>
        </row>
        <row r="2061">
          <cell r="B2061" t="str">
            <v>70550204</v>
          </cell>
          <cell r="C2061" t="str">
            <v>SENZ心之 藜麦83％黑巧克力 40G</v>
          </cell>
          <cell r="D2061">
            <v>83</v>
          </cell>
          <cell r="E2061">
            <v>1163.6199999999999</v>
          </cell>
          <cell r="F2061">
            <v>15.8420554216867</v>
          </cell>
        </row>
        <row r="2062">
          <cell r="B2062" t="str">
            <v>70550206</v>
          </cell>
          <cell r="C2062" t="str">
            <v>SENZ心之 跳跳糖牛奶巧克力 150G</v>
          </cell>
          <cell r="D2062">
            <v>1</v>
          </cell>
          <cell r="E2062">
            <v>62.31</v>
          </cell>
          <cell r="F2062">
            <v>70.410300000000007</v>
          </cell>
        </row>
        <row r="2063">
          <cell r="B2063" t="str">
            <v>70550209</v>
          </cell>
          <cell r="C2063" t="str">
            <v>SENZ心之 脆米白巧克力 150G</v>
          </cell>
          <cell r="D2063">
            <v>28</v>
          </cell>
          <cell r="E2063">
            <v>1744.42</v>
          </cell>
          <cell r="F2063">
            <v>70.3998071428571</v>
          </cell>
        </row>
        <row r="2064">
          <cell r="B2064" t="str">
            <v>70550211</v>
          </cell>
          <cell r="C2064" t="str">
            <v>SENZ心之 魔金手工巧克力礼盒蝴蝶结款 160G</v>
          </cell>
          <cell r="D2064">
            <v>2</v>
          </cell>
          <cell r="E2064">
            <v>181.24</v>
          </cell>
          <cell r="F2064">
            <v>102.4006</v>
          </cell>
        </row>
        <row r="2065">
          <cell r="B2065" t="str">
            <v>70550213</v>
          </cell>
          <cell r="C2065" t="str">
            <v>SENZ心之 情绪札记星球礼盒 120G</v>
          </cell>
          <cell r="D2065">
            <v>1</v>
          </cell>
          <cell r="E2065">
            <v>111.86</v>
          </cell>
          <cell r="F2065">
            <v>126.40179999999999</v>
          </cell>
        </row>
        <row r="2066">
          <cell r="B2066" t="str">
            <v>70550215</v>
          </cell>
          <cell r="C2066" t="str">
            <v>SENZ心之 仲夏绮梦手工松露巧克力礼盒 156G</v>
          </cell>
          <cell r="D2066">
            <v>2</v>
          </cell>
          <cell r="E2066">
            <v>195.4</v>
          </cell>
          <cell r="F2066">
            <v>110.401</v>
          </cell>
        </row>
        <row r="2067">
          <cell r="B2067" t="str">
            <v>70550217</v>
          </cell>
          <cell r="C2067" t="str">
            <v>SENZ心之 扁桃仁牛奶巧克力 100G</v>
          </cell>
          <cell r="D2067">
            <v>38</v>
          </cell>
          <cell r="E2067">
            <v>1587.26</v>
          </cell>
          <cell r="F2067">
            <v>47.200099999999999</v>
          </cell>
        </row>
        <row r="2068">
          <cell r="B2068" t="str">
            <v>70550219</v>
          </cell>
          <cell r="C2068" t="str">
            <v>SENZ心之 扁桃仁白巧克力 100G</v>
          </cell>
          <cell r="D2068">
            <v>83</v>
          </cell>
          <cell r="E2068">
            <v>3466.91</v>
          </cell>
          <cell r="F2068">
            <v>47.200099999999999</v>
          </cell>
        </row>
        <row r="2069">
          <cell r="B2069" t="str">
            <v>70550489</v>
          </cell>
          <cell r="C2069" t="str">
            <v>SENZ心之 香浓至醇90％黑巧克力 40G</v>
          </cell>
          <cell r="D2069">
            <v>81</v>
          </cell>
          <cell r="E2069">
            <v>1135.54</v>
          </cell>
          <cell r="F2069">
            <v>15.841483950617301</v>
          </cell>
        </row>
        <row r="2070">
          <cell r="B2070" t="str">
            <v>70550490</v>
          </cell>
          <cell r="C2070" t="str">
            <v>SENZ心之 香浓至醇83％黑巧克力 40G</v>
          </cell>
          <cell r="D2070">
            <v>58</v>
          </cell>
          <cell r="E2070">
            <v>813.1</v>
          </cell>
          <cell r="F2070">
            <v>15.841431034482801</v>
          </cell>
        </row>
        <row r="2071">
          <cell r="B2071" t="str">
            <v>70550491</v>
          </cell>
          <cell r="C2071" t="str">
            <v>SENZ心之 跳跳糖牛奶巧克力 30G</v>
          </cell>
          <cell r="D2071">
            <v>85</v>
          </cell>
          <cell r="E2071">
            <v>896.71</v>
          </cell>
          <cell r="F2071">
            <v>11.920968235294101</v>
          </cell>
        </row>
        <row r="2072">
          <cell r="B2072" t="str">
            <v>70550492</v>
          </cell>
          <cell r="C2072" t="str">
            <v>CHOCOMAGIC 卡布奇诺松露形黑巧克力 56G</v>
          </cell>
          <cell r="D2072">
            <v>35</v>
          </cell>
          <cell r="E2072">
            <v>465.85</v>
          </cell>
          <cell r="F2072">
            <v>15.0403</v>
          </cell>
        </row>
        <row r="2073">
          <cell r="B2073" t="str">
            <v>70550493</v>
          </cell>
          <cell r="C2073" t="str">
            <v>CHOCOMAGIC 松露形黑巧克力 56G</v>
          </cell>
          <cell r="D2073">
            <v>42</v>
          </cell>
          <cell r="E2073">
            <v>559.02</v>
          </cell>
          <cell r="F2073">
            <v>15.0403</v>
          </cell>
        </row>
        <row r="2074">
          <cell r="B2074" t="str">
            <v>70550499</v>
          </cell>
          <cell r="C2074" t="str">
            <v>CHOCOMAGIC 可可松露形黑巧克力 56G</v>
          </cell>
          <cell r="D2074">
            <v>10</v>
          </cell>
          <cell r="E2074">
            <v>133.1</v>
          </cell>
          <cell r="F2074">
            <v>15.0403</v>
          </cell>
        </row>
        <row r="2075">
          <cell r="B2075" t="str">
            <v>70551884</v>
          </cell>
          <cell r="C2075" t="str">
            <v>维巧 透明小立袋吉利贝豆 140G</v>
          </cell>
          <cell r="D2075">
            <v>0</v>
          </cell>
          <cell r="E2075">
            <v>0</v>
          </cell>
          <cell r="F2075" t="e">
            <v>#DIV/0!</v>
          </cell>
        </row>
        <row r="2076">
          <cell r="B2076" t="str">
            <v>70551886</v>
          </cell>
          <cell r="C2076" t="str">
            <v>维巧 透明小立袋西瓜形泡泡糖 130G</v>
          </cell>
          <cell r="D2076">
            <v>0</v>
          </cell>
          <cell r="E2076">
            <v>0</v>
          </cell>
          <cell r="F2076" t="e">
            <v>#DIV/0!</v>
          </cell>
        </row>
        <row r="2077">
          <cell r="B2077" t="str">
            <v>70551888</v>
          </cell>
          <cell r="C2077" t="str">
            <v>维巧 透明小立袋瑞士糖 140G</v>
          </cell>
          <cell r="D2077">
            <v>0</v>
          </cell>
          <cell r="E2077">
            <v>0</v>
          </cell>
          <cell r="F2077" t="e">
            <v>#DIV/0!</v>
          </cell>
        </row>
        <row r="2078">
          <cell r="B2078" t="str">
            <v>70551913</v>
          </cell>
          <cell r="C2078" t="str">
            <v>维巧 透明小立袋脆皮棉花糖 75G</v>
          </cell>
          <cell r="D2078">
            <v>0</v>
          </cell>
          <cell r="E2078">
            <v>0</v>
          </cell>
          <cell r="F2078" t="e">
            <v>#DIV/0!</v>
          </cell>
        </row>
        <row r="2079">
          <cell r="B2079" t="str">
            <v>70553472</v>
          </cell>
          <cell r="C2079" t="str">
            <v>阿尔曼 榛子味孜巴巧克力蓝色 1KG</v>
          </cell>
          <cell r="D2079">
            <v>49</v>
          </cell>
          <cell r="E2079">
            <v>862.87</v>
          </cell>
          <cell r="F2079">
            <v>19.8988387755102</v>
          </cell>
        </row>
        <row r="2080">
          <cell r="B2080" t="str">
            <v>70556437</v>
          </cell>
          <cell r="C2080" t="str">
            <v>茶色添香 无糖口香糖柠檬红茶味 56g</v>
          </cell>
          <cell r="D2080">
            <v>238</v>
          </cell>
          <cell r="E2080">
            <v>1664.63</v>
          </cell>
          <cell r="F2080">
            <v>7.90349537815126</v>
          </cell>
        </row>
        <row r="2081">
          <cell r="B2081" t="str">
            <v>70556441</v>
          </cell>
          <cell r="C2081" t="str">
            <v>茶色添香 无糖口香糖清新绿茶味 56g</v>
          </cell>
          <cell r="D2081">
            <v>96</v>
          </cell>
          <cell r="E2081">
            <v>671.59</v>
          </cell>
          <cell r="F2081">
            <v>7.9051739583333296</v>
          </cell>
        </row>
        <row r="2082">
          <cell r="B2082" t="str">
            <v>70556599</v>
          </cell>
          <cell r="C2082" t="str">
            <v>优之唯品 珍果汁软糖综合果味黑罐装 168G</v>
          </cell>
          <cell r="D2082">
            <v>0</v>
          </cell>
          <cell r="E2082">
            <v>0</v>
          </cell>
          <cell r="F2082" t="e">
            <v>#DIV/0!</v>
          </cell>
        </row>
        <row r="2083">
          <cell r="B2083" t="str">
            <v>70556611</v>
          </cell>
          <cell r="C2083" t="str">
            <v>优之唯品 珍果汁软糖综合果味粉罐装 168G</v>
          </cell>
          <cell r="D2083">
            <v>0</v>
          </cell>
          <cell r="E2083">
            <v>0</v>
          </cell>
          <cell r="F2083" t="e">
            <v>#DIV/0!</v>
          </cell>
        </row>
        <row r="2084">
          <cell r="B2084" t="str">
            <v>70556809</v>
          </cell>
          <cell r="C2084" t="str">
            <v>优之唯品 清口含片草莓味 40G</v>
          </cell>
          <cell r="D2084">
            <v>0</v>
          </cell>
          <cell r="E2084">
            <v>0</v>
          </cell>
          <cell r="F2084" t="e">
            <v>#DIV/0!</v>
          </cell>
        </row>
        <row r="2085">
          <cell r="B2085" t="str">
            <v>70556810</v>
          </cell>
          <cell r="C2085" t="str">
            <v>优之唯品 无糖薄荷糖柠檬味 16G</v>
          </cell>
          <cell r="D2085">
            <v>3</v>
          </cell>
          <cell r="E2085">
            <v>9.6</v>
          </cell>
          <cell r="F2085">
            <v>3.6160000000000001</v>
          </cell>
        </row>
        <row r="2086">
          <cell r="B2086" t="str">
            <v>70556811</v>
          </cell>
          <cell r="C2086" t="str">
            <v>优之唯品 果汁维C软糖柠檬味 68G</v>
          </cell>
          <cell r="D2086">
            <v>1</v>
          </cell>
          <cell r="E2086">
            <v>3.2</v>
          </cell>
          <cell r="F2086">
            <v>3.6160000000000001</v>
          </cell>
        </row>
        <row r="2087">
          <cell r="B2087" t="str">
            <v>70556812</v>
          </cell>
          <cell r="C2087" t="str">
            <v>茶色添香 无糖口香糖蜜桃乌龙味 56g</v>
          </cell>
          <cell r="D2087">
            <v>180</v>
          </cell>
          <cell r="E2087">
            <v>1260.6099999999999</v>
          </cell>
          <cell r="F2087">
            <v>7.9138294444444401</v>
          </cell>
        </row>
        <row r="2088">
          <cell r="B2088" t="str">
            <v>70556847</v>
          </cell>
          <cell r="C2088" t="str">
            <v>优之唯品 珍果汁硬糖草莓味白桃味芒果味黑加仑味紫罐 168G</v>
          </cell>
          <cell r="D2088">
            <v>0</v>
          </cell>
          <cell r="E2088">
            <v>0</v>
          </cell>
          <cell r="F2088" t="e">
            <v>#DIV/0!</v>
          </cell>
        </row>
        <row r="2089">
          <cell r="B2089" t="str">
            <v>70556848</v>
          </cell>
          <cell r="C2089" t="str">
            <v>优之唯品 珍果汁硬糖树莓味蓝莓味柠檬味葡萄味金罐 168G</v>
          </cell>
          <cell r="D2089">
            <v>0</v>
          </cell>
          <cell r="E2089">
            <v>0</v>
          </cell>
          <cell r="F2089" t="e">
            <v>#DIV/0!</v>
          </cell>
        </row>
        <row r="2090">
          <cell r="B2090" t="str">
            <v>70556852</v>
          </cell>
          <cell r="C2090" t="str">
            <v>诺梵 低糖松露小黄袋 58G</v>
          </cell>
          <cell r="D2090">
            <v>0</v>
          </cell>
          <cell r="E2090">
            <v>0</v>
          </cell>
          <cell r="F2090" t="e">
            <v>#DIV/0!</v>
          </cell>
        </row>
        <row r="2091">
          <cell r="B2091" t="str">
            <v>70556853</v>
          </cell>
          <cell r="C2091" t="str">
            <v>诺梵 低糖松露小红袋 58G</v>
          </cell>
          <cell r="D2091">
            <v>0</v>
          </cell>
          <cell r="E2091">
            <v>0</v>
          </cell>
          <cell r="F2091" t="e">
            <v>#DIV/0!</v>
          </cell>
        </row>
        <row r="2092">
          <cell r="B2092" t="str">
            <v>70556854</v>
          </cell>
          <cell r="C2092" t="str">
            <v>诺梵 麦丽素原味 128G</v>
          </cell>
          <cell r="D2092">
            <v>0</v>
          </cell>
          <cell r="E2092">
            <v>0</v>
          </cell>
          <cell r="F2092" t="e">
            <v>#DIV/0!</v>
          </cell>
        </row>
        <row r="2093">
          <cell r="B2093" t="str">
            <v>70556855</v>
          </cell>
          <cell r="C2093" t="str">
            <v>诺梵 薄片巧克力牛奶 110G</v>
          </cell>
          <cell r="D2093">
            <v>0</v>
          </cell>
          <cell r="E2093">
            <v>0</v>
          </cell>
          <cell r="F2093" t="e">
            <v>#DIV/0!</v>
          </cell>
        </row>
        <row r="2094">
          <cell r="B2094" t="str">
            <v>70556856</v>
          </cell>
          <cell r="C2094" t="str">
            <v>诺梵 薄片巧克力原味 110G</v>
          </cell>
          <cell r="D2094">
            <v>0</v>
          </cell>
          <cell r="E2094">
            <v>0</v>
          </cell>
          <cell r="F2094" t="e">
            <v>#DIV/0!</v>
          </cell>
        </row>
        <row r="2095">
          <cell r="B2095" t="str">
            <v>70558858</v>
          </cell>
          <cell r="C2095" t="str">
            <v>费列罗 健达牛奶巧G力2条装 25G</v>
          </cell>
          <cell r="D2095">
            <v>166</v>
          </cell>
          <cell r="E2095">
            <v>636.72</v>
          </cell>
          <cell r="F2095">
            <v>4.3342987951807199</v>
          </cell>
        </row>
        <row r="2096">
          <cell r="B2096" t="str">
            <v>70577358</v>
          </cell>
          <cell r="C2096" t="str">
            <v>阿麦斯 叶罗丽天使系列·阿麦斯4D积木果汁软糖 50G</v>
          </cell>
          <cell r="D2096">
            <v>18</v>
          </cell>
          <cell r="E2096">
            <v>121.14</v>
          </cell>
          <cell r="F2096">
            <v>7.6048999999999998</v>
          </cell>
        </row>
        <row r="2097">
          <cell r="B2097" t="str">
            <v>70577359</v>
          </cell>
          <cell r="C2097" t="str">
            <v>阿麦斯 汪汪队立大功卡通形象授权·阿麦斯4D积木果汁软糖 50G</v>
          </cell>
          <cell r="D2097">
            <v>15</v>
          </cell>
          <cell r="E2097">
            <v>100.95</v>
          </cell>
          <cell r="F2097">
            <v>7.6048999999999998</v>
          </cell>
        </row>
        <row r="2098">
          <cell r="B2098" t="str">
            <v>70577405</v>
          </cell>
          <cell r="C2098" t="str">
            <v>阿麦斯 4D积木果汁软糖（混合水果牛奶味) 72G</v>
          </cell>
          <cell r="D2098">
            <v>20</v>
          </cell>
          <cell r="E2098">
            <v>141.09</v>
          </cell>
          <cell r="F2098">
            <v>7.9715850000000001</v>
          </cell>
        </row>
        <row r="2099">
          <cell r="B2099" t="str">
            <v>70583029</v>
          </cell>
          <cell r="C2099" t="str">
            <v>陶小果 原味切糕 80G</v>
          </cell>
          <cell r="D2099">
            <v>22</v>
          </cell>
          <cell r="E2099">
            <v>110.88</v>
          </cell>
          <cell r="F2099">
            <v>5.6951999999999998</v>
          </cell>
        </row>
        <row r="2100">
          <cell r="B2100" t="str">
            <v>70583030</v>
          </cell>
          <cell r="C2100" t="str">
            <v>陶小果 什锦切糕 80G</v>
          </cell>
          <cell r="D2100">
            <v>25</v>
          </cell>
          <cell r="E2100">
            <v>139.86000000000001</v>
          </cell>
          <cell r="F2100">
            <v>6.3216720000000004</v>
          </cell>
        </row>
        <row r="2101">
          <cell r="B2101" t="str">
            <v>70583035</v>
          </cell>
          <cell r="C2101" t="str">
            <v>临克之美 高粱饴 100G</v>
          </cell>
          <cell r="D2101">
            <v>13</v>
          </cell>
          <cell r="E2101">
            <v>17.29</v>
          </cell>
          <cell r="F2101">
            <v>1.5028999999999999</v>
          </cell>
        </row>
        <row r="2102">
          <cell r="B2102" t="str">
            <v>70583036</v>
          </cell>
          <cell r="C2102" t="str">
            <v>临克之美 高粱饴 200G</v>
          </cell>
          <cell r="D2102">
            <v>7</v>
          </cell>
          <cell r="E2102">
            <v>15.5</v>
          </cell>
          <cell r="F2102">
            <v>2.5021428571428599</v>
          </cell>
        </row>
        <row r="2103">
          <cell r="B2103" t="str">
            <v>70595216</v>
          </cell>
          <cell r="C2103" t="str">
            <v>不二家 酸沙软糖草莓味 72G</v>
          </cell>
          <cell r="D2103">
            <v>20</v>
          </cell>
          <cell r="E2103">
            <v>86.3</v>
          </cell>
          <cell r="F2103">
            <v>4.8759499999999996</v>
          </cell>
        </row>
        <row r="2104">
          <cell r="B2104" t="str">
            <v>70595218</v>
          </cell>
          <cell r="C2104" t="str">
            <v>不二家 酸沙软糖柠檬味 72G</v>
          </cell>
          <cell r="D2104">
            <v>20</v>
          </cell>
          <cell r="E2104">
            <v>85</v>
          </cell>
          <cell r="F2104">
            <v>4.8025000000000002</v>
          </cell>
        </row>
        <row r="2105">
          <cell r="B2105" t="str">
            <v>70597322</v>
          </cell>
          <cell r="C2105" t="str">
            <v>绿箭 劲酷薄荷硬糖茉莉冰茶味 20.5G</v>
          </cell>
          <cell r="D2105">
            <v>1563</v>
          </cell>
          <cell r="E2105">
            <v>3526.67</v>
          </cell>
          <cell r="F2105">
            <v>2.5496718490083201</v>
          </cell>
        </row>
        <row r="2106">
          <cell r="B2106" t="str">
            <v>70597406</v>
          </cell>
          <cell r="C2106" t="str">
            <v>绿箭 劲酷薄荷硬糖冰萃柠檬味 20.5G</v>
          </cell>
          <cell r="D2106">
            <v>1110</v>
          </cell>
          <cell r="E2106">
            <v>2506.5700000000002</v>
          </cell>
          <cell r="F2106">
            <v>2.5517334234234199</v>
          </cell>
        </row>
        <row r="2107">
          <cell r="B2107" t="str">
            <v>70597410</v>
          </cell>
          <cell r="C2107" t="str">
            <v>益达 冰川薄荷40粒 56G</v>
          </cell>
          <cell r="D2107">
            <v>493</v>
          </cell>
          <cell r="E2107">
            <v>4507.37</v>
          </cell>
          <cell r="F2107">
            <v>10.3312943204868</v>
          </cell>
        </row>
        <row r="2108">
          <cell r="B2108" t="str">
            <v>70605415</v>
          </cell>
          <cell r="C2108" t="str">
            <v>徐福记 福年1318克 1盒</v>
          </cell>
          <cell r="D2108">
            <v>10</v>
          </cell>
          <cell r="E2108">
            <v>584.07000000000005</v>
          </cell>
          <cell r="F2108">
            <v>65.99991</v>
          </cell>
        </row>
        <row r="2109">
          <cell r="B2109" t="str">
            <v>70640117</v>
          </cell>
          <cell r="C2109" t="str">
            <v>滨崎 奇思妙享盒造型软糖(综合水果味) 30G</v>
          </cell>
          <cell r="D2109">
            <v>10</v>
          </cell>
          <cell r="E2109">
            <v>62.88</v>
          </cell>
          <cell r="F2109">
            <v>7.1054399999999998</v>
          </cell>
        </row>
        <row r="2110">
          <cell r="B2110" t="str">
            <v>70640145</v>
          </cell>
          <cell r="C2110" t="str">
            <v>金稻谷 口琴玩具糖 5G</v>
          </cell>
          <cell r="D2110">
            <v>37</v>
          </cell>
          <cell r="E2110">
            <v>428.63</v>
          </cell>
          <cell r="F2110">
            <v>13.090591891891901</v>
          </cell>
        </row>
        <row r="2111">
          <cell r="B2111" t="str">
            <v>70640157</v>
          </cell>
          <cell r="C2111" t="str">
            <v>金稻谷 果汁软糖 80G</v>
          </cell>
          <cell r="D2111">
            <v>187</v>
          </cell>
          <cell r="E2111">
            <v>1003.77</v>
          </cell>
          <cell r="F2111">
            <v>6.0655620320855599</v>
          </cell>
        </row>
        <row r="2112">
          <cell r="B2112" t="str">
            <v>70640169</v>
          </cell>
          <cell r="C2112" t="str">
            <v>金稻谷 七彩巧克力 70G</v>
          </cell>
          <cell r="D2112">
            <v>157</v>
          </cell>
          <cell r="E2112">
            <v>836.96</v>
          </cell>
          <cell r="F2112">
            <v>6.0239796178343896</v>
          </cell>
        </row>
        <row r="2113">
          <cell r="B2113" t="str">
            <v>70640177</v>
          </cell>
          <cell r="C2113" t="str">
            <v>小顽童 趣味乐园 1G</v>
          </cell>
          <cell r="D2113">
            <v>12</v>
          </cell>
          <cell r="E2113">
            <v>138.11000000000001</v>
          </cell>
          <cell r="F2113">
            <v>13.0053583333333</v>
          </cell>
        </row>
        <row r="2114">
          <cell r="B2114" t="str">
            <v>70640186</v>
          </cell>
          <cell r="C2114" t="str">
            <v>小顽童 开心乐园 3G</v>
          </cell>
          <cell r="D2114">
            <v>3</v>
          </cell>
          <cell r="E2114">
            <v>22.59</v>
          </cell>
          <cell r="F2114">
            <v>8.5089000000000006</v>
          </cell>
        </row>
        <row r="2115">
          <cell r="B2115" t="str">
            <v>70640210</v>
          </cell>
          <cell r="C2115" t="str">
            <v>红谷林 锡兰肉桂冰咖啡糖黑咖啡味 18G</v>
          </cell>
          <cell r="D2115">
            <v>7</v>
          </cell>
          <cell r="E2115">
            <v>24.17</v>
          </cell>
          <cell r="F2115">
            <v>3.9017285714285701</v>
          </cell>
        </row>
        <row r="2116">
          <cell r="B2116" t="str">
            <v>70640224</v>
          </cell>
          <cell r="C2116" t="str">
            <v>红谷林 无糖锡兰肉桂冰咖啡糖黑咖啡味 18G</v>
          </cell>
          <cell r="D2116">
            <v>8</v>
          </cell>
          <cell r="E2116">
            <v>35.44</v>
          </cell>
          <cell r="F2116">
            <v>5.0058999999999996</v>
          </cell>
        </row>
        <row r="2117">
          <cell r="B2117" t="str">
            <v>70640245</v>
          </cell>
          <cell r="C2117" t="str">
            <v>金稻谷 DIY涂鸦糖果 23G</v>
          </cell>
          <cell r="D2117">
            <v>117</v>
          </cell>
          <cell r="E2117">
            <v>880.62</v>
          </cell>
          <cell r="F2117">
            <v>8.5051333333333297</v>
          </cell>
        </row>
        <row r="2118">
          <cell r="B2118" t="str">
            <v>70640313</v>
          </cell>
          <cell r="C2118" t="str">
            <v>糖田米田 梨膏草本喉糖 80G</v>
          </cell>
          <cell r="D2118">
            <v>405</v>
          </cell>
          <cell r="E2118">
            <v>2377.08</v>
          </cell>
          <cell r="F2118">
            <v>6.6323466666666704</v>
          </cell>
        </row>
        <row r="2119">
          <cell r="B2119" t="str">
            <v>70640314</v>
          </cell>
          <cell r="C2119" t="str">
            <v>糖田米田 枇杷草本喉糖 80G</v>
          </cell>
          <cell r="D2119">
            <v>358</v>
          </cell>
          <cell r="E2119">
            <v>2091.04</v>
          </cell>
          <cell r="F2119">
            <v>6.6002100558659196</v>
          </cell>
        </row>
        <row r="2120">
          <cell r="B2120" t="str">
            <v>70640315</v>
          </cell>
          <cell r="C2120" t="str">
            <v>糖田米田 罗汉果草本喉糖 80G</v>
          </cell>
          <cell r="D2120">
            <v>285</v>
          </cell>
          <cell r="E2120">
            <v>1664.64</v>
          </cell>
          <cell r="F2120">
            <v>6.6001515789473704</v>
          </cell>
        </row>
        <row r="2121">
          <cell r="B2121" t="str">
            <v>70640317</v>
          </cell>
          <cell r="C2121" t="str">
            <v>糖田米田 酸可乐味糖 80G</v>
          </cell>
          <cell r="D2121">
            <v>66</v>
          </cell>
          <cell r="E2121">
            <v>385.5</v>
          </cell>
          <cell r="F2121">
            <v>6.6002272727272704</v>
          </cell>
        </row>
        <row r="2122">
          <cell r="B2122" t="str">
            <v>70640335</v>
          </cell>
          <cell r="C2122" t="str">
            <v>小顽童 泡泡枪 10G</v>
          </cell>
          <cell r="D2122">
            <v>8</v>
          </cell>
          <cell r="E2122">
            <v>92.07</v>
          </cell>
          <cell r="F2122">
            <v>13.004887500000001</v>
          </cell>
        </row>
        <row r="2123">
          <cell r="B2123" t="str">
            <v>70640336</v>
          </cell>
          <cell r="C2123" t="str">
            <v>小顽童 童趣乐园 3G</v>
          </cell>
          <cell r="D2123">
            <v>4</v>
          </cell>
          <cell r="E2123">
            <v>46.04</v>
          </cell>
          <cell r="F2123">
            <v>13.0063</v>
          </cell>
        </row>
        <row r="2124">
          <cell r="B2124" t="str">
            <v>70640338</v>
          </cell>
          <cell r="C2124" t="str">
            <v>糖田米田 维生素C薄荷味糖（柠檬味） 50G</v>
          </cell>
          <cell r="D2124">
            <v>178</v>
          </cell>
          <cell r="E2124">
            <v>831.69</v>
          </cell>
          <cell r="F2124">
            <v>5.2798297752809003</v>
          </cell>
        </row>
        <row r="2125">
          <cell r="B2125" t="str">
            <v>70640339</v>
          </cell>
          <cell r="C2125" t="str">
            <v>糖田米田 维生素C薄荷味糖（香橙味） 50G</v>
          </cell>
          <cell r="D2125">
            <v>78</v>
          </cell>
          <cell r="E2125">
            <v>367.07</v>
          </cell>
          <cell r="F2125">
            <v>5.3178089743589698</v>
          </cell>
        </row>
        <row r="2126">
          <cell r="B2126" t="str">
            <v>70640340</v>
          </cell>
          <cell r="C2126" t="str">
            <v>糖田米田 维生素C薄荷味糖（西瓜味） 50G</v>
          </cell>
          <cell r="D2126">
            <v>49</v>
          </cell>
          <cell r="E2126">
            <v>227.75</v>
          </cell>
          <cell r="F2126">
            <v>5.2521938775510204</v>
          </cell>
        </row>
        <row r="2127">
          <cell r="B2127" t="str">
            <v>70640341</v>
          </cell>
          <cell r="C2127" t="str">
            <v>糖田米田 酸柠檬味糖 50G</v>
          </cell>
          <cell r="D2127">
            <v>277</v>
          </cell>
          <cell r="E2127">
            <v>1287.47</v>
          </cell>
          <cell r="F2127">
            <v>5.2521339350180503</v>
          </cell>
        </row>
        <row r="2128">
          <cell r="B2128" t="str">
            <v>70640342</v>
          </cell>
          <cell r="C2128" t="str">
            <v>糖田米田 酸蓝莓味糖 50G</v>
          </cell>
          <cell r="D2128">
            <v>273</v>
          </cell>
          <cell r="E2128">
            <v>1268.93</v>
          </cell>
          <cell r="F2128">
            <v>5.2523476190476197</v>
          </cell>
        </row>
        <row r="2129">
          <cell r="B2129" t="str">
            <v>70640343</v>
          </cell>
          <cell r="C2129" t="str">
            <v>糖田米田 酸可乐味糖 50G</v>
          </cell>
          <cell r="D2129">
            <v>120</v>
          </cell>
          <cell r="E2129">
            <v>557.83000000000004</v>
          </cell>
          <cell r="F2129">
            <v>5.25289916666667</v>
          </cell>
        </row>
        <row r="2130">
          <cell r="B2130" t="str">
            <v>70640477</v>
          </cell>
          <cell r="C2130" t="str">
            <v>笑喔喔 剥皮紫葡萄 100G</v>
          </cell>
          <cell r="D2130">
            <v>5</v>
          </cell>
          <cell r="E2130">
            <v>23.9</v>
          </cell>
          <cell r="F2130">
            <v>5.4013999999999998</v>
          </cell>
        </row>
        <row r="2131">
          <cell r="B2131" t="str">
            <v>70640478</v>
          </cell>
          <cell r="C2131" t="str">
            <v>笑喔喔 剥皮芒果 100G</v>
          </cell>
          <cell r="D2131">
            <v>11</v>
          </cell>
          <cell r="E2131">
            <v>52.58</v>
          </cell>
          <cell r="F2131">
            <v>5.4013999999999998</v>
          </cell>
        </row>
        <row r="2132">
          <cell r="B2132" t="str">
            <v>70640503</v>
          </cell>
          <cell r="C2132" t="str">
            <v>不二家 牛奶棒棒糖(香醇牛奶味＋草莓牛奶味＋芒果牛奶味) 34.8G</v>
          </cell>
          <cell r="D2132">
            <v>25</v>
          </cell>
          <cell r="E2132">
            <v>92.77</v>
          </cell>
          <cell r="F2132">
            <v>4.1932039999999997</v>
          </cell>
        </row>
        <row r="2133">
          <cell r="B2133" t="str">
            <v>70640504</v>
          </cell>
          <cell r="C2133" t="str">
            <v>不二家 益生菌牛奶棒棒糖(白桃牛奶味＋蓝莓牛奶味) 34.8G</v>
          </cell>
          <cell r="D2133">
            <v>12</v>
          </cell>
          <cell r="E2133">
            <v>43.79</v>
          </cell>
          <cell r="F2133">
            <v>4.1235583333333299</v>
          </cell>
        </row>
        <row r="2134">
          <cell r="B2134" t="str">
            <v>70640512</v>
          </cell>
          <cell r="C2134" t="str">
            <v>不二家 酸沙软糖苹果味 72G</v>
          </cell>
          <cell r="D2134">
            <v>27</v>
          </cell>
          <cell r="E2134">
            <v>115.25</v>
          </cell>
          <cell r="F2134">
            <v>4.8234259259259202</v>
          </cell>
        </row>
        <row r="2135">
          <cell r="B2135" t="str">
            <v>70640523</v>
          </cell>
          <cell r="C2135" t="str">
            <v>不二家 酸沙软糖菠萝味 72G</v>
          </cell>
          <cell r="D2135">
            <v>16</v>
          </cell>
          <cell r="E2135">
            <v>69.040000000000006</v>
          </cell>
          <cell r="F2135">
            <v>4.8759499999999996</v>
          </cell>
        </row>
        <row r="2136">
          <cell r="B2136" t="str">
            <v>70640557</v>
          </cell>
          <cell r="C2136" t="str">
            <v>亿智 酸酸条草莓味袋装 128G</v>
          </cell>
          <cell r="D2136">
            <v>14</v>
          </cell>
          <cell r="E2136">
            <v>58.24</v>
          </cell>
          <cell r="F2136">
            <v>4.7008000000000001</v>
          </cell>
        </row>
        <row r="2137">
          <cell r="B2137" t="str">
            <v>70640558</v>
          </cell>
          <cell r="C2137" t="str">
            <v>亿智 酸酸条杂果味袋装 128G</v>
          </cell>
          <cell r="D2137">
            <v>8</v>
          </cell>
          <cell r="E2137">
            <v>33.28</v>
          </cell>
          <cell r="F2137">
            <v>4.7008000000000001</v>
          </cell>
        </row>
        <row r="2138">
          <cell r="B2138" t="str">
            <v>70640579</v>
          </cell>
          <cell r="C2138" t="str">
            <v>亿智 IP造型存铁耀棒梓榶榶玩 80G</v>
          </cell>
          <cell r="D2138">
            <v>1</v>
          </cell>
          <cell r="E2138">
            <v>11.51</v>
          </cell>
          <cell r="F2138">
            <v>13.0063</v>
          </cell>
        </row>
        <row r="2139">
          <cell r="B2139" t="str">
            <v>70640580</v>
          </cell>
          <cell r="C2139" t="str">
            <v>亿智 IP蓝莓叶黄素酯软糖袋装 80G</v>
          </cell>
          <cell r="D2139">
            <v>39</v>
          </cell>
          <cell r="E2139">
            <v>162.24</v>
          </cell>
          <cell r="F2139">
            <v>4.7008000000000001</v>
          </cell>
        </row>
        <row r="2140">
          <cell r="B2140" t="str">
            <v>70640581</v>
          </cell>
          <cell r="C2140" t="str">
            <v>亿智 IP山楂鸡内金软糖袋装 80G</v>
          </cell>
          <cell r="D2140">
            <v>75</v>
          </cell>
          <cell r="E2140">
            <v>311.99</v>
          </cell>
          <cell r="F2140">
            <v>4.7006493333333301</v>
          </cell>
        </row>
        <row r="2141">
          <cell r="B2141" t="str">
            <v>70640596</v>
          </cell>
          <cell r="C2141" t="str">
            <v>小顽童 竞技玩国 1G</v>
          </cell>
          <cell r="D2141">
            <v>36</v>
          </cell>
          <cell r="E2141">
            <v>270.82</v>
          </cell>
          <cell r="F2141">
            <v>8.5007388888888897</v>
          </cell>
        </row>
        <row r="2142">
          <cell r="B2142" t="str">
            <v>70647022</v>
          </cell>
          <cell r="C2142" t="str">
            <v>雅弥优格 嚼绊条 森林莓味 60G</v>
          </cell>
          <cell r="D2142">
            <v>42</v>
          </cell>
          <cell r="E2142">
            <v>59.52</v>
          </cell>
          <cell r="F2142">
            <v>1.60137142857143</v>
          </cell>
        </row>
        <row r="2143">
          <cell r="B2143" t="str">
            <v>70647438</v>
          </cell>
          <cell r="C2143" t="str">
            <v>雅弥优格 嚼绊条 双柚味酸奶 60G</v>
          </cell>
          <cell r="D2143">
            <v>44</v>
          </cell>
          <cell r="E2143">
            <v>62.36</v>
          </cell>
          <cell r="F2143">
            <v>1.6015181818181801</v>
          </cell>
        </row>
        <row r="2144">
          <cell r="B2144" t="str">
            <v>70647439</v>
          </cell>
          <cell r="C2144" t="str">
            <v>雅弥优格 嚼绊条 葡萄桑葚味 60G</v>
          </cell>
          <cell r="D2144">
            <v>35</v>
          </cell>
          <cell r="E2144">
            <v>49.63</v>
          </cell>
          <cell r="F2144">
            <v>1.6023400000000001</v>
          </cell>
        </row>
        <row r="2145">
          <cell r="B2145" t="str">
            <v>70647440</v>
          </cell>
          <cell r="C2145" t="str">
            <v>雅弥优格 嚼绊条 茉莉蜜瓜味 60G</v>
          </cell>
          <cell r="D2145">
            <v>28</v>
          </cell>
          <cell r="E2145">
            <v>39.76</v>
          </cell>
          <cell r="F2145">
            <v>1.6046</v>
          </cell>
        </row>
        <row r="2146">
          <cell r="B2146" t="str">
            <v>70655157</v>
          </cell>
          <cell r="C2146" t="str">
            <v>口力 烘焙袋橡皮糖 77G</v>
          </cell>
          <cell r="D2146">
            <v>6</v>
          </cell>
          <cell r="E2146">
            <v>49.92</v>
          </cell>
          <cell r="F2146">
            <v>9.4016000000000002</v>
          </cell>
        </row>
        <row r="2147">
          <cell r="B2147" t="str">
            <v>70655158</v>
          </cell>
          <cell r="C2147" t="str">
            <v>口力 汉堡橡皮糖 90G</v>
          </cell>
          <cell r="D2147">
            <v>3</v>
          </cell>
          <cell r="E2147">
            <v>20.73</v>
          </cell>
          <cell r="F2147">
            <v>7.8083</v>
          </cell>
        </row>
        <row r="2148">
          <cell r="B2148" t="str">
            <v>70657945</v>
          </cell>
          <cell r="C2148" t="str">
            <v>益达 口香糖10粒装薄荷味 14G</v>
          </cell>
          <cell r="D2148">
            <v>4915</v>
          </cell>
          <cell r="E2148">
            <v>11111.23</v>
          </cell>
          <cell r="F2148">
            <v>2.5545655951169901</v>
          </cell>
        </row>
        <row r="2149">
          <cell r="B2149" t="str">
            <v>70657952</v>
          </cell>
          <cell r="C2149" t="str">
            <v>炫迈 无糖颗粒口香糖东鹏特饮风味 56G</v>
          </cell>
          <cell r="D2149">
            <v>971</v>
          </cell>
          <cell r="E2149">
            <v>5372.1</v>
          </cell>
          <cell r="F2149">
            <v>6.2517744593202904</v>
          </cell>
        </row>
        <row r="2150">
          <cell r="B2150" t="str">
            <v>70657953</v>
          </cell>
          <cell r="C2150" t="str">
            <v>炫迈 无糖颗粒爆酸口香糖红莓味30粒 69G</v>
          </cell>
          <cell r="D2150">
            <v>1273</v>
          </cell>
          <cell r="E2150">
            <v>10883.77</v>
          </cell>
          <cell r="F2150">
            <v>9.6611626865671596</v>
          </cell>
        </row>
        <row r="2151">
          <cell r="B2151" t="str">
            <v>70657954</v>
          </cell>
          <cell r="C2151" t="str">
            <v>炫迈 无糖颗粒爆爽口香糖留兰香薄荷味30粒 69G</v>
          </cell>
          <cell r="D2151">
            <v>1270</v>
          </cell>
          <cell r="E2151">
            <v>10521.43</v>
          </cell>
          <cell r="F2151">
            <v>9.3615873228346391</v>
          </cell>
        </row>
        <row r="2152">
          <cell r="B2152" t="str">
            <v>70657955</v>
          </cell>
          <cell r="C2152" t="str">
            <v>炫迈 午夜风暴口香糖柠檬薄荷味 50.4G</v>
          </cell>
          <cell r="D2152">
            <v>12</v>
          </cell>
          <cell r="E2152">
            <v>97.48</v>
          </cell>
          <cell r="F2152">
            <v>9.1793666666666596</v>
          </cell>
        </row>
        <row r="2153">
          <cell r="B2153" t="str">
            <v>70657964</v>
          </cell>
          <cell r="C2153" t="str">
            <v>益达 益达 10粒装口香糖草莓味 14g g</v>
          </cell>
          <cell r="D2153">
            <v>4546</v>
          </cell>
          <cell r="E2153">
            <v>10274.59</v>
          </cell>
          <cell r="F2153">
            <v>2.5539565992080902</v>
          </cell>
        </row>
        <row r="2154">
          <cell r="B2154" t="str">
            <v>70657965</v>
          </cell>
          <cell r="C2154" t="str">
            <v>德芙 德芙 脆可可巧克力 15g g</v>
          </cell>
          <cell r="D2154">
            <v>1865</v>
          </cell>
          <cell r="E2154">
            <v>3931.04</v>
          </cell>
          <cell r="F2154">
            <v>2.3818097587131399</v>
          </cell>
        </row>
        <row r="2155">
          <cell r="B2155" t="str">
            <v>70657969</v>
          </cell>
          <cell r="C2155" t="str">
            <v>炫迈 午夜风暴口香糖薄荷味 50.4G</v>
          </cell>
          <cell r="D2155">
            <v>335</v>
          </cell>
          <cell r="E2155">
            <v>2714.5</v>
          </cell>
          <cell r="F2155">
            <v>9.1563731343283603</v>
          </cell>
        </row>
        <row r="2156">
          <cell r="B2156" t="str">
            <v>70657982</v>
          </cell>
          <cell r="C2156" t="str">
            <v>炫迈 无糖颗粒爆酸口香糖蓝莓味30粒 69G</v>
          </cell>
          <cell r="D2156">
            <v>1419</v>
          </cell>
          <cell r="E2156">
            <v>11776.14</v>
          </cell>
          <cell r="F2156">
            <v>9.3777577167019004</v>
          </cell>
        </row>
        <row r="2157">
          <cell r="B2157" t="str">
            <v>70658066</v>
          </cell>
          <cell r="C2157" t="str">
            <v>彩虹糖 彩虹糖 缤纷果味软糖 9g g</v>
          </cell>
          <cell r="D2157">
            <v>8822</v>
          </cell>
          <cell r="E2157">
            <v>6214.8</v>
          </cell>
          <cell r="F2157">
            <v>0.79604670142824796</v>
          </cell>
        </row>
        <row r="2158">
          <cell r="B2158" t="str">
            <v>70685229</v>
          </cell>
          <cell r="C2158" t="str">
            <v>诺梵松露 四口味单颗松露（盒装）500G 盒</v>
          </cell>
          <cell r="D2158">
            <v>288</v>
          </cell>
          <cell r="E2158">
            <v>7668.74</v>
          </cell>
          <cell r="F2158">
            <v>30.0891534722222</v>
          </cell>
        </row>
        <row r="2159">
          <cell r="B2159" t="str">
            <v>70710913</v>
          </cell>
          <cell r="C2159" t="str">
            <v>食验室 巧克力丝绒厚奶味 15.4G</v>
          </cell>
          <cell r="D2159">
            <v>23</v>
          </cell>
          <cell r="E2159">
            <v>172.26</v>
          </cell>
          <cell r="F2159">
            <v>8.4632086956521704</v>
          </cell>
        </row>
        <row r="2160">
          <cell r="B2160" t="str">
            <v>70710932</v>
          </cell>
          <cell r="C2160" t="str">
            <v>怡浓 巧乐思全巴旦木黑巧克力 100G</v>
          </cell>
          <cell r="D2160">
            <v>11</v>
          </cell>
          <cell r="E2160">
            <v>102.52</v>
          </cell>
          <cell r="F2160">
            <v>10.531599999999999</v>
          </cell>
        </row>
        <row r="2161">
          <cell r="B2161" t="str">
            <v>70711035</v>
          </cell>
          <cell r="C2161" t="str">
            <v>好丽友 果滋果姿粉颜芭乐味 60G</v>
          </cell>
          <cell r="D2161">
            <v>1778</v>
          </cell>
          <cell r="E2161">
            <v>4432.8100000000004</v>
          </cell>
          <cell r="F2161">
            <v>2.8172526996625402</v>
          </cell>
        </row>
        <row r="2162">
          <cell r="B2162" t="str">
            <v>70711036</v>
          </cell>
          <cell r="C2162" t="str">
            <v>好丽友 果滋果姿西瓜味 60G</v>
          </cell>
          <cell r="D2162">
            <v>1634</v>
          </cell>
          <cell r="E2162">
            <v>4269.5600000000004</v>
          </cell>
          <cell r="F2162">
            <v>2.95263329253366</v>
          </cell>
        </row>
        <row r="2163">
          <cell r="B2163" t="str">
            <v>70711971</v>
          </cell>
          <cell r="C2163" t="str">
            <v>怡浓 巧乐思全巴旦木牛奶巧克力 100G</v>
          </cell>
          <cell r="D2163">
            <v>12</v>
          </cell>
          <cell r="E2163">
            <v>111.83</v>
          </cell>
          <cell r="F2163">
            <v>10.530658333333299</v>
          </cell>
        </row>
        <row r="2164">
          <cell r="B2164" t="str">
            <v>70712954</v>
          </cell>
          <cell r="C2164" t="str">
            <v>好丽友 茶色添香无糖口香糖 绿茶味/乌龙味/红茶味 101G</v>
          </cell>
          <cell r="D2164">
            <v>1621</v>
          </cell>
          <cell r="E2164">
            <v>15591.44</v>
          </cell>
          <cell r="F2164">
            <v>10.8688014805675</v>
          </cell>
        </row>
        <row r="2165">
          <cell r="B2165" t="str">
            <v>70712980</v>
          </cell>
          <cell r="C2165" t="str">
            <v>好丽友 迅醒劲酷薄荷味/冰爽柠檬味 90G</v>
          </cell>
          <cell r="D2165">
            <v>765</v>
          </cell>
          <cell r="E2165">
            <v>7763.69</v>
          </cell>
          <cell r="F2165">
            <v>11.467934248365999</v>
          </cell>
        </row>
        <row r="2166">
          <cell r="B2166" t="str">
            <v>70713683</v>
          </cell>
          <cell r="C2166" t="str">
            <v>食验室 巧克力轻乳榛巧味 15.4G</v>
          </cell>
          <cell r="D2166">
            <v>16</v>
          </cell>
          <cell r="E2166">
            <v>119.84</v>
          </cell>
          <cell r="F2166">
            <v>8.4636999999999993</v>
          </cell>
        </row>
        <row r="2167">
          <cell r="B2167" t="str">
            <v>70713692</v>
          </cell>
          <cell r="C2167" t="str">
            <v>怡浓 巧乐思全榛子牛奶巧克力 100G</v>
          </cell>
          <cell r="D2167">
            <v>11</v>
          </cell>
          <cell r="E2167">
            <v>102.52</v>
          </cell>
          <cell r="F2167">
            <v>10.531599999999999</v>
          </cell>
        </row>
        <row r="2168">
          <cell r="B2168" t="str">
            <v>70713694</v>
          </cell>
          <cell r="C2168" t="str">
            <v>怡浓 巧乐思全榛子黑巧克力 100G</v>
          </cell>
          <cell r="D2168">
            <v>13</v>
          </cell>
          <cell r="E2168">
            <v>121.16</v>
          </cell>
          <cell r="F2168">
            <v>10.531599999999999</v>
          </cell>
        </row>
        <row r="2169">
          <cell r="B2169" t="str">
            <v>70713805</v>
          </cell>
          <cell r="C2169" t="str">
            <v>KDV 椰蓉巧克力味夹心糖 500克/袋</v>
          </cell>
          <cell r="D2169">
            <v>21</v>
          </cell>
          <cell r="E2169">
            <v>371.69</v>
          </cell>
          <cell r="F2169">
            <v>20.000461904761899</v>
          </cell>
        </row>
        <row r="2170">
          <cell r="B2170" t="str">
            <v>70720536</v>
          </cell>
          <cell r="C2170" t="str">
            <v>丝路巴扎 驼奶贝 136G</v>
          </cell>
          <cell r="D2170">
            <v>39</v>
          </cell>
          <cell r="E2170">
            <v>310.64</v>
          </cell>
          <cell r="F2170">
            <v>9.0005948717948705</v>
          </cell>
        </row>
        <row r="2171">
          <cell r="B2171" t="str">
            <v>70720537</v>
          </cell>
          <cell r="C2171" t="str">
            <v>丝路巴扎 三角芝士奶块 358G</v>
          </cell>
          <cell r="D2171">
            <v>0</v>
          </cell>
          <cell r="E2171">
            <v>0</v>
          </cell>
          <cell r="F2171" t="e">
            <v>#DIV/0!</v>
          </cell>
        </row>
        <row r="2172">
          <cell r="B2172" t="str">
            <v>70720551</v>
          </cell>
          <cell r="C2172" t="str">
            <v>丝路巴扎 酸奶巴旦木 336G</v>
          </cell>
          <cell r="D2172">
            <v>5</v>
          </cell>
          <cell r="E2172">
            <v>110.63</v>
          </cell>
          <cell r="F2172">
            <v>25.002379999999999</v>
          </cell>
        </row>
        <row r="2173">
          <cell r="B2173" t="str">
            <v>70720708</v>
          </cell>
          <cell r="C2173" t="str">
            <v>丝路巴扎 新疆手工切糕 319G</v>
          </cell>
          <cell r="D2173">
            <v>21</v>
          </cell>
          <cell r="E2173">
            <v>706.2</v>
          </cell>
          <cell r="F2173">
            <v>38.000285714285702</v>
          </cell>
        </row>
        <row r="2174">
          <cell r="B2174" t="str">
            <v>70720719</v>
          </cell>
          <cell r="C2174" t="str">
            <v>丝路巴扎 手工酸奶疙瘩 366G</v>
          </cell>
          <cell r="D2174">
            <v>18</v>
          </cell>
          <cell r="E2174">
            <v>398.23</v>
          </cell>
          <cell r="F2174">
            <v>24.9999944444444</v>
          </cell>
        </row>
        <row r="2175">
          <cell r="B2175" t="str">
            <v>70720720</v>
          </cell>
          <cell r="C2175" t="str">
            <v>丝路巴扎 酸奶山楂球 336G</v>
          </cell>
          <cell r="D2175">
            <v>16</v>
          </cell>
          <cell r="E2175">
            <v>212.4</v>
          </cell>
          <cell r="F2175">
            <v>15.00075</v>
          </cell>
        </row>
        <row r="2176">
          <cell r="B2176" t="str">
            <v>70720747</v>
          </cell>
          <cell r="C2176" t="str">
            <v>丝路巴扎 手工驼奶疙瘩 360G</v>
          </cell>
          <cell r="D2176">
            <v>0</v>
          </cell>
          <cell r="E2176">
            <v>0</v>
          </cell>
          <cell r="F2176" t="e">
            <v>#DIV/0!</v>
          </cell>
        </row>
        <row r="2177">
          <cell r="B2177" t="str">
            <v>70000206</v>
          </cell>
          <cell r="C2177" t="str">
            <v>喜之郎 果肉果冻苹果味  218g*1</v>
          </cell>
          <cell r="D2177">
            <v>0</v>
          </cell>
          <cell r="E2177">
            <v>0</v>
          </cell>
          <cell r="F2177" t="e">
            <v>#DIV/0!</v>
          </cell>
        </row>
        <row r="2178">
          <cell r="B2178" t="str">
            <v>70000399</v>
          </cell>
          <cell r="C2178" t="str">
            <v>上好佳 田园薯片(番茄口味) 50G</v>
          </cell>
          <cell r="D2178">
            <v>0</v>
          </cell>
          <cell r="E2178">
            <v>0</v>
          </cell>
          <cell r="F2178" t="e">
            <v>#DIV/0!</v>
          </cell>
        </row>
        <row r="2179">
          <cell r="B2179" t="str">
            <v>70000400</v>
          </cell>
          <cell r="C2179" t="str">
            <v>上好佳 洋葱圈 40G</v>
          </cell>
          <cell r="D2179">
            <v>0</v>
          </cell>
          <cell r="E2179">
            <v>0</v>
          </cell>
          <cell r="F2179" t="e">
            <v>#DIV/0!</v>
          </cell>
        </row>
        <row r="2180">
          <cell r="B2180" t="str">
            <v>70000421</v>
          </cell>
          <cell r="C2180" t="str">
            <v>达利 可比克薯片香辣味 105G</v>
          </cell>
          <cell r="D2180">
            <v>2834</v>
          </cell>
          <cell r="E2180">
            <v>14319.55</v>
          </cell>
          <cell r="F2180">
            <v>5.7096300282286503</v>
          </cell>
        </row>
        <row r="2181">
          <cell r="B2181" t="str">
            <v>70000422</v>
          </cell>
          <cell r="C2181" t="str">
            <v>可比克 原味薯 105g</v>
          </cell>
          <cell r="D2181">
            <v>3196</v>
          </cell>
          <cell r="E2181">
            <v>16118.15</v>
          </cell>
          <cell r="F2181">
            <v>5.6988452753441798</v>
          </cell>
        </row>
        <row r="2182">
          <cell r="B2182" t="str">
            <v>70000609</v>
          </cell>
          <cell r="C2182" t="str">
            <v>旺旺 摇滚冻巧克力口味 132g</v>
          </cell>
          <cell r="D2182">
            <v>4</v>
          </cell>
          <cell r="E2182">
            <v>15.43</v>
          </cell>
          <cell r="F2182">
            <v>4.358975</v>
          </cell>
        </row>
        <row r="2183">
          <cell r="B2183" t="str">
            <v>70000666</v>
          </cell>
          <cell r="C2183" t="str">
            <v>好丽友 好多鱼海苔味 33G</v>
          </cell>
          <cell r="D2183">
            <v>2215</v>
          </cell>
          <cell r="E2183">
            <v>6056.39</v>
          </cell>
          <cell r="F2183">
            <v>3.08971589164786</v>
          </cell>
        </row>
        <row r="2184">
          <cell r="B2184" t="str">
            <v>70000670</v>
          </cell>
          <cell r="C2184" t="str">
            <v>好丽友 好多鱼茄汁味 33g</v>
          </cell>
          <cell r="D2184">
            <v>1752</v>
          </cell>
          <cell r="E2184">
            <v>3421.52</v>
          </cell>
          <cell r="F2184">
            <v>2.20680228310502</v>
          </cell>
        </row>
        <row r="2185">
          <cell r="B2185" t="str">
            <v>70000672</v>
          </cell>
          <cell r="C2185" t="str">
            <v>好丽友 好多鱼烧烤味 33G</v>
          </cell>
          <cell r="D2185">
            <v>2021</v>
          </cell>
          <cell r="E2185">
            <v>6179.88</v>
          </cell>
          <cell r="F2185">
            <v>3.45535101434933</v>
          </cell>
        </row>
        <row r="2186">
          <cell r="B2186" t="str">
            <v>70000676</v>
          </cell>
          <cell r="C2186" t="str">
            <v>好丽友 好友趣多汁牛排味 45g</v>
          </cell>
          <cell r="D2186">
            <v>2647</v>
          </cell>
          <cell r="E2186">
            <v>5788.47</v>
          </cell>
          <cell r="F2186">
            <v>2.4710884397431001</v>
          </cell>
        </row>
        <row r="2187">
          <cell r="B2187" t="str">
            <v>70000679</v>
          </cell>
          <cell r="C2187" t="str">
            <v>好丽友 好友趣韩国泡菜味 45g</v>
          </cell>
          <cell r="D2187">
            <v>2738</v>
          </cell>
          <cell r="E2187">
            <v>6085.6</v>
          </cell>
          <cell r="F2187">
            <v>2.5115880204528902</v>
          </cell>
        </row>
        <row r="2188">
          <cell r="B2188" t="str">
            <v>70000821</v>
          </cell>
          <cell r="C2188" t="str">
            <v>洽洽 香瓜子 160G</v>
          </cell>
          <cell r="D2188">
            <v>89</v>
          </cell>
          <cell r="E2188">
            <v>485.46</v>
          </cell>
          <cell r="F2188">
            <v>6.1637056179775298</v>
          </cell>
        </row>
        <row r="2189">
          <cell r="B2189" t="str">
            <v>70000823</v>
          </cell>
          <cell r="C2189" t="str">
            <v>洽洽 香瓜子 260G</v>
          </cell>
          <cell r="D2189">
            <v>42</v>
          </cell>
          <cell r="E2189">
            <v>360.36</v>
          </cell>
          <cell r="F2189">
            <v>9.6953999999999994</v>
          </cell>
        </row>
        <row r="2190">
          <cell r="B2190" t="str">
            <v>70000882</v>
          </cell>
          <cell r="C2190" t="str">
            <v>上好佳 甜辣薯片 50G</v>
          </cell>
          <cell r="D2190">
            <v>0</v>
          </cell>
          <cell r="E2190">
            <v>0</v>
          </cell>
          <cell r="F2190" t="e">
            <v>#DIV/0!</v>
          </cell>
        </row>
        <row r="2191">
          <cell r="B2191" t="str">
            <v>70000883</v>
          </cell>
          <cell r="C2191" t="str">
            <v>喜之郎 果冻荔枝味 218G</v>
          </cell>
          <cell r="D2191">
            <v>0</v>
          </cell>
          <cell r="E2191">
            <v>0</v>
          </cell>
          <cell r="F2191" t="e">
            <v>#DIV/0!</v>
          </cell>
        </row>
        <row r="2192">
          <cell r="B2192" t="str">
            <v>70000884</v>
          </cell>
          <cell r="C2192" t="str">
            <v>喜之郎 果冻香橙味 218G</v>
          </cell>
          <cell r="D2192">
            <v>0</v>
          </cell>
          <cell r="E2192">
            <v>0</v>
          </cell>
          <cell r="F2192" t="e">
            <v>#DIV/0!</v>
          </cell>
        </row>
        <row r="2193">
          <cell r="B2193" t="str">
            <v>70001161</v>
          </cell>
          <cell r="C2193" t="str">
            <v>喜之郎 美好时光海苔（原味）4.5g</v>
          </cell>
          <cell r="D2193">
            <v>0</v>
          </cell>
          <cell r="E2193">
            <v>0</v>
          </cell>
          <cell r="F2193" t="e">
            <v>#DIV/0!</v>
          </cell>
        </row>
        <row r="2194">
          <cell r="B2194" t="str">
            <v>70001224</v>
          </cell>
          <cell r="C2194" t="str">
            <v>喜之郎 什锦果肉果冻 200G</v>
          </cell>
          <cell r="D2194">
            <v>0</v>
          </cell>
          <cell r="E2194">
            <v>0</v>
          </cell>
          <cell r="F2194" t="e">
            <v>#DIV/0!</v>
          </cell>
        </row>
        <row r="2195">
          <cell r="B2195" t="str">
            <v>70001501</v>
          </cell>
          <cell r="C2195" t="str">
            <v>达利 可比克薯片番茄味 105克</v>
          </cell>
          <cell r="D2195">
            <v>2400</v>
          </cell>
          <cell r="E2195">
            <v>12104.83</v>
          </cell>
          <cell r="F2195">
            <v>5.6993574583333304</v>
          </cell>
        </row>
        <row r="2196">
          <cell r="B2196" t="str">
            <v>70001625</v>
          </cell>
          <cell r="C2196" t="str">
            <v>波力 原味海苔 4.5G</v>
          </cell>
          <cell r="D2196">
            <v>484</v>
          </cell>
          <cell r="E2196">
            <v>1507.71</v>
          </cell>
          <cell r="F2196">
            <v>3.5200667355371902</v>
          </cell>
        </row>
        <row r="2197">
          <cell r="B2197" t="str">
            <v>70001653</v>
          </cell>
          <cell r="C2197" t="str">
            <v>旺旺 大米饼原味 135g</v>
          </cell>
          <cell r="D2197">
            <v>3</v>
          </cell>
          <cell r="E2197">
            <v>20.51</v>
          </cell>
          <cell r="F2197">
            <v>7.7254333333333296</v>
          </cell>
        </row>
        <row r="2198">
          <cell r="B2198" t="str">
            <v>70001885</v>
          </cell>
          <cell r="C2198" t="str">
            <v>徐福记 米果卷(奶油玉米) 90G</v>
          </cell>
          <cell r="D2198">
            <v>788</v>
          </cell>
          <cell r="E2198">
            <v>4299.32</v>
          </cell>
          <cell r="F2198">
            <v>6.16526852791878</v>
          </cell>
        </row>
        <row r="2199">
          <cell r="B2199" t="str">
            <v>70001886</v>
          </cell>
          <cell r="C2199" t="str">
            <v>徐福记 米果卷(香烤牛排) 90G</v>
          </cell>
          <cell r="D2199">
            <v>649</v>
          </cell>
          <cell r="E2199">
            <v>3485.66</v>
          </cell>
          <cell r="F2199">
            <v>6.0690228043143302</v>
          </cell>
        </row>
        <row r="2200">
          <cell r="B2200" t="str">
            <v>70002535</v>
          </cell>
          <cell r="C2200" t="str">
            <v>多味 兰花豆 135G*40</v>
          </cell>
          <cell r="D2200">
            <v>1787</v>
          </cell>
          <cell r="E2200">
            <v>4908.33</v>
          </cell>
          <cell r="F2200">
            <v>3.1037565193061001</v>
          </cell>
        </row>
        <row r="2201">
          <cell r="B2201" t="str">
            <v>70002538</v>
          </cell>
          <cell r="C2201" t="str">
            <v>口水娃 多味花生 （五香味） 75g</v>
          </cell>
          <cell r="D2201">
            <v>1608</v>
          </cell>
          <cell r="E2201">
            <v>4433.55</v>
          </cell>
          <cell r="F2201">
            <v>3.1156166044776099</v>
          </cell>
        </row>
        <row r="2202">
          <cell r="B2202" t="str">
            <v>70002539</v>
          </cell>
          <cell r="C2202" t="str">
            <v>口水娃 多味花生 （香辣味） 75g</v>
          </cell>
          <cell r="D2202">
            <v>1289</v>
          </cell>
          <cell r="E2202">
            <v>3608.74</v>
          </cell>
          <cell r="F2202">
            <v>3.1635967416602</v>
          </cell>
        </row>
        <row r="2203">
          <cell r="B2203" t="str">
            <v>70002540</v>
          </cell>
          <cell r="C2203" t="str">
            <v>烤肉味多味花生 130G*40</v>
          </cell>
          <cell r="D2203">
            <v>983</v>
          </cell>
          <cell r="E2203">
            <v>2711.12</v>
          </cell>
          <cell r="F2203">
            <v>3.1165468972533099</v>
          </cell>
        </row>
        <row r="2204">
          <cell r="B2204" t="str">
            <v>70002541</v>
          </cell>
          <cell r="C2204" t="str">
            <v>口水娃 多味花生（酱汁牛肉味）75g</v>
          </cell>
          <cell r="D2204">
            <v>477</v>
          </cell>
          <cell r="E2204">
            <v>1304.17</v>
          </cell>
          <cell r="F2204">
            <v>3.08954318658281</v>
          </cell>
        </row>
        <row r="2205">
          <cell r="B2205" t="str">
            <v>70003553</v>
          </cell>
          <cell r="C2205" t="str">
            <v>旺旺 维多粒椰果果冻爽菠萝味 150G</v>
          </cell>
          <cell r="D2205">
            <v>28</v>
          </cell>
          <cell r="E2205">
            <v>56.56</v>
          </cell>
          <cell r="F2205">
            <v>2.2826</v>
          </cell>
        </row>
        <row r="2206">
          <cell r="B2206" t="str">
            <v>70004644</v>
          </cell>
          <cell r="C2206" t="str">
            <v>溜溜梅 乌梅 60g</v>
          </cell>
          <cell r="D2206">
            <v>1791</v>
          </cell>
          <cell r="E2206">
            <v>6379.15</v>
          </cell>
          <cell r="F2206">
            <v>4.0248126744835302</v>
          </cell>
        </row>
        <row r="2207">
          <cell r="B2207" t="str">
            <v>70004647</v>
          </cell>
          <cell r="C2207" t="str">
            <v>溜溜梅 分享装-雪梅 150G</v>
          </cell>
          <cell r="D2207">
            <v>567</v>
          </cell>
          <cell r="E2207">
            <v>5051.84</v>
          </cell>
          <cell r="F2207">
            <v>10.0680409171076</v>
          </cell>
        </row>
        <row r="2208">
          <cell r="B2208" t="str">
            <v>70004709</v>
          </cell>
          <cell r="C2208" t="str">
            <v>小王子 鲜米饼 52G*20</v>
          </cell>
          <cell r="D2208">
            <v>1242</v>
          </cell>
          <cell r="E2208">
            <v>3417.3</v>
          </cell>
          <cell r="F2208">
            <v>3.10913768115942</v>
          </cell>
        </row>
        <row r="2209">
          <cell r="B2209" t="str">
            <v>70004710</v>
          </cell>
          <cell r="C2209" t="str">
            <v>小王子 鲜贝酥香辣味 72G</v>
          </cell>
          <cell r="D2209">
            <v>1</v>
          </cell>
          <cell r="E2209">
            <v>2.39</v>
          </cell>
          <cell r="F2209">
            <v>2.7006999999999999</v>
          </cell>
        </row>
        <row r="2210">
          <cell r="B2210" t="str">
            <v>70004711</v>
          </cell>
          <cell r="C2210" t="str">
            <v>小王子 香雪饼 84G*20</v>
          </cell>
          <cell r="D2210">
            <v>1130</v>
          </cell>
          <cell r="E2210">
            <v>3112.04</v>
          </cell>
          <cell r="F2210">
            <v>3.1120399999999999</v>
          </cell>
        </row>
        <row r="2211">
          <cell r="B2211" t="str">
            <v>70004713</v>
          </cell>
          <cell r="C2211" t="str">
            <v>小王子 鲜贝酥海鲜味 72G</v>
          </cell>
          <cell r="D2211">
            <v>2</v>
          </cell>
          <cell r="E2211">
            <v>4.78</v>
          </cell>
          <cell r="F2211">
            <v>2.7006999999999999</v>
          </cell>
        </row>
        <row r="2212">
          <cell r="B2212" t="str">
            <v>70004716</v>
          </cell>
          <cell r="C2212" t="str">
            <v>小王子 麦烧香辣味 150G</v>
          </cell>
          <cell r="D2212">
            <v>1086</v>
          </cell>
          <cell r="E2212">
            <v>3832.59</v>
          </cell>
          <cell r="F2212">
            <v>3.9878698895027598</v>
          </cell>
        </row>
        <row r="2213">
          <cell r="B2213" t="str">
            <v>70004717</v>
          </cell>
          <cell r="C2213" t="str">
            <v>小王子 麦烧葱油味 150G</v>
          </cell>
          <cell r="D2213">
            <v>1150</v>
          </cell>
          <cell r="E2213">
            <v>4057.61</v>
          </cell>
          <cell r="F2213">
            <v>3.98704286956522</v>
          </cell>
        </row>
        <row r="2214">
          <cell r="B2214" t="str">
            <v>70004724</v>
          </cell>
          <cell r="C2214" t="str">
            <v>上好佳 鲜虾条 40G</v>
          </cell>
          <cell r="D2214">
            <v>0</v>
          </cell>
          <cell r="E2214">
            <v>0</v>
          </cell>
          <cell r="F2214" t="e">
            <v>#DIV/0!</v>
          </cell>
        </row>
        <row r="2215">
          <cell r="B2215" t="str">
            <v>70004725</v>
          </cell>
          <cell r="C2215" t="str">
            <v>上好佳 鲜虾片 40G</v>
          </cell>
          <cell r="D2215">
            <v>29</v>
          </cell>
          <cell r="E2215">
            <v>78.55</v>
          </cell>
          <cell r="F2215">
            <v>3.0607413793103402</v>
          </cell>
        </row>
        <row r="2216">
          <cell r="B2216" t="str">
            <v>70004731</v>
          </cell>
          <cell r="C2216" t="str">
            <v>上好佳 草莓栗米条 40g</v>
          </cell>
          <cell r="D2216">
            <v>28</v>
          </cell>
          <cell r="E2216">
            <v>75.84</v>
          </cell>
          <cell r="F2216">
            <v>3.06068571428571</v>
          </cell>
        </row>
        <row r="2217">
          <cell r="B2217" t="str">
            <v>70004756</v>
          </cell>
          <cell r="C2217" t="str">
            <v>旺旺 小小酥葱香鸡味 60G</v>
          </cell>
          <cell r="D2217">
            <v>0</v>
          </cell>
          <cell r="E2217">
            <v>0</v>
          </cell>
          <cell r="F2217" t="e">
            <v>#DIV/0!</v>
          </cell>
        </row>
        <row r="2218">
          <cell r="B2218" t="str">
            <v>70004757</v>
          </cell>
          <cell r="C2218" t="str">
            <v>旺旺 小小酥黑胡椒味 60G</v>
          </cell>
          <cell r="D2218">
            <v>0</v>
          </cell>
          <cell r="E2218">
            <v>0</v>
          </cell>
          <cell r="F2218" t="e">
            <v>#DIV/0!</v>
          </cell>
        </row>
        <row r="2219">
          <cell r="B2219" t="str">
            <v>70004759</v>
          </cell>
          <cell r="C2219" t="str">
            <v>旺旺 黑米饼 84G</v>
          </cell>
          <cell r="D2219">
            <v>823</v>
          </cell>
          <cell r="E2219">
            <v>3946.89</v>
          </cell>
          <cell r="F2219">
            <v>5.4191806804374201</v>
          </cell>
        </row>
        <row r="2220">
          <cell r="B2220" t="str">
            <v>70004789</v>
          </cell>
          <cell r="C2220" t="str">
            <v>可比克 烧烤味薯片 55g</v>
          </cell>
          <cell r="D2220">
            <v>4292</v>
          </cell>
          <cell r="E2220">
            <v>9587.94</v>
          </cell>
          <cell r="F2220">
            <v>2.5243178471575001</v>
          </cell>
        </row>
        <row r="2221">
          <cell r="B2221" t="str">
            <v>70004790</v>
          </cell>
          <cell r="C2221" t="str">
            <v>可比克 番茄味薯片 55g</v>
          </cell>
          <cell r="D2221">
            <v>4360</v>
          </cell>
          <cell r="E2221">
            <v>9727.14</v>
          </cell>
          <cell r="F2221">
            <v>2.5210248165137599</v>
          </cell>
        </row>
        <row r="2222">
          <cell r="B2222" t="str">
            <v>70004791</v>
          </cell>
          <cell r="C2222" t="str">
            <v>可比克 香辣味薯片 55g</v>
          </cell>
          <cell r="D2222">
            <v>6021</v>
          </cell>
          <cell r="E2222">
            <v>13456.81</v>
          </cell>
          <cell r="F2222">
            <v>2.5255265404417901</v>
          </cell>
        </row>
        <row r="2223">
          <cell r="B2223" t="str">
            <v>70004792</v>
          </cell>
          <cell r="C2223" t="str">
            <v>可比克 原滋味薯片 55g</v>
          </cell>
          <cell r="D2223">
            <v>4552</v>
          </cell>
          <cell r="E2223">
            <v>10162.48</v>
          </cell>
          <cell r="F2223">
            <v>2.5227597539543098</v>
          </cell>
        </row>
        <row r="2224">
          <cell r="B2224" t="str">
            <v>70004800</v>
          </cell>
          <cell r="C2224" t="str">
            <v>达利  可比克薯片（烧烤味） 105G</v>
          </cell>
          <cell r="D2224">
            <v>2894</v>
          </cell>
          <cell r="E2224">
            <v>14587</v>
          </cell>
          <cell r="F2224">
            <v>5.6956841741534197</v>
          </cell>
        </row>
        <row r="2225">
          <cell r="B2225" t="str">
            <v>70004844</v>
          </cell>
          <cell r="C2225" t="str">
            <v>旺旺 仙贝 105G</v>
          </cell>
          <cell r="D2225">
            <v>5</v>
          </cell>
          <cell r="E2225">
            <v>32.75</v>
          </cell>
          <cell r="F2225">
            <v>7.4015000000000004</v>
          </cell>
        </row>
        <row r="2226">
          <cell r="B2226" t="str">
            <v>70004845</v>
          </cell>
          <cell r="C2226" t="str">
            <v>旺旺 雪饼(大) 118G</v>
          </cell>
          <cell r="D2226">
            <v>0</v>
          </cell>
          <cell r="E2226">
            <v>0</v>
          </cell>
          <cell r="F2226" t="e">
            <v>#DIV/0!</v>
          </cell>
        </row>
        <row r="2227">
          <cell r="B2227" t="str">
            <v>70004847</v>
          </cell>
          <cell r="C2227" t="str">
            <v>好丽友 呀土豆番茄味 40G</v>
          </cell>
          <cell r="D2227">
            <v>2570</v>
          </cell>
          <cell r="E2227">
            <v>6085.22</v>
          </cell>
          <cell r="F2227">
            <v>2.6756025680933799</v>
          </cell>
        </row>
        <row r="2228">
          <cell r="B2228" t="str">
            <v>70004848</v>
          </cell>
          <cell r="C2228" t="str">
            <v>好丽友 呀土豆(番茄酱味） 70G</v>
          </cell>
          <cell r="D2228">
            <v>2327</v>
          </cell>
          <cell r="E2228">
            <v>9344.74</v>
          </cell>
          <cell r="F2228">
            <v>4.5378410829394102</v>
          </cell>
        </row>
        <row r="2229">
          <cell r="B2229" t="str">
            <v>70004849</v>
          </cell>
          <cell r="C2229" t="str">
            <v>好丽友 呀土豆牛排味 40G</v>
          </cell>
          <cell r="D2229">
            <v>3150</v>
          </cell>
          <cell r="E2229">
            <v>7443.35</v>
          </cell>
          <cell r="F2229">
            <v>2.67015412698413</v>
          </cell>
        </row>
        <row r="2230">
          <cell r="B2230" t="str">
            <v>70004850</v>
          </cell>
          <cell r="C2230" t="str">
            <v>好丽友 呀土豆里脊牛排味 70g</v>
          </cell>
          <cell r="D2230">
            <v>2465</v>
          </cell>
          <cell r="E2230">
            <v>10094.48</v>
          </cell>
          <cell r="F2230">
            <v>4.6274898174442196</v>
          </cell>
        </row>
        <row r="2231">
          <cell r="B2231" t="str">
            <v>70004851</v>
          </cell>
          <cell r="C2231" t="str">
            <v>好丽友 呀土豆滋香烤鸡味 40G</v>
          </cell>
          <cell r="D2231">
            <v>3306</v>
          </cell>
          <cell r="E2231">
            <v>7264.29</v>
          </cell>
          <cell r="F2231">
            <v>2.4829545372050799</v>
          </cell>
        </row>
        <row r="2232">
          <cell r="B2232" t="str">
            <v>70004852</v>
          </cell>
          <cell r="C2232" t="str">
            <v>好丽友 呀土豆（滋香烤鸡味） 70G</v>
          </cell>
          <cell r="D2232">
            <v>2626</v>
          </cell>
          <cell r="E2232">
            <v>10647.52</v>
          </cell>
          <cell r="F2232">
            <v>4.5817584158415796</v>
          </cell>
        </row>
        <row r="2233">
          <cell r="B2233" t="str">
            <v>70004906</v>
          </cell>
          <cell r="C2233" t="str">
            <v>亲亲 烧烤味虾条 40G</v>
          </cell>
          <cell r="D2233">
            <v>0</v>
          </cell>
          <cell r="E2233">
            <v>0</v>
          </cell>
          <cell r="F2233" t="e">
            <v>#DIV/0!</v>
          </cell>
        </row>
        <row r="2234">
          <cell r="B2234" t="str">
            <v>70004907</v>
          </cell>
          <cell r="C2234" t="str">
            <v>亲亲 香辣蟹味天然虾条 46G</v>
          </cell>
          <cell r="D2234">
            <v>0</v>
          </cell>
          <cell r="E2234">
            <v>0</v>
          </cell>
          <cell r="F2234" t="e">
            <v>#DIV/0!</v>
          </cell>
        </row>
        <row r="2235">
          <cell r="B2235" t="str">
            <v>70004908</v>
          </cell>
          <cell r="C2235" t="str">
            <v>好食再虾条 90g*48包（原味）</v>
          </cell>
          <cell r="D2235">
            <v>39</v>
          </cell>
          <cell r="E2235">
            <v>83.16</v>
          </cell>
          <cell r="F2235">
            <v>2.4095076923076899</v>
          </cell>
        </row>
        <row r="2236">
          <cell r="B2236" t="str">
            <v>70004963</v>
          </cell>
          <cell r="C2236" t="str">
            <v>上好佳 日本鱼果 50G</v>
          </cell>
          <cell r="D2236">
            <v>0</v>
          </cell>
          <cell r="E2236">
            <v>0</v>
          </cell>
          <cell r="F2236" t="e">
            <v>#DIV/0!</v>
          </cell>
        </row>
        <row r="2237">
          <cell r="B2237" t="str">
            <v>70004970</v>
          </cell>
          <cell r="C2237" t="str">
            <v>上好佳 田园薯片番茄味 80G</v>
          </cell>
          <cell r="D2237">
            <v>0</v>
          </cell>
          <cell r="E2237">
            <v>0</v>
          </cell>
          <cell r="F2237" t="e">
            <v>#DIV/0!</v>
          </cell>
        </row>
        <row r="2238">
          <cell r="B2238" t="str">
            <v>70004971</v>
          </cell>
          <cell r="C2238" t="str">
            <v>上好佳 田园薯片烤肉味 80G</v>
          </cell>
          <cell r="D2238">
            <v>0</v>
          </cell>
          <cell r="E2238">
            <v>0</v>
          </cell>
          <cell r="F2238" t="e">
            <v>#DIV/0!</v>
          </cell>
        </row>
        <row r="2239">
          <cell r="B2239" t="str">
            <v>70004981</v>
          </cell>
          <cell r="C2239" t="str">
            <v>上好佳 脆薯片美滋番茄味 100G</v>
          </cell>
          <cell r="D2239">
            <v>86</v>
          </cell>
          <cell r="E2239">
            <v>365.76</v>
          </cell>
          <cell r="F2239">
            <v>4.8059162790697698</v>
          </cell>
        </row>
        <row r="2240">
          <cell r="B2240" t="str">
            <v>70005014</v>
          </cell>
          <cell r="C2240" t="str">
            <v>米老头 满嘴香青稞米棒（芝麻味） 150G</v>
          </cell>
          <cell r="D2240">
            <v>3297</v>
          </cell>
          <cell r="E2240">
            <v>12646.64</v>
          </cell>
          <cell r="F2240">
            <v>4.33445653624507</v>
          </cell>
        </row>
        <row r="2241">
          <cell r="B2241" t="str">
            <v>70005015</v>
          </cell>
          <cell r="C2241" t="str">
            <v>米老头 青稞米棒花生味 150g</v>
          </cell>
          <cell r="D2241">
            <v>3543</v>
          </cell>
          <cell r="E2241">
            <v>13602.2</v>
          </cell>
          <cell r="F2241">
            <v>4.3382686988427901</v>
          </cell>
        </row>
        <row r="2242">
          <cell r="B2242" t="str">
            <v>70005199</v>
          </cell>
          <cell r="C2242" t="str">
            <v>洽洽 瓜子原味 258g</v>
          </cell>
          <cell r="D2242">
            <v>23</v>
          </cell>
          <cell r="E2242">
            <v>228.39</v>
          </cell>
          <cell r="F2242">
            <v>11.2209</v>
          </cell>
        </row>
        <row r="2243">
          <cell r="B2243" t="str">
            <v>70005201</v>
          </cell>
          <cell r="C2243" t="str">
            <v>洽洽 香瓜子奶香味 285G</v>
          </cell>
          <cell r="D2243">
            <v>4</v>
          </cell>
          <cell r="E2243">
            <v>39.72</v>
          </cell>
          <cell r="F2243">
            <v>11.2209</v>
          </cell>
        </row>
        <row r="2244">
          <cell r="B2244" t="str">
            <v>70005211</v>
          </cell>
          <cell r="C2244" t="str">
            <v>洽洽 原香瓜子 142g</v>
          </cell>
          <cell r="D2244">
            <v>128</v>
          </cell>
          <cell r="E2244">
            <v>708.74</v>
          </cell>
          <cell r="F2244">
            <v>6.2568453125000003</v>
          </cell>
        </row>
        <row r="2245">
          <cell r="B2245" t="str">
            <v>70005213</v>
          </cell>
          <cell r="C2245" t="str">
            <v>洽洽 香瓜子奶香味 150G</v>
          </cell>
          <cell r="D2245">
            <v>51</v>
          </cell>
          <cell r="E2245">
            <v>285.57</v>
          </cell>
          <cell r="F2245">
            <v>6.3273352941176499</v>
          </cell>
        </row>
        <row r="2246">
          <cell r="B2246" t="str">
            <v>70005304</v>
          </cell>
          <cell r="C2246" t="str">
            <v>徽记 绿茶瓜子 265G</v>
          </cell>
          <cell r="D2246">
            <v>0</v>
          </cell>
          <cell r="E2246">
            <v>0</v>
          </cell>
          <cell r="F2246" t="e">
            <v>#DIV/0!</v>
          </cell>
        </row>
        <row r="2247">
          <cell r="B2247" t="str">
            <v>70005713</v>
          </cell>
          <cell r="C2247" t="str">
            <v>亲亲218g可吸果冻草莓 218g*24杯</v>
          </cell>
          <cell r="D2247">
            <v>8</v>
          </cell>
          <cell r="E2247">
            <v>1.27</v>
          </cell>
          <cell r="F2247">
            <v>0.17938750000000001</v>
          </cell>
        </row>
        <row r="2248">
          <cell r="B2248" t="str">
            <v>70005716</v>
          </cell>
          <cell r="C2248" t="str">
            <v>喜之郎 时光海苔 7.5G*36</v>
          </cell>
          <cell r="D2248">
            <v>0</v>
          </cell>
          <cell r="E2248">
            <v>0</v>
          </cell>
          <cell r="F2248" t="e">
            <v>#DIV/0!</v>
          </cell>
        </row>
        <row r="2249">
          <cell r="B2249" t="str">
            <v>70005812</v>
          </cell>
          <cell r="C2249" t="str">
            <v>母亲 牛肉棒黑胡椒味 22G</v>
          </cell>
          <cell r="D2249">
            <v>0</v>
          </cell>
          <cell r="E2249">
            <v>0</v>
          </cell>
          <cell r="F2249" t="e">
            <v>#DIV/0!</v>
          </cell>
        </row>
        <row r="2250">
          <cell r="B2250" t="str">
            <v>70005813</v>
          </cell>
          <cell r="C2250" t="str">
            <v>母亲 牛肉棒原味 22g</v>
          </cell>
          <cell r="D2250">
            <v>0</v>
          </cell>
          <cell r="E2250">
            <v>0</v>
          </cell>
          <cell r="F2250" t="e">
            <v>#DIV/0!</v>
          </cell>
        </row>
        <row r="2251">
          <cell r="B2251" t="str">
            <v>70005815</v>
          </cell>
          <cell r="C2251" t="str">
            <v>母亲 牛肉棒香烤味 22G</v>
          </cell>
          <cell r="D2251">
            <v>0</v>
          </cell>
          <cell r="E2251">
            <v>0</v>
          </cell>
          <cell r="F2251" t="e">
            <v>#DIV/0!</v>
          </cell>
        </row>
        <row r="2252">
          <cell r="B2252" t="str">
            <v>70005943</v>
          </cell>
          <cell r="C2252" t="str">
            <v>盼盼 麦香鸡味块 105G</v>
          </cell>
          <cell r="D2252">
            <v>1515</v>
          </cell>
          <cell r="E2252">
            <v>6324.96</v>
          </cell>
          <cell r="F2252">
            <v>4.7176269306930703</v>
          </cell>
        </row>
        <row r="2253">
          <cell r="B2253" t="str">
            <v>70005944</v>
          </cell>
          <cell r="C2253" t="str">
            <v>盼盼 烧烤牛排 105G</v>
          </cell>
          <cell r="D2253">
            <v>1823</v>
          </cell>
          <cell r="E2253">
            <v>7614.39</v>
          </cell>
          <cell r="F2253">
            <v>4.7198358200768</v>
          </cell>
        </row>
        <row r="2254">
          <cell r="B2254" t="str">
            <v>70005945</v>
          </cell>
          <cell r="C2254" t="str">
            <v>盼盼 墨西哥鸡味卷 105G</v>
          </cell>
          <cell r="D2254">
            <v>1377</v>
          </cell>
          <cell r="E2254">
            <v>5739.61</v>
          </cell>
          <cell r="F2254">
            <v>4.7100648511256296</v>
          </cell>
        </row>
        <row r="2255">
          <cell r="B2255" t="str">
            <v>70005991</v>
          </cell>
          <cell r="C2255" t="str">
            <v>果爽 150G</v>
          </cell>
          <cell r="D2255">
            <v>0</v>
          </cell>
          <cell r="E2255">
            <v>0</v>
          </cell>
          <cell r="F2255" t="e">
            <v>#DIV/0!</v>
          </cell>
        </row>
        <row r="2256">
          <cell r="B2256" t="str">
            <v>70006001</v>
          </cell>
          <cell r="C2256" t="str">
            <v>旺旺 维多粒果冻爽粒粒橙味150G</v>
          </cell>
          <cell r="D2256">
            <v>12</v>
          </cell>
          <cell r="E2256">
            <v>24.24</v>
          </cell>
          <cell r="F2256">
            <v>2.2826</v>
          </cell>
        </row>
        <row r="2257">
          <cell r="B2257" t="str">
            <v>70006002</v>
          </cell>
          <cell r="C2257" t="str">
            <v>旺旺 维多粒果冻爽粒粒桃味 150G</v>
          </cell>
          <cell r="D2257">
            <v>10</v>
          </cell>
          <cell r="E2257">
            <v>20.2</v>
          </cell>
          <cell r="F2257">
            <v>2.2826</v>
          </cell>
        </row>
        <row r="2258">
          <cell r="B2258" t="str">
            <v>70006003</v>
          </cell>
          <cell r="C2258" t="str">
            <v>旺旺 维多粒果冻爽葡萄味 150G</v>
          </cell>
          <cell r="D2258">
            <v>6</v>
          </cell>
          <cell r="E2258">
            <v>12.12</v>
          </cell>
          <cell r="F2258">
            <v>2.2826</v>
          </cell>
        </row>
        <row r="2259">
          <cell r="B2259" t="str">
            <v>70006055</v>
          </cell>
          <cell r="C2259" t="str">
            <v>上好佳 玉米卷 80G</v>
          </cell>
          <cell r="D2259">
            <v>0</v>
          </cell>
          <cell r="E2259">
            <v>0</v>
          </cell>
          <cell r="F2259" t="e">
            <v>#DIV/0!</v>
          </cell>
        </row>
        <row r="2260">
          <cell r="B2260" t="str">
            <v>70006060</v>
          </cell>
          <cell r="C2260" t="str">
            <v>喜之郎 cici果汁果冻 218g/袋</v>
          </cell>
          <cell r="D2260">
            <v>0</v>
          </cell>
          <cell r="E2260">
            <v>0</v>
          </cell>
          <cell r="F2260" t="e">
            <v>#DIV/0!</v>
          </cell>
        </row>
        <row r="2261">
          <cell r="B2261" t="str">
            <v>70006061</v>
          </cell>
          <cell r="C2261" t="str">
            <v>喜之郎 CICI苹果味 150G</v>
          </cell>
          <cell r="D2261">
            <v>0</v>
          </cell>
          <cell r="E2261">
            <v>0</v>
          </cell>
          <cell r="F2261" t="e">
            <v>#DIV/0!</v>
          </cell>
        </row>
        <row r="2262">
          <cell r="B2262" t="str">
            <v>70006062</v>
          </cell>
          <cell r="C2262" t="str">
            <v>喜之郎 CICI芒果味 150G</v>
          </cell>
          <cell r="D2262">
            <v>0</v>
          </cell>
          <cell r="E2262">
            <v>0</v>
          </cell>
          <cell r="F2262" t="e">
            <v>#DIV/0!</v>
          </cell>
        </row>
        <row r="2263">
          <cell r="B2263" t="str">
            <v>70006063</v>
          </cell>
          <cell r="C2263" t="str">
            <v>喜之郎果冻爽柠檬味 150g</v>
          </cell>
          <cell r="D2263">
            <v>0</v>
          </cell>
          <cell r="E2263">
            <v>0</v>
          </cell>
          <cell r="F2263" t="e">
            <v>#DIV/0!</v>
          </cell>
        </row>
        <row r="2264">
          <cell r="B2264" t="str">
            <v>70006064</v>
          </cell>
          <cell r="C2264" t="str">
            <v>喜之郎CICI果冻菠萝味 150G</v>
          </cell>
          <cell r="D2264">
            <v>0</v>
          </cell>
          <cell r="E2264">
            <v>0</v>
          </cell>
          <cell r="F2264" t="e">
            <v>#DIV/0!</v>
          </cell>
        </row>
        <row r="2265">
          <cell r="B2265" t="str">
            <v>70006066</v>
          </cell>
          <cell r="C2265" t="str">
            <v>喜之郎 cici(葡萄) 150G</v>
          </cell>
          <cell r="D2265">
            <v>0</v>
          </cell>
          <cell r="E2265">
            <v>0</v>
          </cell>
          <cell r="F2265" t="e">
            <v>#DIV/0!</v>
          </cell>
        </row>
        <row r="2266">
          <cell r="B2266" t="str">
            <v>70006069</v>
          </cell>
          <cell r="C2266" t="str">
            <v>喜之郎 什锦果冻 360g</v>
          </cell>
          <cell r="D2266">
            <v>8</v>
          </cell>
          <cell r="E2266">
            <v>29.04</v>
          </cell>
          <cell r="F2266">
            <v>4.1018999999999997</v>
          </cell>
        </row>
        <row r="2267">
          <cell r="B2267" t="str">
            <v>70015325</v>
          </cell>
          <cell r="C2267" t="str">
            <v>蜡笔小新 鲜Q 150G</v>
          </cell>
          <cell r="D2267">
            <v>0</v>
          </cell>
          <cell r="E2267">
            <v>0</v>
          </cell>
          <cell r="F2267" t="e">
            <v>#DIV/0!</v>
          </cell>
        </row>
        <row r="2268">
          <cell r="B2268" t="str">
            <v>70016114</v>
          </cell>
          <cell r="C2268" t="str">
            <v>亲亲 鲜虾味虾条 80G</v>
          </cell>
          <cell r="D2268">
            <v>1</v>
          </cell>
          <cell r="E2268">
            <v>4.43</v>
          </cell>
          <cell r="F2268">
            <v>5.0058999999999996</v>
          </cell>
        </row>
        <row r="2269">
          <cell r="B2269" t="str">
            <v>70016881</v>
          </cell>
          <cell r="C2269" t="str">
            <v>陶华碧 老干妈辣三丁 300G</v>
          </cell>
          <cell r="D2269">
            <v>130</v>
          </cell>
          <cell r="E2269">
            <v>1409.81</v>
          </cell>
          <cell r="F2269">
            <v>12.254502307692301</v>
          </cell>
        </row>
        <row r="2270">
          <cell r="B2270" t="str">
            <v>70016920</v>
          </cell>
          <cell r="C2270" t="str">
            <v>上好佳 鲜虾条 80G</v>
          </cell>
          <cell r="D2270">
            <v>8</v>
          </cell>
          <cell r="E2270">
            <v>32.56</v>
          </cell>
          <cell r="F2270">
            <v>4.5991</v>
          </cell>
        </row>
        <row r="2271">
          <cell r="B2271" t="str">
            <v>70018429</v>
          </cell>
          <cell r="C2271" t="str">
            <v>亲亲200g果肉果冻什锦 200克*24杯</v>
          </cell>
          <cell r="D2271">
            <v>0</v>
          </cell>
          <cell r="E2271">
            <v>0</v>
          </cell>
          <cell r="F2271" t="e">
            <v>#DIV/0!</v>
          </cell>
        </row>
        <row r="2272">
          <cell r="B2272" t="str">
            <v>70020239</v>
          </cell>
          <cell r="C2272" t="str">
            <v>有友 泡椒豆干 100G</v>
          </cell>
          <cell r="D2272">
            <v>1203</v>
          </cell>
          <cell r="E2272">
            <v>3514.78</v>
          </cell>
          <cell r="F2272">
            <v>3.3014974231088901</v>
          </cell>
        </row>
        <row r="2273">
          <cell r="B2273" t="str">
            <v>70020240</v>
          </cell>
          <cell r="C2273" t="str">
            <v>有友 卤香、麻辣豆干 100G</v>
          </cell>
          <cell r="D2273">
            <v>1339</v>
          </cell>
          <cell r="E2273">
            <v>3904.37</v>
          </cell>
          <cell r="F2273">
            <v>3.2949500373412999</v>
          </cell>
        </row>
        <row r="2274">
          <cell r="B2274" t="str">
            <v>70021147</v>
          </cell>
          <cell r="C2274" t="str">
            <v>波力 渔趣鳕柳丝海苔 40g</v>
          </cell>
          <cell r="D2274">
            <v>5</v>
          </cell>
          <cell r="E2274">
            <v>29.22</v>
          </cell>
          <cell r="F2274">
            <v>6.60372</v>
          </cell>
        </row>
        <row r="2275">
          <cell r="B2275" t="str">
            <v>70022341</v>
          </cell>
          <cell r="C2275" t="str">
            <v>上好佳 桶装烤肉薯片 100G</v>
          </cell>
          <cell r="D2275">
            <v>33</v>
          </cell>
          <cell r="E2275">
            <v>141.03</v>
          </cell>
          <cell r="F2275">
            <v>4.8292090909090897</v>
          </cell>
        </row>
        <row r="2276">
          <cell r="B2276" t="str">
            <v>70022342</v>
          </cell>
          <cell r="C2276" t="str">
            <v>上好佳 桶装甜辣薯片 100G</v>
          </cell>
          <cell r="D2276">
            <v>50</v>
          </cell>
          <cell r="E2276">
            <v>213.28</v>
          </cell>
          <cell r="F2276">
            <v>4.8201280000000004</v>
          </cell>
        </row>
        <row r="2277">
          <cell r="B2277" t="str">
            <v>70022349</v>
          </cell>
          <cell r="C2277" t="str">
            <v>上好佳 桶装经典原味 100G</v>
          </cell>
          <cell r="D2277">
            <v>51</v>
          </cell>
          <cell r="E2277">
            <v>217.53</v>
          </cell>
          <cell r="F2277">
            <v>4.8197823529411803</v>
          </cell>
        </row>
        <row r="2278">
          <cell r="B2278" t="str">
            <v>70024222</v>
          </cell>
          <cell r="C2278" t="str">
            <v>洽洽小而香奶油味瓜子180G</v>
          </cell>
          <cell r="D2278">
            <v>117</v>
          </cell>
          <cell r="E2278">
            <v>1359.83</v>
          </cell>
          <cell r="F2278">
            <v>13.1334008547009</v>
          </cell>
        </row>
        <row r="2279">
          <cell r="B2279" t="str">
            <v>70024958</v>
          </cell>
          <cell r="C2279" t="str">
            <v>无穷 盐局鸡腿 80g</v>
          </cell>
          <cell r="D2279">
            <v>305</v>
          </cell>
          <cell r="E2279">
            <v>4190.8999999999996</v>
          </cell>
          <cell r="F2279">
            <v>15.5269409836066</v>
          </cell>
        </row>
        <row r="2280">
          <cell r="B2280" t="str">
            <v>70025426</v>
          </cell>
          <cell r="C2280" t="str">
            <v>旺旺 泡芙巧克力味 50G</v>
          </cell>
          <cell r="D2280">
            <v>2346</v>
          </cell>
          <cell r="E2280">
            <v>10391</v>
          </cell>
          <cell r="F2280">
            <v>5.0050426257459497</v>
          </cell>
        </row>
        <row r="2281">
          <cell r="B2281" t="str">
            <v>70025427</v>
          </cell>
          <cell r="C2281" t="str">
            <v>旺旺 泡芙牛奶 56g</v>
          </cell>
          <cell r="D2281">
            <v>2443</v>
          </cell>
          <cell r="E2281">
            <v>10797.78</v>
          </cell>
          <cell r="F2281">
            <v>4.9944704871060202</v>
          </cell>
        </row>
        <row r="2282">
          <cell r="B2282" t="str">
            <v>70026402</v>
          </cell>
          <cell r="C2282" t="str">
            <v>溜溜 雪梅 60G</v>
          </cell>
          <cell r="D2282">
            <v>3582</v>
          </cell>
          <cell r="E2282">
            <v>12715.78</v>
          </cell>
          <cell r="F2282">
            <v>4.0113990508096</v>
          </cell>
        </row>
        <row r="2283">
          <cell r="B2283" t="str">
            <v>70026665</v>
          </cell>
          <cell r="C2283" t="str">
            <v>喜之郎 果汁果冻书包 600g</v>
          </cell>
          <cell r="D2283">
            <v>0</v>
          </cell>
          <cell r="E2283">
            <v>0</v>
          </cell>
          <cell r="F2283" t="e">
            <v>#DIV/0!</v>
          </cell>
        </row>
        <row r="2284">
          <cell r="B2284" t="str">
            <v>70026803</v>
          </cell>
          <cell r="C2284" t="str">
            <v>艾比利 番茄味薯片 95G</v>
          </cell>
          <cell r="D2284">
            <v>26</v>
          </cell>
          <cell r="E2284">
            <v>145.07</v>
          </cell>
          <cell r="F2284">
            <v>6.3049653846153797</v>
          </cell>
        </row>
        <row r="2285">
          <cell r="B2285" t="str">
            <v>70026804</v>
          </cell>
          <cell r="C2285" t="str">
            <v>艾比利 烧烤味薯片 95G</v>
          </cell>
          <cell r="D2285">
            <v>1</v>
          </cell>
          <cell r="E2285">
            <v>5.58</v>
          </cell>
          <cell r="F2285">
            <v>6.3053999999999997</v>
          </cell>
        </row>
        <row r="2286">
          <cell r="B2286" t="str">
            <v>70026805</v>
          </cell>
          <cell r="C2286" t="str">
            <v>艾比利 香辣味薯片 95G</v>
          </cell>
          <cell r="D2286">
            <v>9</v>
          </cell>
          <cell r="E2286">
            <v>50.22</v>
          </cell>
          <cell r="F2286">
            <v>6.3053999999999997</v>
          </cell>
        </row>
        <row r="2287">
          <cell r="B2287" t="str">
            <v>70026972</v>
          </cell>
          <cell r="C2287" t="str">
            <v>旺仔 小馒头原味 118g</v>
          </cell>
          <cell r="D2287">
            <v>9</v>
          </cell>
          <cell r="E2287">
            <v>55.25</v>
          </cell>
          <cell r="F2287">
            <v>6.9369444444444399</v>
          </cell>
        </row>
        <row r="2288">
          <cell r="B2288" t="str">
            <v>70028043</v>
          </cell>
          <cell r="C2288" t="str">
            <v>怪味胡豆  120G</v>
          </cell>
          <cell r="D2288">
            <v>1458</v>
          </cell>
          <cell r="E2288">
            <v>4056.01</v>
          </cell>
          <cell r="F2288">
            <v>3.1435468449931401</v>
          </cell>
        </row>
        <row r="2289">
          <cell r="B2289" t="str">
            <v>70028238</v>
          </cell>
          <cell r="C2289" t="str">
            <v>千百度 苏打豆干（麻辣味） 100g</v>
          </cell>
          <cell r="D2289">
            <v>0</v>
          </cell>
          <cell r="E2289">
            <v>0</v>
          </cell>
          <cell r="F2289" t="e">
            <v>#DIV/0!</v>
          </cell>
        </row>
        <row r="2290">
          <cell r="B2290" t="str">
            <v>70028846</v>
          </cell>
          <cell r="C2290" t="str">
            <v>盼盼 香蕉酥 105G</v>
          </cell>
          <cell r="D2290">
            <v>3</v>
          </cell>
          <cell r="E2290">
            <v>8.32</v>
          </cell>
          <cell r="F2290">
            <v>3.1338666666666701</v>
          </cell>
        </row>
        <row r="2291">
          <cell r="B2291" t="str">
            <v>70029004</v>
          </cell>
          <cell r="C2291" t="str">
            <v>永健 山椒泡爪 100G</v>
          </cell>
          <cell r="D2291">
            <v>1339</v>
          </cell>
          <cell r="E2291">
            <v>7015.76</v>
          </cell>
          <cell r="F2291">
            <v>5.9206936519790903</v>
          </cell>
        </row>
        <row r="2292">
          <cell r="B2292" t="str">
            <v>70029967</v>
          </cell>
          <cell r="C2292" t="str">
            <v>千百度 香卤五香豆干 100G</v>
          </cell>
          <cell r="D2292">
            <v>119</v>
          </cell>
          <cell r="E2292">
            <v>284.56</v>
          </cell>
          <cell r="F2292">
            <v>2.7021243697478998</v>
          </cell>
        </row>
        <row r="2293">
          <cell r="B2293" t="str">
            <v>70034307</v>
          </cell>
          <cell r="C2293" t="str">
            <v>溜溜梅 乌梅 160G</v>
          </cell>
          <cell r="D2293">
            <v>193</v>
          </cell>
          <cell r="E2293">
            <v>1470.47</v>
          </cell>
          <cell r="F2293">
            <v>8.6094875647668392</v>
          </cell>
        </row>
        <row r="2294">
          <cell r="B2294" t="str">
            <v>70034308</v>
          </cell>
          <cell r="C2294" t="str">
            <v>溜溜梅 清梅 60G</v>
          </cell>
          <cell r="D2294">
            <v>3754</v>
          </cell>
          <cell r="E2294">
            <v>13330.22</v>
          </cell>
          <cell r="F2294">
            <v>4.01255956313266</v>
          </cell>
        </row>
        <row r="2295">
          <cell r="B2295" t="str">
            <v>70034311</v>
          </cell>
          <cell r="C2295" t="str">
            <v>溜溜梅 绿茶梅 60g</v>
          </cell>
          <cell r="D2295">
            <v>1657</v>
          </cell>
          <cell r="E2295">
            <v>5918.39</v>
          </cell>
          <cell r="F2295">
            <v>4.0360776704888304</v>
          </cell>
        </row>
        <row r="2296">
          <cell r="B2296" t="str">
            <v>70034312</v>
          </cell>
          <cell r="C2296" t="str">
            <v>溜溜梅 绿茶梅 160g</v>
          </cell>
          <cell r="D2296">
            <v>269</v>
          </cell>
          <cell r="E2296">
            <v>2403.4299999999998</v>
          </cell>
          <cell r="F2296">
            <v>10.096192936803</v>
          </cell>
        </row>
        <row r="2297">
          <cell r="B2297" t="str">
            <v>70035162</v>
          </cell>
          <cell r="C2297" t="str">
            <v>盼盼 家庭号薯片（原味） 82g</v>
          </cell>
          <cell r="D2297">
            <v>0</v>
          </cell>
          <cell r="E2297">
            <v>0</v>
          </cell>
          <cell r="F2297" t="e">
            <v>#DIV/0!</v>
          </cell>
        </row>
        <row r="2298">
          <cell r="B2298" t="str">
            <v>70035244</v>
          </cell>
          <cell r="C2298" t="str">
            <v>有友 玩味花生 100G</v>
          </cell>
          <cell r="D2298">
            <v>1353</v>
          </cell>
          <cell r="E2298">
            <v>3942.67</v>
          </cell>
          <cell r="F2298">
            <v>3.2928433850702099</v>
          </cell>
        </row>
        <row r="2299">
          <cell r="B2299" t="str">
            <v>70036504</v>
          </cell>
          <cell r="C2299" t="str">
            <v>华味亨 香蕉片 158G</v>
          </cell>
          <cell r="D2299">
            <v>18</v>
          </cell>
          <cell r="E2299">
            <v>128.32</v>
          </cell>
          <cell r="F2299">
            <v>8.0556444444444395</v>
          </cell>
        </row>
        <row r="2300">
          <cell r="B2300" t="str">
            <v>70037278</v>
          </cell>
          <cell r="C2300" t="str">
            <v>无穷爱辣鸡米（铝膜）60g</v>
          </cell>
          <cell r="D2300">
            <v>3</v>
          </cell>
          <cell r="E2300">
            <v>25.23</v>
          </cell>
          <cell r="F2300">
            <v>9.5032999999999994</v>
          </cell>
        </row>
        <row r="2301">
          <cell r="B2301" t="str">
            <v>70037281</v>
          </cell>
          <cell r="C2301" t="str">
            <v>无穷 爱辣鸡爪 50G</v>
          </cell>
          <cell r="D2301">
            <v>553</v>
          </cell>
          <cell r="E2301">
            <v>6662.77</v>
          </cell>
          <cell r="F2301">
            <v>13.6147018083183</v>
          </cell>
        </row>
        <row r="2302">
          <cell r="B2302" t="str">
            <v>70037328</v>
          </cell>
          <cell r="C2302" t="str">
            <v>永健 泡山椒凤爪 80G</v>
          </cell>
          <cell r="D2302">
            <v>0</v>
          </cell>
          <cell r="E2302">
            <v>0</v>
          </cell>
          <cell r="F2302" t="e">
            <v>#DIV/0!</v>
          </cell>
        </row>
        <row r="2303">
          <cell r="B2303" t="str">
            <v>70037381</v>
          </cell>
          <cell r="C2303" t="str">
            <v>上好佳 鲜虾片 80G</v>
          </cell>
          <cell r="D2303">
            <v>0</v>
          </cell>
          <cell r="E2303">
            <v>0</v>
          </cell>
          <cell r="F2303" t="e">
            <v>#DIV/0!</v>
          </cell>
        </row>
        <row r="2304">
          <cell r="B2304" t="str">
            <v>70038890</v>
          </cell>
          <cell r="C2304" t="str">
            <v>徽记 煮瓜子 260G</v>
          </cell>
          <cell r="D2304">
            <v>0</v>
          </cell>
          <cell r="E2304">
            <v>0</v>
          </cell>
          <cell r="F2304" t="e">
            <v>#DIV/0!</v>
          </cell>
        </row>
        <row r="2305">
          <cell r="B2305" t="str">
            <v>70038895</v>
          </cell>
          <cell r="C2305" t="str">
            <v>徽记 咸香花生 120G</v>
          </cell>
          <cell r="D2305">
            <v>1107</v>
          </cell>
          <cell r="E2305">
            <v>3770.77</v>
          </cell>
          <cell r="F2305">
            <v>3.84911481481481</v>
          </cell>
        </row>
        <row r="2306">
          <cell r="B2306" t="str">
            <v>70038973</v>
          </cell>
          <cell r="C2306" t="str">
            <v>梅林 什锦果酱 350G</v>
          </cell>
          <cell r="D2306">
            <v>392</v>
          </cell>
          <cell r="E2306">
            <v>2706.49</v>
          </cell>
          <cell r="F2306">
            <v>7.8018716836734701</v>
          </cell>
        </row>
        <row r="2307">
          <cell r="B2307" t="str">
            <v>70041446</v>
          </cell>
          <cell r="C2307" t="str">
            <v>有友 山椒竹笋 120g</v>
          </cell>
          <cell r="D2307">
            <v>1320</v>
          </cell>
          <cell r="E2307">
            <v>3856.66</v>
          </cell>
          <cell r="F2307">
            <v>3.3015346969696999</v>
          </cell>
        </row>
        <row r="2308">
          <cell r="B2308" t="str">
            <v>70041635</v>
          </cell>
          <cell r="C2308" t="str">
            <v>永健 山脚凤爪 135G</v>
          </cell>
          <cell r="D2308">
            <v>571</v>
          </cell>
          <cell r="E2308">
            <v>4589.3500000000004</v>
          </cell>
          <cell r="F2308">
            <v>9.0822513134851093</v>
          </cell>
        </row>
        <row r="2309">
          <cell r="B2309" t="str">
            <v>70043528</v>
          </cell>
          <cell r="C2309" t="str">
            <v>玛氏箭牌 品客薯片原味 110g</v>
          </cell>
          <cell r="D2309">
            <v>293</v>
          </cell>
          <cell r="E2309">
            <v>2322.92</v>
          </cell>
          <cell r="F2309">
            <v>8.9587017064846393</v>
          </cell>
        </row>
        <row r="2310">
          <cell r="B2310" t="str">
            <v>70043809</v>
          </cell>
          <cell r="C2310" t="str">
            <v>无穷 盐焗鸡翅 60G</v>
          </cell>
          <cell r="D2310">
            <v>301</v>
          </cell>
          <cell r="E2310">
            <v>4159.76</v>
          </cell>
          <cell r="F2310">
            <v>15.6163747508306</v>
          </cell>
        </row>
        <row r="2311">
          <cell r="B2311" t="str">
            <v>70047002</v>
          </cell>
          <cell r="C2311" t="str">
            <v>香香嘴 手撕香辣素肉 112G</v>
          </cell>
          <cell r="D2311">
            <v>36</v>
          </cell>
          <cell r="E2311">
            <v>159.44</v>
          </cell>
          <cell r="F2311">
            <v>5.0046444444444402</v>
          </cell>
        </row>
        <row r="2312">
          <cell r="B2312" t="str">
            <v>70047004</v>
          </cell>
          <cell r="C2312" t="str">
            <v>香香嘴 手撕烧烤素肉 112G</v>
          </cell>
          <cell r="D2312">
            <v>43</v>
          </cell>
          <cell r="E2312">
            <v>193.15</v>
          </cell>
          <cell r="F2312">
            <v>5.0758023255813898</v>
          </cell>
        </row>
        <row r="2313">
          <cell r="B2313" t="str">
            <v>70048573</v>
          </cell>
          <cell r="C2313" t="str">
            <v>品客 番茄味薯片 110G</v>
          </cell>
          <cell r="D2313">
            <v>543</v>
          </cell>
          <cell r="E2313">
            <v>4327.82</v>
          </cell>
          <cell r="F2313">
            <v>9.0063289134438307</v>
          </cell>
        </row>
        <row r="2314">
          <cell r="B2314" t="str">
            <v>70050341</v>
          </cell>
          <cell r="C2314" t="str">
            <v>喜之郎 cici果粒爽葡萄汁饮料 350g</v>
          </cell>
          <cell r="D2314">
            <v>0</v>
          </cell>
          <cell r="E2314">
            <v>0</v>
          </cell>
          <cell r="F2314" t="e">
            <v>#DIV/0!</v>
          </cell>
        </row>
        <row r="2315">
          <cell r="B2315" t="str">
            <v>70050342</v>
          </cell>
          <cell r="C2315" t="str">
            <v>喜之郎 cici果粒爽橙汁饮料 350g</v>
          </cell>
          <cell r="D2315">
            <v>0</v>
          </cell>
          <cell r="E2315">
            <v>0</v>
          </cell>
          <cell r="F2315" t="e">
            <v>#DIV/0!</v>
          </cell>
        </row>
        <row r="2316">
          <cell r="B2316" t="str">
            <v>70051464</v>
          </cell>
          <cell r="C2316" t="str">
            <v>溜溜梅 分享装-清梅 150G</v>
          </cell>
          <cell r="D2316">
            <v>402</v>
          </cell>
          <cell r="E2316">
            <v>3603.03</v>
          </cell>
          <cell r="F2316">
            <v>10.127920149253701</v>
          </cell>
        </row>
        <row r="2317">
          <cell r="B2317" t="str">
            <v>70052363</v>
          </cell>
          <cell r="C2317" t="str">
            <v>邬辣妈 素牛筋 100g</v>
          </cell>
          <cell r="D2317">
            <v>3</v>
          </cell>
          <cell r="E2317">
            <v>9.9600000000000009</v>
          </cell>
          <cell r="F2317">
            <v>3.7515999999999998</v>
          </cell>
        </row>
        <row r="2318">
          <cell r="B2318" t="str">
            <v>70052366</v>
          </cell>
          <cell r="C2318" t="str">
            <v>邬辣妈 素羊串 90G</v>
          </cell>
          <cell r="D2318">
            <v>5</v>
          </cell>
          <cell r="E2318">
            <v>16.600000000000001</v>
          </cell>
          <cell r="F2318">
            <v>3.7515999999999998</v>
          </cell>
        </row>
        <row r="2319">
          <cell r="B2319" t="str">
            <v>70053773</v>
          </cell>
          <cell r="C2319" t="str">
            <v>波力 原味15束海苔 15束*3</v>
          </cell>
          <cell r="D2319">
            <v>5</v>
          </cell>
          <cell r="E2319">
            <v>36.299999999999997</v>
          </cell>
          <cell r="F2319">
            <v>8.2037999999999993</v>
          </cell>
        </row>
        <row r="2320">
          <cell r="B2320" t="str">
            <v>70054071</v>
          </cell>
          <cell r="C2320" t="str">
            <v>北京 冰糖葫芦 80G</v>
          </cell>
          <cell r="D2320">
            <v>122</v>
          </cell>
          <cell r="E2320">
            <v>1295.6400000000001</v>
          </cell>
          <cell r="F2320">
            <v>12.0006</v>
          </cell>
        </row>
        <row r="2321">
          <cell r="B2321" t="str">
            <v>70055251</v>
          </cell>
          <cell r="C2321" t="str">
            <v>芝麻官 怪味胡豆 90G</v>
          </cell>
          <cell r="D2321">
            <v>37</v>
          </cell>
          <cell r="E2321">
            <v>66.97</v>
          </cell>
          <cell r="F2321">
            <v>2.0453000000000001</v>
          </cell>
        </row>
        <row r="2322">
          <cell r="B2322" t="str">
            <v>70055252</v>
          </cell>
          <cell r="C2322" t="str">
            <v>芝麻官 怪味胡豆 55G</v>
          </cell>
          <cell r="D2322">
            <v>1608</v>
          </cell>
          <cell r="E2322">
            <v>1826.02</v>
          </cell>
          <cell r="F2322">
            <v>1.2832105721392999</v>
          </cell>
        </row>
        <row r="2323">
          <cell r="B2323" t="str">
            <v>70057594</v>
          </cell>
          <cell r="C2323" t="str">
            <v>上好佳 洋葱圈 80G</v>
          </cell>
          <cell r="D2323">
            <v>0</v>
          </cell>
          <cell r="E2323">
            <v>0</v>
          </cell>
          <cell r="F2323" t="e">
            <v>#DIV/0!</v>
          </cell>
        </row>
        <row r="2324">
          <cell r="B2324" t="str">
            <v>70061009</v>
          </cell>
          <cell r="C2324" t="str">
            <v>芝麻官 怪味胡豆 180G</v>
          </cell>
          <cell r="D2324">
            <v>62</v>
          </cell>
          <cell r="E2324">
            <v>223.49</v>
          </cell>
          <cell r="F2324">
            <v>4.0732854838709702</v>
          </cell>
        </row>
        <row r="2325">
          <cell r="B2325" t="str">
            <v>70061257</v>
          </cell>
          <cell r="C2325" t="str">
            <v>好丽友 薯愿香烤原味 104g</v>
          </cell>
          <cell r="D2325">
            <v>3526</v>
          </cell>
          <cell r="E2325">
            <v>18756.849999999999</v>
          </cell>
          <cell r="F2325">
            <v>6.0111288996029497</v>
          </cell>
        </row>
        <row r="2326">
          <cell r="B2326" t="str">
            <v>70061258</v>
          </cell>
          <cell r="C2326" t="str">
            <v>好丽友 薯愿红酒牛排 104g</v>
          </cell>
          <cell r="D2326">
            <v>2600</v>
          </cell>
          <cell r="E2326">
            <v>14475.24</v>
          </cell>
          <cell r="F2326">
            <v>6.2911619999999999</v>
          </cell>
        </row>
        <row r="2327">
          <cell r="B2327" t="str">
            <v>70065568</v>
          </cell>
          <cell r="C2327" t="str">
            <v>上好佳 芝士条 80G</v>
          </cell>
          <cell r="D2327">
            <v>1</v>
          </cell>
          <cell r="E2327">
            <v>4.07</v>
          </cell>
          <cell r="F2327">
            <v>4.5991</v>
          </cell>
        </row>
        <row r="2328">
          <cell r="B2328" t="str">
            <v>70065569</v>
          </cell>
          <cell r="C2328" t="str">
            <v>上好佳 玉米口味 80G</v>
          </cell>
          <cell r="D2328">
            <v>2</v>
          </cell>
          <cell r="E2328">
            <v>8.1300000000000008</v>
          </cell>
          <cell r="F2328">
            <v>4.5934499999999998</v>
          </cell>
        </row>
        <row r="2329">
          <cell r="B2329" t="str">
            <v>70065986</v>
          </cell>
          <cell r="C2329" t="str">
            <v>品品麻辣味牛板筋108g</v>
          </cell>
          <cell r="D2329">
            <v>1077</v>
          </cell>
          <cell r="E2329">
            <v>13389.44</v>
          </cell>
          <cell r="F2329">
            <v>14.0483446610956</v>
          </cell>
        </row>
        <row r="2330">
          <cell r="B2330" t="str">
            <v>70065987</v>
          </cell>
          <cell r="C2330" t="str">
            <v>品品烧烤味牛板筋108g</v>
          </cell>
          <cell r="D2330">
            <v>872</v>
          </cell>
          <cell r="E2330">
            <v>10839.15</v>
          </cell>
          <cell r="F2330">
            <v>14.0461462155963</v>
          </cell>
        </row>
        <row r="2331">
          <cell r="B2331" t="str">
            <v>70067179</v>
          </cell>
          <cell r="C2331" t="str">
            <v>波力 海苔 6.7G</v>
          </cell>
          <cell r="D2331">
            <v>316</v>
          </cell>
          <cell r="E2331">
            <v>1680.26</v>
          </cell>
          <cell r="F2331">
            <v>6.0085246835442998</v>
          </cell>
        </row>
        <row r="2332">
          <cell r="B2332" t="str">
            <v>70067274</v>
          </cell>
          <cell r="C2332" t="str">
            <v>永健 山椒花生 80G</v>
          </cell>
          <cell r="D2332">
            <v>3031</v>
          </cell>
          <cell r="E2332">
            <v>7852.96</v>
          </cell>
          <cell r="F2332">
            <v>2.92769541405477</v>
          </cell>
        </row>
        <row r="2333">
          <cell r="B2333" t="str">
            <v>70068517</v>
          </cell>
          <cell r="C2333" t="str">
            <v>天使 土豆片椒香麻辣味 116g</v>
          </cell>
          <cell r="D2333">
            <v>0</v>
          </cell>
          <cell r="E2333">
            <v>0</v>
          </cell>
          <cell r="F2333" t="e">
            <v>#DIV/0!</v>
          </cell>
        </row>
        <row r="2334">
          <cell r="B2334" t="str">
            <v>70070802</v>
          </cell>
          <cell r="C2334" t="str">
            <v>喜之郎 脆脆冰8支量贩装 85G/袋</v>
          </cell>
          <cell r="D2334">
            <v>0</v>
          </cell>
          <cell r="E2334">
            <v>0</v>
          </cell>
          <cell r="F2334" t="e">
            <v>#DIV/0!</v>
          </cell>
        </row>
        <row r="2335">
          <cell r="B2335" t="str">
            <v>70070807</v>
          </cell>
          <cell r="C2335" t="str">
            <v>喜之郎 苹果果粒爽饮料 350ML/支</v>
          </cell>
          <cell r="D2335">
            <v>0</v>
          </cell>
          <cell r="E2335">
            <v>0</v>
          </cell>
          <cell r="F2335" t="e">
            <v>#DIV/0!</v>
          </cell>
        </row>
        <row r="2336">
          <cell r="B2336" t="str">
            <v>70077506</v>
          </cell>
          <cell r="C2336" t="str">
            <v>盼盼 巧克力圈 180G</v>
          </cell>
          <cell r="D2336">
            <v>6</v>
          </cell>
          <cell r="E2336">
            <v>30.3</v>
          </cell>
          <cell r="F2336">
            <v>5.7065000000000001</v>
          </cell>
        </row>
        <row r="2337">
          <cell r="B2337" t="str">
            <v>70080279</v>
          </cell>
          <cell r="C2337" t="str">
            <v>老灶 煮花生 142G</v>
          </cell>
          <cell r="D2337">
            <v>692</v>
          </cell>
          <cell r="E2337">
            <v>2881.03</v>
          </cell>
          <cell r="F2337">
            <v>4.7045721098265902</v>
          </cell>
        </row>
        <row r="2338">
          <cell r="B2338" t="str">
            <v>70085292</v>
          </cell>
          <cell r="C2338" t="str">
            <v>沙土 瓜子 132G</v>
          </cell>
          <cell r="D2338">
            <v>0</v>
          </cell>
          <cell r="E2338">
            <v>0</v>
          </cell>
          <cell r="F2338" t="e">
            <v>#DIV/0!</v>
          </cell>
        </row>
        <row r="2339">
          <cell r="B2339" t="str">
            <v>70087102</v>
          </cell>
          <cell r="C2339" t="str">
            <v>品品 牛板筋 68G</v>
          </cell>
          <cell r="D2339">
            <v>1406</v>
          </cell>
          <cell r="E2339">
            <v>12339.36</v>
          </cell>
          <cell r="F2339">
            <v>9.9171243243243197</v>
          </cell>
        </row>
        <row r="2340">
          <cell r="B2340" t="str">
            <v>70087860</v>
          </cell>
          <cell r="C2340" t="str">
            <v>甘源 缤纷综合果仁 208G</v>
          </cell>
          <cell r="D2340">
            <v>567</v>
          </cell>
          <cell r="E2340">
            <v>6046.66</v>
          </cell>
          <cell r="F2340">
            <v>12.050662786596099</v>
          </cell>
        </row>
        <row r="2341">
          <cell r="B2341" t="str">
            <v>70088643</v>
          </cell>
          <cell r="C2341" t="str">
            <v>天使土豆片 (天然番茄味) 136G</v>
          </cell>
          <cell r="D2341">
            <v>0</v>
          </cell>
          <cell r="E2341">
            <v>0</v>
          </cell>
          <cell r="F2341" t="e">
            <v>#DIV/0!</v>
          </cell>
        </row>
        <row r="2342">
          <cell r="B2342" t="str">
            <v>70090404</v>
          </cell>
          <cell r="C2342" t="str">
            <v>好巴食 乐香米 320G</v>
          </cell>
          <cell r="D2342">
            <v>0</v>
          </cell>
          <cell r="E2342">
            <v>0</v>
          </cell>
          <cell r="F2342" t="e">
            <v>#DIV/0!</v>
          </cell>
        </row>
        <row r="2343">
          <cell r="B2343" t="str">
            <v>70090405</v>
          </cell>
          <cell r="C2343" t="str">
            <v>好巴食 乐香麦 320G</v>
          </cell>
          <cell r="D2343">
            <v>0</v>
          </cell>
          <cell r="E2343">
            <v>0</v>
          </cell>
          <cell r="F2343" t="e">
            <v>#DIV/0!</v>
          </cell>
        </row>
        <row r="2344">
          <cell r="B2344" t="str">
            <v>70090406</v>
          </cell>
          <cell r="C2344" t="str">
            <v>好巴食 青稞麦 320G</v>
          </cell>
          <cell r="D2344">
            <v>0</v>
          </cell>
          <cell r="E2344">
            <v>0</v>
          </cell>
          <cell r="F2344" t="e">
            <v>#DIV/0!</v>
          </cell>
        </row>
        <row r="2345">
          <cell r="B2345" t="str">
            <v>70095846</v>
          </cell>
          <cell r="C2345" t="str">
            <v>喜之郎 cici果粒爽水蜜桃味复合果汁饮料 350g</v>
          </cell>
          <cell r="D2345">
            <v>0</v>
          </cell>
          <cell r="E2345">
            <v>0</v>
          </cell>
          <cell r="F2345" t="e">
            <v>#DIV/0!</v>
          </cell>
        </row>
        <row r="2346">
          <cell r="B2346" t="str">
            <v>70098402</v>
          </cell>
          <cell r="C2346" t="str">
            <v>雪海梅乡 蜂蜜杨梅 95g</v>
          </cell>
          <cell r="D2346">
            <v>30</v>
          </cell>
          <cell r="E2346">
            <v>159.6</v>
          </cell>
          <cell r="F2346">
            <v>6.0115999999999996</v>
          </cell>
        </row>
        <row r="2347">
          <cell r="B2347" t="str">
            <v>70098475</v>
          </cell>
          <cell r="C2347" t="str">
            <v>好想你 老闫家瓜子 238G</v>
          </cell>
          <cell r="D2347">
            <v>1</v>
          </cell>
          <cell r="E2347">
            <v>16.739999999999998</v>
          </cell>
          <cell r="F2347">
            <v>18.9162</v>
          </cell>
        </row>
        <row r="2348">
          <cell r="B2348" t="str">
            <v>70099791</v>
          </cell>
          <cell r="C2348" t="str">
            <v>天使 土豆片 麻辣 100G</v>
          </cell>
          <cell r="D2348">
            <v>1288</v>
          </cell>
          <cell r="E2348">
            <v>6954.56</v>
          </cell>
          <cell r="F2348">
            <v>6.10143850931677</v>
          </cell>
        </row>
        <row r="2349">
          <cell r="B2349" t="str">
            <v>70103279</v>
          </cell>
          <cell r="C2349" t="str">
            <v>永建 80克五香豆干 80G</v>
          </cell>
          <cell r="D2349">
            <v>1405</v>
          </cell>
          <cell r="E2349">
            <v>3306.42</v>
          </cell>
          <cell r="F2349">
            <v>2.6592559430604998</v>
          </cell>
        </row>
        <row r="2350">
          <cell r="B2350" t="str">
            <v>70103513</v>
          </cell>
          <cell r="C2350" t="str">
            <v>有友 山椒豆干 75G</v>
          </cell>
          <cell r="D2350">
            <v>1463</v>
          </cell>
          <cell r="E2350">
            <v>4028.88</v>
          </cell>
          <cell r="F2350">
            <v>3.1118485304169501</v>
          </cell>
        </row>
        <row r="2351">
          <cell r="B2351" t="str">
            <v>70103947</v>
          </cell>
          <cell r="C2351" t="str">
            <v>邬辣妈 素牛肉丸 85g</v>
          </cell>
          <cell r="D2351">
            <v>3</v>
          </cell>
          <cell r="E2351">
            <v>9.9600000000000009</v>
          </cell>
          <cell r="F2351">
            <v>3.7515999999999998</v>
          </cell>
        </row>
        <row r="2352">
          <cell r="B2352" t="str">
            <v>70103948</v>
          </cell>
          <cell r="C2352" t="str">
            <v>邬辣妈  酒鬼鱼45g</v>
          </cell>
          <cell r="D2352">
            <v>3</v>
          </cell>
          <cell r="E2352">
            <v>9.9600000000000009</v>
          </cell>
          <cell r="F2352">
            <v>3.7515999999999998</v>
          </cell>
        </row>
        <row r="2353">
          <cell r="B2353" t="str">
            <v>70109769</v>
          </cell>
          <cell r="C2353" t="str">
            <v>喜之郞 33粒乳酸果冻 495G</v>
          </cell>
          <cell r="D2353">
            <v>0</v>
          </cell>
          <cell r="E2353">
            <v>0</v>
          </cell>
          <cell r="F2353" t="e">
            <v>#DIV/0!</v>
          </cell>
        </row>
        <row r="2354">
          <cell r="B2354" t="str">
            <v>70112348</v>
          </cell>
          <cell r="C2354" t="str">
            <v>无穷 盐焗鸡腿 70G</v>
          </cell>
          <cell r="D2354">
            <v>109</v>
          </cell>
          <cell r="E2354">
            <v>1257.6600000000001</v>
          </cell>
          <cell r="F2354">
            <v>13.038126605504599</v>
          </cell>
        </row>
        <row r="2355">
          <cell r="B2355" t="str">
            <v>70116061</v>
          </cell>
          <cell r="C2355" t="str">
            <v>米老头 多谷果子蛋黄味 160G</v>
          </cell>
          <cell r="D2355">
            <v>0</v>
          </cell>
          <cell r="E2355">
            <v>0</v>
          </cell>
          <cell r="F2355" t="e">
            <v>#DIV/0!</v>
          </cell>
        </row>
        <row r="2356">
          <cell r="B2356" t="str">
            <v>70117568</v>
          </cell>
          <cell r="C2356" t="str">
            <v>开口香 香酥蹄 120G</v>
          </cell>
          <cell r="D2356">
            <v>414</v>
          </cell>
          <cell r="E2356">
            <v>4779.8100000000004</v>
          </cell>
          <cell r="F2356">
            <v>13.0463413043478</v>
          </cell>
        </row>
        <row r="2357">
          <cell r="B2357" t="str">
            <v>70118368</v>
          </cell>
          <cell r="C2357" t="str">
            <v>渝兄 重庆怪味胡豆 200g</v>
          </cell>
          <cell r="D2357">
            <v>0</v>
          </cell>
          <cell r="E2357">
            <v>0</v>
          </cell>
          <cell r="F2357" t="e">
            <v>#DIV/0!</v>
          </cell>
        </row>
        <row r="2358">
          <cell r="B2358" t="str">
            <v>70118743</v>
          </cell>
          <cell r="C2358" t="str">
            <v>有友 泡凤爪 120G</v>
          </cell>
          <cell r="D2358">
            <v>4</v>
          </cell>
          <cell r="E2358">
            <v>24.16</v>
          </cell>
          <cell r="F2358">
            <v>6.8251999999999997</v>
          </cell>
        </row>
        <row r="2359">
          <cell r="B2359" t="str">
            <v>70120381</v>
          </cell>
          <cell r="C2359" t="str">
            <v>京博润 450G天吉怪味胡豆 1</v>
          </cell>
          <cell r="D2359">
            <v>0</v>
          </cell>
          <cell r="E2359">
            <v>0</v>
          </cell>
          <cell r="F2359" t="e">
            <v>#DIV/0!</v>
          </cell>
        </row>
        <row r="2360">
          <cell r="B2360" t="str">
            <v>70121933</v>
          </cell>
          <cell r="C2360" t="str">
            <v>卫龙 小面筋香辣味 24g/袋</v>
          </cell>
          <cell r="D2360">
            <v>7508</v>
          </cell>
          <cell r="E2360">
            <v>4813.67</v>
          </cell>
          <cell r="F2360">
            <v>0.72448682738412395</v>
          </cell>
        </row>
        <row r="2361">
          <cell r="B2361" t="str">
            <v>70128516</v>
          </cell>
          <cell r="C2361" t="str">
            <v>有友 山椒猪皮晶 60G</v>
          </cell>
          <cell r="D2361">
            <v>405</v>
          </cell>
          <cell r="E2361">
            <v>1470.57</v>
          </cell>
          <cell r="F2361">
            <v>4.1030718518518503</v>
          </cell>
        </row>
        <row r="2362">
          <cell r="B2362" t="str">
            <v>70128883</v>
          </cell>
          <cell r="C2362" t="str">
            <v>沙土 多味葵花籽 160g</v>
          </cell>
          <cell r="D2362">
            <v>0</v>
          </cell>
          <cell r="E2362">
            <v>0</v>
          </cell>
          <cell r="F2362" t="e">
            <v>#DIV/0!</v>
          </cell>
        </row>
        <row r="2363">
          <cell r="B2363" t="str">
            <v>70129094</v>
          </cell>
          <cell r="C2363" t="str">
            <v>鱼米之湘 劲辣鱼棒 18G</v>
          </cell>
          <cell r="D2363">
            <v>8600</v>
          </cell>
          <cell r="E2363">
            <v>5975.45</v>
          </cell>
          <cell r="F2363">
            <v>0.78514633720930205</v>
          </cell>
        </row>
        <row r="2364">
          <cell r="B2364" t="str">
            <v>70129095</v>
          </cell>
          <cell r="C2364" t="str">
            <v>鱼米之湘 老坛山椒鱼棒 18G</v>
          </cell>
          <cell r="D2364">
            <v>6113</v>
          </cell>
          <cell r="E2364">
            <v>4296.88</v>
          </cell>
          <cell r="F2364">
            <v>0.794286667757239</v>
          </cell>
        </row>
        <row r="2365">
          <cell r="B2365" t="str">
            <v>70129096</v>
          </cell>
          <cell r="C2365" t="str">
            <v>鱼米之湘 瓦盆盐焗鱼棒 18G</v>
          </cell>
          <cell r="D2365">
            <v>4809</v>
          </cell>
          <cell r="E2365">
            <v>3378.49</v>
          </cell>
          <cell r="F2365">
            <v>0.793864358494489</v>
          </cell>
        </row>
        <row r="2366">
          <cell r="B2366" t="str">
            <v>70133565</v>
          </cell>
          <cell r="C2366" t="str">
            <v>无穷 盐焗鸡翅 120G</v>
          </cell>
          <cell r="D2366">
            <v>63</v>
          </cell>
          <cell r="E2366">
            <v>1606.78</v>
          </cell>
          <cell r="F2366">
            <v>28.8200222222222</v>
          </cell>
        </row>
        <row r="2367">
          <cell r="B2367" t="str">
            <v>70135422</v>
          </cell>
          <cell r="C2367" t="str">
            <v>喜之郎 乳酸果冻 360g</v>
          </cell>
          <cell r="D2367">
            <v>16</v>
          </cell>
          <cell r="E2367">
            <v>58.06</v>
          </cell>
          <cell r="F2367">
            <v>4.1004874999999998</v>
          </cell>
        </row>
        <row r="2368">
          <cell r="B2368" t="str">
            <v>70142511</v>
          </cell>
          <cell r="C2368" t="str">
            <v>好丽友 薯愿清新番茄味 104g</v>
          </cell>
          <cell r="D2368">
            <v>2713</v>
          </cell>
          <cell r="E2368">
            <v>15440.91</v>
          </cell>
          <cell r="F2368">
            <v>6.4313410615554698</v>
          </cell>
        </row>
        <row r="2369">
          <cell r="B2369" t="str">
            <v>70144713</v>
          </cell>
          <cell r="C2369" t="str">
            <v>徽记 好巴食小米通320G</v>
          </cell>
          <cell r="D2369">
            <v>0</v>
          </cell>
          <cell r="E2369">
            <v>0</v>
          </cell>
          <cell r="F2369" t="e">
            <v>#DIV/0!</v>
          </cell>
        </row>
        <row r="2370">
          <cell r="B2370" t="str">
            <v>70147192</v>
          </cell>
          <cell r="C2370" t="str">
            <v>品品 泡椒凤爪清爽山椒味 150G</v>
          </cell>
          <cell r="D2370">
            <v>1694</v>
          </cell>
          <cell r="E2370">
            <v>18043.61</v>
          </cell>
          <cell r="F2370">
            <v>12.0361743211334</v>
          </cell>
        </row>
        <row r="2371">
          <cell r="B2371" t="str">
            <v>70151476</v>
          </cell>
          <cell r="C2371" t="str">
            <v>口水娃 香瓜子 110G</v>
          </cell>
          <cell r="D2371">
            <v>19</v>
          </cell>
          <cell r="E2371">
            <v>62.63</v>
          </cell>
          <cell r="F2371">
            <v>3.72483684210526</v>
          </cell>
        </row>
        <row r="2372">
          <cell r="B2372" t="str">
            <v>70151477</v>
          </cell>
          <cell r="C2372" t="str">
            <v>口水娃 香瓜子 160G</v>
          </cell>
          <cell r="D2372">
            <v>17</v>
          </cell>
          <cell r="E2372">
            <v>84.32</v>
          </cell>
          <cell r="F2372">
            <v>5.6048</v>
          </cell>
        </row>
        <row r="2373">
          <cell r="B2373" t="str">
            <v>70151478</v>
          </cell>
          <cell r="C2373" t="str">
            <v>口水娃 香瓜子 260G</v>
          </cell>
          <cell r="D2373">
            <v>20</v>
          </cell>
          <cell r="E2373">
            <v>132.74</v>
          </cell>
          <cell r="F2373">
            <v>7.4998100000000001</v>
          </cell>
        </row>
        <row r="2374">
          <cell r="B2374" t="str">
            <v>70151480</v>
          </cell>
          <cell r="C2374" t="str">
            <v>口水娃 香瓜子 180G</v>
          </cell>
          <cell r="D2374">
            <v>13</v>
          </cell>
          <cell r="E2374">
            <v>69.03</v>
          </cell>
          <cell r="F2374">
            <v>6.0003000000000002</v>
          </cell>
        </row>
        <row r="2375">
          <cell r="B2375" t="str">
            <v>70154753</v>
          </cell>
          <cell r="C2375" t="str">
            <v>口水娃 青豆香辣味 60G</v>
          </cell>
          <cell r="D2375">
            <v>2097</v>
          </cell>
          <cell r="E2375">
            <v>4183.37</v>
          </cell>
          <cell r="F2375">
            <v>2.2542718645684299</v>
          </cell>
        </row>
        <row r="2376">
          <cell r="B2376" t="str">
            <v>70154756</v>
          </cell>
          <cell r="C2376" t="str">
            <v>口水娃 兰花豆酱汁牛肉味 50G</v>
          </cell>
          <cell r="D2376">
            <v>3465</v>
          </cell>
          <cell r="E2376">
            <v>6702.62</v>
          </cell>
          <cell r="F2376">
            <v>2.1858472150072101</v>
          </cell>
        </row>
        <row r="2377">
          <cell r="B2377" t="str">
            <v>70155318</v>
          </cell>
          <cell r="C2377" t="str">
            <v>太阳 锅巴烧烤 130G</v>
          </cell>
          <cell r="D2377">
            <v>1</v>
          </cell>
          <cell r="E2377">
            <v>4.95</v>
          </cell>
          <cell r="F2377">
            <v>5.5934999999999997</v>
          </cell>
        </row>
        <row r="2378">
          <cell r="B2378" t="str">
            <v>70158439</v>
          </cell>
          <cell r="C2378" t="str">
            <v>波力 原味海苔 75G</v>
          </cell>
          <cell r="D2378">
            <v>1</v>
          </cell>
          <cell r="E2378">
            <v>41.16</v>
          </cell>
          <cell r="F2378">
            <v>46.510800000000003</v>
          </cell>
        </row>
        <row r="2379">
          <cell r="B2379" t="str">
            <v>70161597</v>
          </cell>
          <cell r="C2379" t="str">
            <v>口水娃 多味花生香 50G</v>
          </cell>
          <cell r="D2379">
            <v>2792</v>
          </cell>
          <cell r="E2379">
            <v>5552.12</v>
          </cell>
          <cell r="F2379">
            <v>2.2470972779369598</v>
          </cell>
        </row>
        <row r="2380">
          <cell r="B2380" t="str">
            <v>70161598</v>
          </cell>
          <cell r="C2380" t="str">
            <v>口水娃 多味花生酱汁牛肉味 60G</v>
          </cell>
          <cell r="D2380">
            <v>2969</v>
          </cell>
          <cell r="E2380">
            <v>5738.16</v>
          </cell>
          <cell r="F2380">
            <v>2.1839409902323998</v>
          </cell>
        </row>
        <row r="2381">
          <cell r="B2381" t="str">
            <v>70164591</v>
          </cell>
          <cell r="C2381" t="str">
            <v>品品 逗嘴泡椒凤爪 青柠酸辣味  150g</v>
          </cell>
          <cell r="D2381">
            <v>1374</v>
          </cell>
          <cell r="E2381">
            <v>14658.37</v>
          </cell>
          <cell r="F2381">
            <v>12.055282459970901</v>
          </cell>
        </row>
        <row r="2382">
          <cell r="B2382" t="str">
            <v>70164709</v>
          </cell>
          <cell r="C2382" t="str">
            <v>噜咪啦 马铃薯片美好原味 50g</v>
          </cell>
          <cell r="D2382">
            <v>6</v>
          </cell>
          <cell r="E2382">
            <v>20.72</v>
          </cell>
          <cell r="F2382">
            <v>3.9022666666666699</v>
          </cell>
        </row>
        <row r="2383">
          <cell r="B2383" t="str">
            <v>70165986</v>
          </cell>
          <cell r="C2383" t="str">
            <v>永健 豆腐干香辣味豆干 80G</v>
          </cell>
          <cell r="D2383">
            <v>1644</v>
          </cell>
          <cell r="E2383">
            <v>3861.57</v>
          </cell>
          <cell r="F2383">
            <v>2.6542421532846698</v>
          </cell>
        </row>
        <row r="2384">
          <cell r="B2384" t="str">
            <v>70166916</v>
          </cell>
          <cell r="C2384" t="str">
            <v>甘源 原味青豌豆 75G</v>
          </cell>
          <cell r="D2384">
            <v>2735</v>
          </cell>
          <cell r="E2384">
            <v>7602.84</v>
          </cell>
          <cell r="F2384">
            <v>3.1412099451553899</v>
          </cell>
        </row>
        <row r="2385">
          <cell r="B2385" t="str">
            <v>70166917</v>
          </cell>
          <cell r="C2385" t="str">
            <v>甘源 蟹黄味蚕豆 75G</v>
          </cell>
          <cell r="D2385">
            <v>2619</v>
          </cell>
          <cell r="E2385">
            <v>7320.28</v>
          </cell>
          <cell r="F2385">
            <v>3.1584255059182902</v>
          </cell>
        </row>
        <row r="2386">
          <cell r="B2386" t="str">
            <v>70166919</v>
          </cell>
          <cell r="C2386" t="str">
            <v>甘源 蟹黄味瓜子仁 75G</v>
          </cell>
          <cell r="D2386">
            <v>1927</v>
          </cell>
          <cell r="E2386">
            <v>5394.26</v>
          </cell>
          <cell r="F2386">
            <v>3.1632142189932502</v>
          </cell>
        </row>
        <row r="2387">
          <cell r="B2387" t="str">
            <v>70170762</v>
          </cell>
          <cell r="C2387" t="str">
            <v>千百度 豆干麻辣口味 90G</v>
          </cell>
          <cell r="D2387">
            <v>1382</v>
          </cell>
          <cell r="E2387">
            <v>4020.72</v>
          </cell>
          <cell r="F2387">
            <v>3.2875641099855302</v>
          </cell>
        </row>
        <row r="2388">
          <cell r="B2388" t="str">
            <v>70170763</v>
          </cell>
          <cell r="C2388" t="str">
            <v>千百度 豆干泡椒口味 90G</v>
          </cell>
          <cell r="D2388">
            <v>12</v>
          </cell>
          <cell r="E2388">
            <v>34.75</v>
          </cell>
          <cell r="F2388">
            <v>3.2722916666666699</v>
          </cell>
        </row>
        <row r="2389">
          <cell r="B2389" t="str">
            <v>70175344</v>
          </cell>
          <cell r="C2389" t="str">
            <v>乐事 薯片美国经典原味 40G</v>
          </cell>
          <cell r="D2389">
            <v>626</v>
          </cell>
          <cell r="E2389">
            <v>1684.61</v>
          </cell>
          <cell r="F2389">
            <v>3.0409094249201298</v>
          </cell>
        </row>
        <row r="2390">
          <cell r="B2390" t="str">
            <v>70177421</v>
          </cell>
          <cell r="C2390" t="str">
            <v>乐事德克萨斯烧烤味 45G</v>
          </cell>
          <cell r="D2390">
            <v>1222</v>
          </cell>
          <cell r="E2390">
            <v>3312.81</v>
          </cell>
          <cell r="F2390">
            <v>3.0634004091653</v>
          </cell>
        </row>
        <row r="2391">
          <cell r="B2391" t="str">
            <v>70177422</v>
          </cell>
          <cell r="C2391" t="str">
            <v>乐事 墨西哥鸡汁番茄味 40G</v>
          </cell>
          <cell r="D2391">
            <v>1190</v>
          </cell>
          <cell r="E2391">
            <v>3439</v>
          </cell>
          <cell r="F2391">
            <v>3.2656050420168099</v>
          </cell>
        </row>
        <row r="2392">
          <cell r="B2392" t="str">
            <v>70177423</v>
          </cell>
          <cell r="C2392" t="str">
            <v>乐事 清新清爽黄瓜味 40G</v>
          </cell>
          <cell r="D2392">
            <v>634</v>
          </cell>
          <cell r="E2392">
            <v>1827.32</v>
          </cell>
          <cell r="F2392">
            <v>3.2568952681388001</v>
          </cell>
        </row>
        <row r="2393">
          <cell r="B2393" t="str">
            <v>70179379</v>
          </cell>
          <cell r="C2393" t="str">
            <v>天使 土豆片(孜然味) 136G</v>
          </cell>
          <cell r="D2393">
            <v>0</v>
          </cell>
          <cell r="E2393">
            <v>0</v>
          </cell>
          <cell r="F2393" t="e">
            <v>#DIV/0!</v>
          </cell>
        </row>
        <row r="2394">
          <cell r="B2394" t="str">
            <v>70180285</v>
          </cell>
          <cell r="C2394" t="str">
            <v>乐事 薯片美国经典原味 70G</v>
          </cell>
          <cell r="D2394">
            <v>1052</v>
          </cell>
          <cell r="E2394">
            <v>4892.91</v>
          </cell>
          <cell r="F2394">
            <v>5.2556923003802298</v>
          </cell>
        </row>
        <row r="2395">
          <cell r="B2395" t="str">
            <v>70180286</v>
          </cell>
          <cell r="C2395" t="str">
            <v>乐事 薯片德克萨斯烧烤味 70G</v>
          </cell>
          <cell r="D2395">
            <v>373</v>
          </cell>
          <cell r="E2395">
            <v>1736.57</v>
          </cell>
          <cell r="F2395">
            <v>5.2609225201072398</v>
          </cell>
        </row>
        <row r="2396">
          <cell r="B2396" t="str">
            <v>70180287</v>
          </cell>
          <cell r="C2396" t="str">
            <v>乐事 薯片意大利香浓红烩味 70G</v>
          </cell>
          <cell r="D2396">
            <v>300</v>
          </cell>
          <cell r="E2396">
            <v>1395.9</v>
          </cell>
          <cell r="F2396">
            <v>5.2578899999999997</v>
          </cell>
        </row>
        <row r="2397">
          <cell r="B2397" t="str">
            <v>70180288</v>
          </cell>
          <cell r="C2397" t="str">
            <v>乐事 薯片墨西哥鸡汁番茄味 70G</v>
          </cell>
          <cell r="D2397">
            <v>1182</v>
          </cell>
          <cell r="E2397">
            <v>5509.31</v>
          </cell>
          <cell r="F2397">
            <v>5.2669376480541503</v>
          </cell>
        </row>
        <row r="2398">
          <cell r="B2398" t="str">
            <v>70180293</v>
          </cell>
          <cell r="C2398" t="str">
            <v>乐事 薯片清新清爽黄瓜味 70G</v>
          </cell>
          <cell r="D2398">
            <v>1188</v>
          </cell>
          <cell r="E2398">
            <v>5529.13</v>
          </cell>
          <cell r="F2398">
            <v>5.2591893097643103</v>
          </cell>
        </row>
        <row r="2399">
          <cell r="B2399" t="str">
            <v>70180294</v>
          </cell>
          <cell r="C2399" t="str">
            <v>乐事薯片青柠味 70g</v>
          </cell>
          <cell r="D2399">
            <v>324</v>
          </cell>
          <cell r="E2399">
            <v>1506.27</v>
          </cell>
          <cell r="F2399">
            <v>5.2533490740740696</v>
          </cell>
        </row>
        <row r="2400">
          <cell r="B2400" t="str">
            <v>70180673</v>
          </cell>
          <cell r="C2400" t="str">
            <v>尚上坊 牛板筋麻辣味 68G</v>
          </cell>
          <cell r="D2400">
            <v>3</v>
          </cell>
          <cell r="E2400">
            <v>19.12</v>
          </cell>
          <cell r="F2400">
            <v>7.2018666666666702</v>
          </cell>
        </row>
        <row r="2401">
          <cell r="B2401" t="str">
            <v>70183562</v>
          </cell>
          <cell r="C2401" t="str">
            <v>口水娃兰花豆五香味  50g</v>
          </cell>
          <cell r="D2401">
            <v>3151</v>
          </cell>
          <cell r="E2401">
            <v>6248.14</v>
          </cell>
          <cell r="F2401">
            <v>2.2406849254205001</v>
          </cell>
        </row>
        <row r="2402">
          <cell r="B2402" t="str">
            <v>70183563</v>
          </cell>
          <cell r="C2402" t="str">
            <v>口水娃 多味花生烤肉味 60G</v>
          </cell>
          <cell r="D2402">
            <v>2543</v>
          </cell>
          <cell r="E2402">
            <v>5038.8999999999996</v>
          </cell>
          <cell r="F2402">
            <v>2.2390707825403098</v>
          </cell>
        </row>
        <row r="2403">
          <cell r="B2403" t="str">
            <v>70183564</v>
          </cell>
          <cell r="C2403" t="str">
            <v>口水娃 多味花生五香味 50G</v>
          </cell>
          <cell r="D2403">
            <v>3209</v>
          </cell>
          <cell r="E2403">
            <v>6370.18</v>
          </cell>
          <cell r="F2403">
            <v>2.2431609224057301</v>
          </cell>
        </row>
        <row r="2404">
          <cell r="B2404" t="str">
            <v>70185115</v>
          </cell>
          <cell r="C2404" t="str">
            <v>好巴食 豆干山椒味 80G</v>
          </cell>
          <cell r="D2404">
            <v>584</v>
          </cell>
          <cell r="E2404">
            <v>1159.56</v>
          </cell>
          <cell r="F2404">
            <v>2.24366917808219</v>
          </cell>
        </row>
        <row r="2405">
          <cell r="B2405" t="str">
            <v>70186900</v>
          </cell>
          <cell r="C2405" t="str">
            <v>老闫家 南瓜子 150G</v>
          </cell>
          <cell r="D2405">
            <v>6</v>
          </cell>
          <cell r="E2405">
            <v>63.41</v>
          </cell>
          <cell r="F2405">
            <v>11.942216666666701</v>
          </cell>
        </row>
        <row r="2406">
          <cell r="B2406" t="str">
            <v>70187438</v>
          </cell>
          <cell r="C2406" t="str">
            <v>阿吾勒 牛肉肠 120G</v>
          </cell>
          <cell r="D2406">
            <v>180</v>
          </cell>
          <cell r="E2406">
            <v>1433.79</v>
          </cell>
          <cell r="F2406">
            <v>9.0010150000000007</v>
          </cell>
        </row>
        <row r="2407">
          <cell r="B2407" t="str">
            <v>70191601</v>
          </cell>
          <cell r="C2407" t="str">
            <v>乡妹子 香辣鸡爪 35g</v>
          </cell>
          <cell r="D2407">
            <v>0</v>
          </cell>
          <cell r="E2407">
            <v>0</v>
          </cell>
          <cell r="F2407" t="e">
            <v>#DIV/0!</v>
          </cell>
        </row>
        <row r="2408">
          <cell r="B2408" t="str">
            <v>70192375</v>
          </cell>
          <cell r="C2408" t="str">
            <v>喜之郎 水晶之恋 400G</v>
          </cell>
          <cell r="D2408">
            <v>0</v>
          </cell>
          <cell r="E2408">
            <v>0</v>
          </cell>
          <cell r="F2408" t="e">
            <v>#DIV/0!</v>
          </cell>
        </row>
        <row r="2409">
          <cell r="B2409" t="str">
            <v>70194345</v>
          </cell>
          <cell r="C2409" t="str">
            <v>老北京 冰糖葫芦 70G</v>
          </cell>
          <cell r="D2409">
            <v>320</v>
          </cell>
          <cell r="E2409">
            <v>1983.59</v>
          </cell>
          <cell r="F2409">
            <v>7.0045521874999999</v>
          </cell>
        </row>
        <row r="2410">
          <cell r="B2410" t="str">
            <v>70194483</v>
          </cell>
          <cell r="C2410" t="str">
            <v>友伦 张记野山椒泡凤爪 138G</v>
          </cell>
          <cell r="D2410">
            <v>0</v>
          </cell>
          <cell r="E2410">
            <v>0</v>
          </cell>
          <cell r="F2410" t="e">
            <v>#DIV/0!</v>
          </cell>
        </row>
        <row r="2411">
          <cell r="B2411" t="str">
            <v>70199052</v>
          </cell>
          <cell r="C2411" t="str">
            <v>米老头 多谷果子 草莓味 160G</v>
          </cell>
          <cell r="D2411">
            <v>2</v>
          </cell>
          <cell r="E2411">
            <v>10.62</v>
          </cell>
          <cell r="F2411">
            <v>6.0003000000000002</v>
          </cell>
        </row>
        <row r="2412">
          <cell r="B2412" t="str">
            <v>70200093</v>
          </cell>
          <cell r="C2412" t="str">
            <v>好丽友 好多鱼密香鸡翅味 33G</v>
          </cell>
          <cell r="D2412">
            <v>2100</v>
          </cell>
          <cell r="E2412">
            <v>5838.93</v>
          </cell>
          <cell r="F2412">
            <v>3.14190042857143</v>
          </cell>
        </row>
        <row r="2413">
          <cell r="B2413" t="str">
            <v>70204576</v>
          </cell>
          <cell r="C2413" t="str">
            <v>好丽友 好友趣加勒比烤翅味 45g</v>
          </cell>
          <cell r="D2413">
            <v>719</v>
          </cell>
          <cell r="E2413">
            <v>1724.82</v>
          </cell>
          <cell r="F2413">
            <v>2.7107741307371298</v>
          </cell>
        </row>
        <row r="2414">
          <cell r="B2414" t="str">
            <v>70206516</v>
          </cell>
          <cell r="C2414" t="str">
            <v>好巴食 南溪豆腐干五香 80G</v>
          </cell>
          <cell r="D2414">
            <v>593</v>
          </cell>
          <cell r="E2414">
            <v>1180.92</v>
          </cell>
          <cell r="F2414">
            <v>2.2503197301854998</v>
          </cell>
        </row>
        <row r="2415">
          <cell r="B2415" t="str">
            <v>70207258</v>
          </cell>
          <cell r="C2415" t="str">
            <v>有友 麻辣豆干 100G</v>
          </cell>
          <cell r="D2415">
            <v>10</v>
          </cell>
          <cell r="E2415">
            <v>29.83</v>
          </cell>
          <cell r="F2415">
            <v>3.37079</v>
          </cell>
        </row>
        <row r="2416">
          <cell r="B2416" t="str">
            <v>70209874</v>
          </cell>
          <cell r="C2416" t="str">
            <v>如水 铁山楂 200G</v>
          </cell>
          <cell r="D2416">
            <v>414</v>
          </cell>
          <cell r="E2416">
            <v>2573.06</v>
          </cell>
          <cell r="F2416">
            <v>7.0230864734299496</v>
          </cell>
        </row>
        <row r="2417">
          <cell r="B2417" t="str">
            <v>70211608</v>
          </cell>
          <cell r="C2417" t="str">
            <v>啃馋你 烤凤爪 52G</v>
          </cell>
          <cell r="D2417">
            <v>9</v>
          </cell>
          <cell r="E2417">
            <v>44.99</v>
          </cell>
          <cell r="F2417">
            <v>5.6487444444444401</v>
          </cell>
        </row>
        <row r="2418">
          <cell r="B2418" t="str">
            <v>70211609</v>
          </cell>
          <cell r="C2418" t="str">
            <v>啃馋你 烤鸭掌 46G</v>
          </cell>
          <cell r="D2418">
            <v>17</v>
          </cell>
          <cell r="E2418">
            <v>84.49</v>
          </cell>
          <cell r="F2418">
            <v>5.6161000000000003</v>
          </cell>
        </row>
        <row r="2419">
          <cell r="B2419" t="str">
            <v>70211610</v>
          </cell>
          <cell r="C2419" t="str">
            <v>啃馋你 烤鸭翅 56G</v>
          </cell>
          <cell r="D2419">
            <v>48</v>
          </cell>
          <cell r="E2419">
            <v>236.24</v>
          </cell>
          <cell r="F2419">
            <v>5.5614833333333298</v>
          </cell>
        </row>
        <row r="2420">
          <cell r="B2420" t="str">
            <v>70211611</v>
          </cell>
          <cell r="C2420" t="str">
            <v>啃馋你 鸭脖 48G</v>
          </cell>
          <cell r="D2420">
            <v>9</v>
          </cell>
          <cell r="E2420">
            <v>44.69</v>
          </cell>
          <cell r="F2420">
            <v>5.6110777777777798</v>
          </cell>
        </row>
        <row r="2421">
          <cell r="B2421" t="str">
            <v>70211613</v>
          </cell>
          <cell r="C2421" t="str">
            <v>啃馋你 小鸡腿 42G</v>
          </cell>
          <cell r="D2421">
            <v>55</v>
          </cell>
          <cell r="E2421">
            <v>270.57</v>
          </cell>
          <cell r="F2421">
            <v>5.5589836363636396</v>
          </cell>
        </row>
        <row r="2422">
          <cell r="B2422" t="str">
            <v>70211654</v>
          </cell>
          <cell r="C2422" t="str">
            <v>亲亲 虾条香辣味虾条 80G</v>
          </cell>
          <cell r="D2422">
            <v>0</v>
          </cell>
          <cell r="E2422">
            <v>0</v>
          </cell>
          <cell r="F2422" t="e">
            <v>#DIV/0!</v>
          </cell>
        </row>
        <row r="2423">
          <cell r="B2423" t="str">
            <v>70213672</v>
          </cell>
          <cell r="C2423" t="str">
            <v>口水娃 兰花豆香辣味 50G</v>
          </cell>
          <cell r="D2423">
            <v>3962</v>
          </cell>
          <cell r="E2423">
            <v>7888.26</v>
          </cell>
          <cell r="F2423">
            <v>2.2498066128218102</v>
          </cell>
        </row>
        <row r="2424">
          <cell r="B2424" t="str">
            <v>70220176</v>
          </cell>
          <cell r="C2424" t="str">
            <v>芝麻官 软豆干麻辣味 150G</v>
          </cell>
          <cell r="D2424">
            <v>4</v>
          </cell>
          <cell r="E2424">
            <v>14.44</v>
          </cell>
          <cell r="F2424">
            <v>4.0792999999999999</v>
          </cell>
        </row>
        <row r="2425">
          <cell r="B2425" t="str">
            <v>70220346</v>
          </cell>
          <cell r="C2425" t="str">
            <v>芝麻官 软豆干五香味 150G</v>
          </cell>
          <cell r="D2425">
            <v>2</v>
          </cell>
          <cell r="E2425">
            <v>7.22</v>
          </cell>
          <cell r="F2425">
            <v>4.0792999999999999</v>
          </cell>
        </row>
        <row r="2426">
          <cell r="B2426" t="str">
            <v>70220347</v>
          </cell>
          <cell r="C2426" t="str">
            <v>芝麻官 软豆干泡椒味 150G</v>
          </cell>
          <cell r="D2426">
            <v>2</v>
          </cell>
          <cell r="E2426">
            <v>7.21</v>
          </cell>
          <cell r="F2426">
            <v>4.0736499999999998</v>
          </cell>
        </row>
        <row r="2427">
          <cell r="B2427" t="str">
            <v>70220348</v>
          </cell>
          <cell r="C2427" t="str">
            <v>芝麻官 软豆干烧烤味 150G</v>
          </cell>
          <cell r="D2427">
            <v>5</v>
          </cell>
          <cell r="E2427">
            <v>18.03</v>
          </cell>
          <cell r="F2427">
            <v>4.0747799999999996</v>
          </cell>
        </row>
        <row r="2428">
          <cell r="B2428" t="str">
            <v>70221289</v>
          </cell>
          <cell r="C2428" t="str">
            <v>劲仔 深海小鱼卤香味 12g</v>
          </cell>
          <cell r="D2428">
            <v>3717</v>
          </cell>
          <cell r="E2428">
            <v>3658.03</v>
          </cell>
          <cell r="F2428">
            <v>1.1120726123217599</v>
          </cell>
        </row>
        <row r="2429">
          <cell r="B2429" t="str">
            <v>70223347</v>
          </cell>
          <cell r="C2429" t="str">
            <v>旺旺 维多粒椰果粒冰糖雪梨 150G</v>
          </cell>
          <cell r="D2429">
            <v>0</v>
          </cell>
          <cell r="E2429">
            <v>0</v>
          </cell>
          <cell r="F2429" t="e">
            <v>#DIV/0!</v>
          </cell>
        </row>
        <row r="2430">
          <cell r="B2430" t="str">
            <v>70223348</v>
          </cell>
          <cell r="C2430" t="str">
            <v>旺旺 维多粒椰果粒荔枝果冻爽 150G</v>
          </cell>
          <cell r="D2430">
            <v>0</v>
          </cell>
          <cell r="E2430">
            <v>0</v>
          </cell>
          <cell r="F2430" t="e">
            <v>#DIV/0!</v>
          </cell>
        </row>
        <row r="2431">
          <cell r="B2431" t="str">
            <v>70223530</v>
          </cell>
          <cell r="C2431" t="str">
            <v>亲亲 鲜虾片(原味) 40G</v>
          </cell>
          <cell r="D2431">
            <v>5</v>
          </cell>
          <cell r="E2431">
            <v>12.4</v>
          </cell>
          <cell r="F2431">
            <v>2.8024</v>
          </cell>
        </row>
        <row r="2432">
          <cell r="B2432" t="str">
            <v>70223531</v>
          </cell>
          <cell r="C2432" t="str">
            <v>亲亲 鲜虾片(烧烤味) 40G</v>
          </cell>
          <cell r="D2432">
            <v>0</v>
          </cell>
          <cell r="E2432">
            <v>0</v>
          </cell>
          <cell r="F2432" t="e">
            <v>#DIV/0!</v>
          </cell>
        </row>
        <row r="2433">
          <cell r="B2433" t="str">
            <v>70223538</v>
          </cell>
          <cell r="C2433" t="str">
            <v>渔米之湘 酱汁鱼棒 16G</v>
          </cell>
          <cell r="D2433">
            <v>7056</v>
          </cell>
          <cell r="E2433">
            <v>4957.29</v>
          </cell>
          <cell r="F2433">
            <v>0.79389706632653101</v>
          </cell>
        </row>
        <row r="2434">
          <cell r="B2434" t="str">
            <v>70223613</v>
          </cell>
          <cell r="C2434" t="str">
            <v>永健 泡淑笋尖 95G</v>
          </cell>
          <cell r="D2434">
            <v>637</v>
          </cell>
          <cell r="E2434">
            <v>2266.35</v>
          </cell>
          <cell r="F2434">
            <v>4.0203697017268398</v>
          </cell>
        </row>
        <row r="2435">
          <cell r="B2435" t="str">
            <v>70226210</v>
          </cell>
          <cell r="C2435" t="str">
            <v>玛氏箭牌 品客薯片酸乳酪洋葱味 110g</v>
          </cell>
          <cell r="D2435">
            <v>29</v>
          </cell>
          <cell r="E2435">
            <v>216.77</v>
          </cell>
          <cell r="F2435">
            <v>8.4465551724137899</v>
          </cell>
        </row>
        <row r="2436">
          <cell r="B2436" t="str">
            <v>70227756</v>
          </cell>
          <cell r="C2436" t="str">
            <v>劲仔 深海小鱼香辣味 12g</v>
          </cell>
          <cell r="D2436">
            <v>6661</v>
          </cell>
          <cell r="E2436">
            <v>6832.42</v>
          </cell>
          <cell r="F2436">
            <v>1.15908040834709</v>
          </cell>
        </row>
        <row r="2437">
          <cell r="B2437" t="str">
            <v>70227758</v>
          </cell>
          <cell r="C2437" t="str">
            <v>劲仔小鱼酱汁味12g</v>
          </cell>
          <cell r="D2437">
            <v>4085</v>
          </cell>
          <cell r="E2437">
            <v>4031.45</v>
          </cell>
          <cell r="F2437">
            <v>1.1151869033047701</v>
          </cell>
        </row>
        <row r="2438">
          <cell r="B2438" t="str">
            <v>70228941</v>
          </cell>
          <cell r="C2438" t="str">
            <v>品客 烧烤牛排味薯片 110G</v>
          </cell>
          <cell r="D2438">
            <v>398</v>
          </cell>
          <cell r="E2438">
            <v>3149.33</v>
          </cell>
          <cell r="F2438">
            <v>8.9415650753768805</v>
          </cell>
        </row>
        <row r="2439">
          <cell r="B2439" t="str">
            <v>70228942</v>
          </cell>
          <cell r="C2439" t="str">
            <v>品客 香辣味薯片 110G</v>
          </cell>
          <cell r="D2439">
            <v>758</v>
          </cell>
          <cell r="E2439">
            <v>6013.64</v>
          </cell>
          <cell r="F2439">
            <v>8.9649250659630599</v>
          </cell>
        </row>
        <row r="2440">
          <cell r="B2440" t="str">
            <v>70228944</v>
          </cell>
          <cell r="C2440" t="str">
            <v>品客 浓香奶酪味薯片 110G</v>
          </cell>
          <cell r="D2440">
            <v>6</v>
          </cell>
          <cell r="E2440">
            <v>48.56</v>
          </cell>
          <cell r="F2440">
            <v>9.1454666666666693</v>
          </cell>
        </row>
        <row r="2441">
          <cell r="B2441" t="str">
            <v>70230175</v>
          </cell>
          <cell r="C2441" t="str">
            <v>天使 原味土豆片 108G</v>
          </cell>
          <cell r="D2441">
            <v>7</v>
          </cell>
          <cell r="E2441">
            <v>36.79</v>
          </cell>
          <cell r="F2441">
            <v>5.9389571428571397</v>
          </cell>
        </row>
        <row r="2442">
          <cell r="B2442" t="str">
            <v>70233103</v>
          </cell>
          <cell r="C2442" t="str">
            <v>好丽友 好友趣韩国泡菜味 125g</v>
          </cell>
          <cell r="D2442">
            <v>121</v>
          </cell>
          <cell r="E2442">
            <v>853.88</v>
          </cell>
          <cell r="F2442">
            <v>7.9742512396694201</v>
          </cell>
        </row>
        <row r="2443">
          <cell r="B2443" t="str">
            <v>70235210</v>
          </cell>
          <cell r="C2443" t="str">
            <v>甘源 蒜香味青豌豆 75G</v>
          </cell>
          <cell r="D2443">
            <v>1198</v>
          </cell>
          <cell r="E2443">
            <v>3233.31</v>
          </cell>
          <cell r="F2443">
            <v>3.04978322203673</v>
          </cell>
        </row>
        <row r="2444">
          <cell r="B2444" t="str">
            <v>70239715</v>
          </cell>
          <cell r="C2444" t="str">
            <v>劲仔 豆干酱香味 20G</v>
          </cell>
          <cell r="D2444">
            <v>4787</v>
          </cell>
          <cell r="E2444">
            <v>4698.32</v>
          </cell>
          <cell r="F2444">
            <v>1.1090665552538099</v>
          </cell>
        </row>
        <row r="2445">
          <cell r="B2445" t="str">
            <v>70242753</v>
          </cell>
          <cell r="C2445" t="str">
            <v>超达 冰花杨梅 80g</v>
          </cell>
          <cell r="D2445">
            <v>24</v>
          </cell>
          <cell r="E2445">
            <v>88.62</v>
          </cell>
          <cell r="F2445">
            <v>4.1725250000000003</v>
          </cell>
        </row>
        <row r="2446">
          <cell r="B2446" t="str">
            <v>70246272</v>
          </cell>
          <cell r="C2446" t="str">
            <v>无穷 蜂蜜烤小腿 60G</v>
          </cell>
          <cell r="D2446">
            <v>171</v>
          </cell>
          <cell r="E2446">
            <v>2155.1</v>
          </cell>
          <cell r="F2446">
            <v>14.2413040935672</v>
          </cell>
        </row>
        <row r="2447">
          <cell r="B2447" t="str">
            <v>70246273</v>
          </cell>
          <cell r="C2447" t="str">
            <v>无穷 烤鸡翅根（香辣味）60g＋10g</v>
          </cell>
          <cell r="D2447">
            <v>87</v>
          </cell>
          <cell r="E2447">
            <v>1120.1500000000001</v>
          </cell>
          <cell r="F2447">
            <v>14.5490747126437</v>
          </cell>
        </row>
        <row r="2448">
          <cell r="B2448" t="str">
            <v>70248837</v>
          </cell>
          <cell r="C2448" t="str">
            <v>好丽友 呀土豆蜂蜜黄油味 70G</v>
          </cell>
          <cell r="D2448">
            <v>2129</v>
          </cell>
          <cell r="E2448">
            <v>8435.23</v>
          </cell>
          <cell r="F2448">
            <v>4.4771300610615299</v>
          </cell>
        </row>
        <row r="2449">
          <cell r="B2449" t="str">
            <v>70249817</v>
          </cell>
          <cell r="C2449" t="str">
            <v>盐津铺子 31°鲜鱼豆腐香辣味 85G</v>
          </cell>
          <cell r="D2449">
            <v>6</v>
          </cell>
          <cell r="E2449">
            <v>26.55</v>
          </cell>
          <cell r="F2449">
            <v>5.0002500000000003</v>
          </cell>
        </row>
        <row r="2450">
          <cell r="B2450" t="str">
            <v>70250349</v>
          </cell>
          <cell r="C2450" t="str">
            <v>无穷 烤鸡翅根（蜂蜜味） 20g</v>
          </cell>
          <cell r="D2450">
            <v>2099</v>
          </cell>
          <cell r="E2450">
            <v>5461.18</v>
          </cell>
          <cell r="F2450">
            <v>2.9400349690328702</v>
          </cell>
        </row>
        <row r="2451">
          <cell r="B2451" t="str">
            <v>70250350</v>
          </cell>
          <cell r="C2451" t="str">
            <v>无穷 烤鸡翅根（香辣味） 20g</v>
          </cell>
          <cell r="D2451">
            <v>1915</v>
          </cell>
          <cell r="E2451">
            <v>4844.6499999999996</v>
          </cell>
          <cell r="F2451">
            <v>2.8587229765013</v>
          </cell>
        </row>
        <row r="2452">
          <cell r="B2452" t="str">
            <v>70252048</v>
          </cell>
          <cell r="C2452" t="str">
            <v>无穷 盐焗鸡蛋 30G</v>
          </cell>
          <cell r="D2452">
            <v>3133</v>
          </cell>
          <cell r="E2452">
            <v>5450.79</v>
          </cell>
          <cell r="F2452">
            <v>1.96597277369933</v>
          </cell>
        </row>
        <row r="2453">
          <cell r="B2453" t="str">
            <v>70252049</v>
          </cell>
          <cell r="C2453" t="str">
            <v>无穷 烤鸡爪香辣味(铝膜) 60G</v>
          </cell>
          <cell r="D2453">
            <v>18</v>
          </cell>
          <cell r="E2453">
            <v>214.02</v>
          </cell>
          <cell r="F2453">
            <v>13.435700000000001</v>
          </cell>
        </row>
        <row r="2454">
          <cell r="B2454" t="str">
            <v>70252762</v>
          </cell>
          <cell r="C2454" t="str">
            <v>劲仔 香辣豆干 108G</v>
          </cell>
          <cell r="D2454">
            <v>1710</v>
          </cell>
          <cell r="E2454">
            <v>6850.09</v>
          </cell>
          <cell r="F2454">
            <v>4.5266676608187097</v>
          </cell>
        </row>
        <row r="2455">
          <cell r="B2455" t="str">
            <v>70252763</v>
          </cell>
          <cell r="C2455" t="str">
            <v>劲仔 酱香豆干 108G</v>
          </cell>
          <cell r="D2455">
            <v>1330</v>
          </cell>
          <cell r="E2455">
            <v>5314.76</v>
          </cell>
          <cell r="F2455">
            <v>4.5155479699248096</v>
          </cell>
        </row>
        <row r="2456">
          <cell r="B2456" t="str">
            <v>70253207</v>
          </cell>
          <cell r="C2456" t="str">
            <v>傻老大 原味瓜子 156G</v>
          </cell>
          <cell r="D2456">
            <v>128</v>
          </cell>
          <cell r="E2456">
            <v>854.28</v>
          </cell>
          <cell r="F2456">
            <v>7.5416906250000002</v>
          </cell>
        </row>
        <row r="2457">
          <cell r="B2457" t="str">
            <v>70253208</v>
          </cell>
          <cell r="C2457" t="str">
            <v>傻老大 原味瓜子 216G</v>
          </cell>
          <cell r="D2457">
            <v>54</v>
          </cell>
          <cell r="E2457">
            <v>959.25</v>
          </cell>
          <cell r="F2457">
            <v>20.0731944444444</v>
          </cell>
        </row>
        <row r="2458">
          <cell r="B2458" t="str">
            <v>70253682</v>
          </cell>
          <cell r="C2458" t="str">
            <v>品品 豆干五香味 105G</v>
          </cell>
          <cell r="D2458">
            <v>6</v>
          </cell>
          <cell r="E2458">
            <v>22.86</v>
          </cell>
          <cell r="F2458">
            <v>4.3052999999999999</v>
          </cell>
        </row>
        <row r="2459">
          <cell r="B2459" t="str">
            <v>70253683</v>
          </cell>
          <cell r="C2459" t="str">
            <v>品品 豆干麻辣味 105G</v>
          </cell>
          <cell r="D2459">
            <v>11</v>
          </cell>
          <cell r="E2459">
            <v>41.91</v>
          </cell>
          <cell r="F2459">
            <v>4.3052999999999999</v>
          </cell>
        </row>
        <row r="2460">
          <cell r="B2460" t="str">
            <v>70253883</v>
          </cell>
          <cell r="C2460" t="str">
            <v>劲仔 厚豆干香辣味 20g</v>
          </cell>
          <cell r="D2460">
            <v>6217</v>
          </cell>
          <cell r="E2460">
            <v>6120</v>
          </cell>
          <cell r="F2460">
            <v>1.1123693099565699</v>
          </cell>
        </row>
        <row r="2461">
          <cell r="B2461" t="str">
            <v>70253884</v>
          </cell>
          <cell r="C2461" t="str">
            <v>劲仔 厚豆干麻辣味 20g</v>
          </cell>
          <cell r="D2461">
            <v>5984</v>
          </cell>
          <cell r="E2461">
            <v>5862.27</v>
          </cell>
          <cell r="F2461">
            <v>1.10701288435829</v>
          </cell>
        </row>
        <row r="2462">
          <cell r="B2462" t="str">
            <v>70253886</v>
          </cell>
          <cell r="C2462" t="str">
            <v>劲仔 厚豆干盐焗味 20g</v>
          </cell>
          <cell r="D2462">
            <v>0</v>
          </cell>
          <cell r="E2462">
            <v>0</v>
          </cell>
          <cell r="F2462" t="e">
            <v>#DIV/0!</v>
          </cell>
        </row>
        <row r="2463">
          <cell r="B2463" t="str">
            <v>70253987</v>
          </cell>
          <cell r="C2463" t="str">
            <v>乐事 大波浪薯片铁板鱿鱼味 70G</v>
          </cell>
          <cell r="D2463">
            <v>837</v>
          </cell>
          <cell r="E2463">
            <v>3903.12</v>
          </cell>
          <cell r="F2463">
            <v>5.2694451612903199</v>
          </cell>
        </row>
        <row r="2464">
          <cell r="B2464" t="str">
            <v>70253989</v>
          </cell>
          <cell r="C2464" t="str">
            <v>乐事 大波浪薯片香脆烤鸡翅味 70G</v>
          </cell>
          <cell r="D2464">
            <v>204</v>
          </cell>
          <cell r="E2464">
            <v>948.85</v>
          </cell>
          <cell r="F2464">
            <v>5.2558848039215702</v>
          </cell>
        </row>
        <row r="2465">
          <cell r="B2465" t="str">
            <v>70254233</v>
          </cell>
          <cell r="C2465" t="str">
            <v>甘源 大礼包 818G</v>
          </cell>
          <cell r="D2465">
            <v>3</v>
          </cell>
          <cell r="E2465">
            <v>97.5</v>
          </cell>
          <cell r="F2465">
            <v>36.725000000000001</v>
          </cell>
        </row>
        <row r="2466">
          <cell r="B2466" t="str">
            <v>70254659</v>
          </cell>
          <cell r="C2466" t="str">
            <v>洽洽 焦糖瓜子 108G</v>
          </cell>
          <cell r="D2466">
            <v>24</v>
          </cell>
          <cell r="E2466">
            <v>131.51</v>
          </cell>
          <cell r="F2466">
            <v>6.1919291666666698</v>
          </cell>
        </row>
        <row r="2467">
          <cell r="B2467" t="str">
            <v>70254677</v>
          </cell>
          <cell r="C2467" t="str">
            <v>劲仔 豆干麻辣味 108G</v>
          </cell>
          <cell r="D2467">
            <v>830</v>
          </cell>
          <cell r="E2467">
            <v>3334.57</v>
          </cell>
          <cell r="F2467">
            <v>4.5398362650602397</v>
          </cell>
        </row>
        <row r="2468">
          <cell r="B2468" t="str">
            <v>70255276</v>
          </cell>
          <cell r="C2468" t="str">
            <v>三胖蛋 原味瓜子 180G</v>
          </cell>
          <cell r="D2468">
            <v>17</v>
          </cell>
          <cell r="E2468">
            <v>222.7</v>
          </cell>
          <cell r="F2468">
            <v>14.803000000000001</v>
          </cell>
        </row>
        <row r="2469">
          <cell r="B2469" t="str">
            <v>70257340</v>
          </cell>
          <cell r="C2469" t="str">
            <v>洽洽 山核桃味瓜子 108G</v>
          </cell>
          <cell r="D2469">
            <v>8</v>
          </cell>
          <cell r="E2469">
            <v>44.8</v>
          </cell>
          <cell r="F2469">
            <v>6.3280000000000003</v>
          </cell>
        </row>
        <row r="2470">
          <cell r="B2470" t="str">
            <v>70257694</v>
          </cell>
          <cell r="C2470" t="str">
            <v>雪海梅 香山楂酸酸卷 160G</v>
          </cell>
          <cell r="D2470">
            <v>2</v>
          </cell>
          <cell r="E2470">
            <v>10.66</v>
          </cell>
          <cell r="F2470">
            <v>6.0228999999999999</v>
          </cell>
        </row>
        <row r="2471">
          <cell r="B2471" t="str">
            <v>70257695</v>
          </cell>
          <cell r="C2471" t="str">
            <v>雪海梅乡 山楂汉堡 150g</v>
          </cell>
          <cell r="D2471">
            <v>16</v>
          </cell>
          <cell r="E2471">
            <v>85.12</v>
          </cell>
          <cell r="F2471">
            <v>6.0115999999999996</v>
          </cell>
        </row>
        <row r="2472">
          <cell r="B2472" t="str">
            <v>70257855</v>
          </cell>
          <cell r="C2472" t="str">
            <v>好丽友 薯愿蜂蜜牛奶味 104g</v>
          </cell>
          <cell r="D2472">
            <v>2103</v>
          </cell>
          <cell r="E2472">
            <v>12003.09</v>
          </cell>
          <cell r="F2472">
            <v>6.4495918687589198</v>
          </cell>
        </row>
        <row r="2473">
          <cell r="B2473" t="str">
            <v>70257856</v>
          </cell>
          <cell r="C2473" t="str">
            <v>好丽友 呀土豆蜂蜜黄油味 40G</v>
          </cell>
          <cell r="D2473">
            <v>1091</v>
          </cell>
          <cell r="E2473">
            <v>2748.95</v>
          </cell>
          <cell r="F2473">
            <v>2.8472167736022</v>
          </cell>
        </row>
        <row r="2474">
          <cell r="B2474" t="str">
            <v>70258510</v>
          </cell>
          <cell r="C2474" t="str">
            <v>兆辉 馍一坊孜然 180G</v>
          </cell>
          <cell r="D2474">
            <v>1516</v>
          </cell>
          <cell r="E2474">
            <v>4306.3900000000003</v>
          </cell>
          <cell r="F2474">
            <v>3.2099081134564602</v>
          </cell>
        </row>
        <row r="2475">
          <cell r="B2475" t="str">
            <v>70258511</v>
          </cell>
          <cell r="C2475" t="str">
            <v>兆辉 馍一坊牛肉 180G</v>
          </cell>
          <cell r="D2475">
            <v>856</v>
          </cell>
          <cell r="E2475">
            <v>2434.5300000000002</v>
          </cell>
          <cell r="F2475">
            <v>3.21380712616822</v>
          </cell>
        </row>
        <row r="2476">
          <cell r="B2476" t="str">
            <v>70259846</v>
          </cell>
          <cell r="C2476" t="str">
            <v>优斯麦尔 黑加仑葡萄干(一等) 108G</v>
          </cell>
          <cell r="D2476">
            <v>10</v>
          </cell>
          <cell r="E2476">
            <v>82.58</v>
          </cell>
          <cell r="F2476">
            <v>9.3315400000000004</v>
          </cell>
        </row>
        <row r="2477">
          <cell r="B2477" t="str">
            <v>70260022</v>
          </cell>
          <cell r="C2477" t="str">
            <v>卫龙 软豆皮 60g</v>
          </cell>
          <cell r="D2477">
            <v>12</v>
          </cell>
          <cell r="E2477">
            <v>43.9</v>
          </cell>
          <cell r="F2477">
            <v>4.1339166666666696</v>
          </cell>
        </row>
        <row r="2478">
          <cell r="B2478" t="str">
            <v>70260673</v>
          </cell>
          <cell r="C2478" t="str">
            <v>兆辉馍片方片香辣味180g</v>
          </cell>
          <cell r="D2478">
            <v>1932</v>
          </cell>
          <cell r="E2478">
            <v>5502.26</v>
          </cell>
          <cell r="F2478">
            <v>3.21819554865424</v>
          </cell>
        </row>
        <row r="2479">
          <cell r="B2479" t="str">
            <v>70261216</v>
          </cell>
          <cell r="C2479" t="str">
            <v>卫龙 大面筋 106G</v>
          </cell>
          <cell r="D2479">
            <v>2325</v>
          </cell>
          <cell r="E2479">
            <v>6809.67</v>
          </cell>
          <cell r="F2479">
            <v>3.3096460645161301</v>
          </cell>
        </row>
        <row r="2480">
          <cell r="B2480" t="str">
            <v>70261358</v>
          </cell>
          <cell r="C2480" t="str">
            <v>X-5花生夹心 香蕉味夹心巧克力棒 36g</v>
          </cell>
          <cell r="D2480">
            <v>4</v>
          </cell>
          <cell r="E2480">
            <v>17.239999999999998</v>
          </cell>
          <cell r="F2480">
            <v>4.8703000000000003</v>
          </cell>
        </row>
        <row r="2481">
          <cell r="B2481" t="str">
            <v>70261668</v>
          </cell>
          <cell r="C2481" t="str">
            <v>溜溜梅 分享装-西梅 150G</v>
          </cell>
          <cell r="D2481">
            <v>608</v>
          </cell>
          <cell r="E2481">
            <v>5430.93</v>
          </cell>
          <cell r="F2481">
            <v>10.0936692434211</v>
          </cell>
        </row>
        <row r="2482">
          <cell r="B2482" t="str">
            <v>70262327</v>
          </cell>
          <cell r="C2482" t="str">
            <v>好丽友呀 土豆薯条番茄 130G</v>
          </cell>
          <cell r="D2482">
            <v>492</v>
          </cell>
          <cell r="E2482">
            <v>2883.44</v>
          </cell>
          <cell r="F2482">
            <v>6.6225349593495899</v>
          </cell>
        </row>
        <row r="2483">
          <cell r="B2483" t="str">
            <v>70263894</v>
          </cell>
          <cell r="C2483" t="str">
            <v>卫龙 亲嘴道香辣味 50G</v>
          </cell>
          <cell r="D2483">
            <v>13</v>
          </cell>
          <cell r="E2483">
            <v>50.52</v>
          </cell>
          <cell r="F2483">
            <v>4.3913538461538497</v>
          </cell>
        </row>
        <row r="2484">
          <cell r="B2484" t="str">
            <v>70263896</v>
          </cell>
          <cell r="C2484" t="str">
            <v>卫龙 大辣棒 78g</v>
          </cell>
          <cell r="D2484">
            <v>12</v>
          </cell>
          <cell r="E2484">
            <v>46.68</v>
          </cell>
          <cell r="F2484">
            <v>4.3956999999999997</v>
          </cell>
        </row>
        <row r="2485">
          <cell r="B2485" t="str">
            <v>70264351</v>
          </cell>
          <cell r="C2485" t="str">
            <v>甘源 原味青豌豆 40G</v>
          </cell>
          <cell r="D2485">
            <v>0</v>
          </cell>
          <cell r="E2485">
            <v>0</v>
          </cell>
          <cell r="F2485" t="e">
            <v>#DIV/0!</v>
          </cell>
        </row>
        <row r="2486">
          <cell r="B2486" t="str">
            <v>70264352</v>
          </cell>
          <cell r="C2486" t="str">
            <v>甘源 蟹黄味蚕豆 40G</v>
          </cell>
          <cell r="D2486">
            <v>0</v>
          </cell>
          <cell r="E2486">
            <v>0</v>
          </cell>
          <cell r="F2486" t="e">
            <v>#DIV/0!</v>
          </cell>
        </row>
        <row r="2487">
          <cell r="B2487" t="str">
            <v>70266970</v>
          </cell>
          <cell r="C2487" t="str">
            <v>无穷 烤鸡爪蜂蜜味 60g</v>
          </cell>
          <cell r="D2487">
            <v>41</v>
          </cell>
          <cell r="E2487">
            <v>488.14</v>
          </cell>
          <cell r="F2487">
            <v>13.4536146341463</v>
          </cell>
        </row>
        <row r="2488">
          <cell r="B2488" t="str">
            <v>70268072</v>
          </cell>
          <cell r="C2488" t="str">
            <v>唐布拉 风干牛肉（袋装） 180G</v>
          </cell>
          <cell r="D2488">
            <v>21</v>
          </cell>
          <cell r="E2488">
            <v>227.7</v>
          </cell>
          <cell r="F2488">
            <v>12.252428571428601</v>
          </cell>
        </row>
        <row r="2489">
          <cell r="B2489" t="str">
            <v>70268073</v>
          </cell>
          <cell r="C2489" t="str">
            <v>唐布拉 马肉干（袋装） 50G</v>
          </cell>
          <cell r="D2489">
            <v>6</v>
          </cell>
          <cell r="E2489">
            <v>33.799999999999997</v>
          </cell>
          <cell r="F2489">
            <v>6.3656666666666704</v>
          </cell>
        </row>
        <row r="2490">
          <cell r="B2490" t="str">
            <v>70268074</v>
          </cell>
          <cell r="C2490" t="str">
            <v>唐布拉 牛肉干 50G</v>
          </cell>
          <cell r="D2490">
            <v>23</v>
          </cell>
          <cell r="E2490">
            <v>81.239999999999995</v>
          </cell>
          <cell r="F2490">
            <v>3.9913565217391298</v>
          </cell>
        </row>
        <row r="2491">
          <cell r="B2491" t="str">
            <v>70268365</v>
          </cell>
          <cell r="C2491" t="str">
            <v>兆辉 馍片原滋原味 180G</v>
          </cell>
          <cell r="D2491">
            <v>1052</v>
          </cell>
          <cell r="E2491">
            <v>3002.26</v>
          </cell>
          <cell r="F2491">
            <v>3.2248610266159701</v>
          </cell>
        </row>
        <row r="2492">
          <cell r="B2492" t="str">
            <v>70268521</v>
          </cell>
          <cell r="C2492" t="str">
            <v>劲仔 深海小鱼麻辣味 12g</v>
          </cell>
          <cell r="D2492">
            <v>5754</v>
          </cell>
          <cell r="E2492">
            <v>5640.46</v>
          </cell>
          <cell r="F2492">
            <v>1.10770243309002</v>
          </cell>
        </row>
        <row r="2493">
          <cell r="B2493" t="str">
            <v>70268522</v>
          </cell>
          <cell r="C2493" t="str">
            <v>劲仔 劲仔鱼（糖醋） 12G</v>
          </cell>
          <cell r="D2493">
            <v>3424</v>
          </cell>
          <cell r="E2493">
            <v>3402.01</v>
          </cell>
          <cell r="F2493">
            <v>1.1227427862149499</v>
          </cell>
        </row>
        <row r="2494">
          <cell r="B2494" t="str">
            <v>70268869</v>
          </cell>
          <cell r="C2494" t="str">
            <v>艾尼大叔 风味牛肉香辣味 100克</v>
          </cell>
          <cell r="D2494">
            <v>0</v>
          </cell>
          <cell r="E2494">
            <v>0</v>
          </cell>
          <cell r="F2494" t="e">
            <v>#DIV/0!</v>
          </cell>
        </row>
        <row r="2495">
          <cell r="B2495" t="str">
            <v>70268870</v>
          </cell>
          <cell r="C2495" t="str">
            <v>艾尼大叔 风味牛肉麻辣味 100克</v>
          </cell>
          <cell r="D2495">
            <v>3</v>
          </cell>
          <cell r="E2495">
            <v>54.43</v>
          </cell>
          <cell r="F2495">
            <v>20.5019666666667</v>
          </cell>
        </row>
        <row r="2496">
          <cell r="B2496" t="str">
            <v>70268871</v>
          </cell>
          <cell r="C2496" t="str">
            <v>艾尼大叔 风味牛肉量贩组装 300克</v>
          </cell>
          <cell r="D2496">
            <v>5</v>
          </cell>
          <cell r="E2496">
            <v>190.29</v>
          </cell>
          <cell r="F2496">
            <v>43.005540000000003</v>
          </cell>
        </row>
        <row r="2497">
          <cell r="B2497" t="str">
            <v>70269017</v>
          </cell>
          <cell r="C2497" t="str">
            <v>口水娃兰花五香味 76G</v>
          </cell>
          <cell r="D2497">
            <v>730</v>
          </cell>
          <cell r="E2497">
            <v>1926.01</v>
          </cell>
          <cell r="F2497">
            <v>2.9813579452054801</v>
          </cell>
        </row>
        <row r="2498">
          <cell r="B2498" t="str">
            <v>70269018</v>
          </cell>
          <cell r="C2498" t="str">
            <v>口水娃 烤肉味 76G</v>
          </cell>
          <cell r="D2498">
            <v>1651</v>
          </cell>
          <cell r="E2498">
            <v>4545.66</v>
          </cell>
          <cell r="F2498">
            <v>3.1112027861901899</v>
          </cell>
        </row>
        <row r="2499">
          <cell r="B2499" t="str">
            <v>70269181</v>
          </cell>
          <cell r="C2499" t="str">
            <v>啃馋你 小鸡腿辣霸天下 42G</v>
          </cell>
          <cell r="D2499">
            <v>14</v>
          </cell>
          <cell r="E2499">
            <v>68.56</v>
          </cell>
          <cell r="F2499">
            <v>5.5337714285714297</v>
          </cell>
        </row>
        <row r="2500">
          <cell r="B2500" t="str">
            <v>70269183</v>
          </cell>
          <cell r="C2500" t="str">
            <v>啃馋你 烤鸭翅根酱烤原味 70G</v>
          </cell>
          <cell r="D2500">
            <v>42</v>
          </cell>
          <cell r="E2500">
            <v>206.57</v>
          </cell>
          <cell r="F2500">
            <v>5.5577166666666704</v>
          </cell>
        </row>
        <row r="2501">
          <cell r="B2501" t="str">
            <v>70269186</v>
          </cell>
          <cell r="C2501" t="str">
            <v>啃馋你 烤鸭翅根辣霸天下 70G</v>
          </cell>
          <cell r="D2501">
            <v>13</v>
          </cell>
          <cell r="E2501">
            <v>63.68</v>
          </cell>
          <cell r="F2501">
            <v>5.5352615384615396</v>
          </cell>
        </row>
        <row r="2502">
          <cell r="B2502" t="str">
            <v>70269187</v>
          </cell>
          <cell r="C2502" t="str">
            <v>啃馋你 烤鸭翅根奥尔良味 70G</v>
          </cell>
          <cell r="D2502">
            <v>3</v>
          </cell>
          <cell r="E2502">
            <v>14.7</v>
          </cell>
          <cell r="F2502">
            <v>5.5369999999999999</v>
          </cell>
        </row>
        <row r="2503">
          <cell r="B2503" t="str">
            <v>70269316</v>
          </cell>
          <cell r="C2503" t="str">
            <v>春光 椰香薄饼（原味） 盒</v>
          </cell>
          <cell r="D2503">
            <v>134</v>
          </cell>
          <cell r="E2503">
            <v>948.71</v>
          </cell>
          <cell r="F2503">
            <v>8.0003156716417898</v>
          </cell>
        </row>
        <row r="2504">
          <cell r="B2504" t="str">
            <v>70273411</v>
          </cell>
          <cell r="C2504" t="str">
            <v>雪海梅乡 冰爽山楂片 140G</v>
          </cell>
          <cell r="D2504">
            <v>1</v>
          </cell>
          <cell r="E2504">
            <v>5.32</v>
          </cell>
          <cell r="F2504">
            <v>6.0115999999999996</v>
          </cell>
        </row>
        <row r="2505">
          <cell r="B2505" t="str">
            <v>70273413</v>
          </cell>
          <cell r="C2505" t="str">
            <v>雪海梅乡 健胃山楂棒 140G</v>
          </cell>
          <cell r="D2505">
            <v>143</v>
          </cell>
          <cell r="E2505">
            <v>760.73</v>
          </cell>
          <cell r="F2505">
            <v>6.0113629370629402</v>
          </cell>
        </row>
        <row r="2506">
          <cell r="B2506" t="str">
            <v>70273494</v>
          </cell>
          <cell r="C2506" t="str">
            <v>奇多 妙脆角(茄汁味) 65G</v>
          </cell>
          <cell r="D2506">
            <v>0</v>
          </cell>
          <cell r="E2506">
            <v>0</v>
          </cell>
          <cell r="F2506" t="e">
            <v>#DIV/0!</v>
          </cell>
        </row>
        <row r="2507">
          <cell r="B2507" t="str">
            <v>70273495</v>
          </cell>
          <cell r="C2507" t="str">
            <v>奇多 妙脆角(魔力炭烧味) 65G</v>
          </cell>
          <cell r="D2507">
            <v>0</v>
          </cell>
          <cell r="E2507">
            <v>0</v>
          </cell>
          <cell r="F2507" t="e">
            <v>#DIV/0!</v>
          </cell>
        </row>
        <row r="2508">
          <cell r="B2508" t="str">
            <v>70274324</v>
          </cell>
          <cell r="C2508" t="str">
            <v>溜溜梅 原西梅 60G</v>
          </cell>
          <cell r="D2508">
            <v>3582</v>
          </cell>
          <cell r="E2508">
            <v>12697.52</v>
          </cell>
          <cell r="F2508">
            <v>4.0056386376326101</v>
          </cell>
        </row>
        <row r="2509">
          <cell r="B2509" t="str">
            <v>70275342</v>
          </cell>
          <cell r="C2509" t="str">
            <v>甘源 鲜虾味虾条豆果 75G</v>
          </cell>
          <cell r="D2509">
            <v>1734</v>
          </cell>
          <cell r="E2509">
            <v>4760</v>
          </cell>
          <cell r="F2509">
            <v>3.1019607843137198</v>
          </cell>
        </row>
        <row r="2510">
          <cell r="B2510" t="str">
            <v>70275807</v>
          </cell>
          <cell r="C2510" t="str">
            <v>乐事 奇多妙脆角葱香原味 65G</v>
          </cell>
          <cell r="D2510">
            <v>0</v>
          </cell>
          <cell r="E2510">
            <v>0</v>
          </cell>
          <cell r="F2510" t="e">
            <v>#DIV/0!</v>
          </cell>
        </row>
        <row r="2511">
          <cell r="B2511" t="str">
            <v>70275865</v>
          </cell>
          <cell r="C2511" t="str">
            <v>贤哥 辣么糕大尚面筋  101g</v>
          </cell>
          <cell r="D2511">
            <v>2</v>
          </cell>
          <cell r="E2511">
            <v>6.38</v>
          </cell>
          <cell r="F2511">
            <v>3.6046999999999998</v>
          </cell>
        </row>
        <row r="2512">
          <cell r="B2512" t="str">
            <v>70276067</v>
          </cell>
          <cell r="C2512" t="str">
            <v>甘源 多味花生 75G</v>
          </cell>
          <cell r="D2512">
            <v>2013</v>
          </cell>
          <cell r="E2512">
            <v>5645.62</v>
          </cell>
          <cell r="F2512">
            <v>3.16917565822156</v>
          </cell>
        </row>
        <row r="2513">
          <cell r="B2513" t="str">
            <v>70276432</v>
          </cell>
          <cell r="C2513" t="str">
            <v>盐津铺子 薯滋滋非油炸薯片三连包 186g</v>
          </cell>
          <cell r="D2513">
            <v>289</v>
          </cell>
          <cell r="E2513">
            <v>1902.85</v>
          </cell>
          <cell r="F2513">
            <v>7.44020934256055</v>
          </cell>
        </row>
        <row r="2514">
          <cell r="B2514" t="str">
            <v>70276971</v>
          </cell>
          <cell r="C2514" t="str">
            <v>甘源 香辣花生 75G</v>
          </cell>
          <cell r="D2514">
            <v>2083</v>
          </cell>
          <cell r="E2514">
            <v>5858.44</v>
          </cell>
          <cell r="F2514">
            <v>3.1781263562169899</v>
          </cell>
        </row>
        <row r="2515">
          <cell r="B2515" t="str">
            <v>70278385</v>
          </cell>
          <cell r="C2515" t="str">
            <v>百草味 多味花生 210G</v>
          </cell>
          <cell r="D2515">
            <v>7</v>
          </cell>
          <cell r="E2515">
            <v>36.26</v>
          </cell>
          <cell r="F2515">
            <v>5.8533999999999997</v>
          </cell>
        </row>
        <row r="2516">
          <cell r="B2516" t="str">
            <v>70279276</v>
          </cell>
          <cell r="C2516" t="str">
            <v>邬辣妈  蒜蓉豆条110g</v>
          </cell>
          <cell r="D2516">
            <v>0</v>
          </cell>
          <cell r="E2516">
            <v>0</v>
          </cell>
          <cell r="F2516" t="e">
            <v>#DIV/0!</v>
          </cell>
        </row>
        <row r="2517">
          <cell r="B2517" t="str">
            <v>70279470</v>
          </cell>
          <cell r="C2517" t="str">
            <v>长领 南乳花生米（原香） 150G</v>
          </cell>
          <cell r="D2517">
            <v>13</v>
          </cell>
          <cell r="E2517">
            <v>51.78</v>
          </cell>
          <cell r="F2517">
            <v>4.5008769230769197</v>
          </cell>
        </row>
        <row r="2518">
          <cell r="B2518" t="str">
            <v>70280253</v>
          </cell>
          <cell r="C2518" t="str">
            <v>塞骆丝域 咸干花生 158克</v>
          </cell>
          <cell r="D2518">
            <v>446</v>
          </cell>
          <cell r="E2518">
            <v>2176.65</v>
          </cell>
          <cell r="F2518">
            <v>5.5148307174887901</v>
          </cell>
        </row>
        <row r="2519">
          <cell r="B2519" t="str">
            <v>70280254</v>
          </cell>
          <cell r="C2519" t="str">
            <v>塞骆丝域 蒜香花生 158克</v>
          </cell>
          <cell r="D2519">
            <v>334</v>
          </cell>
          <cell r="E2519">
            <v>1628.04</v>
          </cell>
          <cell r="F2519">
            <v>5.5080395209580804</v>
          </cell>
        </row>
        <row r="2520">
          <cell r="B2520" t="str">
            <v>70280255</v>
          </cell>
          <cell r="C2520" t="str">
            <v>塞骆丝域 奶香花生 158克</v>
          </cell>
          <cell r="D2520">
            <v>569</v>
          </cell>
          <cell r="E2520">
            <v>2774</v>
          </cell>
          <cell r="F2520">
            <v>5.50899824253076</v>
          </cell>
        </row>
        <row r="2521">
          <cell r="B2521" t="str">
            <v>70280256</v>
          </cell>
          <cell r="C2521" t="str">
            <v>塞骆丝域 咸干花生 308克</v>
          </cell>
          <cell r="D2521">
            <v>217</v>
          </cell>
          <cell r="E2521">
            <v>2051.98</v>
          </cell>
          <cell r="F2521">
            <v>10.685425806451599</v>
          </cell>
        </row>
        <row r="2522">
          <cell r="B2522" t="str">
            <v>70280257</v>
          </cell>
          <cell r="C2522" t="str">
            <v>塞骆丝域 蒜香花生 308克</v>
          </cell>
          <cell r="D2522">
            <v>299</v>
          </cell>
          <cell r="E2522">
            <v>2823.66</v>
          </cell>
          <cell r="F2522">
            <v>10.671357190635399</v>
          </cell>
        </row>
        <row r="2523">
          <cell r="B2523" t="str">
            <v>70280258</v>
          </cell>
          <cell r="C2523" t="str">
            <v>塞骆丝域 奶香花生 308克</v>
          </cell>
          <cell r="D2523">
            <v>336</v>
          </cell>
          <cell r="E2523">
            <v>3181.28</v>
          </cell>
          <cell r="F2523">
            <v>10.698947619047599</v>
          </cell>
        </row>
        <row r="2524">
          <cell r="B2524" t="str">
            <v>70280259</v>
          </cell>
          <cell r="C2524" t="str">
            <v>塞骆丝域 咸干花生 800克</v>
          </cell>
          <cell r="D2524">
            <v>40</v>
          </cell>
          <cell r="E2524">
            <v>973.55</v>
          </cell>
          <cell r="F2524">
            <v>27.5027875</v>
          </cell>
        </row>
        <row r="2525">
          <cell r="B2525" t="str">
            <v>70280260</v>
          </cell>
          <cell r="C2525" t="str">
            <v>塞骆丝域 蒜香花生 800克</v>
          </cell>
          <cell r="D2525">
            <v>45</v>
          </cell>
          <cell r="E2525">
            <v>1105.71</v>
          </cell>
          <cell r="F2525">
            <v>27.765606666666699</v>
          </cell>
        </row>
        <row r="2526">
          <cell r="B2526" t="str">
            <v>70280261</v>
          </cell>
          <cell r="C2526" t="str">
            <v>塞骆丝域 奶香花生 800克</v>
          </cell>
          <cell r="D2526">
            <v>64</v>
          </cell>
          <cell r="E2526">
            <v>1572.6</v>
          </cell>
          <cell r="F2526">
            <v>27.76621875</v>
          </cell>
        </row>
        <row r="2527">
          <cell r="B2527" t="str">
            <v>70281068</v>
          </cell>
          <cell r="C2527" t="str">
            <v>千百度 啦丝香辣豆干 105G</v>
          </cell>
          <cell r="D2527">
            <v>1103</v>
          </cell>
          <cell r="E2527">
            <v>5071.24</v>
          </cell>
          <cell r="F2527">
            <v>5.1953773345421599</v>
          </cell>
        </row>
        <row r="2528">
          <cell r="B2528" t="str">
            <v>70281069</v>
          </cell>
          <cell r="C2528" t="str">
            <v>千百度 啦丝五香豆干 105G</v>
          </cell>
          <cell r="D2528">
            <v>1042</v>
          </cell>
          <cell r="E2528">
            <v>4805.54</v>
          </cell>
          <cell r="F2528">
            <v>5.2113821497120902</v>
          </cell>
        </row>
        <row r="2529">
          <cell r="B2529" t="str">
            <v>70282799</v>
          </cell>
          <cell r="C2529" t="str">
            <v>百草味 板栗仁 80G</v>
          </cell>
          <cell r="D2529">
            <v>2439</v>
          </cell>
          <cell r="E2529">
            <v>10728.3</v>
          </cell>
          <cell r="F2529">
            <v>4.9704710947109501</v>
          </cell>
        </row>
        <row r="2530">
          <cell r="B2530" t="str">
            <v>70283779</v>
          </cell>
          <cell r="C2530" t="str">
            <v>甘源 袋装酱香烤肉味兰花豆 75G</v>
          </cell>
          <cell r="D2530">
            <v>14</v>
          </cell>
          <cell r="E2530">
            <v>44.8</v>
          </cell>
          <cell r="F2530">
            <v>3.6160000000000001</v>
          </cell>
        </row>
        <row r="2531">
          <cell r="B2531" t="str">
            <v>70285590</v>
          </cell>
          <cell r="C2531" t="str">
            <v>贤哥 辣么小小脆 58G</v>
          </cell>
          <cell r="D2531">
            <v>0</v>
          </cell>
          <cell r="E2531">
            <v>0</v>
          </cell>
          <cell r="F2531" t="e">
            <v>#DIV/0!</v>
          </cell>
        </row>
        <row r="2532">
          <cell r="B2532" t="str">
            <v>70287712</v>
          </cell>
          <cell r="C2532" t="str">
            <v>溜溜梅 冻杨梅 120g</v>
          </cell>
          <cell r="D2532">
            <v>3</v>
          </cell>
          <cell r="E2532">
            <v>26.04</v>
          </cell>
          <cell r="F2532">
            <v>9.8084000000000007</v>
          </cell>
        </row>
        <row r="2533">
          <cell r="B2533" t="str">
            <v>70289596</v>
          </cell>
          <cell r="C2533" t="str">
            <v>塞骆丝域 锅巴(麻辣味) 150G</v>
          </cell>
          <cell r="D2533">
            <v>821</v>
          </cell>
          <cell r="E2533">
            <v>3315.61</v>
          </cell>
          <cell r="F2533">
            <v>4.5635070645554201</v>
          </cell>
        </row>
        <row r="2534">
          <cell r="B2534" t="str">
            <v>70289597</v>
          </cell>
          <cell r="C2534" t="str">
            <v>塞骆丝域 锅巴(孜然味) 150G</v>
          </cell>
          <cell r="D2534">
            <v>787</v>
          </cell>
          <cell r="E2534">
            <v>3429.34</v>
          </cell>
          <cell r="F2534">
            <v>4.9239570520965703</v>
          </cell>
        </row>
        <row r="2535">
          <cell r="B2535" t="str">
            <v>70290251</v>
          </cell>
          <cell r="C2535" t="str">
            <v>可比克 纯切薯片爽口青瓜味 65g</v>
          </cell>
          <cell r="D2535">
            <v>10</v>
          </cell>
          <cell r="E2535">
            <v>34.369999999999997</v>
          </cell>
          <cell r="F2535">
            <v>3.88381</v>
          </cell>
        </row>
        <row r="2536">
          <cell r="B2536" t="str">
            <v>70290703</v>
          </cell>
          <cell r="C2536" t="str">
            <v>艾尼大叔 草原手撕风干牛肉孜然味 108G</v>
          </cell>
          <cell r="D2536">
            <v>24</v>
          </cell>
          <cell r="E2536">
            <v>488.55</v>
          </cell>
          <cell r="F2536">
            <v>23.0025625</v>
          </cell>
        </row>
        <row r="2537">
          <cell r="B2537" t="str">
            <v>70290704</v>
          </cell>
          <cell r="C2537" t="str">
            <v>艾尼大叔 草原手撕风干牛肉礼包 388G</v>
          </cell>
          <cell r="D2537">
            <v>9</v>
          </cell>
          <cell r="E2537">
            <v>676.99</v>
          </cell>
          <cell r="F2537">
            <v>84.999855555555598</v>
          </cell>
        </row>
        <row r="2538">
          <cell r="B2538" t="str">
            <v>70290908</v>
          </cell>
          <cell r="C2538" t="str">
            <v>邬辣妈 蒜蓉素牛排 100G</v>
          </cell>
          <cell r="D2538">
            <v>2</v>
          </cell>
          <cell r="E2538">
            <v>6.64</v>
          </cell>
          <cell r="F2538">
            <v>3.7515999999999998</v>
          </cell>
        </row>
        <row r="2539">
          <cell r="B2539" t="str">
            <v>70291299</v>
          </cell>
          <cell r="C2539" t="str">
            <v>艾尼大叔 草原手撕风干牛肉原味 108G</v>
          </cell>
          <cell r="D2539">
            <v>51</v>
          </cell>
          <cell r="E2539">
            <v>1061.08</v>
          </cell>
          <cell r="F2539">
            <v>23.5102039215686</v>
          </cell>
        </row>
        <row r="2540">
          <cell r="B2540" t="str">
            <v>70291300</v>
          </cell>
          <cell r="C2540" t="str">
            <v>艾尼大叔 草原手撕风干牛肉香辣味 108G</v>
          </cell>
          <cell r="D2540">
            <v>51</v>
          </cell>
          <cell r="E2540">
            <v>1053.1400000000001</v>
          </cell>
          <cell r="F2540">
            <v>23.3342784313725</v>
          </cell>
        </row>
        <row r="2541">
          <cell r="B2541" t="str">
            <v>70291362</v>
          </cell>
          <cell r="C2541" t="str">
            <v>无穷 盐焗鸡蛋 100G</v>
          </cell>
          <cell r="D2541">
            <v>544</v>
          </cell>
          <cell r="E2541">
            <v>4175.7700000000004</v>
          </cell>
          <cell r="F2541">
            <v>8.6739340073529405</v>
          </cell>
        </row>
        <row r="2542">
          <cell r="B2542" t="str">
            <v>70291648</v>
          </cell>
          <cell r="C2542" t="str">
            <v>波路梦 迷你蛋糕(草莓) 70G</v>
          </cell>
          <cell r="D2542">
            <v>227</v>
          </cell>
          <cell r="E2542">
            <v>1259.1099999999999</v>
          </cell>
          <cell r="F2542">
            <v>6.2678162995594704</v>
          </cell>
        </row>
        <row r="2543">
          <cell r="B2543" t="str">
            <v>70291777</v>
          </cell>
          <cell r="C2543" t="str">
            <v>奥赛 蔓越莓山楂条 118G</v>
          </cell>
          <cell r="D2543">
            <v>5</v>
          </cell>
          <cell r="E2543">
            <v>23.46</v>
          </cell>
          <cell r="F2543">
            <v>5.3019600000000002</v>
          </cell>
        </row>
        <row r="2544">
          <cell r="B2544" t="str">
            <v>70293845</v>
          </cell>
          <cell r="C2544" t="str">
            <v>亲亲 原味虾片 80G</v>
          </cell>
          <cell r="D2544">
            <v>1</v>
          </cell>
          <cell r="E2544">
            <v>4.46</v>
          </cell>
          <cell r="F2544">
            <v>5.0397999999999996</v>
          </cell>
        </row>
        <row r="2545">
          <cell r="B2545" t="str">
            <v>70293846</v>
          </cell>
          <cell r="C2545" t="str">
            <v>亲亲 烧烤味虾片 80G</v>
          </cell>
          <cell r="D2545">
            <v>2</v>
          </cell>
          <cell r="E2545">
            <v>8.92</v>
          </cell>
          <cell r="F2545">
            <v>5.0397999999999996</v>
          </cell>
        </row>
        <row r="2546">
          <cell r="B2546" t="str">
            <v>70294150</v>
          </cell>
          <cell r="C2546" t="str">
            <v>优斯麦尔 草原风味牛肉孜然味 50g</v>
          </cell>
          <cell r="D2546">
            <v>8799</v>
          </cell>
          <cell r="E2546">
            <v>49570.37</v>
          </cell>
          <cell r="F2546">
            <v>6.3660095579043103</v>
          </cell>
        </row>
        <row r="2547">
          <cell r="B2547" t="str">
            <v>70294557</v>
          </cell>
          <cell r="C2547" t="str">
            <v>香香嘴 卤制豆干(火爆香辣味/老坛泡椒味/炭香烧烤味) 70G</v>
          </cell>
          <cell r="D2547">
            <v>23</v>
          </cell>
          <cell r="E2547">
            <v>51.37</v>
          </cell>
          <cell r="F2547">
            <v>2.5238304347826102</v>
          </cell>
        </row>
        <row r="2548">
          <cell r="B2548" t="str">
            <v>70295043</v>
          </cell>
          <cell r="C2548" t="str">
            <v>无穷 酱卤鸭腿 85G</v>
          </cell>
          <cell r="D2548">
            <v>105</v>
          </cell>
          <cell r="E2548">
            <v>887.63</v>
          </cell>
          <cell r="F2548">
            <v>9.5525895238095195</v>
          </cell>
        </row>
        <row r="2549">
          <cell r="B2549" t="str">
            <v>70295044</v>
          </cell>
          <cell r="C2549" t="str">
            <v>无穷 酱卤鸭翅根 90g</v>
          </cell>
          <cell r="D2549">
            <v>97</v>
          </cell>
          <cell r="E2549">
            <v>856.8</v>
          </cell>
          <cell r="F2549">
            <v>9.9812783505154599</v>
          </cell>
        </row>
        <row r="2550">
          <cell r="B2550" t="str">
            <v>70295402</v>
          </cell>
          <cell r="C2550" t="str">
            <v>喜之郎 美好时光原味海苔卷 11G</v>
          </cell>
          <cell r="D2550">
            <v>0</v>
          </cell>
          <cell r="E2550">
            <v>0</v>
          </cell>
          <cell r="F2550" t="e">
            <v>#DIV/0!</v>
          </cell>
        </row>
        <row r="2551">
          <cell r="B2551" t="str">
            <v>70295405</v>
          </cell>
          <cell r="C2551" t="str">
            <v>喜之郎 芝麻夹心海苔 8G</v>
          </cell>
          <cell r="D2551">
            <v>6</v>
          </cell>
          <cell r="E2551">
            <v>28.68</v>
          </cell>
          <cell r="F2551">
            <v>5.4013999999999998</v>
          </cell>
        </row>
        <row r="2552">
          <cell r="B2552" t="str">
            <v>70296221</v>
          </cell>
          <cell r="C2552" t="str">
            <v>无穷 酱卤鸭翅根 30g</v>
          </cell>
          <cell r="D2552">
            <v>879</v>
          </cell>
          <cell r="E2552">
            <v>2205.17</v>
          </cell>
          <cell r="F2552">
            <v>2.8348601820250301</v>
          </cell>
        </row>
        <row r="2553">
          <cell r="B2553" t="str">
            <v>70297763</v>
          </cell>
          <cell r="C2553" t="str">
            <v>天使 薯片经典原味 75G</v>
          </cell>
          <cell r="D2553">
            <v>0</v>
          </cell>
          <cell r="E2553">
            <v>0</v>
          </cell>
          <cell r="F2553" t="e">
            <v>#DIV/0!</v>
          </cell>
        </row>
        <row r="2554">
          <cell r="B2554" t="str">
            <v>70297765</v>
          </cell>
          <cell r="C2554" t="str">
            <v>天使 薯片多汁牛排味 75G</v>
          </cell>
          <cell r="D2554">
            <v>0</v>
          </cell>
          <cell r="E2554">
            <v>0</v>
          </cell>
          <cell r="F2554" t="e">
            <v>#DIV/0!</v>
          </cell>
        </row>
        <row r="2555">
          <cell r="B2555" t="str">
            <v>70302105</v>
          </cell>
          <cell r="C2555" t="str">
            <v>长领 奶香花生果 150G</v>
          </cell>
          <cell r="D2555">
            <v>3</v>
          </cell>
          <cell r="E2555">
            <v>11.96</v>
          </cell>
          <cell r="F2555">
            <v>4.5049333333333301</v>
          </cell>
        </row>
        <row r="2556">
          <cell r="B2556" t="str">
            <v>70302107</v>
          </cell>
          <cell r="C2556" t="str">
            <v>长领 蒜香花生果 150G</v>
          </cell>
          <cell r="D2556">
            <v>5</v>
          </cell>
          <cell r="E2556">
            <v>19.940000000000001</v>
          </cell>
          <cell r="F2556">
            <v>4.5064399999999996</v>
          </cell>
        </row>
        <row r="2557">
          <cell r="B2557" t="str">
            <v>70302108</v>
          </cell>
          <cell r="C2557" t="str">
            <v>长领 南乳花生米(五香) 150G</v>
          </cell>
          <cell r="D2557">
            <v>10</v>
          </cell>
          <cell r="E2557">
            <v>39.840000000000003</v>
          </cell>
          <cell r="F2557">
            <v>4.5019200000000001</v>
          </cell>
        </row>
        <row r="2558">
          <cell r="B2558" t="str">
            <v>70302222</v>
          </cell>
          <cell r="C2558" t="str">
            <v>百草味 泡椒脆笋 200G</v>
          </cell>
          <cell r="D2558">
            <v>1262</v>
          </cell>
          <cell r="E2558">
            <v>8101.4</v>
          </cell>
          <cell r="F2558">
            <v>7.2540269413629099</v>
          </cell>
        </row>
        <row r="2559">
          <cell r="B2559" t="str">
            <v>70302574</v>
          </cell>
          <cell r="C2559" t="str">
            <v>好丽友 浪里个浪玉米浓汤味 65G</v>
          </cell>
          <cell r="D2559">
            <v>3354</v>
          </cell>
          <cell r="E2559">
            <v>12442.25</v>
          </cell>
          <cell r="F2559">
            <v>4.1919327668455599</v>
          </cell>
        </row>
        <row r="2560">
          <cell r="B2560" t="str">
            <v>70303697</v>
          </cell>
          <cell r="C2560" t="str">
            <v>妙脆角 香浓辣鸡 65G</v>
          </cell>
          <cell r="D2560">
            <v>11</v>
          </cell>
          <cell r="E2560">
            <v>60.39</v>
          </cell>
          <cell r="F2560">
            <v>6.2037000000000004</v>
          </cell>
        </row>
        <row r="2561">
          <cell r="B2561" t="str">
            <v>70305363</v>
          </cell>
          <cell r="C2561" t="str">
            <v>百草味 炭烧腰果 100克</v>
          </cell>
          <cell r="D2561">
            <v>0</v>
          </cell>
          <cell r="E2561">
            <v>0</v>
          </cell>
          <cell r="F2561" t="e">
            <v>#DIV/0!</v>
          </cell>
        </row>
        <row r="2562">
          <cell r="B2562" t="str">
            <v>70306337</v>
          </cell>
          <cell r="C2562" t="str">
            <v>穗之杰 味咪虾条 82G</v>
          </cell>
          <cell r="D2562">
            <v>0</v>
          </cell>
          <cell r="E2562">
            <v>0</v>
          </cell>
          <cell r="F2562" t="e">
            <v>#DIV/0!</v>
          </cell>
        </row>
        <row r="2563">
          <cell r="B2563" t="str">
            <v>70306457</v>
          </cell>
          <cell r="C2563" t="str">
            <v>傻老大 五香南瓜子 180G</v>
          </cell>
          <cell r="D2563">
            <v>49</v>
          </cell>
          <cell r="E2563">
            <v>484.07</v>
          </cell>
          <cell r="F2563">
            <v>11.163246938775499</v>
          </cell>
        </row>
        <row r="2564">
          <cell r="B2564" t="str">
            <v>70306458</v>
          </cell>
          <cell r="C2564" t="str">
            <v>傻老大 盐焗南瓜子 180G</v>
          </cell>
          <cell r="D2564">
            <v>114</v>
          </cell>
          <cell r="E2564">
            <v>1046.4000000000001</v>
          </cell>
          <cell r="F2564">
            <v>10.372210526315801</v>
          </cell>
        </row>
        <row r="2565">
          <cell r="B2565" t="str">
            <v>70306592</v>
          </cell>
          <cell r="C2565" t="str">
            <v>渔米之湘 孜然味臭豆腐 480克</v>
          </cell>
          <cell r="D2565">
            <v>3491</v>
          </cell>
          <cell r="E2565">
            <v>2458.1</v>
          </cell>
          <cell r="F2565">
            <v>0.795661128616442</v>
          </cell>
        </row>
        <row r="2566">
          <cell r="B2566" t="str">
            <v>70306593</v>
          </cell>
          <cell r="C2566" t="str">
            <v>渔米之湘 臭豆腐（香辣味） 24G</v>
          </cell>
          <cell r="D2566">
            <v>4884</v>
          </cell>
          <cell r="E2566">
            <v>3432.52</v>
          </cell>
          <cell r="F2566">
            <v>0.79417436527436502</v>
          </cell>
        </row>
        <row r="2567">
          <cell r="B2567" t="str">
            <v>70306594</v>
          </cell>
          <cell r="C2567" t="str">
            <v>渔米之湘 糖醋鱼 12G</v>
          </cell>
          <cell r="D2567">
            <v>10899</v>
          </cell>
          <cell r="E2567">
            <v>7566.04</v>
          </cell>
          <cell r="F2567">
            <v>0.784441251490962</v>
          </cell>
        </row>
        <row r="2568">
          <cell r="B2568" t="str">
            <v>70308099</v>
          </cell>
          <cell r="C2568" t="str">
            <v>如水 原味鱼皮花生 100G</v>
          </cell>
          <cell r="D2568">
            <v>1079</v>
          </cell>
          <cell r="E2568">
            <v>5760.14</v>
          </cell>
          <cell r="F2568">
            <v>6.03239870250232</v>
          </cell>
        </row>
        <row r="2569">
          <cell r="B2569" t="str">
            <v>70309508</v>
          </cell>
          <cell r="C2569" t="str">
            <v>奇多 妙脆角浓番海鲜味 65G</v>
          </cell>
          <cell r="D2569">
            <v>0</v>
          </cell>
          <cell r="E2569">
            <v>0</v>
          </cell>
          <cell r="F2569" t="e">
            <v>#DIV/0!</v>
          </cell>
        </row>
        <row r="2570">
          <cell r="B2570" t="str">
            <v>70310660</v>
          </cell>
          <cell r="C2570" t="str">
            <v>渔米之湘 鱼仙贝(烧烤味) 20G</v>
          </cell>
          <cell r="D2570">
            <v>3255</v>
          </cell>
          <cell r="E2570">
            <v>2290.29</v>
          </cell>
          <cell r="F2570">
            <v>0.79509299539170497</v>
          </cell>
        </row>
        <row r="2571">
          <cell r="B2571" t="str">
            <v>70310973</v>
          </cell>
          <cell r="C2571" t="str">
            <v>稻香村 小米煎饼(火鸡味) 120G</v>
          </cell>
          <cell r="D2571">
            <v>719</v>
          </cell>
          <cell r="E2571">
            <v>4917.3500000000004</v>
          </cell>
          <cell r="F2571">
            <v>7.7282413073713503</v>
          </cell>
        </row>
        <row r="2572">
          <cell r="B2572" t="str">
            <v>70311370</v>
          </cell>
          <cell r="C2572" t="str">
            <v>卫龙 香辣味魔芋爽 50G</v>
          </cell>
          <cell r="D2572">
            <v>1160</v>
          </cell>
          <cell r="E2572">
            <v>3457.45</v>
          </cell>
          <cell r="F2572">
            <v>3.3680331896551698</v>
          </cell>
        </row>
        <row r="2573">
          <cell r="B2573" t="str">
            <v>70311371</v>
          </cell>
          <cell r="C2573" t="str">
            <v>卫龙 魔芋爽酸辣味 50g</v>
          </cell>
          <cell r="D2573">
            <v>1176</v>
          </cell>
          <cell r="E2573">
            <v>3475.54</v>
          </cell>
          <cell r="F2573">
            <v>3.3395920068027198</v>
          </cell>
        </row>
        <row r="2574">
          <cell r="B2574" t="str">
            <v>70312428</v>
          </cell>
          <cell r="C2574" t="str">
            <v>千百度 手磨豆干(泡椒味) 130G</v>
          </cell>
          <cell r="D2574">
            <v>1044</v>
          </cell>
          <cell r="E2574">
            <v>4406.37</v>
          </cell>
          <cell r="F2574">
            <v>4.7693468390804599</v>
          </cell>
        </row>
        <row r="2575">
          <cell r="B2575" t="str">
            <v>70312529</v>
          </cell>
          <cell r="C2575" t="str">
            <v>卫龙 亲嘴烧经典香辣风味 24g</v>
          </cell>
          <cell r="D2575">
            <v>1069</v>
          </cell>
          <cell r="E2575">
            <v>695.15</v>
          </cell>
          <cell r="F2575">
            <v>0.73481711880261902</v>
          </cell>
        </row>
        <row r="2576">
          <cell r="B2576" t="str">
            <v>70312530</v>
          </cell>
          <cell r="C2576" t="str">
            <v>亲嘴烧 川香风味 24G</v>
          </cell>
          <cell r="D2576">
            <v>8642</v>
          </cell>
          <cell r="E2576">
            <v>5542.48</v>
          </cell>
          <cell r="F2576">
            <v>0.72471677852349004</v>
          </cell>
        </row>
        <row r="2577">
          <cell r="B2577" t="str">
            <v>70313208</v>
          </cell>
          <cell r="C2577" t="str">
            <v>稻香村 小米煎饼 (烧烤味) 120G</v>
          </cell>
          <cell r="D2577">
            <v>782</v>
          </cell>
          <cell r="E2577">
            <v>5358.93</v>
          </cell>
          <cell r="F2577">
            <v>7.7437223785166198</v>
          </cell>
        </row>
        <row r="2578">
          <cell r="B2578" t="str">
            <v>70314518</v>
          </cell>
          <cell r="C2578" t="str">
            <v>口留香 手撕肉干(香辣味) 15G</v>
          </cell>
          <cell r="D2578">
            <v>0</v>
          </cell>
          <cell r="E2578">
            <v>0</v>
          </cell>
          <cell r="F2578" t="e">
            <v>#DIV/0!</v>
          </cell>
        </row>
        <row r="2579">
          <cell r="B2579" t="str">
            <v>70314519</v>
          </cell>
          <cell r="C2579" t="str">
            <v>口留香 手撕肉干(麻辣味) 15G</v>
          </cell>
          <cell r="D2579">
            <v>0</v>
          </cell>
          <cell r="E2579">
            <v>0</v>
          </cell>
          <cell r="F2579" t="e">
            <v>#DIV/0!</v>
          </cell>
        </row>
        <row r="2580">
          <cell r="B2580" t="str">
            <v>70314520</v>
          </cell>
          <cell r="C2580" t="str">
            <v>口留香 手撕肉干(烧烤味) 15G</v>
          </cell>
          <cell r="D2580">
            <v>0</v>
          </cell>
          <cell r="E2580">
            <v>0</v>
          </cell>
          <cell r="F2580" t="e">
            <v>#DIV/0!</v>
          </cell>
        </row>
        <row r="2581">
          <cell r="B2581" t="str">
            <v>70314521</v>
          </cell>
          <cell r="C2581" t="str">
            <v>口留香 手撕肉干(五香味) 15G</v>
          </cell>
          <cell r="D2581">
            <v>0</v>
          </cell>
          <cell r="E2581">
            <v>0</v>
          </cell>
          <cell r="F2581" t="e">
            <v>#DIV/0!</v>
          </cell>
        </row>
        <row r="2582">
          <cell r="B2582" t="str">
            <v>70315450</v>
          </cell>
          <cell r="C2582" t="str">
            <v>浦类草原 酱牛肉 (香辣) 150G</v>
          </cell>
          <cell r="D2582">
            <v>66</v>
          </cell>
          <cell r="E2582">
            <v>1127.51</v>
          </cell>
          <cell r="F2582">
            <v>19.304337878787901</v>
          </cell>
        </row>
        <row r="2583">
          <cell r="B2583" t="str">
            <v>70315451</v>
          </cell>
          <cell r="C2583" t="str">
            <v>浦类草原 酱牛肉 (五香) 150G</v>
          </cell>
          <cell r="D2583">
            <v>50</v>
          </cell>
          <cell r="E2583">
            <v>892.12</v>
          </cell>
          <cell r="F2583">
            <v>20.161912000000001</v>
          </cell>
        </row>
        <row r="2584">
          <cell r="B2584" t="str">
            <v>70316294</v>
          </cell>
          <cell r="C2584" t="str">
            <v>徽记 徽记 蒜香花生120G</v>
          </cell>
          <cell r="D2584">
            <v>1140</v>
          </cell>
          <cell r="E2584">
            <v>3884.7</v>
          </cell>
          <cell r="F2584">
            <v>3.8506236842105301</v>
          </cell>
        </row>
        <row r="2585">
          <cell r="B2585" t="str">
            <v>70316359</v>
          </cell>
          <cell r="C2585" t="str">
            <v>百草味 Q弹鱼丸烧烤味 108G</v>
          </cell>
          <cell r="D2585">
            <v>18</v>
          </cell>
          <cell r="E2585">
            <v>132.30000000000001</v>
          </cell>
          <cell r="F2585">
            <v>8.3055000000000003</v>
          </cell>
        </row>
        <row r="2586">
          <cell r="B2586" t="str">
            <v>70316360</v>
          </cell>
          <cell r="C2586" t="str">
            <v>百草味 手撕蟹柳 120G</v>
          </cell>
          <cell r="D2586">
            <v>1058</v>
          </cell>
          <cell r="E2586">
            <v>8844.65</v>
          </cell>
          <cell r="F2586">
            <v>9.4465543478260905</v>
          </cell>
        </row>
        <row r="2587">
          <cell r="B2587" t="str">
            <v>70316987</v>
          </cell>
          <cell r="C2587" t="str">
            <v>千百度 手磨豆干(麻辣味) 130G</v>
          </cell>
          <cell r="D2587">
            <v>1170</v>
          </cell>
          <cell r="E2587">
            <v>4942.92</v>
          </cell>
          <cell r="F2587">
            <v>4.7739312820512803</v>
          </cell>
        </row>
        <row r="2588">
          <cell r="B2588" t="str">
            <v>70317566</v>
          </cell>
          <cell r="C2588" t="str">
            <v>千百度 卤烤鸭小腿(香辣味) 120G</v>
          </cell>
          <cell r="D2588">
            <v>634</v>
          </cell>
          <cell r="E2588">
            <v>5348.17</v>
          </cell>
          <cell r="F2588">
            <v>9.5322272870662506</v>
          </cell>
        </row>
        <row r="2589">
          <cell r="B2589" t="str">
            <v>70317567</v>
          </cell>
          <cell r="C2589" t="str">
            <v>千百度 卤烤鸭小腿(五香味) 120G</v>
          </cell>
          <cell r="D2589">
            <v>463</v>
          </cell>
          <cell r="E2589">
            <v>3906.62</v>
          </cell>
          <cell r="F2589">
            <v>9.5345153347732197</v>
          </cell>
        </row>
        <row r="2590">
          <cell r="B2590" t="str">
            <v>70318091</v>
          </cell>
          <cell r="C2590" t="str">
            <v>卫龙 魔芋爽酸辣素毛肚 78G</v>
          </cell>
          <cell r="D2590">
            <v>1</v>
          </cell>
          <cell r="E2590">
            <v>2.92</v>
          </cell>
          <cell r="F2590">
            <v>3.2995999999999999</v>
          </cell>
        </row>
        <row r="2591">
          <cell r="B2591" t="str">
            <v>70318231</v>
          </cell>
          <cell r="C2591" t="str">
            <v>五号码头 盐焗香辣鸡腿 75G</v>
          </cell>
          <cell r="D2591">
            <v>16</v>
          </cell>
          <cell r="E2591">
            <v>184.08</v>
          </cell>
          <cell r="F2591">
            <v>13.00065</v>
          </cell>
        </row>
        <row r="2592">
          <cell r="B2592" t="str">
            <v>70318232</v>
          </cell>
          <cell r="C2592" t="str">
            <v>五号码头 盐焗香辣鸭小腿 105G</v>
          </cell>
          <cell r="D2592">
            <v>0</v>
          </cell>
          <cell r="E2592">
            <v>0</v>
          </cell>
          <cell r="F2592" t="e">
            <v>#DIV/0!</v>
          </cell>
        </row>
        <row r="2593">
          <cell r="B2593" t="str">
            <v>70318233</v>
          </cell>
          <cell r="C2593" t="str">
            <v>五号码头 酱烤鸭翅根香辣味 105G</v>
          </cell>
          <cell r="D2593">
            <v>5</v>
          </cell>
          <cell r="E2593">
            <v>47.4</v>
          </cell>
          <cell r="F2593">
            <v>10.712400000000001</v>
          </cell>
        </row>
        <row r="2594">
          <cell r="B2594" t="str">
            <v>70318894</v>
          </cell>
          <cell r="C2594" t="str">
            <v>开心熊猫 原味瓜子 156克</v>
          </cell>
          <cell r="D2594">
            <v>12</v>
          </cell>
          <cell r="E2594">
            <v>63.99</v>
          </cell>
          <cell r="F2594">
            <v>6.0257250000000004</v>
          </cell>
        </row>
        <row r="2595">
          <cell r="B2595" t="str">
            <v>70319169</v>
          </cell>
          <cell r="C2595" t="str">
            <v>卧龙 锅巴(麻辣味) 138G</v>
          </cell>
          <cell r="D2595">
            <v>3593</v>
          </cell>
          <cell r="E2595">
            <v>13437.17</v>
          </cell>
          <cell r="F2595">
            <v>4.22599557472864</v>
          </cell>
        </row>
        <row r="2596">
          <cell r="B2596" t="str">
            <v>70319172</v>
          </cell>
          <cell r="C2596" t="str">
            <v>卧龙 小麻花(烧烤味) 138G</v>
          </cell>
          <cell r="D2596">
            <v>2918</v>
          </cell>
          <cell r="E2596">
            <v>10925.6</v>
          </cell>
          <cell r="F2596">
            <v>4.23095544893763</v>
          </cell>
        </row>
        <row r="2597">
          <cell r="B2597" t="str">
            <v>70319173</v>
          </cell>
          <cell r="C2597" t="str">
            <v>卧龙 手工馍片香辣味 138G</v>
          </cell>
          <cell r="D2597">
            <v>14</v>
          </cell>
          <cell r="E2597">
            <v>54.62</v>
          </cell>
          <cell r="F2597">
            <v>4.4086142857142896</v>
          </cell>
        </row>
        <row r="2598">
          <cell r="B2598" t="str">
            <v>70320217</v>
          </cell>
          <cell r="C2598" t="str">
            <v>脆升升 薯条 原味 40G</v>
          </cell>
          <cell r="D2598">
            <v>405</v>
          </cell>
          <cell r="E2598">
            <v>1151.8499999999999</v>
          </cell>
          <cell r="F2598">
            <v>3.2138037037037002</v>
          </cell>
        </row>
        <row r="2599">
          <cell r="B2599" t="str">
            <v>70320218</v>
          </cell>
          <cell r="C2599" t="str">
            <v>脆升升 薯条 番茄味 40G</v>
          </cell>
          <cell r="D2599">
            <v>11</v>
          </cell>
          <cell r="E2599">
            <v>31.17</v>
          </cell>
          <cell r="F2599">
            <v>3.2020090909090899</v>
          </cell>
        </row>
        <row r="2600">
          <cell r="B2600" t="str">
            <v>70320219</v>
          </cell>
          <cell r="C2600" t="str">
            <v>脆升升 薯条 蜂蜜黄油味 40G</v>
          </cell>
          <cell r="D2600">
            <v>307</v>
          </cell>
          <cell r="E2600">
            <v>871.65</v>
          </cell>
          <cell r="F2600">
            <v>3.20835342019544</v>
          </cell>
        </row>
        <row r="2601">
          <cell r="B2601" t="str">
            <v>70320875</v>
          </cell>
          <cell r="C2601" t="str">
            <v>优斯麦尔坚果帮 黑加仑葡萄干 28G</v>
          </cell>
          <cell r="D2601">
            <v>622</v>
          </cell>
          <cell r="E2601">
            <v>1666.25</v>
          </cell>
          <cell r="F2601">
            <v>3.0271101286173598</v>
          </cell>
        </row>
        <row r="2602">
          <cell r="B2602" t="str">
            <v>70320876</v>
          </cell>
          <cell r="C2602" t="str">
            <v>优斯麦尔坚果帮 巴旦木仁(扁桃仁) 22G</v>
          </cell>
          <cell r="D2602">
            <v>106</v>
          </cell>
          <cell r="E2602">
            <v>274.02</v>
          </cell>
          <cell r="F2602">
            <v>2.9211566037735799</v>
          </cell>
        </row>
        <row r="2603">
          <cell r="B2603" t="str">
            <v>70320877</v>
          </cell>
          <cell r="C2603" t="str">
            <v>优斯麦尔坚果帮 红枣干 20G</v>
          </cell>
          <cell r="D2603">
            <v>133</v>
          </cell>
          <cell r="E2603">
            <v>201.49</v>
          </cell>
          <cell r="F2603">
            <v>1.7119075187969901</v>
          </cell>
        </row>
        <row r="2604">
          <cell r="B2604" t="str">
            <v>70320880</v>
          </cell>
          <cell r="C2604" t="str">
            <v>优斯麦尔坚果帮 无花果干 30G</v>
          </cell>
          <cell r="D2604">
            <v>409</v>
          </cell>
          <cell r="E2604">
            <v>1095.3499999999999</v>
          </cell>
          <cell r="F2604">
            <v>3.0262726161369198</v>
          </cell>
        </row>
        <row r="2605">
          <cell r="B2605" t="str">
            <v>70322350</v>
          </cell>
          <cell r="C2605" t="str">
            <v>百草味 芒果干 60G</v>
          </cell>
          <cell r="D2605">
            <v>1242</v>
          </cell>
          <cell r="E2605">
            <v>5642.77</v>
          </cell>
          <cell r="F2605">
            <v>5.1339211755233496</v>
          </cell>
        </row>
        <row r="2606">
          <cell r="B2606" t="str">
            <v>70322351</v>
          </cell>
          <cell r="C2606" t="str">
            <v>百草味 草莓干 50G</v>
          </cell>
          <cell r="D2606">
            <v>1550</v>
          </cell>
          <cell r="E2606">
            <v>7594.88</v>
          </cell>
          <cell r="F2606">
            <v>5.5369125161290302</v>
          </cell>
        </row>
        <row r="2607">
          <cell r="B2607" t="str">
            <v>70322355</v>
          </cell>
          <cell r="C2607" t="str">
            <v>百草味 红杏干 50G</v>
          </cell>
          <cell r="D2607">
            <v>1936</v>
          </cell>
          <cell r="E2607">
            <v>7953.58</v>
          </cell>
          <cell r="F2607">
            <v>4.64232716942149</v>
          </cell>
        </row>
        <row r="2608">
          <cell r="B2608" t="str">
            <v>70322357</v>
          </cell>
          <cell r="C2608" t="str">
            <v>百草味 黄桃干 60G</v>
          </cell>
          <cell r="D2608">
            <v>2467</v>
          </cell>
          <cell r="E2608">
            <v>10123.57</v>
          </cell>
          <cell r="F2608">
            <v>4.6370628698824499</v>
          </cell>
        </row>
        <row r="2609">
          <cell r="B2609" t="str">
            <v>70322400</v>
          </cell>
          <cell r="C2609" t="str">
            <v>五号码头 盐焗鸭小腿 105G*1</v>
          </cell>
          <cell r="D2609">
            <v>29</v>
          </cell>
          <cell r="E2609">
            <v>275.95</v>
          </cell>
          <cell r="F2609">
            <v>10.7525344827586</v>
          </cell>
        </row>
        <row r="2610">
          <cell r="B2610" t="str">
            <v>70322402</v>
          </cell>
          <cell r="C2610" t="str">
            <v>五号码头 蜂蜜酱烤鸭翅根 105G*1</v>
          </cell>
          <cell r="D2610">
            <v>0</v>
          </cell>
          <cell r="E2610">
            <v>0</v>
          </cell>
          <cell r="F2610" t="e">
            <v>#DIV/0!</v>
          </cell>
        </row>
        <row r="2611">
          <cell r="B2611" t="str">
            <v>70323532</v>
          </cell>
          <cell r="C2611" t="str">
            <v>贤哥 魔芋素毛肚(香辣味) 58G</v>
          </cell>
          <cell r="D2611">
            <v>10</v>
          </cell>
          <cell r="E2611">
            <v>31.86</v>
          </cell>
          <cell r="F2611">
            <v>3.6001799999999999</v>
          </cell>
        </row>
        <row r="2612">
          <cell r="B2612" t="str">
            <v>70324312</v>
          </cell>
          <cell r="C2612" t="str">
            <v>百草味 奶油味夏威夷果 100G</v>
          </cell>
          <cell r="D2612">
            <v>0</v>
          </cell>
          <cell r="E2612">
            <v>0</v>
          </cell>
          <cell r="F2612" t="e">
            <v>#DIV/0!</v>
          </cell>
        </row>
        <row r="2613">
          <cell r="B2613" t="str">
            <v>70324373</v>
          </cell>
          <cell r="C2613" t="str">
            <v>卫龙 亲嘴烧麦辣鸡汁味 20G</v>
          </cell>
          <cell r="D2613">
            <v>7760</v>
          </cell>
          <cell r="E2613">
            <v>4958.42</v>
          </cell>
          <cell r="F2613">
            <v>0.72203796391752595</v>
          </cell>
        </row>
        <row r="2614">
          <cell r="B2614" t="str">
            <v>70324887</v>
          </cell>
          <cell r="C2614" t="str">
            <v>卫龙 风吃海带香辣味 50G</v>
          </cell>
          <cell r="D2614">
            <v>22</v>
          </cell>
          <cell r="E2614">
            <v>85.52</v>
          </cell>
          <cell r="F2614">
            <v>4.3926181818181798</v>
          </cell>
        </row>
        <row r="2615">
          <cell r="B2615" t="str">
            <v>70325752</v>
          </cell>
          <cell r="C2615" t="str">
            <v>蜡笔小新 愤怒的小鸟鲜Q果冻爽（黄桃味） 150g</v>
          </cell>
          <cell r="D2615">
            <v>0</v>
          </cell>
          <cell r="E2615">
            <v>0</v>
          </cell>
          <cell r="F2615" t="e">
            <v>#DIV/0!</v>
          </cell>
        </row>
        <row r="2616">
          <cell r="B2616" t="str">
            <v>70327171</v>
          </cell>
          <cell r="C2616" t="str">
            <v>金晔 酵素山楂 108G</v>
          </cell>
          <cell r="D2616">
            <v>191</v>
          </cell>
          <cell r="E2616">
            <v>1504.51</v>
          </cell>
          <cell r="F2616">
            <v>8.9010277486910994</v>
          </cell>
        </row>
        <row r="2617">
          <cell r="B2617" t="str">
            <v>70327172</v>
          </cell>
          <cell r="C2617" t="str">
            <v>金晔 六物山楂条 108G</v>
          </cell>
          <cell r="D2617">
            <v>0</v>
          </cell>
          <cell r="E2617">
            <v>0</v>
          </cell>
          <cell r="F2617" t="e">
            <v>#DIV/0!</v>
          </cell>
        </row>
        <row r="2618">
          <cell r="B2618" t="str">
            <v>70327225</v>
          </cell>
          <cell r="C2618" t="str">
            <v>好丽友 好友趣蜂蜜黄油味 45g</v>
          </cell>
          <cell r="D2618">
            <v>477</v>
          </cell>
          <cell r="E2618">
            <v>1073.24</v>
          </cell>
          <cell r="F2618">
            <v>2.5424763102725398</v>
          </cell>
        </row>
        <row r="2619">
          <cell r="B2619" t="str">
            <v>70327254</v>
          </cell>
          <cell r="C2619" t="str">
            <v>百草味 香蕉脆片 75G</v>
          </cell>
          <cell r="D2619">
            <v>5</v>
          </cell>
          <cell r="E2619">
            <v>22.6</v>
          </cell>
          <cell r="F2619">
            <v>5.1075999999999997</v>
          </cell>
        </row>
        <row r="2620">
          <cell r="B2620" t="str">
            <v>70328880</v>
          </cell>
          <cell r="C2620" t="str">
            <v>走进西域 树上干杏 99G</v>
          </cell>
          <cell r="D2620">
            <v>32</v>
          </cell>
          <cell r="E2620">
            <v>205.53</v>
          </cell>
          <cell r="F2620">
            <v>7.2577781249999997</v>
          </cell>
        </row>
        <row r="2621">
          <cell r="B2621" t="str">
            <v>70329276</v>
          </cell>
          <cell r="C2621" t="str">
            <v>优斯麦尔 草原风味牛肉葱香味 50G</v>
          </cell>
          <cell r="D2621">
            <v>11294</v>
          </cell>
          <cell r="E2621">
            <v>63576.47</v>
          </cell>
          <cell r="F2621">
            <v>6.3610245351514099</v>
          </cell>
        </row>
        <row r="2622">
          <cell r="B2622" t="str">
            <v>70329277</v>
          </cell>
          <cell r="C2622" t="str">
            <v>优斯麦尔 草原风味牛肉芝麻味 50G</v>
          </cell>
          <cell r="D2622">
            <v>12952</v>
          </cell>
          <cell r="E2622">
            <v>72967.789999999994</v>
          </cell>
          <cell r="F2622">
            <v>6.3660903875849302</v>
          </cell>
        </row>
        <row r="2623">
          <cell r="B2623" t="str">
            <v>70329278</v>
          </cell>
          <cell r="C2623" t="str">
            <v>优斯麦尔 草原风味牛肉香辣味 50G</v>
          </cell>
          <cell r="D2623">
            <v>18363</v>
          </cell>
          <cell r="E2623">
            <v>103403.87</v>
          </cell>
          <cell r="F2623">
            <v>6.3631418123400296</v>
          </cell>
        </row>
        <row r="2624">
          <cell r="B2624" t="str">
            <v>70329279</v>
          </cell>
          <cell r="C2624" t="str">
            <v>优斯麦尔 草原风味牛肉麻辣味 50G</v>
          </cell>
          <cell r="D2624">
            <v>17415</v>
          </cell>
          <cell r="E2624">
            <v>98017.279999999999</v>
          </cell>
          <cell r="F2624">
            <v>6.3600072581108202</v>
          </cell>
        </row>
        <row r="2625">
          <cell r="B2625" t="str">
            <v>70330424</v>
          </cell>
          <cell r="C2625" t="str">
            <v>品客 薯片十三香小龙虾味 110G</v>
          </cell>
          <cell r="D2625">
            <v>16</v>
          </cell>
          <cell r="E2625">
            <v>120.15</v>
          </cell>
          <cell r="F2625">
            <v>8.4855937499999996</v>
          </cell>
        </row>
        <row r="2626">
          <cell r="B2626" t="str">
            <v>70330732</v>
          </cell>
          <cell r="C2626" t="str">
            <v>好丽友 呀土豆麻辣小龙虾味 70G</v>
          </cell>
          <cell r="D2626">
            <v>1602</v>
          </cell>
          <cell r="E2626">
            <v>6668.78</v>
          </cell>
          <cell r="F2626">
            <v>4.7039459425717798</v>
          </cell>
        </row>
        <row r="2627">
          <cell r="B2627" t="str">
            <v>70330744</v>
          </cell>
          <cell r="C2627" t="str">
            <v>徽记 坚果小米酥 286G</v>
          </cell>
          <cell r="D2627">
            <v>6</v>
          </cell>
          <cell r="E2627">
            <v>45.84</v>
          </cell>
          <cell r="F2627">
            <v>8.6332000000000004</v>
          </cell>
        </row>
        <row r="2628">
          <cell r="B2628" t="str">
            <v>70330747</v>
          </cell>
          <cell r="C2628" t="str">
            <v>徽记 坚果青稞酥 286G</v>
          </cell>
          <cell r="D2628">
            <v>6</v>
          </cell>
          <cell r="E2628">
            <v>45.84</v>
          </cell>
          <cell r="F2628">
            <v>8.6332000000000004</v>
          </cell>
        </row>
        <row r="2629">
          <cell r="B2629" t="str">
            <v>70334638</v>
          </cell>
          <cell r="C2629" t="str">
            <v>源氏 老式大辣片 148G</v>
          </cell>
          <cell r="D2629">
            <v>20</v>
          </cell>
          <cell r="E2629">
            <v>97.4</v>
          </cell>
          <cell r="F2629">
            <v>5.5030999999999999</v>
          </cell>
        </row>
        <row r="2630">
          <cell r="B2630" t="str">
            <v>70334963</v>
          </cell>
          <cell r="C2630" t="str">
            <v>好丽友 浪里个浪麻辣小龙虾味 65G</v>
          </cell>
          <cell r="D2630">
            <v>19</v>
          </cell>
          <cell r="E2630">
            <v>84.96</v>
          </cell>
          <cell r="F2630">
            <v>5.0528842105263196</v>
          </cell>
        </row>
        <row r="2631">
          <cell r="B2631" t="str">
            <v>70334964</v>
          </cell>
          <cell r="C2631" t="str">
            <v>好丽友 薯愿清新黄瓜味 97g</v>
          </cell>
          <cell r="D2631">
            <v>413</v>
          </cell>
          <cell r="E2631">
            <v>1761.21</v>
          </cell>
          <cell r="F2631">
            <v>4.8188070217917698</v>
          </cell>
        </row>
        <row r="2632">
          <cell r="B2632" t="str">
            <v>70335223</v>
          </cell>
          <cell r="C2632" t="str">
            <v>春光 椰子脆片(原味) 60G</v>
          </cell>
          <cell r="D2632">
            <v>207</v>
          </cell>
          <cell r="E2632">
            <v>1210.19</v>
          </cell>
          <cell r="F2632">
            <v>6.6063512077294702</v>
          </cell>
        </row>
        <row r="2633">
          <cell r="B2633" t="str">
            <v>70336902</v>
          </cell>
          <cell r="C2633" t="str">
            <v>百草味 麻辣牛肉 60G</v>
          </cell>
          <cell r="D2633">
            <v>10</v>
          </cell>
          <cell r="E2633">
            <v>56.12</v>
          </cell>
          <cell r="F2633">
            <v>6.3415600000000003</v>
          </cell>
        </row>
        <row r="2634">
          <cell r="B2634" t="str">
            <v>70342162</v>
          </cell>
          <cell r="C2634" t="str">
            <v>亿家馨 黄酱香鸡爪原味 32克</v>
          </cell>
          <cell r="D2634">
            <v>5</v>
          </cell>
          <cell r="E2634">
            <v>8.85</v>
          </cell>
          <cell r="F2634">
            <v>2.0001000000000002</v>
          </cell>
        </row>
        <row r="2635">
          <cell r="B2635" t="str">
            <v>70342164</v>
          </cell>
          <cell r="C2635" t="str">
            <v>亿家馨 黄酱香鸡爪香辣味 32克</v>
          </cell>
          <cell r="D2635">
            <v>9</v>
          </cell>
          <cell r="E2635">
            <v>15.93</v>
          </cell>
          <cell r="F2635">
            <v>2.0001000000000002</v>
          </cell>
        </row>
        <row r="2636">
          <cell r="B2636" t="str">
            <v>70343252</v>
          </cell>
          <cell r="C2636" t="str">
            <v>恋上鸭 甜辣鸭脖 112G</v>
          </cell>
          <cell r="D2636">
            <v>3</v>
          </cell>
          <cell r="E2636">
            <v>26.55</v>
          </cell>
          <cell r="F2636">
            <v>10.000500000000001</v>
          </cell>
        </row>
        <row r="2637">
          <cell r="B2637" t="str">
            <v>70343256</v>
          </cell>
          <cell r="C2637" t="str">
            <v>恋上鸭 甜辣鸭翅 118G</v>
          </cell>
          <cell r="D2637">
            <v>5</v>
          </cell>
          <cell r="E2637">
            <v>44.25</v>
          </cell>
          <cell r="F2637">
            <v>10.000500000000001</v>
          </cell>
        </row>
        <row r="2638">
          <cell r="B2638" t="str">
            <v>70344759</v>
          </cell>
          <cell r="C2638" t="str">
            <v>洽洽 藤椒瓜子 108G</v>
          </cell>
          <cell r="D2638">
            <v>38</v>
          </cell>
          <cell r="E2638">
            <v>212.56</v>
          </cell>
          <cell r="F2638">
            <v>6.3208631578947401</v>
          </cell>
        </row>
        <row r="2639">
          <cell r="B2639" t="str">
            <v>70346141</v>
          </cell>
          <cell r="C2639" t="str">
            <v>海牧牛坊 海牧牛坊香辣牛肉 50G</v>
          </cell>
          <cell r="D2639">
            <v>0</v>
          </cell>
          <cell r="E2639">
            <v>0</v>
          </cell>
          <cell r="F2639" t="e">
            <v>#DIV/0!</v>
          </cell>
        </row>
        <row r="2640">
          <cell r="B2640" t="str">
            <v>70346143</v>
          </cell>
          <cell r="C2640" t="str">
            <v>海牧牛坊 海牧牛坊葱香牛肉 50G</v>
          </cell>
          <cell r="D2640">
            <v>0</v>
          </cell>
          <cell r="E2640">
            <v>0</v>
          </cell>
          <cell r="F2640" t="e">
            <v>#DIV/0!</v>
          </cell>
        </row>
        <row r="2641">
          <cell r="B2641" t="str">
            <v>70346144</v>
          </cell>
          <cell r="C2641" t="str">
            <v>海牧牛坊 海牧牛坊芝麻牛肉 50G</v>
          </cell>
          <cell r="D2641">
            <v>0</v>
          </cell>
          <cell r="E2641">
            <v>0</v>
          </cell>
          <cell r="F2641" t="e">
            <v>#DIV/0!</v>
          </cell>
        </row>
        <row r="2642">
          <cell r="B2642" t="str">
            <v>70346149</v>
          </cell>
          <cell r="C2642" t="str">
            <v>海牧牛坊 海牧牛坊芝麻牛肉 118G</v>
          </cell>
          <cell r="D2642">
            <v>0</v>
          </cell>
          <cell r="E2642">
            <v>0</v>
          </cell>
          <cell r="F2642" t="e">
            <v>#DIV/0!</v>
          </cell>
        </row>
        <row r="2643">
          <cell r="B2643" t="str">
            <v>70346891</v>
          </cell>
          <cell r="C2643" t="str">
            <v>好巴食 好巴食豆干酱香麻辣味 80g</v>
          </cell>
          <cell r="D2643">
            <v>842</v>
          </cell>
          <cell r="E2643">
            <v>1673.7</v>
          </cell>
          <cell r="F2643">
            <v>2.2461769596199499</v>
          </cell>
        </row>
        <row r="2644">
          <cell r="B2644" t="str">
            <v>70346988</v>
          </cell>
          <cell r="C2644" t="str">
            <v>百草味 碧根果(奶油味) 100G</v>
          </cell>
          <cell r="D2644">
            <v>13</v>
          </cell>
          <cell r="E2644">
            <v>129.4</v>
          </cell>
          <cell r="F2644">
            <v>11.247846153846201</v>
          </cell>
        </row>
        <row r="2645">
          <cell r="B2645" t="str">
            <v>70346996</v>
          </cell>
          <cell r="C2645" t="str">
            <v>百草味 蟹香蚕豆 100G</v>
          </cell>
          <cell r="D2645">
            <v>0</v>
          </cell>
          <cell r="E2645">
            <v>0</v>
          </cell>
          <cell r="F2645" t="e">
            <v>#DIV/0!</v>
          </cell>
        </row>
        <row r="2646">
          <cell r="B2646" t="str">
            <v>70348366</v>
          </cell>
          <cell r="C2646" t="str">
            <v>蒲类草原 香辣手撕牛肉 60G</v>
          </cell>
          <cell r="D2646">
            <v>50</v>
          </cell>
          <cell r="E2646">
            <v>563.82000000000005</v>
          </cell>
          <cell r="F2646">
            <v>12.742331999999999</v>
          </cell>
        </row>
        <row r="2647">
          <cell r="B2647" t="str">
            <v>70348368</v>
          </cell>
          <cell r="C2647" t="str">
            <v>蒲类草原 香辣手撕牛肉 160G</v>
          </cell>
          <cell r="D2647">
            <v>24</v>
          </cell>
          <cell r="E2647">
            <v>771.29</v>
          </cell>
          <cell r="F2647">
            <v>36.3149041666667</v>
          </cell>
        </row>
        <row r="2648">
          <cell r="B2648" t="str">
            <v>70348370</v>
          </cell>
          <cell r="C2648" t="str">
            <v>蒲类草原 五香手撕牛肉 60G</v>
          </cell>
          <cell r="D2648">
            <v>25</v>
          </cell>
          <cell r="E2648">
            <v>253.17</v>
          </cell>
          <cell r="F2648">
            <v>11.443284</v>
          </cell>
        </row>
        <row r="2649">
          <cell r="B2649" t="str">
            <v>70348372</v>
          </cell>
          <cell r="C2649" t="str">
            <v>蒲类草原 五香手撕牛肉 160G</v>
          </cell>
          <cell r="D2649">
            <v>20</v>
          </cell>
          <cell r="E2649">
            <v>663.71</v>
          </cell>
          <cell r="F2649">
            <v>37.499614999999999</v>
          </cell>
        </row>
        <row r="2650">
          <cell r="B2650" t="str">
            <v>70348374</v>
          </cell>
          <cell r="C2650" t="str">
            <v>蒲类草原 麻辣手撕牛肉 60G</v>
          </cell>
          <cell r="D2650">
            <v>101</v>
          </cell>
          <cell r="E2650">
            <v>1058.58</v>
          </cell>
          <cell r="F2650">
            <v>11.8435188118812</v>
          </cell>
        </row>
        <row r="2651">
          <cell r="B2651" t="str">
            <v>70348378</v>
          </cell>
          <cell r="C2651" t="str">
            <v>蒲类草原 烧烤手撕牛肉 60G</v>
          </cell>
          <cell r="D2651">
            <v>25</v>
          </cell>
          <cell r="E2651">
            <v>276.2</v>
          </cell>
          <cell r="F2651">
            <v>12.48424</v>
          </cell>
        </row>
        <row r="2652">
          <cell r="B2652" t="str">
            <v>70348382</v>
          </cell>
          <cell r="C2652" t="str">
            <v>蒲类草原 麻辣卤汁牛肉 60G</v>
          </cell>
          <cell r="D2652">
            <v>190</v>
          </cell>
          <cell r="E2652">
            <v>1292.3499999999999</v>
          </cell>
          <cell r="F2652">
            <v>7.6860815789473698</v>
          </cell>
        </row>
        <row r="2653">
          <cell r="B2653" t="str">
            <v>70348383</v>
          </cell>
          <cell r="C2653" t="str">
            <v>蒲类草原 麻辣卤汁牛肉 160G</v>
          </cell>
          <cell r="D2653">
            <v>22</v>
          </cell>
          <cell r="E2653">
            <v>451.38</v>
          </cell>
          <cell r="F2653">
            <v>23.184518181818198</v>
          </cell>
        </row>
        <row r="2654">
          <cell r="B2654" t="str">
            <v>70348384</v>
          </cell>
          <cell r="C2654" t="str">
            <v>蒲类草原 五香卤汁牛肉 60G</v>
          </cell>
          <cell r="D2654">
            <v>237</v>
          </cell>
          <cell r="E2654">
            <v>1827.35</v>
          </cell>
          <cell r="F2654">
            <v>8.7126814345991495</v>
          </cell>
        </row>
        <row r="2655">
          <cell r="B2655" t="str">
            <v>70348385</v>
          </cell>
          <cell r="C2655" t="str">
            <v>蒲类草原 五香卤汁牛肉 160G</v>
          </cell>
          <cell r="D2655">
            <v>15</v>
          </cell>
          <cell r="E2655">
            <v>287.62</v>
          </cell>
          <cell r="F2655">
            <v>21.667373333333298</v>
          </cell>
        </row>
        <row r="2656">
          <cell r="B2656" t="str">
            <v>70348389</v>
          </cell>
          <cell r="C2656" t="str">
            <v>蒲类草原 香辣卤汁牛肉 60G</v>
          </cell>
          <cell r="D2656">
            <v>155</v>
          </cell>
          <cell r="E2656">
            <v>1170.95</v>
          </cell>
          <cell r="F2656">
            <v>8.5366032258064504</v>
          </cell>
        </row>
        <row r="2657">
          <cell r="B2657" t="str">
            <v>70348394</v>
          </cell>
          <cell r="C2657" t="str">
            <v>蒲类草原 香辣卤汁牛肉 160G</v>
          </cell>
          <cell r="D2657">
            <v>10</v>
          </cell>
          <cell r="E2657">
            <v>221.24</v>
          </cell>
          <cell r="F2657">
            <v>25.000119999999999</v>
          </cell>
        </row>
        <row r="2658">
          <cell r="B2658" t="str">
            <v>70349588</v>
          </cell>
          <cell r="C2658" t="str">
            <v>百草味 多味花生 100G</v>
          </cell>
          <cell r="D2658">
            <v>1092</v>
          </cell>
          <cell r="E2658">
            <v>2789.69</v>
          </cell>
          <cell r="F2658">
            <v>2.88676712454212</v>
          </cell>
        </row>
        <row r="2659">
          <cell r="B2659" t="str">
            <v>70350169</v>
          </cell>
          <cell r="C2659" t="str">
            <v>玉峰 麻辣王子面筯 110G</v>
          </cell>
          <cell r="D2659">
            <v>905</v>
          </cell>
          <cell r="E2659">
            <v>3975.17</v>
          </cell>
          <cell r="F2659">
            <v>4.9634719337016602</v>
          </cell>
        </row>
        <row r="2660">
          <cell r="B2660" t="str">
            <v>70350170</v>
          </cell>
          <cell r="C2660" t="str">
            <v>麻辣王子 地道辣条很麻很辣 18g</v>
          </cell>
          <cell r="D2660">
            <v>15487</v>
          </cell>
          <cell r="E2660">
            <v>10348.52</v>
          </cell>
          <cell r="F2660">
            <v>0.75507377800736097</v>
          </cell>
        </row>
        <row r="2661">
          <cell r="B2661" t="str">
            <v>70351066</v>
          </cell>
          <cell r="C2661" t="str">
            <v>贤哥 兄弟联盟 101G</v>
          </cell>
          <cell r="D2661">
            <v>1355</v>
          </cell>
          <cell r="E2661">
            <v>3974.11</v>
          </cell>
          <cell r="F2661">
            <v>3.3142024354243498</v>
          </cell>
        </row>
        <row r="2662">
          <cell r="B2662" t="str">
            <v>70355126</v>
          </cell>
          <cell r="C2662" t="str">
            <v>华味亨 陈皮梅饼 52G</v>
          </cell>
          <cell r="D2662">
            <v>7</v>
          </cell>
          <cell r="E2662">
            <v>49.56</v>
          </cell>
          <cell r="F2662">
            <v>8.0004000000000008</v>
          </cell>
        </row>
        <row r="2663">
          <cell r="B2663" t="str">
            <v>70358995</v>
          </cell>
          <cell r="C2663" t="str">
            <v>口留乡 手撕鸭排香辣味 288G</v>
          </cell>
          <cell r="D2663">
            <v>3</v>
          </cell>
          <cell r="E2663">
            <v>23.89</v>
          </cell>
          <cell r="F2663">
            <v>8.9985666666666706</v>
          </cell>
        </row>
        <row r="2664">
          <cell r="B2664" t="str">
            <v>70359410</v>
          </cell>
          <cell r="C2664" t="str">
            <v>天山小哥 香酥鹰嘴豆单口味 240G</v>
          </cell>
          <cell r="D2664">
            <v>12</v>
          </cell>
          <cell r="E2664">
            <v>100.41</v>
          </cell>
          <cell r="F2664">
            <v>9.4552750000000003</v>
          </cell>
        </row>
        <row r="2665">
          <cell r="B2665" t="str">
            <v>70363827</v>
          </cell>
          <cell r="C2665" t="str">
            <v>养生堂 母亲原切牛肉片原味 40g</v>
          </cell>
          <cell r="D2665">
            <v>0</v>
          </cell>
          <cell r="E2665">
            <v>0</v>
          </cell>
          <cell r="F2665" t="e">
            <v>#DIV/0!</v>
          </cell>
        </row>
        <row r="2666">
          <cell r="B2666" t="str">
            <v>70363830</v>
          </cell>
          <cell r="C2666" t="str">
            <v>养生堂 母亲原切牛肉片魔鬼椒味 40g</v>
          </cell>
          <cell r="D2666">
            <v>0</v>
          </cell>
          <cell r="E2666">
            <v>0</v>
          </cell>
          <cell r="F2666" t="e">
            <v>#DIV/0!</v>
          </cell>
        </row>
        <row r="2667">
          <cell r="B2667" t="str">
            <v>70363860</v>
          </cell>
          <cell r="C2667" t="str">
            <v>百草味 鱼豆腐（香辣味） 185G</v>
          </cell>
          <cell r="D2667">
            <v>1022</v>
          </cell>
          <cell r="E2667">
            <v>7615.32</v>
          </cell>
          <cell r="F2667">
            <v>8.4200700587084096</v>
          </cell>
        </row>
        <row r="2668">
          <cell r="B2668" t="str">
            <v>70364391</v>
          </cell>
          <cell r="C2668" t="str">
            <v>品嫩 竹笋（山椒味） 90G</v>
          </cell>
          <cell r="D2668">
            <v>11</v>
          </cell>
          <cell r="E2668">
            <v>55.55</v>
          </cell>
          <cell r="F2668">
            <v>5.7065000000000001</v>
          </cell>
        </row>
        <row r="2669">
          <cell r="B2669" t="str">
            <v>70365203</v>
          </cell>
          <cell r="C2669" t="str">
            <v>玉峰 麻辣王子 辣条 90G</v>
          </cell>
          <cell r="D2669">
            <v>1266</v>
          </cell>
          <cell r="E2669">
            <v>4405.82</v>
          </cell>
          <cell r="F2669">
            <v>3.9325249605055301</v>
          </cell>
        </row>
        <row r="2670">
          <cell r="B2670" t="str">
            <v>70365342</v>
          </cell>
          <cell r="C2670" t="str">
            <v>周黑鸭 卤鸭翅中 75G</v>
          </cell>
          <cell r="D2670">
            <v>2</v>
          </cell>
          <cell r="E2670">
            <v>19.12</v>
          </cell>
          <cell r="F2670">
            <v>10.8028</v>
          </cell>
        </row>
        <row r="2671">
          <cell r="B2671" t="str">
            <v>70365343</v>
          </cell>
          <cell r="C2671" t="str">
            <v>周黑鸭 卤鸭掌 88G</v>
          </cell>
          <cell r="D2671">
            <v>1</v>
          </cell>
          <cell r="E2671">
            <v>9.56</v>
          </cell>
          <cell r="F2671">
            <v>10.8028</v>
          </cell>
        </row>
        <row r="2672">
          <cell r="B2672" t="str">
            <v>70365372</v>
          </cell>
          <cell r="C2672" t="str">
            <v>好客湘 盐焗鸡腿 70G</v>
          </cell>
          <cell r="D2672">
            <v>99</v>
          </cell>
          <cell r="E2672">
            <v>885.05</v>
          </cell>
          <cell r="F2672">
            <v>10.1020858585859</v>
          </cell>
        </row>
        <row r="2673">
          <cell r="B2673" t="str">
            <v>70365387</v>
          </cell>
          <cell r="C2673" t="str">
            <v>好客湘 精武鸭脖 72G</v>
          </cell>
          <cell r="D2673">
            <v>310</v>
          </cell>
          <cell r="E2673">
            <v>2134.5700000000002</v>
          </cell>
          <cell r="F2673">
            <v>7.7808519354838701</v>
          </cell>
        </row>
        <row r="2674">
          <cell r="B2674" t="str">
            <v>70365389</v>
          </cell>
          <cell r="C2674" t="str">
            <v>好客湘 藤椒味鸭锁骨 80G</v>
          </cell>
          <cell r="D2674">
            <v>174</v>
          </cell>
          <cell r="E2674">
            <v>1203.3499999999999</v>
          </cell>
          <cell r="F2674">
            <v>7.8148591954022999</v>
          </cell>
        </row>
        <row r="2675">
          <cell r="B2675" t="str">
            <v>70365392</v>
          </cell>
          <cell r="C2675" t="str">
            <v>好客湘 精武鸭翅根 88G</v>
          </cell>
          <cell r="D2675">
            <v>167</v>
          </cell>
          <cell r="E2675">
            <v>1151.8800000000001</v>
          </cell>
          <cell r="F2675">
            <v>7.7941580838323397</v>
          </cell>
        </row>
        <row r="2676">
          <cell r="B2676" t="str">
            <v>70365393</v>
          </cell>
          <cell r="C2676" t="str">
            <v>好客湘 精武小鸡腿 90G</v>
          </cell>
          <cell r="D2676">
            <v>219</v>
          </cell>
          <cell r="E2676">
            <v>1753.5</v>
          </cell>
          <cell r="F2676">
            <v>9.0477397260274</v>
          </cell>
        </row>
        <row r="2677">
          <cell r="B2677" t="str">
            <v>70365394</v>
          </cell>
          <cell r="C2677" t="str">
            <v>好客湘 山椒泡凤爪 150G</v>
          </cell>
          <cell r="D2677">
            <v>130</v>
          </cell>
          <cell r="E2677">
            <v>1201.97</v>
          </cell>
          <cell r="F2677">
            <v>10.4478930769231</v>
          </cell>
        </row>
        <row r="2678">
          <cell r="B2678" t="str">
            <v>70365395</v>
          </cell>
          <cell r="C2678" t="str">
            <v>好客湘 小鱼仔酱汁味 12G</v>
          </cell>
          <cell r="D2678">
            <v>7631</v>
          </cell>
          <cell r="E2678">
            <v>4803.8100000000004</v>
          </cell>
          <cell r="F2678">
            <v>0.71134914165902197</v>
          </cell>
        </row>
        <row r="2679">
          <cell r="B2679" t="str">
            <v>70365399</v>
          </cell>
          <cell r="C2679" t="str">
            <v>好客湘 小鱼仔诱辣味 12G</v>
          </cell>
          <cell r="D2679">
            <v>5975</v>
          </cell>
          <cell r="E2679">
            <v>3761.62</v>
          </cell>
          <cell r="F2679">
            <v>0.71140261087866097</v>
          </cell>
        </row>
        <row r="2680">
          <cell r="B2680" t="str">
            <v>70366130</v>
          </cell>
          <cell r="C2680" t="str">
            <v>草原情 双莓奶酥 100G</v>
          </cell>
          <cell r="D2680">
            <v>54</v>
          </cell>
          <cell r="E2680">
            <v>329.94</v>
          </cell>
          <cell r="F2680">
            <v>6.9043000000000001</v>
          </cell>
        </row>
        <row r="2681">
          <cell r="B2681" t="str">
            <v>70366131</v>
          </cell>
          <cell r="C2681" t="str">
            <v>草原情 芒果奶干 100G</v>
          </cell>
          <cell r="D2681">
            <v>26</v>
          </cell>
          <cell r="E2681">
            <v>158.86000000000001</v>
          </cell>
          <cell r="F2681">
            <v>6.9043000000000001</v>
          </cell>
        </row>
        <row r="2682">
          <cell r="B2682" t="str">
            <v>70368250</v>
          </cell>
          <cell r="C2682" t="str">
            <v>徽记 坚果乐香酥286G 16</v>
          </cell>
          <cell r="D2682">
            <v>13</v>
          </cell>
          <cell r="E2682">
            <v>99.32</v>
          </cell>
          <cell r="F2682">
            <v>8.6332000000000004</v>
          </cell>
        </row>
        <row r="2683">
          <cell r="B2683" t="str">
            <v>70368299</v>
          </cell>
          <cell r="C2683" t="str">
            <v>养生堂 母亲原切牛肉片黑胡椒味 40g</v>
          </cell>
          <cell r="D2683">
            <v>0</v>
          </cell>
          <cell r="E2683">
            <v>0</v>
          </cell>
          <cell r="F2683" t="e">
            <v>#DIV/0!</v>
          </cell>
        </row>
        <row r="2684">
          <cell r="B2684" t="str">
            <v>70368622</v>
          </cell>
          <cell r="C2684" t="str">
            <v>米老头台湾风味米苏醇酱蛋黄味156g</v>
          </cell>
          <cell r="D2684">
            <v>7</v>
          </cell>
          <cell r="E2684">
            <v>32.229999999999997</v>
          </cell>
          <cell r="F2684">
            <v>5.2028428571428602</v>
          </cell>
        </row>
        <row r="2685">
          <cell r="B2685" t="str">
            <v>70368624</v>
          </cell>
          <cell r="C2685" t="str">
            <v>米老头台湾风味米苏咸香芝士味156g</v>
          </cell>
          <cell r="D2685">
            <v>6</v>
          </cell>
          <cell r="E2685">
            <v>27.64</v>
          </cell>
          <cell r="F2685">
            <v>5.2055333333333298</v>
          </cell>
        </row>
        <row r="2686">
          <cell r="B2686" t="str">
            <v>70368814</v>
          </cell>
          <cell r="C2686" t="str">
            <v>香香嘴 辣来辣去臭干子 90G/袋</v>
          </cell>
          <cell r="D2686">
            <v>71</v>
          </cell>
          <cell r="E2686">
            <v>104.41</v>
          </cell>
          <cell r="F2686">
            <v>1.6617366197183101</v>
          </cell>
        </row>
        <row r="2687">
          <cell r="B2687" t="str">
            <v>70368817</v>
          </cell>
          <cell r="C2687" t="str">
            <v>香香嘴 大串烧香辣味 90G/袋</v>
          </cell>
          <cell r="D2687">
            <v>1586</v>
          </cell>
          <cell r="E2687">
            <v>4944.09</v>
          </cell>
          <cell r="F2687">
            <v>3.5225861916771701</v>
          </cell>
        </row>
        <row r="2688">
          <cell r="B2688" t="str">
            <v>70369566</v>
          </cell>
          <cell r="C2688" t="str">
            <v>亿家馨 嗨脖黑鸭味43G 1*1个</v>
          </cell>
          <cell r="D2688">
            <v>42</v>
          </cell>
          <cell r="E2688">
            <v>74.34</v>
          </cell>
          <cell r="F2688">
            <v>2.0001000000000002</v>
          </cell>
        </row>
        <row r="2689">
          <cell r="B2689" t="str">
            <v>70369568</v>
          </cell>
          <cell r="C2689" t="str">
            <v>亿家馨 嗨脖香辣味43G 1*1个</v>
          </cell>
          <cell r="D2689">
            <v>78</v>
          </cell>
          <cell r="E2689">
            <v>138.06</v>
          </cell>
          <cell r="F2689">
            <v>2.0001000000000002</v>
          </cell>
        </row>
        <row r="2690">
          <cell r="B2690" t="str">
            <v>70372622</v>
          </cell>
          <cell r="C2690" t="str">
            <v>百草味 吮指麻辣豆皮 65G</v>
          </cell>
          <cell r="D2690">
            <v>0</v>
          </cell>
          <cell r="E2690">
            <v>0</v>
          </cell>
          <cell r="F2690" t="e">
            <v>#DIV/0!</v>
          </cell>
        </row>
        <row r="2691">
          <cell r="B2691" t="str">
            <v>70373278</v>
          </cell>
          <cell r="C2691" t="str">
            <v>森活密语 琥珀核桃仁 100G/罐</v>
          </cell>
          <cell r="D2691">
            <v>136</v>
          </cell>
          <cell r="E2691">
            <v>1314.29</v>
          </cell>
          <cell r="F2691">
            <v>10.920203676470599</v>
          </cell>
        </row>
        <row r="2692">
          <cell r="B2692" t="str">
            <v>70373281</v>
          </cell>
          <cell r="C2692" t="str">
            <v>森活密语 蜂蜜核桃仁 100G/罐</v>
          </cell>
          <cell r="D2692">
            <v>73</v>
          </cell>
          <cell r="E2692">
            <v>710.73</v>
          </cell>
          <cell r="F2692">
            <v>11.0017109589041</v>
          </cell>
        </row>
        <row r="2693">
          <cell r="B2693" t="str">
            <v>70373284</v>
          </cell>
          <cell r="C2693" t="str">
            <v>森活密语 薄皮核桃奶香味 500g</v>
          </cell>
          <cell r="D2693">
            <v>44</v>
          </cell>
          <cell r="E2693">
            <v>553.29</v>
          </cell>
          <cell r="F2693">
            <v>14.2094931818182</v>
          </cell>
        </row>
        <row r="2694">
          <cell r="B2694" t="str">
            <v>70373504</v>
          </cell>
          <cell r="C2694" t="str">
            <v>源氏 烤豆皮 65G</v>
          </cell>
          <cell r="D2694">
            <v>8</v>
          </cell>
          <cell r="E2694">
            <v>24.8</v>
          </cell>
          <cell r="F2694">
            <v>3.5030000000000001</v>
          </cell>
        </row>
        <row r="2695">
          <cell r="B2695" t="str">
            <v>70375558</v>
          </cell>
          <cell r="C2695" t="str">
            <v>贤哥 香辣味素肉串 90G</v>
          </cell>
          <cell r="D2695">
            <v>1271</v>
          </cell>
          <cell r="E2695">
            <v>3737.45</v>
          </cell>
          <cell r="F2695">
            <v>3.3228312352478402</v>
          </cell>
        </row>
        <row r="2696">
          <cell r="B2696" t="str">
            <v>70375833</v>
          </cell>
          <cell r="C2696" t="str">
            <v>三只松鼠 芒果干 100G</v>
          </cell>
          <cell r="D2696">
            <v>2</v>
          </cell>
          <cell r="E2696">
            <v>14.16</v>
          </cell>
          <cell r="F2696">
            <v>8.0004000000000008</v>
          </cell>
        </row>
        <row r="2697">
          <cell r="B2697" t="str">
            <v>70375963</v>
          </cell>
          <cell r="C2697" t="str">
            <v>甘源 多味花生 258G</v>
          </cell>
          <cell r="D2697">
            <v>565</v>
          </cell>
          <cell r="E2697">
            <v>4964.04</v>
          </cell>
          <cell r="F2697">
            <v>9.9280799999999996</v>
          </cell>
        </row>
        <row r="2698">
          <cell r="B2698" t="str">
            <v>70376641</v>
          </cell>
          <cell r="C2698" t="str">
            <v>溜溜梅 国风版青梅全家桶 480G</v>
          </cell>
          <cell r="D2698">
            <v>671</v>
          </cell>
          <cell r="E2698">
            <v>16444.13</v>
          </cell>
          <cell r="F2698">
            <v>27.692797168405399</v>
          </cell>
        </row>
        <row r="2699">
          <cell r="B2699" t="str">
            <v>70376790</v>
          </cell>
          <cell r="C2699" t="str">
            <v>张飞 香辣灯影丝 45G</v>
          </cell>
          <cell r="D2699">
            <v>785</v>
          </cell>
          <cell r="E2699">
            <v>5224.1000000000004</v>
          </cell>
          <cell r="F2699">
            <v>7.5200420382165598</v>
          </cell>
        </row>
        <row r="2700">
          <cell r="B2700" t="str">
            <v>70376791</v>
          </cell>
          <cell r="C2700" t="str">
            <v>张飞 五香灯影 45G</v>
          </cell>
          <cell r="D2700">
            <v>3</v>
          </cell>
          <cell r="E2700">
            <v>19.920000000000002</v>
          </cell>
          <cell r="F2700">
            <v>7.5031999999999996</v>
          </cell>
        </row>
        <row r="2701">
          <cell r="B2701" t="str">
            <v>70377263</v>
          </cell>
          <cell r="C2701" t="str">
            <v>溜溜梅 青梅蒟蒻梅冻 120G</v>
          </cell>
          <cell r="D2701">
            <v>388</v>
          </cell>
          <cell r="E2701">
            <v>1828.9</v>
          </cell>
          <cell r="F2701">
            <v>5.3264355670103098</v>
          </cell>
        </row>
        <row r="2702">
          <cell r="B2702" t="str">
            <v>70377268</v>
          </cell>
          <cell r="C2702" t="str">
            <v>溜溜梅 百香果蒟蒻梅冻 120G</v>
          </cell>
          <cell r="D2702">
            <v>640</v>
          </cell>
          <cell r="E2702">
            <v>3552.96</v>
          </cell>
          <cell r="F2702">
            <v>6.2731950000000003</v>
          </cell>
        </row>
        <row r="2703">
          <cell r="B2703" t="str">
            <v>70377276</v>
          </cell>
          <cell r="C2703" t="str">
            <v>溜溜梅 芒果蒟蒻梅冻 120G</v>
          </cell>
          <cell r="D2703">
            <v>907</v>
          </cell>
          <cell r="E2703">
            <v>5041.6499999999996</v>
          </cell>
          <cell r="F2703">
            <v>6.2812177508269</v>
          </cell>
        </row>
        <row r="2704">
          <cell r="B2704" t="str">
            <v>70378654</v>
          </cell>
          <cell r="C2704" t="str">
            <v>雪山果园 坚果粹切糕（酸奶味） 65G</v>
          </cell>
          <cell r="D2704">
            <v>17</v>
          </cell>
          <cell r="E2704">
            <v>97.83</v>
          </cell>
          <cell r="F2704">
            <v>6.5028176470588201</v>
          </cell>
        </row>
        <row r="2705">
          <cell r="B2705" t="str">
            <v>70378656</v>
          </cell>
          <cell r="C2705" t="str">
            <v>雪山果园 坚果粹切糕（牛奶味） 65G</v>
          </cell>
          <cell r="D2705">
            <v>23</v>
          </cell>
          <cell r="E2705">
            <v>132.4</v>
          </cell>
          <cell r="F2705">
            <v>6.5048695652173896</v>
          </cell>
        </row>
        <row r="2706">
          <cell r="B2706" t="str">
            <v>70378962</v>
          </cell>
          <cell r="C2706" t="str">
            <v>百草味 牛板筋（麻辣味） 63G</v>
          </cell>
          <cell r="D2706">
            <v>17</v>
          </cell>
          <cell r="E2706">
            <v>144.63</v>
          </cell>
          <cell r="F2706">
            <v>9.6136411764705905</v>
          </cell>
        </row>
        <row r="2707">
          <cell r="B2707" t="str">
            <v>70378985</v>
          </cell>
          <cell r="C2707" t="str">
            <v>百草味 鸭锁骨（甜辣味） 140G</v>
          </cell>
          <cell r="D2707">
            <v>0</v>
          </cell>
          <cell r="E2707">
            <v>0</v>
          </cell>
          <cell r="F2707" t="e">
            <v>#DIV/0!</v>
          </cell>
        </row>
        <row r="2708">
          <cell r="B2708" t="str">
            <v>70379039</v>
          </cell>
          <cell r="C2708" t="str">
            <v>喜之郎 草莓酱沾粉果冻桶装 135G</v>
          </cell>
          <cell r="D2708">
            <v>1</v>
          </cell>
          <cell r="E2708">
            <v>3.63</v>
          </cell>
          <cell r="F2708">
            <v>4.1018999999999997</v>
          </cell>
        </row>
        <row r="2709">
          <cell r="B2709" t="str">
            <v>70379167</v>
          </cell>
          <cell r="C2709" t="str">
            <v>沙发猫 手撕蟹味棒香辣味 75G</v>
          </cell>
          <cell r="D2709">
            <v>132</v>
          </cell>
          <cell r="E2709">
            <v>1315.31</v>
          </cell>
          <cell r="F2709">
            <v>11.2598507575758</v>
          </cell>
        </row>
        <row r="2710">
          <cell r="B2710" t="str">
            <v>70379314</v>
          </cell>
          <cell r="C2710" t="str">
            <v>永健 香辣味手撕肉干 12G</v>
          </cell>
          <cell r="D2710">
            <v>8</v>
          </cell>
          <cell r="E2710">
            <v>10.64</v>
          </cell>
          <cell r="F2710">
            <v>1.5028999999999999</v>
          </cell>
        </row>
        <row r="2711">
          <cell r="B2711" t="str">
            <v>70379315</v>
          </cell>
          <cell r="C2711" t="str">
            <v>永健 香卤味手撕肉干 12G</v>
          </cell>
          <cell r="D2711">
            <v>20</v>
          </cell>
          <cell r="E2711">
            <v>26.6</v>
          </cell>
          <cell r="F2711">
            <v>1.5028999999999999</v>
          </cell>
        </row>
        <row r="2712">
          <cell r="B2712" t="str">
            <v>70379337</v>
          </cell>
          <cell r="C2712" t="str">
            <v>沙发猫 香烤猪肉脯 65G</v>
          </cell>
          <cell r="D2712">
            <v>36</v>
          </cell>
          <cell r="E2712">
            <v>438.72</v>
          </cell>
          <cell r="F2712">
            <v>13.7709333333333</v>
          </cell>
        </row>
        <row r="2713">
          <cell r="B2713" t="str">
            <v>70379447</v>
          </cell>
          <cell r="C2713" t="str">
            <v>奥赛 草莓山楂条 118G</v>
          </cell>
          <cell r="D2713">
            <v>7</v>
          </cell>
          <cell r="E2713">
            <v>32.840000000000003</v>
          </cell>
          <cell r="F2713">
            <v>5.3013142857142901</v>
          </cell>
        </row>
        <row r="2714">
          <cell r="B2714" t="str">
            <v>70381275</v>
          </cell>
          <cell r="C2714" t="str">
            <v>好客湘 山药脆片蜜汁鸡翅味 90G</v>
          </cell>
          <cell r="D2714">
            <v>8</v>
          </cell>
          <cell r="E2714">
            <v>35.4</v>
          </cell>
          <cell r="F2714">
            <v>5.0002500000000003</v>
          </cell>
        </row>
        <row r="2715">
          <cell r="B2715" t="str">
            <v>70381276</v>
          </cell>
          <cell r="C2715" t="str">
            <v>好客湘 香辣鸡脖 40G</v>
          </cell>
          <cell r="D2715">
            <v>60</v>
          </cell>
          <cell r="E2715">
            <v>102.6</v>
          </cell>
          <cell r="F2715">
            <v>1.9322999999999999</v>
          </cell>
        </row>
        <row r="2716">
          <cell r="B2716" t="str">
            <v>70381277</v>
          </cell>
          <cell r="C2716" t="str">
            <v>好客湘 火宫殿长沙臭豆腐香辣味 108G</v>
          </cell>
          <cell r="D2716">
            <v>1216</v>
          </cell>
          <cell r="E2716">
            <v>7299.62</v>
          </cell>
          <cell r="F2716">
            <v>6.78336398026316</v>
          </cell>
        </row>
        <row r="2717">
          <cell r="B2717" t="str">
            <v>70382632</v>
          </cell>
          <cell r="C2717" t="str">
            <v>大丰 原味瓜子 300G</v>
          </cell>
          <cell r="D2717">
            <v>0</v>
          </cell>
          <cell r="E2717">
            <v>0</v>
          </cell>
          <cell r="F2717" t="e">
            <v>#DIV/0!</v>
          </cell>
        </row>
        <row r="2718">
          <cell r="B2718" t="str">
            <v>70382788</v>
          </cell>
          <cell r="C2718" t="str">
            <v>卫龙 亲嘴烧经典香辣风味 90g</v>
          </cell>
          <cell r="D2718">
            <v>0</v>
          </cell>
          <cell r="E2718">
            <v>0</v>
          </cell>
          <cell r="F2718" t="e">
            <v>#DIV/0!</v>
          </cell>
        </row>
        <row r="2719">
          <cell r="B2719" t="str">
            <v>70382832</v>
          </cell>
          <cell r="C2719" t="str">
            <v>恋上鸭 香烤鸭翅根 120G</v>
          </cell>
          <cell r="D2719">
            <v>84</v>
          </cell>
          <cell r="E2719">
            <v>721.37</v>
          </cell>
          <cell r="F2719">
            <v>9.7041440476190495</v>
          </cell>
        </row>
        <row r="2720">
          <cell r="B2720" t="str">
            <v>70382835</v>
          </cell>
          <cell r="C2720" t="str">
            <v>恋上鸭 甜辣鸭掌 90G</v>
          </cell>
          <cell r="D2720">
            <v>3</v>
          </cell>
          <cell r="E2720">
            <v>26.55</v>
          </cell>
          <cell r="F2720">
            <v>10.000500000000001</v>
          </cell>
        </row>
        <row r="2721">
          <cell r="B2721" t="str">
            <v>70382975</v>
          </cell>
          <cell r="C2721" t="str">
            <v>麻辣王子 麻辣王子微麻微辣 110G</v>
          </cell>
          <cell r="D2721">
            <v>1009</v>
          </cell>
          <cell r="E2721">
            <v>4399.05</v>
          </cell>
          <cell r="F2721">
            <v>4.9265872150644201</v>
          </cell>
        </row>
        <row r="2722">
          <cell r="B2722" t="str">
            <v>70383214</v>
          </cell>
          <cell r="C2722" t="str">
            <v>随园 小酒花生麻辣味 180G</v>
          </cell>
          <cell r="D2722">
            <v>0</v>
          </cell>
          <cell r="E2722">
            <v>0</v>
          </cell>
          <cell r="F2722" t="e">
            <v>#DIV/0!</v>
          </cell>
        </row>
        <row r="2723">
          <cell r="B2723" t="str">
            <v>70386250</v>
          </cell>
          <cell r="C2723" t="str">
            <v>甘源 牛排味兰花豆 75G</v>
          </cell>
          <cell r="D2723">
            <v>1374</v>
          </cell>
          <cell r="E2723">
            <v>3760.32</v>
          </cell>
          <cell r="F2723">
            <v>3.0925484716157201</v>
          </cell>
        </row>
        <row r="2724">
          <cell r="B2724" t="str">
            <v>70386346</v>
          </cell>
          <cell r="C2724" t="str">
            <v>良品铺子-芒果干 80g</v>
          </cell>
          <cell r="D2724">
            <v>8</v>
          </cell>
          <cell r="E2724">
            <v>58.78</v>
          </cell>
          <cell r="F2724">
            <v>8.3026750000000007</v>
          </cell>
        </row>
        <row r="2725">
          <cell r="B2725" t="str">
            <v>70389751</v>
          </cell>
          <cell r="C2725" t="str">
            <v>花椒世家 花椒锅巴麻辣味 158g</v>
          </cell>
          <cell r="D2725">
            <v>657</v>
          </cell>
          <cell r="E2725">
            <v>2873.26</v>
          </cell>
          <cell r="F2725">
            <v>4.9418322678843198</v>
          </cell>
        </row>
        <row r="2726">
          <cell r="B2726" t="str">
            <v>70389752</v>
          </cell>
          <cell r="C2726" t="str">
            <v>花椒世家 花椒锅巴爆辣味 158g</v>
          </cell>
          <cell r="D2726">
            <v>653</v>
          </cell>
          <cell r="E2726">
            <v>3020.83</v>
          </cell>
          <cell r="F2726">
            <v>5.2274699846860599</v>
          </cell>
        </row>
        <row r="2727">
          <cell r="B2727" t="str">
            <v>70390856</v>
          </cell>
          <cell r="C2727" t="str">
            <v>好客湘 精武凤爪 72G</v>
          </cell>
          <cell r="D2727">
            <v>200</v>
          </cell>
          <cell r="E2727">
            <v>1787.99</v>
          </cell>
          <cell r="F2727">
            <v>10.1021435</v>
          </cell>
        </row>
        <row r="2728">
          <cell r="B2728" t="str">
            <v>70390858</v>
          </cell>
          <cell r="C2728" t="str">
            <v>好客湘 精武鸭翅 72G</v>
          </cell>
          <cell r="D2728">
            <v>406</v>
          </cell>
          <cell r="E2728">
            <v>2796.96</v>
          </cell>
          <cell r="F2728">
            <v>7.7846423645320204</v>
          </cell>
        </row>
        <row r="2729">
          <cell r="B2729" t="str">
            <v>70390860</v>
          </cell>
          <cell r="C2729" t="str">
            <v>好客湘 藤椒鸭脖 72G</v>
          </cell>
          <cell r="D2729">
            <v>55</v>
          </cell>
          <cell r="E2729">
            <v>387.51</v>
          </cell>
          <cell r="F2729">
            <v>7.9615690909090899</v>
          </cell>
        </row>
        <row r="2730">
          <cell r="B2730" t="str">
            <v>70390862</v>
          </cell>
          <cell r="C2730" t="str">
            <v>好客湘 藤椒鸭翅根 88G</v>
          </cell>
          <cell r="D2730">
            <v>66</v>
          </cell>
          <cell r="E2730">
            <v>461.4</v>
          </cell>
          <cell r="F2730">
            <v>7.8997272727272696</v>
          </cell>
        </row>
        <row r="2731">
          <cell r="B2731" t="str">
            <v>70390865</v>
          </cell>
          <cell r="C2731" t="str">
            <v>好客湘 全蛋鸡蛋干五香味 100G</v>
          </cell>
          <cell r="D2731">
            <v>952</v>
          </cell>
          <cell r="E2731">
            <v>4871.97</v>
          </cell>
          <cell r="F2731">
            <v>5.7829055672268899</v>
          </cell>
        </row>
        <row r="2732">
          <cell r="B2732" t="str">
            <v>70392465</v>
          </cell>
          <cell r="C2732" t="str">
            <v>品品 逗嘴柠檬酸辣味凤爪 150G</v>
          </cell>
          <cell r="D2732">
            <v>813</v>
          </cell>
          <cell r="E2732">
            <v>9596.17</v>
          </cell>
          <cell r="F2732">
            <v>13.3378500615006</v>
          </cell>
        </row>
        <row r="2733">
          <cell r="B2733" t="str">
            <v>70392470</v>
          </cell>
          <cell r="C2733" t="str">
            <v>品品 逗嘴虎皮香辣味凤爪 150G</v>
          </cell>
          <cell r="D2733">
            <v>51</v>
          </cell>
          <cell r="E2733">
            <v>826.07</v>
          </cell>
          <cell r="F2733">
            <v>18.303119607843101</v>
          </cell>
        </row>
        <row r="2734">
          <cell r="B2734" t="str">
            <v>70392477</v>
          </cell>
          <cell r="C2734" t="str">
            <v>品品 逗嘴虎皮卤香味凤爪 150G</v>
          </cell>
          <cell r="D2734">
            <v>40</v>
          </cell>
          <cell r="E2734">
            <v>647.88</v>
          </cell>
          <cell r="F2734">
            <v>18.302610000000001</v>
          </cell>
        </row>
        <row r="2735">
          <cell r="B2735" t="str">
            <v>70392707</v>
          </cell>
          <cell r="C2735" t="str">
            <v>百草味 香弹面筋卷烧烤味 135G</v>
          </cell>
          <cell r="D2735">
            <v>1939</v>
          </cell>
          <cell r="E2735">
            <v>10851.98</v>
          </cell>
          <cell r="F2735">
            <v>6.3242585869004602</v>
          </cell>
        </row>
        <row r="2736">
          <cell r="B2736" t="str">
            <v>70392719</v>
          </cell>
          <cell r="C2736" t="str">
            <v>百草味 好多种梅梅子小零食蜜饯果干 酸梅乌梅话梅干 90G</v>
          </cell>
          <cell r="D2736">
            <v>1360</v>
          </cell>
          <cell r="E2736">
            <v>7773.93</v>
          </cell>
          <cell r="F2736">
            <v>6.4592212499999997</v>
          </cell>
        </row>
        <row r="2737">
          <cell r="B2737" t="str">
            <v>70393462</v>
          </cell>
          <cell r="C2737" t="str">
            <v>AJI 蒟蒻果汁果冻（荔枝和凤梨风味） 260G</v>
          </cell>
          <cell r="D2737">
            <v>250</v>
          </cell>
          <cell r="E2737">
            <v>2685.92</v>
          </cell>
          <cell r="F2737">
            <v>12.1403584</v>
          </cell>
        </row>
        <row r="2738">
          <cell r="B2738" t="str">
            <v>70393464</v>
          </cell>
          <cell r="C2738" t="str">
            <v>AJI 蒟蒻果汁果冻（水蜜桃和芒果风味） 260G</v>
          </cell>
          <cell r="D2738">
            <v>53</v>
          </cell>
          <cell r="E2738">
            <v>568.29</v>
          </cell>
          <cell r="F2738">
            <v>12.1163716981132</v>
          </cell>
        </row>
        <row r="2739">
          <cell r="B2739" t="str">
            <v>70393783</v>
          </cell>
          <cell r="C2739" t="str">
            <v>张飞 香卤牛肉 45G</v>
          </cell>
          <cell r="D2739">
            <v>4</v>
          </cell>
          <cell r="E2739">
            <v>31.88</v>
          </cell>
          <cell r="F2739">
            <v>9.0061</v>
          </cell>
        </row>
        <row r="2740">
          <cell r="B2740" t="str">
            <v>70393785</v>
          </cell>
          <cell r="C2740" t="str">
            <v>张飞 烧烤牛肉 45G</v>
          </cell>
          <cell r="D2740">
            <v>27</v>
          </cell>
          <cell r="E2740">
            <v>215.14</v>
          </cell>
          <cell r="F2740">
            <v>9.0040074074074106</v>
          </cell>
        </row>
        <row r="2741">
          <cell r="B2741" t="str">
            <v>70393786</v>
          </cell>
          <cell r="C2741" t="str">
            <v>张飞 香辣牛肉 45G</v>
          </cell>
          <cell r="D2741">
            <v>464</v>
          </cell>
          <cell r="E2741">
            <v>3711.39</v>
          </cell>
          <cell r="F2741">
            <v>9.0385144396551702</v>
          </cell>
        </row>
        <row r="2742">
          <cell r="B2742" t="str">
            <v>70393841</v>
          </cell>
          <cell r="C2742" t="str">
            <v>好巴食 低脂魔芋爽香辣味 50G</v>
          </cell>
          <cell r="D2742">
            <v>568</v>
          </cell>
          <cell r="E2742">
            <v>1613.86</v>
          </cell>
          <cell r="F2742">
            <v>3.2106721830985898</v>
          </cell>
        </row>
        <row r="2743">
          <cell r="B2743" t="str">
            <v>70393842</v>
          </cell>
          <cell r="C2743" t="str">
            <v>好巴食 低脂魔芋爽藤椒味 50G</v>
          </cell>
          <cell r="D2743">
            <v>470</v>
          </cell>
          <cell r="E2743">
            <v>1331.42</v>
          </cell>
          <cell r="F2743">
            <v>3.2010736170212799</v>
          </cell>
        </row>
        <row r="2744">
          <cell r="B2744" t="str">
            <v>70393843</v>
          </cell>
          <cell r="C2744" t="str">
            <v>好巴食 低脂魔芋爽酸菜味 50G</v>
          </cell>
          <cell r="D2744">
            <v>740</v>
          </cell>
          <cell r="E2744">
            <v>2101.98</v>
          </cell>
          <cell r="F2744">
            <v>3.20978027027027</v>
          </cell>
        </row>
        <row r="2745">
          <cell r="B2745" t="str">
            <v>70393945</v>
          </cell>
          <cell r="C2745" t="str">
            <v>百草味 好多种山楂（多口味） 160G</v>
          </cell>
          <cell r="D2745">
            <v>1479</v>
          </cell>
          <cell r="E2745">
            <v>7578</v>
          </cell>
          <cell r="F2745">
            <v>5.7898174442190697</v>
          </cell>
        </row>
        <row r="2746">
          <cell r="B2746" t="str">
            <v>70394390</v>
          </cell>
          <cell r="C2746" t="str">
            <v>昆趣 焦糖味爆米花 150G</v>
          </cell>
          <cell r="D2746">
            <v>16</v>
          </cell>
          <cell r="E2746">
            <v>88</v>
          </cell>
          <cell r="F2746">
            <v>6.2149999999999999</v>
          </cell>
        </row>
        <row r="2747">
          <cell r="B2747" t="str">
            <v>70394392</v>
          </cell>
          <cell r="C2747" t="str">
            <v>昆趣 奶油味爆米花 150G</v>
          </cell>
          <cell r="D2747">
            <v>27</v>
          </cell>
          <cell r="E2747">
            <v>148.46</v>
          </cell>
          <cell r="F2747">
            <v>6.2133259259259299</v>
          </cell>
        </row>
        <row r="2748">
          <cell r="B2748" t="str">
            <v>70395450</v>
          </cell>
          <cell r="C2748" t="str">
            <v>森活密语 薄壳核桃草本味 500G/袋</v>
          </cell>
          <cell r="D2748">
            <v>47</v>
          </cell>
          <cell r="E2748">
            <v>582.16999999999996</v>
          </cell>
          <cell r="F2748">
            <v>13.9968531914894</v>
          </cell>
        </row>
        <row r="2749">
          <cell r="B2749" t="str">
            <v>70396953</v>
          </cell>
          <cell r="C2749" t="str">
            <v>沙发猫 香辣肉脯香辣味 65G</v>
          </cell>
          <cell r="D2749">
            <v>1</v>
          </cell>
          <cell r="E2749">
            <v>12.19</v>
          </cell>
          <cell r="F2749">
            <v>13.774699999999999</v>
          </cell>
        </row>
        <row r="2750">
          <cell r="B2750" t="str">
            <v>70398170</v>
          </cell>
          <cell r="C2750" t="str">
            <v>永健 牛蹄筋麻辣味 102G</v>
          </cell>
          <cell r="D2750">
            <v>543</v>
          </cell>
          <cell r="E2750">
            <v>5302.2</v>
          </cell>
          <cell r="F2750">
            <v>11.034044198895</v>
          </cell>
        </row>
        <row r="2751">
          <cell r="B2751" t="str">
            <v>70399561</v>
          </cell>
          <cell r="C2751" t="str">
            <v>金晔 山楂果肉条 150G</v>
          </cell>
          <cell r="D2751">
            <v>0</v>
          </cell>
          <cell r="E2751">
            <v>0</v>
          </cell>
          <cell r="F2751" t="e">
            <v>#DIV/0!</v>
          </cell>
        </row>
        <row r="2752">
          <cell r="B2752" t="str">
            <v>70399717</v>
          </cell>
          <cell r="C2752" t="str">
            <v>王小卤 虎皮凤爪香辣味 105G</v>
          </cell>
          <cell r="D2752">
            <v>28</v>
          </cell>
          <cell r="E2752">
            <v>334.6</v>
          </cell>
          <cell r="F2752">
            <v>13.503500000000001</v>
          </cell>
        </row>
        <row r="2753">
          <cell r="B2753" t="str">
            <v>70401077</v>
          </cell>
          <cell r="C2753" t="str">
            <v>无穷 嗦汁鸭脖 63G</v>
          </cell>
          <cell r="D2753">
            <v>111</v>
          </cell>
          <cell r="E2753">
            <v>754.79</v>
          </cell>
          <cell r="F2753">
            <v>7.6838981981982002</v>
          </cell>
        </row>
        <row r="2754">
          <cell r="B2754" t="str">
            <v>70401425</v>
          </cell>
          <cell r="C2754" t="str">
            <v>花椒世家 手工花椒锅巴椒香味 210G</v>
          </cell>
          <cell r="D2754">
            <v>1258</v>
          </cell>
          <cell r="E2754">
            <v>9508.2800000000007</v>
          </cell>
          <cell r="F2754">
            <v>8.5408238473767906</v>
          </cell>
        </row>
        <row r="2755">
          <cell r="B2755" t="str">
            <v>70401427</v>
          </cell>
          <cell r="C2755" t="str">
            <v>花椒世家 手工花椒锅巴麻辣味 210G</v>
          </cell>
          <cell r="D2755">
            <v>1303</v>
          </cell>
          <cell r="E2755">
            <v>9822.36</v>
          </cell>
          <cell r="F2755">
            <v>8.5182400613967797</v>
          </cell>
        </row>
        <row r="2756">
          <cell r="B2756" t="str">
            <v>70402024</v>
          </cell>
          <cell r="C2756" t="str">
            <v>天使 土豆片经典原味 116G</v>
          </cell>
          <cell r="D2756">
            <v>0</v>
          </cell>
          <cell r="E2756">
            <v>0</v>
          </cell>
          <cell r="F2756" t="e">
            <v>#DIV/0!</v>
          </cell>
        </row>
        <row r="2757">
          <cell r="B2757" t="str">
            <v>70403002</v>
          </cell>
          <cell r="C2757" t="str">
            <v>口留乡 素大牛排黑椒味 28G</v>
          </cell>
          <cell r="D2757">
            <v>0</v>
          </cell>
          <cell r="E2757">
            <v>0</v>
          </cell>
          <cell r="F2757" t="e">
            <v>#DIV/0!</v>
          </cell>
        </row>
        <row r="2758">
          <cell r="B2758" t="str">
            <v>70403003</v>
          </cell>
          <cell r="C2758" t="str">
            <v>口留乡 素大牛排麻辣味 28G</v>
          </cell>
          <cell r="D2758">
            <v>0</v>
          </cell>
          <cell r="E2758">
            <v>0</v>
          </cell>
          <cell r="F2758" t="e">
            <v>#DIV/0!</v>
          </cell>
        </row>
        <row r="2759">
          <cell r="B2759" t="str">
            <v>70403004</v>
          </cell>
          <cell r="C2759" t="str">
            <v>口留乡 素大牛排香辣味 28G</v>
          </cell>
          <cell r="D2759">
            <v>0</v>
          </cell>
          <cell r="E2759">
            <v>0</v>
          </cell>
          <cell r="F2759" t="e">
            <v>#DIV/0!</v>
          </cell>
        </row>
        <row r="2760">
          <cell r="B2760" t="str">
            <v>70403068</v>
          </cell>
          <cell r="C2760" t="str">
            <v>金晔 原味山楂条 100G</v>
          </cell>
          <cell r="D2760">
            <v>583</v>
          </cell>
          <cell r="E2760">
            <v>2065.0500000000002</v>
          </cell>
          <cell r="F2760">
            <v>4.0025840480274404</v>
          </cell>
        </row>
        <row r="2761">
          <cell r="B2761" t="str">
            <v>70403069</v>
          </cell>
          <cell r="C2761" t="str">
            <v>金晔 原味山楂片 100G</v>
          </cell>
          <cell r="D2761">
            <v>751</v>
          </cell>
          <cell r="E2761">
            <v>2662.98</v>
          </cell>
          <cell r="F2761">
            <v>4.0068806924101201</v>
          </cell>
        </row>
        <row r="2762">
          <cell r="B2762" t="str">
            <v>70403070</v>
          </cell>
          <cell r="C2762" t="str">
            <v>金晔 原味山楂球 100G</v>
          </cell>
          <cell r="D2762">
            <v>748</v>
          </cell>
          <cell r="E2762">
            <v>2654.88</v>
          </cell>
          <cell r="F2762">
            <v>4.0107144385026698</v>
          </cell>
        </row>
        <row r="2763">
          <cell r="B2763" t="str">
            <v>70403071</v>
          </cell>
          <cell r="C2763" t="str">
            <v>金晔 原味山楂卷 100G</v>
          </cell>
          <cell r="D2763">
            <v>674</v>
          </cell>
          <cell r="E2763">
            <v>2392.4699999999998</v>
          </cell>
          <cell r="F2763">
            <v>4.0111143916913896</v>
          </cell>
        </row>
        <row r="2764">
          <cell r="B2764" t="str">
            <v>70403158</v>
          </cell>
          <cell r="C2764" t="str">
            <v>丝路之葵 原味马牙瓜子 80克/袋</v>
          </cell>
          <cell r="D2764">
            <v>109</v>
          </cell>
          <cell r="E2764">
            <v>421.12</v>
          </cell>
          <cell r="F2764">
            <v>4.3657394495412802</v>
          </cell>
        </row>
        <row r="2765">
          <cell r="B2765" t="str">
            <v>70403160</v>
          </cell>
          <cell r="C2765" t="str">
            <v>丝路之葵 原味马牙瓜子 180克/袋</v>
          </cell>
          <cell r="D2765">
            <v>67</v>
          </cell>
          <cell r="E2765">
            <v>597.16999999999996</v>
          </cell>
          <cell r="F2765">
            <v>10.0716731343284</v>
          </cell>
        </row>
        <row r="2766">
          <cell r="B2766" t="str">
            <v>70403161</v>
          </cell>
          <cell r="C2766" t="str">
            <v>丝路之葵 原味马牙瓜子 218克/罐</v>
          </cell>
          <cell r="D2766">
            <v>87</v>
          </cell>
          <cell r="E2766">
            <v>1916.03</v>
          </cell>
          <cell r="F2766">
            <v>24.886366666666699</v>
          </cell>
        </row>
        <row r="2767">
          <cell r="B2767" t="str">
            <v>70403162</v>
          </cell>
          <cell r="C2767" t="str">
            <v>丝路之葵 原味马牙瓜子 500克/袋</v>
          </cell>
          <cell r="D2767">
            <v>28</v>
          </cell>
          <cell r="E2767">
            <v>568.4</v>
          </cell>
          <cell r="F2767">
            <v>22.939</v>
          </cell>
        </row>
        <row r="2768">
          <cell r="B2768" t="str">
            <v>70403164</v>
          </cell>
          <cell r="C2768" t="str">
            <v>丝路之葵 宗朗原味花瓜子 96克/袋</v>
          </cell>
          <cell r="D2768">
            <v>0</v>
          </cell>
          <cell r="E2768">
            <v>0</v>
          </cell>
          <cell r="F2768" t="e">
            <v>#DIV/0!</v>
          </cell>
        </row>
        <row r="2769">
          <cell r="B2769" t="str">
            <v>70403165</v>
          </cell>
          <cell r="C2769" t="str">
            <v>丝路之葵 原味花瓜子 180克/袋</v>
          </cell>
          <cell r="D2769">
            <v>30</v>
          </cell>
          <cell r="E2769">
            <v>217.67</v>
          </cell>
          <cell r="F2769">
            <v>8.1989033333333303</v>
          </cell>
        </row>
        <row r="2770">
          <cell r="B2770" t="str">
            <v>70403481</v>
          </cell>
          <cell r="C2770" t="str">
            <v>乐事 马铃薯片香辣小龙虾味 135G</v>
          </cell>
          <cell r="D2770">
            <v>0</v>
          </cell>
          <cell r="E2770">
            <v>0</v>
          </cell>
          <cell r="F2770" t="e">
            <v>#DIV/0!</v>
          </cell>
        </row>
        <row r="2771">
          <cell r="B2771" t="str">
            <v>70403714</v>
          </cell>
          <cell r="C2771" t="str">
            <v>乐事 马铃薯片金黄炒蟹味 135G</v>
          </cell>
          <cell r="D2771">
            <v>0</v>
          </cell>
          <cell r="E2771">
            <v>0</v>
          </cell>
          <cell r="F2771" t="e">
            <v>#DIV/0!</v>
          </cell>
        </row>
        <row r="2772">
          <cell r="B2772" t="str">
            <v>70405096</v>
          </cell>
          <cell r="C2772" t="str">
            <v>卧龙  花椒锅巴（麻辣味）138g</v>
          </cell>
          <cell r="D2772">
            <v>67</v>
          </cell>
          <cell r="E2772">
            <v>259.73</v>
          </cell>
          <cell r="F2772">
            <v>4.3805208955223902</v>
          </cell>
        </row>
        <row r="2773">
          <cell r="B2773" t="str">
            <v>70405097</v>
          </cell>
          <cell r="C2773" t="str">
            <v>卧龙  花椒锅巴（椒香味）138g</v>
          </cell>
          <cell r="D2773">
            <v>45</v>
          </cell>
          <cell r="E2773">
            <v>174.62</v>
          </cell>
          <cell r="F2773">
            <v>4.3849022222222196</v>
          </cell>
        </row>
        <row r="2774">
          <cell r="B2774" t="str">
            <v>70405122</v>
          </cell>
          <cell r="C2774" t="str">
            <v>亲亲 背包果冻 600G</v>
          </cell>
          <cell r="D2774">
            <v>0</v>
          </cell>
          <cell r="E2774">
            <v>0</v>
          </cell>
          <cell r="F2774" t="e">
            <v>#DIV/0!</v>
          </cell>
        </row>
        <row r="2775">
          <cell r="B2775" t="str">
            <v>70405519</v>
          </cell>
          <cell r="C2775" t="str">
            <v>好丽友 呀土豆麻辣龙虾味 40G</v>
          </cell>
          <cell r="D2775">
            <v>3232</v>
          </cell>
          <cell r="E2775">
            <v>7706.6</v>
          </cell>
          <cell r="F2775">
            <v>2.69444863861386</v>
          </cell>
        </row>
        <row r="2776">
          <cell r="B2776" t="str">
            <v>70406752</v>
          </cell>
          <cell r="C2776" t="str">
            <v>香之派香辣鸡腿80g</v>
          </cell>
          <cell r="D2776">
            <v>3094</v>
          </cell>
          <cell r="E2776">
            <v>10461.870000000001</v>
          </cell>
          <cell r="F2776">
            <v>3.8209156755009701</v>
          </cell>
        </row>
        <row r="2777">
          <cell r="B2777" t="str">
            <v>70408120</v>
          </cell>
          <cell r="C2777" t="str">
            <v>金晔 原味山楂棒 128G</v>
          </cell>
          <cell r="D2777">
            <v>159</v>
          </cell>
          <cell r="E2777">
            <v>1252.52</v>
          </cell>
          <cell r="F2777">
            <v>8.9015572327044001</v>
          </cell>
        </row>
        <row r="2778">
          <cell r="B2778" t="str">
            <v>70409735</v>
          </cell>
          <cell r="C2778" t="str">
            <v>花椒世家 花椒锅巴椒香味 158g</v>
          </cell>
          <cell r="D2778">
            <v>24</v>
          </cell>
          <cell r="E2778">
            <v>114.71</v>
          </cell>
          <cell r="F2778">
            <v>5.4009291666666703</v>
          </cell>
        </row>
        <row r="2779">
          <cell r="B2779" t="str">
            <v>70411007</v>
          </cell>
          <cell r="C2779" t="str">
            <v>香之派 香辣鸭腿 100G</v>
          </cell>
          <cell r="D2779">
            <v>2075</v>
          </cell>
          <cell r="E2779">
            <v>9241.77</v>
          </cell>
          <cell r="F2779">
            <v>5.0328675180722904</v>
          </cell>
        </row>
        <row r="2780">
          <cell r="B2780" t="str">
            <v>70411029</v>
          </cell>
          <cell r="C2780" t="str">
            <v>香之派 盐焗鸭腿 100G</v>
          </cell>
          <cell r="D2780">
            <v>1776</v>
          </cell>
          <cell r="E2780">
            <v>7908.02</v>
          </cell>
          <cell r="F2780">
            <v>5.03156677927928</v>
          </cell>
        </row>
        <row r="2781">
          <cell r="B2781" t="str">
            <v>70413509</v>
          </cell>
          <cell r="C2781" t="str">
            <v>永健 烧烤味牛蹄筋 102G</v>
          </cell>
          <cell r="D2781">
            <v>509</v>
          </cell>
          <cell r="E2781">
            <v>5028.0200000000004</v>
          </cell>
          <cell r="F2781">
            <v>11.1624019646365</v>
          </cell>
        </row>
        <row r="2782">
          <cell r="B2782" t="str">
            <v>70414676</v>
          </cell>
          <cell r="C2782" t="str">
            <v>乐事 无限忠于原味薯片 90G</v>
          </cell>
          <cell r="D2782">
            <v>1273</v>
          </cell>
          <cell r="E2782">
            <v>7746.13</v>
          </cell>
          <cell r="F2782">
            <v>6.87598342498036</v>
          </cell>
        </row>
        <row r="2783">
          <cell r="B2783" t="str">
            <v>70414677</v>
          </cell>
          <cell r="C2783" t="str">
            <v>乐事 无限吮指红烧肉味薯片 90G</v>
          </cell>
          <cell r="D2783">
            <v>886</v>
          </cell>
          <cell r="E2783">
            <v>5411.6</v>
          </cell>
          <cell r="F2783">
            <v>6.9019277652370201</v>
          </cell>
        </row>
        <row r="2784">
          <cell r="B2784" t="str">
            <v>70414679</v>
          </cell>
          <cell r="C2784" t="str">
            <v>乐事 无限青柠味薯片 90G</v>
          </cell>
          <cell r="D2784">
            <v>0</v>
          </cell>
          <cell r="E2784">
            <v>0</v>
          </cell>
          <cell r="F2784" t="e">
            <v>#DIV/0!</v>
          </cell>
        </row>
        <row r="2785">
          <cell r="B2785" t="str">
            <v>70414680</v>
          </cell>
          <cell r="C2785" t="str">
            <v>乐事 无限 鲜浓番茄薯片 90G</v>
          </cell>
          <cell r="D2785">
            <v>1159</v>
          </cell>
          <cell r="E2785">
            <v>7071.71</v>
          </cell>
          <cell r="F2785">
            <v>6.8947647109577197</v>
          </cell>
        </row>
        <row r="2786">
          <cell r="B2786" t="str">
            <v>70414682</v>
          </cell>
          <cell r="C2786" t="str">
            <v>乐事 无限翡翠黄瓜味薯片 90G</v>
          </cell>
          <cell r="D2786">
            <v>1150</v>
          </cell>
          <cell r="E2786">
            <v>7001.32</v>
          </cell>
          <cell r="F2786">
            <v>6.8795579130434801</v>
          </cell>
        </row>
        <row r="2787">
          <cell r="B2787" t="str">
            <v>70415510</v>
          </cell>
          <cell r="C2787" t="str">
            <v>起亮 一根脆骨香辣1*8盒*20根 40G</v>
          </cell>
          <cell r="D2787">
            <v>5</v>
          </cell>
          <cell r="E2787">
            <v>5.77</v>
          </cell>
          <cell r="F2787">
            <v>1.30402</v>
          </cell>
        </row>
        <row r="2788">
          <cell r="B2788" t="str">
            <v>70415512</v>
          </cell>
          <cell r="C2788" t="str">
            <v>起亮 蟹味棒原味1*12盒*20袋 24G</v>
          </cell>
          <cell r="D2788">
            <v>1290</v>
          </cell>
          <cell r="E2788">
            <v>1495.7</v>
          </cell>
          <cell r="F2788">
            <v>1.31018682170543</v>
          </cell>
        </row>
        <row r="2789">
          <cell r="B2789" t="str">
            <v>70416618</v>
          </cell>
          <cell r="C2789" t="str">
            <v>好客秦味 花椒手工锅巴（五香） 130G</v>
          </cell>
          <cell r="D2789">
            <v>7</v>
          </cell>
          <cell r="E2789">
            <v>23.55</v>
          </cell>
          <cell r="F2789">
            <v>3.80164285714286</v>
          </cell>
        </row>
        <row r="2790">
          <cell r="B2790" t="str">
            <v>70416622</v>
          </cell>
          <cell r="C2790" t="str">
            <v>好客秦味 花椒手工锅巴（麻辣） 220G</v>
          </cell>
          <cell r="D2790">
            <v>20</v>
          </cell>
          <cell r="E2790">
            <v>120.32</v>
          </cell>
          <cell r="F2790">
            <v>6.7980799999999997</v>
          </cell>
        </row>
        <row r="2791">
          <cell r="B2791" t="str">
            <v>70417109</v>
          </cell>
          <cell r="C2791" t="str">
            <v>喜之郎 沾粉果冻蓝莓味1*16 135G</v>
          </cell>
          <cell r="D2791">
            <v>3</v>
          </cell>
          <cell r="E2791">
            <v>10.89</v>
          </cell>
          <cell r="F2791">
            <v>4.1018999999999997</v>
          </cell>
        </row>
        <row r="2792">
          <cell r="B2792" t="str">
            <v>70417164</v>
          </cell>
          <cell r="C2792" t="str">
            <v>金晔 陈皮山楂棒 108G</v>
          </cell>
          <cell r="D2792">
            <v>293</v>
          </cell>
          <cell r="E2792">
            <v>1908</v>
          </cell>
          <cell r="F2792">
            <v>7.3584982935153596</v>
          </cell>
        </row>
        <row r="2793">
          <cell r="B2793" t="str">
            <v>70417165</v>
          </cell>
          <cell r="C2793" t="str">
            <v>金晔 蓝莓山楂棒 108G</v>
          </cell>
          <cell r="D2793">
            <v>240</v>
          </cell>
          <cell r="E2793">
            <v>1894.27</v>
          </cell>
          <cell r="F2793">
            <v>8.9188545833333297</v>
          </cell>
        </row>
        <row r="2794">
          <cell r="B2794" t="str">
            <v>70418424</v>
          </cell>
          <cell r="C2794" t="str">
            <v>八点半 AJI香辣鱿鱼 80G</v>
          </cell>
          <cell r="D2794">
            <v>749</v>
          </cell>
          <cell r="E2794">
            <v>5874.51</v>
          </cell>
          <cell r="F2794">
            <v>8.8627453938584804</v>
          </cell>
        </row>
        <row r="2795">
          <cell r="B2795" t="str">
            <v>70419782</v>
          </cell>
          <cell r="C2795" t="str">
            <v>妙可蓝多 草莓味益生元常温奶酪棒 90G</v>
          </cell>
          <cell r="D2795">
            <v>0</v>
          </cell>
          <cell r="E2795">
            <v>0</v>
          </cell>
          <cell r="F2795" t="e">
            <v>#DIV/0!</v>
          </cell>
        </row>
        <row r="2796">
          <cell r="B2796" t="str">
            <v>70421163</v>
          </cell>
          <cell r="C2796" t="str">
            <v>卡仕伽 熔岩黑巧小方 128G</v>
          </cell>
          <cell r="D2796">
            <v>0</v>
          </cell>
          <cell r="E2796">
            <v>0</v>
          </cell>
          <cell r="F2796" t="e">
            <v>#DIV/0!</v>
          </cell>
        </row>
        <row r="2797">
          <cell r="B2797" t="str">
            <v>70421170</v>
          </cell>
          <cell r="C2797" t="str">
            <v>卡仕伽 雪顶可可 268G</v>
          </cell>
          <cell r="D2797">
            <v>0</v>
          </cell>
          <cell r="E2797">
            <v>0</v>
          </cell>
          <cell r="F2797" t="e">
            <v>#DIV/0!</v>
          </cell>
        </row>
        <row r="2798">
          <cell r="B2798" t="str">
            <v>70421903</v>
          </cell>
          <cell r="C2798" t="str">
            <v>王小卤 虎皮凤爪椒麻味 210G</v>
          </cell>
          <cell r="D2798">
            <v>1163</v>
          </cell>
          <cell r="E2798">
            <v>24278.5</v>
          </cell>
          <cell r="F2798">
            <v>23.589600171969</v>
          </cell>
        </row>
        <row r="2799">
          <cell r="B2799" t="str">
            <v>70421904</v>
          </cell>
          <cell r="C2799" t="str">
            <v>王小卤 虎皮凤爪香辣味 210G</v>
          </cell>
          <cell r="D2799">
            <v>1084</v>
          </cell>
          <cell r="E2799">
            <v>22714.85</v>
          </cell>
          <cell r="F2799">
            <v>23.678764298893</v>
          </cell>
        </row>
        <row r="2800">
          <cell r="B2800" t="str">
            <v>70421905</v>
          </cell>
          <cell r="C2800" t="str">
            <v>王小卤 虎皮凤爪卤香味 210G</v>
          </cell>
          <cell r="D2800">
            <v>653</v>
          </cell>
          <cell r="E2800">
            <v>14970.52</v>
          </cell>
          <cell r="F2800">
            <v>25.906106584992301</v>
          </cell>
        </row>
        <row r="2801">
          <cell r="B2801" t="str">
            <v>70423328</v>
          </cell>
          <cell r="C2801" t="str">
            <v>卧龙 花椒锅巴爆辣味 138G</v>
          </cell>
          <cell r="D2801">
            <v>3959</v>
          </cell>
          <cell r="E2801">
            <v>14822.4</v>
          </cell>
          <cell r="F2801">
            <v>4.2306925991412001</v>
          </cell>
        </row>
        <row r="2802">
          <cell r="B2802" t="str">
            <v>70423331</v>
          </cell>
          <cell r="C2802" t="str">
            <v>卧龙 网格小米锅巴麻辣味 128G</v>
          </cell>
          <cell r="D2802">
            <v>3458</v>
          </cell>
          <cell r="E2802">
            <v>12956.91</v>
          </cell>
          <cell r="F2802">
            <v>4.2340394158473096</v>
          </cell>
        </row>
        <row r="2803">
          <cell r="B2803" t="str">
            <v>70423631</v>
          </cell>
          <cell r="C2803" t="str">
            <v>沙发猫 原味手撕蟹味棒 75G</v>
          </cell>
          <cell r="D2803">
            <v>55</v>
          </cell>
          <cell r="E2803">
            <v>553.66999999999996</v>
          </cell>
          <cell r="F2803">
            <v>11.3754018181818</v>
          </cell>
        </row>
        <row r="2804">
          <cell r="B2804" t="str">
            <v>70423920</v>
          </cell>
          <cell r="C2804" t="str">
            <v>好客薯唯 番茄味薯条 90G</v>
          </cell>
          <cell r="D2804">
            <v>1</v>
          </cell>
          <cell r="E2804">
            <v>1.1599999999999999</v>
          </cell>
          <cell r="F2804">
            <v>1.3108</v>
          </cell>
        </row>
        <row r="2805">
          <cell r="B2805" t="str">
            <v>70423921</v>
          </cell>
          <cell r="C2805" t="str">
            <v>好客薯唯 椒麻鸡味薯条 90G</v>
          </cell>
          <cell r="D2805">
            <v>21</v>
          </cell>
          <cell r="E2805">
            <v>154.19999999999999</v>
          </cell>
          <cell r="F2805">
            <v>8.2974285714285703</v>
          </cell>
        </row>
        <row r="2806">
          <cell r="B2806" t="str">
            <v>70423922</v>
          </cell>
          <cell r="C2806" t="str">
            <v>好客薯唯 原味薯条 90G</v>
          </cell>
          <cell r="D2806">
            <v>30</v>
          </cell>
          <cell r="E2806">
            <v>209.33</v>
          </cell>
          <cell r="F2806">
            <v>7.8847633333333302</v>
          </cell>
        </row>
        <row r="2807">
          <cell r="B2807" t="str">
            <v>70423923</v>
          </cell>
          <cell r="C2807" t="str">
            <v>好客薯唯 气泡莫吉托味薯条 90G</v>
          </cell>
          <cell r="D2807">
            <v>17</v>
          </cell>
          <cell r="E2807">
            <v>115.61</v>
          </cell>
          <cell r="F2807">
            <v>7.6846647058823496</v>
          </cell>
        </row>
        <row r="2808">
          <cell r="B2808" t="str">
            <v>70423924</v>
          </cell>
          <cell r="C2808" t="str">
            <v>好客薯唯 青柠芥末味薯条催泪版 90G</v>
          </cell>
          <cell r="D2808">
            <v>54</v>
          </cell>
          <cell r="E2808">
            <v>399.18</v>
          </cell>
          <cell r="F2808">
            <v>8.3532111111111096</v>
          </cell>
        </row>
        <row r="2809">
          <cell r="B2809" t="str">
            <v>70423925</v>
          </cell>
          <cell r="C2809" t="str">
            <v>好客薯唯 混合口味薯条 90G</v>
          </cell>
          <cell r="D2809">
            <v>13</v>
          </cell>
          <cell r="E2809">
            <v>100.33</v>
          </cell>
          <cell r="F2809">
            <v>8.7209923076923097</v>
          </cell>
        </row>
        <row r="2810">
          <cell r="B2810" t="str">
            <v>70425609</v>
          </cell>
          <cell r="C2810" t="str">
            <v>麻辣王子 麻辣味辣条 18g/袋</v>
          </cell>
          <cell r="D2810">
            <v>15098</v>
          </cell>
          <cell r="E2810">
            <v>10085.59</v>
          </cell>
          <cell r="F2810">
            <v>0.75484943038813102</v>
          </cell>
        </row>
        <row r="2811">
          <cell r="B2811" t="str">
            <v>70427766</v>
          </cell>
          <cell r="C2811" t="str">
            <v>酷滋 蒟蒻Q冻荔枝 108G</v>
          </cell>
          <cell r="D2811">
            <v>0</v>
          </cell>
          <cell r="E2811">
            <v>0</v>
          </cell>
          <cell r="F2811" t="e">
            <v>#DIV/0!</v>
          </cell>
        </row>
        <row r="2812">
          <cell r="B2812" t="str">
            <v>70427768</v>
          </cell>
          <cell r="C2812" t="str">
            <v>酷滋 蒟蒻Q冻葡萄 108G</v>
          </cell>
          <cell r="D2812">
            <v>2</v>
          </cell>
          <cell r="E2812">
            <v>9.48</v>
          </cell>
          <cell r="F2812">
            <v>5.3562000000000003</v>
          </cell>
        </row>
        <row r="2813">
          <cell r="B2813" t="str">
            <v>70428183</v>
          </cell>
          <cell r="C2813" t="str">
            <v>亿家馨 蜜汁黄金腿 32G</v>
          </cell>
          <cell r="D2813">
            <v>480</v>
          </cell>
          <cell r="E2813">
            <v>593.38</v>
          </cell>
          <cell r="F2813">
            <v>1.39691541666667</v>
          </cell>
        </row>
        <row r="2814">
          <cell r="B2814" t="str">
            <v>70428529</v>
          </cell>
          <cell r="C2814" t="str">
            <v>甘源 一家人礼盒 1.2KG</v>
          </cell>
          <cell r="D2814">
            <v>9</v>
          </cell>
          <cell r="E2814">
            <v>719.09</v>
          </cell>
          <cell r="F2814">
            <v>90.285744444444404</v>
          </cell>
        </row>
        <row r="2815">
          <cell r="B2815" t="str">
            <v>70431626</v>
          </cell>
          <cell r="C2815" t="str">
            <v>独库情 巴旦木奶枣 300G</v>
          </cell>
          <cell r="D2815">
            <v>220</v>
          </cell>
          <cell r="E2815">
            <v>4276.6499999999996</v>
          </cell>
          <cell r="F2815">
            <v>21.966429545454499</v>
          </cell>
        </row>
        <row r="2816">
          <cell r="B2816" t="str">
            <v>70431630</v>
          </cell>
          <cell r="C2816" t="str">
            <v>独库情 蔓越莓雪花酥 300G</v>
          </cell>
          <cell r="D2816">
            <v>186</v>
          </cell>
          <cell r="E2816">
            <v>3551.22</v>
          </cell>
          <cell r="F2816">
            <v>21.5746161290323</v>
          </cell>
        </row>
        <row r="2817">
          <cell r="B2817" t="str">
            <v>70431633</v>
          </cell>
          <cell r="C2817" t="str">
            <v>独库情 核桃雪花酥 300G</v>
          </cell>
          <cell r="D2817">
            <v>169</v>
          </cell>
          <cell r="E2817">
            <v>3418.1</v>
          </cell>
          <cell r="F2817">
            <v>22.854751479289899</v>
          </cell>
        </row>
        <row r="2818">
          <cell r="B2818" t="str">
            <v>70433025</v>
          </cell>
          <cell r="C2818" t="str">
            <v>甘源 蟹黄味蚕豆 208G</v>
          </cell>
          <cell r="D2818">
            <v>633</v>
          </cell>
          <cell r="E2818">
            <v>4821.91</v>
          </cell>
          <cell r="F2818">
            <v>8.6078330173775708</v>
          </cell>
        </row>
        <row r="2819">
          <cell r="B2819" t="str">
            <v>70433026</v>
          </cell>
          <cell r="C2819" t="str">
            <v>甘源 蟹黄瓜子仁 208G</v>
          </cell>
          <cell r="D2819">
            <v>493</v>
          </cell>
          <cell r="E2819">
            <v>3754.87</v>
          </cell>
          <cell r="F2819">
            <v>8.6064971602434106</v>
          </cell>
        </row>
        <row r="2820">
          <cell r="B2820" t="str">
            <v>70433027</v>
          </cell>
          <cell r="C2820" t="str">
            <v>甘源 原味青豌豆 208G</v>
          </cell>
          <cell r="D2820">
            <v>528</v>
          </cell>
          <cell r="E2820">
            <v>4025.63</v>
          </cell>
          <cell r="F2820">
            <v>8.6154581439393905</v>
          </cell>
        </row>
        <row r="2821">
          <cell r="B2821" t="str">
            <v>70434331</v>
          </cell>
          <cell r="C2821" t="str">
            <v>劲仔 香辣鱼仔 60G</v>
          </cell>
          <cell r="D2821">
            <v>1152</v>
          </cell>
          <cell r="E2821">
            <v>4559.91</v>
          </cell>
          <cell r="F2821">
            <v>4.4728283854166699</v>
          </cell>
        </row>
        <row r="2822">
          <cell r="B2822" t="str">
            <v>70434333</v>
          </cell>
          <cell r="C2822" t="str">
            <v>劲仔 麻辣鱼仔 60G</v>
          </cell>
          <cell r="D2822">
            <v>730</v>
          </cell>
          <cell r="E2822">
            <v>2911.42</v>
          </cell>
          <cell r="F2822">
            <v>4.5067186301369899</v>
          </cell>
        </row>
        <row r="2823">
          <cell r="B2823" t="str">
            <v>70434416</v>
          </cell>
          <cell r="C2823" t="str">
            <v>劲仔 酱汁风味小鱼 60G</v>
          </cell>
          <cell r="D2823">
            <v>801</v>
          </cell>
          <cell r="E2823">
            <v>3174.16</v>
          </cell>
          <cell r="F2823">
            <v>4.47790362047441</v>
          </cell>
        </row>
        <row r="2824">
          <cell r="B2824" t="str">
            <v>70434527</v>
          </cell>
          <cell r="C2824" t="str">
            <v>百草味 夜伴小卤鸭脖 110G</v>
          </cell>
          <cell r="D2824">
            <v>898</v>
          </cell>
          <cell r="E2824">
            <v>5498.98</v>
          </cell>
          <cell r="F2824">
            <v>6.9196518930957698</v>
          </cell>
        </row>
        <row r="2825">
          <cell r="B2825" t="str">
            <v>70434620</v>
          </cell>
          <cell r="C2825" t="str">
            <v>王小卤 虎皮凤爪火锅味 210G</v>
          </cell>
          <cell r="D2825">
            <v>576</v>
          </cell>
          <cell r="E2825">
            <v>12155.32</v>
          </cell>
          <cell r="F2825">
            <v>23.846374305555599</v>
          </cell>
        </row>
        <row r="2826">
          <cell r="B2826" t="str">
            <v>70435584</v>
          </cell>
          <cell r="C2826" t="str">
            <v>口留乡 手撕烤脖（火锅味） 42G</v>
          </cell>
          <cell r="D2826">
            <v>0</v>
          </cell>
          <cell r="E2826">
            <v>0</v>
          </cell>
          <cell r="F2826" t="e">
            <v>#DIV/0!</v>
          </cell>
        </row>
        <row r="2827">
          <cell r="B2827" t="str">
            <v>70435585</v>
          </cell>
          <cell r="C2827" t="str">
            <v>喜之郎 蒟蒻果冻（水蜜桃味） 120G</v>
          </cell>
          <cell r="D2827">
            <v>3</v>
          </cell>
          <cell r="E2827">
            <v>12.75</v>
          </cell>
          <cell r="F2827">
            <v>4.8025000000000002</v>
          </cell>
        </row>
        <row r="2828">
          <cell r="B2828" t="str">
            <v>70435588</v>
          </cell>
          <cell r="C2828" t="str">
            <v>喜之郎 蒟蒻果冻（红葡萄味） 120G</v>
          </cell>
          <cell r="D2828">
            <v>6</v>
          </cell>
          <cell r="E2828">
            <v>25.5</v>
          </cell>
          <cell r="F2828">
            <v>4.8025000000000002</v>
          </cell>
        </row>
        <row r="2829">
          <cell r="B2829" t="str">
            <v>70436721</v>
          </cell>
          <cell r="C2829" t="str">
            <v>无穷 蜂蜜鹌鹑蛋 70G</v>
          </cell>
          <cell r="D2829">
            <v>213</v>
          </cell>
          <cell r="E2829">
            <v>1468.38</v>
          </cell>
          <cell r="F2829">
            <v>7.7899971830985901</v>
          </cell>
        </row>
        <row r="2830">
          <cell r="B2830" t="str">
            <v>70438192</v>
          </cell>
          <cell r="C2830" t="str">
            <v>昆享 酥脆牛肉干 108G</v>
          </cell>
          <cell r="D2830">
            <v>82</v>
          </cell>
          <cell r="E2830">
            <v>3854.04</v>
          </cell>
          <cell r="F2830">
            <v>53.110551219512203</v>
          </cell>
        </row>
        <row r="2831">
          <cell r="B2831" t="str">
            <v>70439343</v>
          </cell>
          <cell r="C2831" t="str">
            <v>旭东 红衣花生椒盐味 258G</v>
          </cell>
          <cell r="D2831">
            <v>1</v>
          </cell>
          <cell r="E2831">
            <v>7.79</v>
          </cell>
          <cell r="F2831">
            <v>8.8026999999999997</v>
          </cell>
        </row>
        <row r="2832">
          <cell r="B2832" t="str">
            <v>70439345</v>
          </cell>
          <cell r="C2832" t="str">
            <v>旭东 万里挑一话梅瓜子 188G</v>
          </cell>
          <cell r="D2832">
            <v>14</v>
          </cell>
          <cell r="E2832">
            <v>108.02</v>
          </cell>
          <cell r="F2832">
            <v>8.7187571428571395</v>
          </cell>
        </row>
        <row r="2833">
          <cell r="B2833" t="str">
            <v>70439348</v>
          </cell>
          <cell r="C2833" t="str">
            <v>旭东 红衣花生山核桃味 278G</v>
          </cell>
          <cell r="D2833">
            <v>741</v>
          </cell>
          <cell r="E2833">
            <v>5614.12</v>
          </cell>
          <cell r="F2833">
            <v>8.5613435897435899</v>
          </cell>
        </row>
        <row r="2834">
          <cell r="B2834" t="str">
            <v>70439349</v>
          </cell>
          <cell r="C2834" t="str">
            <v>旭东 多味香葵花籽 238G</v>
          </cell>
          <cell r="D2834">
            <v>902</v>
          </cell>
          <cell r="E2834">
            <v>6807.7</v>
          </cell>
          <cell r="F2834">
            <v>8.5284933481152994</v>
          </cell>
        </row>
        <row r="2835">
          <cell r="B2835" t="str">
            <v>70439420</v>
          </cell>
          <cell r="C2835" t="str">
            <v>香香嘴 魔芋爽香辣味 60G</v>
          </cell>
          <cell r="D2835">
            <v>564</v>
          </cell>
          <cell r="E2835">
            <v>1850.31</v>
          </cell>
          <cell r="F2835">
            <v>3.7071813829787201</v>
          </cell>
        </row>
        <row r="2836">
          <cell r="B2836" t="str">
            <v>70439423</v>
          </cell>
          <cell r="C2836" t="str">
            <v>香香嘴 魔芋爽柠檬味 60G</v>
          </cell>
          <cell r="D2836">
            <v>448</v>
          </cell>
          <cell r="E2836">
            <v>1472.16</v>
          </cell>
          <cell r="F2836">
            <v>3.7132607142857101</v>
          </cell>
        </row>
        <row r="2837">
          <cell r="B2837" t="str">
            <v>70439627</v>
          </cell>
          <cell r="C2837" t="str">
            <v>良品铺子 海带结香辣味 126G</v>
          </cell>
          <cell r="D2837">
            <v>9</v>
          </cell>
          <cell r="E2837">
            <v>66.150000000000006</v>
          </cell>
          <cell r="F2837">
            <v>8.3055000000000003</v>
          </cell>
        </row>
        <row r="2838">
          <cell r="B2838" t="str">
            <v>70439959</v>
          </cell>
          <cell r="C2838" t="str">
            <v>塞骆丝域 锅巴牛肉味 150G</v>
          </cell>
          <cell r="D2838">
            <v>675</v>
          </cell>
          <cell r="E2838">
            <v>2940.03</v>
          </cell>
          <cell r="F2838">
            <v>4.9218279999999996</v>
          </cell>
        </row>
        <row r="2839">
          <cell r="B2839" t="str">
            <v>70439965</v>
          </cell>
          <cell r="C2839" t="str">
            <v>塞骆丝域 锅巴藤椒味 150G</v>
          </cell>
          <cell r="D2839">
            <v>515</v>
          </cell>
          <cell r="E2839">
            <v>2244.31</v>
          </cell>
          <cell r="F2839">
            <v>4.9244083495145601</v>
          </cell>
        </row>
        <row r="2840">
          <cell r="B2840" t="str">
            <v>70440145</v>
          </cell>
          <cell r="C2840" t="str">
            <v>椒巴克 糯米锅巴麻辣小龙虾味 120G</v>
          </cell>
          <cell r="D2840">
            <v>11</v>
          </cell>
          <cell r="E2840">
            <v>72.03</v>
          </cell>
          <cell r="F2840">
            <v>7.3994454545454502</v>
          </cell>
        </row>
        <row r="2841">
          <cell r="B2841" t="str">
            <v>70440146</v>
          </cell>
          <cell r="C2841" t="str">
            <v>椒巴克 糯米锅巴海苔肉松蟹黄味 120G</v>
          </cell>
          <cell r="D2841">
            <v>12</v>
          </cell>
          <cell r="E2841">
            <v>78.58</v>
          </cell>
          <cell r="F2841">
            <v>7.3996166666666703</v>
          </cell>
        </row>
        <row r="2842">
          <cell r="B2842" t="str">
            <v>70440968</v>
          </cell>
          <cell r="C2842" t="str">
            <v>波力 海苔荞麦脆脆 12G</v>
          </cell>
          <cell r="D2842">
            <v>3</v>
          </cell>
          <cell r="E2842">
            <v>9.9600000000000009</v>
          </cell>
          <cell r="F2842">
            <v>3.7515999999999998</v>
          </cell>
        </row>
        <row r="2843">
          <cell r="B2843" t="str">
            <v>70441406</v>
          </cell>
          <cell r="C2843" t="str">
            <v>诺干 花生奶条 116G</v>
          </cell>
          <cell r="D2843">
            <v>11</v>
          </cell>
          <cell r="E2843">
            <v>116.82</v>
          </cell>
          <cell r="F2843">
            <v>12.0006</v>
          </cell>
        </row>
        <row r="2844">
          <cell r="B2844" t="str">
            <v>70441407</v>
          </cell>
          <cell r="C2844" t="str">
            <v>诺干 榴莲奶条 116G</v>
          </cell>
          <cell r="D2844">
            <v>16</v>
          </cell>
          <cell r="E2844">
            <v>212.4</v>
          </cell>
          <cell r="F2844">
            <v>15.00075</v>
          </cell>
        </row>
        <row r="2845">
          <cell r="B2845" t="str">
            <v>70442255</v>
          </cell>
          <cell r="C2845" t="str">
            <v>傻老大 大五香瓜子 158G</v>
          </cell>
          <cell r="D2845">
            <v>26</v>
          </cell>
          <cell r="E2845">
            <v>173.16</v>
          </cell>
          <cell r="F2845">
            <v>7.5258000000000003</v>
          </cell>
        </row>
        <row r="2846">
          <cell r="B2846" t="str">
            <v>70442258</v>
          </cell>
          <cell r="C2846" t="str">
            <v>傻老大 原味瓜子 71G</v>
          </cell>
          <cell r="D2846">
            <v>62</v>
          </cell>
          <cell r="E2846">
            <v>203.99</v>
          </cell>
          <cell r="F2846">
            <v>3.7178822580645199</v>
          </cell>
        </row>
        <row r="2847">
          <cell r="B2847" t="str">
            <v>70442262</v>
          </cell>
          <cell r="C2847" t="str">
            <v>良品铺子 章鱼片 50G</v>
          </cell>
          <cell r="D2847">
            <v>7</v>
          </cell>
          <cell r="E2847">
            <v>57.02</v>
          </cell>
          <cell r="F2847">
            <v>9.2046571428571404</v>
          </cell>
        </row>
        <row r="2848">
          <cell r="B2848" t="str">
            <v>70442264</v>
          </cell>
          <cell r="C2848" t="str">
            <v>良品铺子 迷你小香肠（炭烤味） 80g</v>
          </cell>
          <cell r="D2848">
            <v>465</v>
          </cell>
          <cell r="E2848">
            <v>3997.17</v>
          </cell>
          <cell r="F2848">
            <v>9.7135529032258106</v>
          </cell>
        </row>
        <row r="2849">
          <cell r="B2849" t="str">
            <v>70442265</v>
          </cell>
          <cell r="C2849" t="str">
            <v>良品铺子 迷你小香肠(黑椒味) 80g</v>
          </cell>
          <cell r="D2849">
            <v>303</v>
          </cell>
          <cell r="E2849">
            <v>2647.54</v>
          </cell>
          <cell r="F2849">
            <v>9.8736640264026398</v>
          </cell>
        </row>
        <row r="2850">
          <cell r="B2850" t="str">
            <v>70442266</v>
          </cell>
          <cell r="C2850" t="str">
            <v>良品铺子 香辣小黄鱼 88G</v>
          </cell>
          <cell r="D2850">
            <v>391</v>
          </cell>
          <cell r="E2850">
            <v>4249.09</v>
          </cell>
          <cell r="F2850">
            <v>12.279978772378501</v>
          </cell>
        </row>
        <row r="2851">
          <cell r="B2851" t="str">
            <v>70442267</v>
          </cell>
          <cell r="C2851" t="str">
            <v>良品铺子 墨鱼片 50G</v>
          </cell>
          <cell r="D2851">
            <v>1</v>
          </cell>
          <cell r="E2851">
            <v>8.15</v>
          </cell>
          <cell r="F2851">
            <v>9.2095000000000002</v>
          </cell>
        </row>
        <row r="2852">
          <cell r="B2852" t="str">
            <v>70442272</v>
          </cell>
          <cell r="C2852" t="str">
            <v>傻老大 五香脱皮瓜子 160G</v>
          </cell>
          <cell r="D2852">
            <v>83</v>
          </cell>
          <cell r="E2852">
            <v>552.96</v>
          </cell>
          <cell r="F2852">
            <v>7.5282506024096403</v>
          </cell>
        </row>
        <row r="2853">
          <cell r="B2853" t="str">
            <v>70442942</v>
          </cell>
          <cell r="C2853" t="str">
            <v>昆趣 小熊山楂糕 18G</v>
          </cell>
          <cell r="D2853">
            <v>2</v>
          </cell>
          <cell r="E2853">
            <v>2</v>
          </cell>
          <cell r="F2853">
            <v>1.1299999999999999</v>
          </cell>
        </row>
        <row r="2854">
          <cell r="B2854" t="str">
            <v>70442943</v>
          </cell>
          <cell r="C2854" t="str">
            <v>昆趣 酵素山楂条 108G</v>
          </cell>
          <cell r="D2854">
            <v>8</v>
          </cell>
          <cell r="E2854">
            <v>43.66</v>
          </cell>
          <cell r="F2854">
            <v>6.1669749999999999</v>
          </cell>
        </row>
        <row r="2855">
          <cell r="B2855" t="str">
            <v>70442944</v>
          </cell>
          <cell r="C2855" t="str">
            <v>昆趣 山楂条 100G</v>
          </cell>
          <cell r="D2855">
            <v>19</v>
          </cell>
          <cell r="E2855">
            <v>52.63</v>
          </cell>
          <cell r="F2855">
            <v>3.1301000000000001</v>
          </cell>
        </row>
        <row r="2856">
          <cell r="B2856" t="str">
            <v>70444393</v>
          </cell>
          <cell r="C2856" t="str">
            <v>百草味 酸辣海带结 200G</v>
          </cell>
          <cell r="D2856">
            <v>904</v>
          </cell>
          <cell r="E2856">
            <v>6584.4</v>
          </cell>
          <cell r="F2856">
            <v>8.2304999999999993</v>
          </cell>
        </row>
        <row r="2857">
          <cell r="B2857" t="str">
            <v>70444397</v>
          </cell>
          <cell r="C2857" t="str">
            <v>百草味 小鱼仔香辣味 105G</v>
          </cell>
          <cell r="D2857">
            <v>646</v>
          </cell>
          <cell r="E2857">
            <v>4937.05</v>
          </cell>
          <cell r="F2857">
            <v>8.6360162538699701</v>
          </cell>
        </row>
        <row r="2858">
          <cell r="B2858" t="str">
            <v>70445180</v>
          </cell>
          <cell r="C2858" t="str">
            <v>鲁明斋 低脂肪鸡胸肉 100G</v>
          </cell>
          <cell r="D2858">
            <v>7</v>
          </cell>
          <cell r="E2858">
            <v>37.799999999999997</v>
          </cell>
          <cell r="F2858">
            <v>6.1020000000000003</v>
          </cell>
        </row>
        <row r="2859">
          <cell r="B2859" t="str">
            <v>70445362</v>
          </cell>
          <cell r="C2859" t="str">
            <v>麻辣王子 微麻微辣 73G</v>
          </cell>
          <cell r="D2859">
            <v>936</v>
          </cell>
          <cell r="E2859">
            <v>3267.19</v>
          </cell>
          <cell r="F2859">
            <v>3.9443639957265</v>
          </cell>
        </row>
        <row r="2860">
          <cell r="B2860" t="str">
            <v>70445554</v>
          </cell>
          <cell r="C2860" t="str">
            <v>优斯麦尔 坚果帮混合干坚果7日装 175G/袋</v>
          </cell>
          <cell r="D2860">
            <v>686</v>
          </cell>
          <cell r="E2860">
            <v>12178.6</v>
          </cell>
          <cell r="F2860">
            <v>20.0609591836735</v>
          </cell>
        </row>
        <row r="2861">
          <cell r="B2861" t="str">
            <v>70445555</v>
          </cell>
          <cell r="C2861" t="str">
            <v>优斯麦尔 巴旦木仁扁桃仁7日装 154G/袋</v>
          </cell>
          <cell r="D2861">
            <v>659</v>
          </cell>
          <cell r="E2861">
            <v>11238.07</v>
          </cell>
          <cell r="F2861">
            <v>19.270135204855801</v>
          </cell>
        </row>
        <row r="2862">
          <cell r="B2862" t="str">
            <v>70445556</v>
          </cell>
          <cell r="C2862" t="str">
            <v>优斯麦尔 无花果干7日装 182G/袋</v>
          </cell>
          <cell r="D2862">
            <v>120</v>
          </cell>
          <cell r="E2862">
            <v>2137.75</v>
          </cell>
          <cell r="F2862">
            <v>20.130479166666699</v>
          </cell>
        </row>
        <row r="2863">
          <cell r="B2863" t="str">
            <v>70445557</v>
          </cell>
          <cell r="C2863" t="str">
            <v>优斯麦尔 核桃仁7日装 154G/袋</v>
          </cell>
          <cell r="D2863">
            <v>146</v>
          </cell>
          <cell r="E2863">
            <v>1625.36</v>
          </cell>
          <cell r="F2863">
            <v>12.5798410958904</v>
          </cell>
        </row>
        <row r="2864">
          <cell r="B2864" t="str">
            <v>70445558</v>
          </cell>
          <cell r="C2864" t="str">
            <v>优斯麦尔 绿香妃葡萄干一级 108G/袋</v>
          </cell>
          <cell r="D2864">
            <v>865</v>
          </cell>
          <cell r="E2864">
            <v>7123.06</v>
          </cell>
          <cell r="F2864">
            <v>9.3052691329479806</v>
          </cell>
        </row>
        <row r="2865">
          <cell r="B2865" t="str">
            <v>70445559</v>
          </cell>
          <cell r="C2865" t="str">
            <v>优斯麦尔 黑加仑葡萄干一级 108G/袋</v>
          </cell>
          <cell r="D2865">
            <v>746</v>
          </cell>
          <cell r="E2865">
            <v>5879.98</v>
          </cell>
          <cell r="F2865">
            <v>8.9066721179624704</v>
          </cell>
        </row>
        <row r="2866">
          <cell r="B2866" t="str">
            <v>70445560</v>
          </cell>
          <cell r="C2866" t="str">
            <v>优斯麦尔 蓝宝石葡萄干一级 88G/袋</v>
          </cell>
          <cell r="D2866">
            <v>392</v>
          </cell>
          <cell r="E2866">
            <v>4822.54</v>
          </cell>
          <cell r="F2866">
            <v>13.9017096938775</v>
          </cell>
        </row>
        <row r="2867">
          <cell r="B2867" t="str">
            <v>70445561</v>
          </cell>
          <cell r="C2867" t="str">
            <v>优斯麦尔 有机灰枣一等 238G/袋</v>
          </cell>
          <cell r="D2867">
            <v>439</v>
          </cell>
          <cell r="E2867">
            <v>4648</v>
          </cell>
          <cell r="F2867">
            <v>11.9641002277904</v>
          </cell>
        </row>
        <row r="2868">
          <cell r="B2868" t="str">
            <v>70445562</v>
          </cell>
          <cell r="C2868" t="str">
            <v>优斯麦尔 新疆骏枣一等 218G/袋</v>
          </cell>
          <cell r="D2868">
            <v>1321</v>
          </cell>
          <cell r="E2868">
            <v>7418.2</v>
          </cell>
          <cell r="F2868">
            <v>6.3456214988645003</v>
          </cell>
        </row>
        <row r="2869">
          <cell r="B2869" t="str">
            <v>70445573</v>
          </cell>
          <cell r="C2869" t="str">
            <v>优斯麦尔 黄桃干 98G/袋</v>
          </cell>
          <cell r="D2869">
            <v>0</v>
          </cell>
          <cell r="E2869">
            <v>0.01</v>
          </cell>
          <cell r="F2869" t="e">
            <v>#DIV/0!</v>
          </cell>
        </row>
        <row r="2870">
          <cell r="B2870" t="str">
            <v>70445574</v>
          </cell>
          <cell r="C2870" t="str">
            <v>优斯麦尔 西梅干 98G/袋</v>
          </cell>
          <cell r="D2870">
            <v>908</v>
          </cell>
          <cell r="E2870">
            <v>6240.51</v>
          </cell>
          <cell r="F2870">
            <v>7.7662734581497803</v>
          </cell>
        </row>
        <row r="2871">
          <cell r="B2871" t="str">
            <v>70445575</v>
          </cell>
          <cell r="C2871" t="str">
            <v>优斯麦尔 坚果帮混合干坚果1天装 25G/袋</v>
          </cell>
          <cell r="D2871">
            <v>77</v>
          </cell>
          <cell r="E2871">
            <v>183.02</v>
          </cell>
          <cell r="F2871">
            <v>2.6858779220779199</v>
          </cell>
        </row>
        <row r="2872">
          <cell r="B2872" t="str">
            <v>70445576</v>
          </cell>
          <cell r="C2872" t="str">
            <v>优斯麦尔 巴旦木仁扁桃仁1日装 22G/袋</v>
          </cell>
          <cell r="D2872">
            <v>7</v>
          </cell>
          <cell r="E2872">
            <v>16.66</v>
          </cell>
          <cell r="F2872">
            <v>2.6894</v>
          </cell>
        </row>
        <row r="2873">
          <cell r="B2873" t="str">
            <v>70445577</v>
          </cell>
          <cell r="C2873" t="str">
            <v>优斯麦尔 无花果干1日装 22G/袋</v>
          </cell>
          <cell r="D2873">
            <v>21</v>
          </cell>
          <cell r="E2873">
            <v>49.85</v>
          </cell>
          <cell r="F2873">
            <v>2.6824047619047602</v>
          </cell>
        </row>
        <row r="2874">
          <cell r="B2874" t="str">
            <v>70445578</v>
          </cell>
          <cell r="C2874" t="str">
            <v>优斯麦尔 核桃仁1日装 22G/袋</v>
          </cell>
          <cell r="D2874">
            <v>14</v>
          </cell>
          <cell r="E2874">
            <v>27.92</v>
          </cell>
          <cell r="F2874">
            <v>2.2535428571428602</v>
          </cell>
        </row>
        <row r="2875">
          <cell r="B2875" t="str">
            <v>70449952</v>
          </cell>
          <cell r="C2875" t="str">
            <v>蒙牛 芝士奶酥片原味 160G*10</v>
          </cell>
          <cell r="D2875">
            <v>10</v>
          </cell>
          <cell r="E2875">
            <v>13.1</v>
          </cell>
          <cell r="F2875">
            <v>1.4802999999999999</v>
          </cell>
        </row>
        <row r="2876">
          <cell r="B2876" t="str">
            <v>70449953</v>
          </cell>
          <cell r="C2876" t="str">
            <v>蒙牛 芝士奶酥片草莓味 160G*10</v>
          </cell>
          <cell r="D2876">
            <v>6</v>
          </cell>
          <cell r="E2876">
            <v>7.86</v>
          </cell>
          <cell r="F2876">
            <v>1.4802999999999999</v>
          </cell>
        </row>
        <row r="2877">
          <cell r="B2877" t="str">
            <v>70452826</v>
          </cell>
          <cell r="C2877" t="str">
            <v>诗梦园 草莓果丹皮 200G</v>
          </cell>
          <cell r="D2877">
            <v>2</v>
          </cell>
          <cell r="E2877">
            <v>33.630000000000003</v>
          </cell>
          <cell r="F2877">
            <v>19.00095</v>
          </cell>
        </row>
        <row r="2878">
          <cell r="B2878" t="str">
            <v>70462882</v>
          </cell>
          <cell r="C2878" t="str">
            <v>盐津铺子 素牛排混合装 200g</v>
          </cell>
          <cell r="D2878">
            <v>213</v>
          </cell>
          <cell r="E2878">
            <v>1398.9</v>
          </cell>
          <cell r="F2878">
            <v>7.4213943661971804</v>
          </cell>
        </row>
        <row r="2879">
          <cell r="B2879" t="str">
            <v>70462883</v>
          </cell>
          <cell r="C2879" t="str">
            <v>盐津铺子 脆骨小肉枣混合装 178g</v>
          </cell>
          <cell r="D2879">
            <v>761</v>
          </cell>
          <cell r="E2879">
            <v>4939.76</v>
          </cell>
          <cell r="F2879">
            <v>7.3349918528252296</v>
          </cell>
        </row>
        <row r="2880">
          <cell r="B2880" t="str">
            <v>70462884</v>
          </cell>
          <cell r="C2880" t="str">
            <v>盐津铺子 鳕鱼鱼豆腐混合装 200g</v>
          </cell>
          <cell r="D2880">
            <v>855</v>
          </cell>
          <cell r="E2880">
            <v>5617.13</v>
          </cell>
          <cell r="F2880">
            <v>7.4238092397660802</v>
          </cell>
        </row>
        <row r="2881">
          <cell r="B2881" t="str">
            <v>70462885</v>
          </cell>
          <cell r="C2881" t="str">
            <v>盐津铺子大魔王火爆魔芋 150g(三养火鸡酱味)</v>
          </cell>
          <cell r="D2881">
            <v>0</v>
          </cell>
          <cell r="E2881">
            <v>0</v>
          </cell>
          <cell r="F2881" t="e">
            <v>#DIV/0!</v>
          </cell>
        </row>
        <row r="2882">
          <cell r="B2882" t="str">
            <v>70464474</v>
          </cell>
          <cell r="C2882" t="str">
            <v>永健 脱骨凤爪酸辣柠檬味 68G</v>
          </cell>
          <cell r="D2882">
            <v>538</v>
          </cell>
          <cell r="E2882">
            <v>5276.68</v>
          </cell>
          <cell r="F2882">
            <v>11.0829895910781</v>
          </cell>
        </row>
        <row r="2883">
          <cell r="B2883" t="str">
            <v>70464800</v>
          </cell>
          <cell r="C2883" t="str">
            <v>品品 牛肚麻辣味 68G</v>
          </cell>
          <cell r="D2883">
            <v>855</v>
          </cell>
          <cell r="E2883">
            <v>7599.63</v>
          </cell>
          <cell r="F2883">
            <v>10.0439554385965</v>
          </cell>
        </row>
        <row r="2884">
          <cell r="B2884" t="str">
            <v>70464801</v>
          </cell>
          <cell r="C2884" t="str">
            <v>品品 牛肚孜然味 68G</v>
          </cell>
          <cell r="D2884">
            <v>655</v>
          </cell>
          <cell r="E2884">
            <v>5823.34</v>
          </cell>
          <cell r="F2884">
            <v>10.0463728244275</v>
          </cell>
        </row>
        <row r="2885">
          <cell r="B2885" t="str">
            <v>70466154</v>
          </cell>
          <cell r="C2885" t="str">
            <v>甘源 阖家欢礼盒 900G</v>
          </cell>
          <cell r="D2885">
            <v>29</v>
          </cell>
          <cell r="E2885">
            <v>1898.68</v>
          </cell>
          <cell r="F2885">
            <v>73.983048275862103</v>
          </cell>
        </row>
        <row r="2886">
          <cell r="B2886" t="str">
            <v>70467778</v>
          </cell>
          <cell r="C2886" t="str">
            <v>盐津铺子 大魔王魔芋素毛肚（香辣味＋麻辣火锅味）200g</v>
          </cell>
          <cell r="D2886">
            <v>8</v>
          </cell>
          <cell r="E2886">
            <v>52.58</v>
          </cell>
          <cell r="F2886">
            <v>7.4269249999999998</v>
          </cell>
        </row>
        <row r="2887">
          <cell r="B2887" t="str">
            <v>70467850</v>
          </cell>
          <cell r="C2887" t="str">
            <v>辣媳妇 卤香虎皮肉卷 105G</v>
          </cell>
          <cell r="D2887">
            <v>17</v>
          </cell>
          <cell r="E2887">
            <v>153.33000000000001</v>
          </cell>
          <cell r="F2887">
            <v>10.1919352941176</v>
          </cell>
        </row>
        <row r="2888">
          <cell r="B2888" t="str">
            <v>70467852</v>
          </cell>
          <cell r="C2888" t="str">
            <v>辣媳妇 柠檬鸡筋 85G</v>
          </cell>
          <cell r="D2888">
            <v>11</v>
          </cell>
          <cell r="E2888">
            <v>99.22</v>
          </cell>
          <cell r="F2888">
            <v>10.192600000000001</v>
          </cell>
        </row>
        <row r="2889">
          <cell r="B2889" t="str">
            <v>70468011</v>
          </cell>
          <cell r="C2889" t="str">
            <v>水韵好客 海苔卷蛋黄味 100G</v>
          </cell>
          <cell r="D2889">
            <v>173</v>
          </cell>
          <cell r="E2889">
            <v>1141.23</v>
          </cell>
          <cell r="F2889">
            <v>7.4542768786127196</v>
          </cell>
        </row>
        <row r="2890">
          <cell r="B2890" t="str">
            <v>70468221</v>
          </cell>
          <cell r="C2890" t="str">
            <v>好德友 乡吧佬香卤蛋 32G</v>
          </cell>
          <cell r="D2890">
            <v>9090</v>
          </cell>
          <cell r="E2890">
            <v>12928.48</v>
          </cell>
          <cell r="F2890">
            <v>1.60717078107811</v>
          </cell>
        </row>
        <row r="2891">
          <cell r="B2891" t="str">
            <v>70468775</v>
          </cell>
          <cell r="C2891" t="str">
            <v>溜溜梅 青梅葡萄梅冻 120G</v>
          </cell>
          <cell r="D2891">
            <v>214</v>
          </cell>
          <cell r="E2891">
            <v>1185</v>
          </cell>
          <cell r="F2891">
            <v>6.2572429906542002</v>
          </cell>
        </row>
        <row r="2892">
          <cell r="B2892" t="str">
            <v>70468794</v>
          </cell>
          <cell r="C2892" t="str">
            <v>佳龙 五谷杂粮盒装 32G</v>
          </cell>
          <cell r="D2892">
            <v>0</v>
          </cell>
          <cell r="E2892">
            <v>0</v>
          </cell>
          <cell r="F2892" t="e">
            <v>#DIV/0!</v>
          </cell>
        </row>
        <row r="2893">
          <cell r="B2893" t="str">
            <v>70468796</v>
          </cell>
          <cell r="C2893" t="str">
            <v>佳龙 豆角味 30G</v>
          </cell>
          <cell r="D2893">
            <v>0</v>
          </cell>
          <cell r="E2893">
            <v>0</v>
          </cell>
          <cell r="F2893" t="e">
            <v>#DIV/0!</v>
          </cell>
        </row>
        <row r="2894">
          <cell r="B2894" t="str">
            <v>70468818</v>
          </cell>
          <cell r="C2894" t="str">
            <v>佳龙 为何豆角干 90G</v>
          </cell>
          <cell r="D2894">
            <v>0</v>
          </cell>
          <cell r="E2894">
            <v>0</v>
          </cell>
          <cell r="F2894" t="e">
            <v>#DIV/0!</v>
          </cell>
        </row>
        <row r="2895">
          <cell r="B2895" t="str">
            <v>70468819</v>
          </cell>
          <cell r="C2895" t="str">
            <v>佳龙 为何素牛筋 90G</v>
          </cell>
          <cell r="D2895">
            <v>0</v>
          </cell>
          <cell r="E2895">
            <v>0</v>
          </cell>
          <cell r="F2895" t="e">
            <v>#DIV/0!</v>
          </cell>
        </row>
        <row r="2896">
          <cell r="B2896" t="str">
            <v>70469071</v>
          </cell>
          <cell r="C2896" t="str">
            <v>奥赛 爆浆蓝莓山楂 105G</v>
          </cell>
          <cell r="D2896">
            <v>668</v>
          </cell>
          <cell r="E2896">
            <v>3522.52</v>
          </cell>
          <cell r="F2896">
            <v>5.9587538922155696</v>
          </cell>
        </row>
        <row r="2897">
          <cell r="B2897" t="str">
            <v>70469072</v>
          </cell>
          <cell r="C2897" t="str">
            <v>奥赛 爆浆草莓山楂 105G</v>
          </cell>
          <cell r="D2897">
            <v>709</v>
          </cell>
          <cell r="E2897">
            <v>3730.12</v>
          </cell>
          <cell r="F2897">
            <v>5.9450431593794102</v>
          </cell>
        </row>
        <row r="2898">
          <cell r="B2898" t="str">
            <v>70469098</v>
          </cell>
          <cell r="C2898" t="str">
            <v>脆升升 蜂蜜黄油味薯片 60G</v>
          </cell>
          <cell r="D2898">
            <v>433</v>
          </cell>
          <cell r="E2898">
            <v>1748.22</v>
          </cell>
          <cell r="F2898">
            <v>4.5623293302540402</v>
          </cell>
        </row>
        <row r="2899">
          <cell r="B2899" t="str">
            <v>70469372</v>
          </cell>
          <cell r="C2899" t="str">
            <v>品客 爆打柠檬酸辣帝王蟹味薯片 110G</v>
          </cell>
          <cell r="D2899">
            <v>16</v>
          </cell>
          <cell r="E2899">
            <v>128.15</v>
          </cell>
          <cell r="F2899">
            <v>9.0505937500000009</v>
          </cell>
        </row>
        <row r="2900">
          <cell r="B2900" t="str">
            <v>70469466</v>
          </cell>
          <cell r="C2900" t="str">
            <v>甘源 缤纷每日豆果 208G</v>
          </cell>
          <cell r="D2900">
            <v>5</v>
          </cell>
          <cell r="E2900">
            <v>37</v>
          </cell>
          <cell r="F2900">
            <v>8.3620000000000001</v>
          </cell>
        </row>
        <row r="2901">
          <cell r="B2901" t="str">
            <v>70469467</v>
          </cell>
          <cell r="C2901" t="str">
            <v>甘源 脱油麻辣花生 208G</v>
          </cell>
          <cell r="D2901">
            <v>4</v>
          </cell>
          <cell r="E2901">
            <v>32.200000000000003</v>
          </cell>
          <cell r="F2901">
            <v>9.0965000000000007</v>
          </cell>
        </row>
        <row r="2902">
          <cell r="B2902" t="str">
            <v>70470562</v>
          </cell>
          <cell r="C2902" t="str">
            <v>良品铺子 黄桃果干 80G</v>
          </cell>
          <cell r="D2902">
            <v>22</v>
          </cell>
          <cell r="E2902">
            <v>161.66</v>
          </cell>
          <cell r="F2902">
            <v>8.3034454545454501</v>
          </cell>
        </row>
        <row r="2903">
          <cell r="B2903" t="str">
            <v>70470571</v>
          </cell>
          <cell r="C2903" t="str">
            <v>良品铺子 烧烤小黄鱼 88G</v>
          </cell>
          <cell r="D2903">
            <v>305</v>
          </cell>
          <cell r="E2903">
            <v>3306.6</v>
          </cell>
          <cell r="F2903">
            <v>12.250681967213101</v>
          </cell>
        </row>
        <row r="2904">
          <cell r="B2904" t="str">
            <v>70470572</v>
          </cell>
          <cell r="C2904" t="str">
            <v>良品铺子 猪肉脯自然片（原味） 80g</v>
          </cell>
          <cell r="D2904">
            <v>8</v>
          </cell>
          <cell r="E2904">
            <v>86.38</v>
          </cell>
          <cell r="F2904">
            <v>12.201174999999999</v>
          </cell>
        </row>
        <row r="2905">
          <cell r="B2905" t="str">
            <v>70470967</v>
          </cell>
          <cell r="C2905" t="str">
            <v>开小差 彩虹爆米花 220G/袋</v>
          </cell>
          <cell r="D2905">
            <v>4</v>
          </cell>
          <cell r="E2905">
            <v>36.11</v>
          </cell>
          <cell r="F2905">
            <v>10.201074999999999</v>
          </cell>
        </row>
        <row r="2906">
          <cell r="B2906" t="str">
            <v>70470970</v>
          </cell>
          <cell r="C2906" t="str">
            <v>禧安骄 暴躁辣子鸡香辣 50G/袋</v>
          </cell>
          <cell r="D2906">
            <v>39</v>
          </cell>
          <cell r="E2906">
            <v>207.96</v>
          </cell>
          <cell r="F2906">
            <v>6.0255076923076896</v>
          </cell>
        </row>
        <row r="2907">
          <cell r="B2907" t="str">
            <v>70470971</v>
          </cell>
          <cell r="C2907" t="str">
            <v>禧安骄 暴躁辣子鸡麻辣 50G/袋</v>
          </cell>
          <cell r="D2907">
            <v>25</v>
          </cell>
          <cell r="E2907">
            <v>149.47</v>
          </cell>
          <cell r="F2907">
            <v>6.7560440000000002</v>
          </cell>
        </row>
        <row r="2908">
          <cell r="B2908" t="str">
            <v>70470973</v>
          </cell>
          <cell r="C2908" t="str">
            <v>神味客 蛋黄锅巴海苔味 138G/袋</v>
          </cell>
          <cell r="D2908">
            <v>0</v>
          </cell>
          <cell r="E2908">
            <v>0</v>
          </cell>
          <cell r="F2908" t="e">
            <v>#DIV/0!</v>
          </cell>
        </row>
        <row r="2909">
          <cell r="B2909" t="str">
            <v>70470975</v>
          </cell>
          <cell r="C2909" t="str">
            <v>神味客 蛋黄锅巴香辣味 60G/袋</v>
          </cell>
          <cell r="D2909">
            <v>0</v>
          </cell>
          <cell r="E2909">
            <v>0</v>
          </cell>
          <cell r="F2909" t="e">
            <v>#DIV/0!</v>
          </cell>
        </row>
        <row r="2910">
          <cell r="B2910" t="str">
            <v>70471034</v>
          </cell>
          <cell r="C2910" t="str">
            <v>百草味 香酥小豌豆蒜香味 100G/袋</v>
          </cell>
          <cell r="D2910">
            <v>5</v>
          </cell>
          <cell r="E2910">
            <v>14.4</v>
          </cell>
          <cell r="F2910">
            <v>3.2544</v>
          </cell>
        </row>
        <row r="2911">
          <cell r="B2911" t="str">
            <v>70472868</v>
          </cell>
          <cell r="C2911" t="str">
            <v>三胖蛋 经典罐装 168G</v>
          </cell>
          <cell r="D2911">
            <v>66</v>
          </cell>
          <cell r="E2911">
            <v>1197.49</v>
          </cell>
          <cell r="F2911">
            <v>20.5024803030303</v>
          </cell>
        </row>
        <row r="2912">
          <cell r="B2912" t="str">
            <v>70472871</v>
          </cell>
          <cell r="C2912" t="str">
            <v>辣媳妇 香辣味虎皮翅尖 105G</v>
          </cell>
          <cell r="D2912">
            <v>18</v>
          </cell>
          <cell r="E2912">
            <v>162.36000000000001</v>
          </cell>
          <cell r="F2912">
            <v>10.192600000000001</v>
          </cell>
        </row>
        <row r="2913">
          <cell r="B2913" t="str">
            <v>70474271</v>
          </cell>
          <cell r="C2913" t="str">
            <v>辣媳妇 青柠味凤爪 108G</v>
          </cell>
          <cell r="D2913">
            <v>3</v>
          </cell>
          <cell r="E2913">
            <v>27.06</v>
          </cell>
          <cell r="F2913">
            <v>10.192600000000001</v>
          </cell>
        </row>
        <row r="2914">
          <cell r="B2914" t="str">
            <v>70474844</v>
          </cell>
          <cell r="C2914" t="str">
            <v>米多奇 雪饼 438G</v>
          </cell>
          <cell r="D2914">
            <v>25</v>
          </cell>
          <cell r="E2914">
            <v>199.61</v>
          </cell>
          <cell r="F2914">
            <v>9.0223720000000007</v>
          </cell>
        </row>
        <row r="2915">
          <cell r="B2915" t="str">
            <v>70475776</v>
          </cell>
          <cell r="C2915" t="str">
            <v>三只松鼠 蜀三香麻辣牛肉（微辣） 60G</v>
          </cell>
          <cell r="D2915">
            <v>5</v>
          </cell>
          <cell r="E2915">
            <v>30.1</v>
          </cell>
          <cell r="F2915">
            <v>6.8026</v>
          </cell>
        </row>
        <row r="2916">
          <cell r="B2916" t="str">
            <v>70476537</v>
          </cell>
          <cell r="C2916" t="str">
            <v>好巴食 嘿毛肚 藤椒味 50G</v>
          </cell>
          <cell r="D2916">
            <v>866</v>
          </cell>
          <cell r="E2916">
            <v>2459.41</v>
          </cell>
          <cell r="F2916">
            <v>3.2091608545034598</v>
          </cell>
        </row>
        <row r="2917">
          <cell r="B2917" t="str">
            <v>70476538</v>
          </cell>
          <cell r="C2917" t="str">
            <v>好巴食 嘿毛肚 香辣味 50G</v>
          </cell>
          <cell r="D2917">
            <v>1084</v>
          </cell>
          <cell r="E2917">
            <v>3079.21</v>
          </cell>
          <cell r="F2917">
            <v>3.2098775830258299</v>
          </cell>
        </row>
        <row r="2918">
          <cell r="B2918" t="str">
            <v>70477066</v>
          </cell>
          <cell r="C2918" t="str">
            <v>张飞 传人灯影鸡肉丝香辣味 60G</v>
          </cell>
          <cell r="D2918">
            <v>805</v>
          </cell>
          <cell r="E2918">
            <v>4359.67</v>
          </cell>
          <cell r="F2918">
            <v>6.1197852173912999</v>
          </cell>
        </row>
        <row r="2919">
          <cell r="B2919" t="str">
            <v>70477067</v>
          </cell>
          <cell r="C2919" t="str">
            <v>张飞 传人手磨豆泡椒味 80G</v>
          </cell>
          <cell r="D2919">
            <v>7</v>
          </cell>
          <cell r="E2919">
            <v>25.41</v>
          </cell>
          <cell r="F2919">
            <v>4.1018999999999997</v>
          </cell>
        </row>
        <row r="2920">
          <cell r="B2920" t="str">
            <v>70478209</v>
          </cell>
          <cell r="C2920" t="str">
            <v>有才 柠檬无骨鸡脚筋 22G</v>
          </cell>
          <cell r="D2920">
            <v>60</v>
          </cell>
          <cell r="E2920">
            <v>0</v>
          </cell>
          <cell r="F2920">
            <v>0</v>
          </cell>
        </row>
        <row r="2921">
          <cell r="B2921" t="str">
            <v>70478210</v>
          </cell>
          <cell r="C2921" t="str">
            <v>有才 藤椒无骨鸡脚筋 22G</v>
          </cell>
          <cell r="D2921">
            <v>60</v>
          </cell>
          <cell r="E2921">
            <v>0</v>
          </cell>
          <cell r="F2921">
            <v>0</v>
          </cell>
        </row>
        <row r="2922">
          <cell r="B2922" t="str">
            <v>70478491</v>
          </cell>
          <cell r="C2922" t="str">
            <v>昆享 五香瓜子 188G</v>
          </cell>
          <cell r="D2922">
            <v>2</v>
          </cell>
          <cell r="E2922">
            <v>32.68</v>
          </cell>
          <cell r="F2922">
            <v>18.464200000000002</v>
          </cell>
        </row>
        <row r="2923">
          <cell r="B2923" t="str">
            <v>70483710</v>
          </cell>
          <cell r="C2923" t="str">
            <v>辣媳妇 黑鸭虎皮翅尖 105G</v>
          </cell>
          <cell r="D2923">
            <v>8</v>
          </cell>
          <cell r="E2923">
            <v>72.16</v>
          </cell>
          <cell r="F2923">
            <v>10.192600000000001</v>
          </cell>
        </row>
        <row r="2924">
          <cell r="B2924" t="str">
            <v>70483910</v>
          </cell>
          <cell r="C2924" t="str">
            <v>南街村 酱香牛肉味北京锅巴 36G</v>
          </cell>
          <cell r="D2924">
            <v>1731</v>
          </cell>
          <cell r="E2924">
            <v>1835.11</v>
          </cell>
          <cell r="F2924">
            <v>1.1979632004621601</v>
          </cell>
        </row>
        <row r="2925">
          <cell r="B2925" t="str">
            <v>70483914</v>
          </cell>
          <cell r="C2925" t="str">
            <v>南街村 麻辣北京锅巴 36G</v>
          </cell>
          <cell r="D2925">
            <v>2303</v>
          </cell>
          <cell r="E2925">
            <v>2440.77</v>
          </cell>
          <cell r="F2925">
            <v>1.19759882761615</v>
          </cell>
        </row>
        <row r="2926">
          <cell r="B2926" t="str">
            <v>70483919</v>
          </cell>
          <cell r="C2926" t="str">
            <v>南街村 甜味北京锅巴 36G</v>
          </cell>
          <cell r="D2926">
            <v>1543</v>
          </cell>
          <cell r="E2926">
            <v>1633.93</v>
          </cell>
          <cell r="F2926">
            <v>1.1965916396629901</v>
          </cell>
        </row>
        <row r="2927">
          <cell r="B2927" t="str">
            <v>70483988</v>
          </cell>
          <cell r="C2927" t="str">
            <v>加减 乘除 泥鳅鱼烧烤味 100G</v>
          </cell>
          <cell r="D2927">
            <v>4</v>
          </cell>
          <cell r="E2927">
            <v>28.32</v>
          </cell>
          <cell r="F2927">
            <v>8.0004000000000008</v>
          </cell>
        </row>
        <row r="2928">
          <cell r="B2928" t="str">
            <v>70483993</v>
          </cell>
          <cell r="C2928" t="str">
            <v>加减 乘除 泥鳅鱼麻辣味 100G</v>
          </cell>
          <cell r="D2928">
            <v>6</v>
          </cell>
          <cell r="E2928">
            <v>42.48</v>
          </cell>
          <cell r="F2928">
            <v>8.0004000000000008</v>
          </cell>
        </row>
        <row r="2929">
          <cell r="B2929" t="str">
            <v>70483998</v>
          </cell>
          <cell r="C2929" t="str">
            <v>加减 乘除海带香辣味 180G</v>
          </cell>
          <cell r="D2929">
            <v>8</v>
          </cell>
          <cell r="E2929">
            <v>46.04</v>
          </cell>
          <cell r="F2929">
            <v>6.5031499999999998</v>
          </cell>
        </row>
        <row r="2930">
          <cell r="B2930" t="str">
            <v>70484003</v>
          </cell>
          <cell r="C2930" t="str">
            <v>加减乘除 解馋零食情侣半梅 110G</v>
          </cell>
          <cell r="D2930">
            <v>3</v>
          </cell>
          <cell r="E2930">
            <v>13.29</v>
          </cell>
          <cell r="F2930">
            <v>5.0058999999999996</v>
          </cell>
        </row>
        <row r="2931">
          <cell r="B2931" t="str">
            <v>70484007</v>
          </cell>
          <cell r="C2931" t="str">
            <v>加减 乘除 正宗乌梅 120G</v>
          </cell>
          <cell r="D2931">
            <v>2</v>
          </cell>
          <cell r="E2931">
            <v>8.86</v>
          </cell>
          <cell r="F2931">
            <v>5.0058999999999996</v>
          </cell>
        </row>
        <row r="2932">
          <cell r="B2932" t="str">
            <v>70484022</v>
          </cell>
          <cell r="C2932" t="str">
            <v>加减 乘除地瓜干 165G</v>
          </cell>
          <cell r="D2932">
            <v>631</v>
          </cell>
          <cell r="E2932">
            <v>4042.07</v>
          </cell>
          <cell r="F2932">
            <v>7.2385722662440601</v>
          </cell>
        </row>
        <row r="2933">
          <cell r="B2933" t="str">
            <v>70484027</v>
          </cell>
          <cell r="C2933" t="str">
            <v>加减 乘除怪味胡豆 135G</v>
          </cell>
          <cell r="D2933">
            <v>81</v>
          </cell>
          <cell r="E2933">
            <v>322.58</v>
          </cell>
          <cell r="F2933">
            <v>4.5001901234567896</v>
          </cell>
        </row>
        <row r="2934">
          <cell r="B2934" t="str">
            <v>70484032</v>
          </cell>
          <cell r="C2934" t="str">
            <v>加减 乘除嘉应子 290G</v>
          </cell>
          <cell r="D2934">
            <v>0</v>
          </cell>
          <cell r="E2934">
            <v>0</v>
          </cell>
          <cell r="F2934" t="e">
            <v>#DIV/0!</v>
          </cell>
        </row>
        <row r="2935">
          <cell r="B2935" t="str">
            <v>70484055</v>
          </cell>
          <cell r="C2935" t="str">
            <v>卫龙 麻辣麻辣小麻小辣 108G</v>
          </cell>
          <cell r="D2935">
            <v>68</v>
          </cell>
          <cell r="E2935">
            <v>337.63</v>
          </cell>
          <cell r="F2935">
            <v>5.6106161764705904</v>
          </cell>
        </row>
        <row r="2936">
          <cell r="B2936" t="str">
            <v>70484061</v>
          </cell>
          <cell r="C2936" t="str">
            <v>卫龙 麻辣麻辣很麻很辣 72G</v>
          </cell>
          <cell r="D2936">
            <v>603</v>
          </cell>
          <cell r="E2936">
            <v>2161.11</v>
          </cell>
          <cell r="F2936">
            <v>4.0498412935323396</v>
          </cell>
        </row>
        <row r="2937">
          <cell r="B2937" t="str">
            <v>70484067</v>
          </cell>
          <cell r="C2937" t="str">
            <v>卫龙 麻辣麻辣小麻小辣 72G</v>
          </cell>
          <cell r="D2937">
            <v>0</v>
          </cell>
          <cell r="E2937">
            <v>0</v>
          </cell>
          <cell r="F2937" t="e">
            <v>#DIV/0!</v>
          </cell>
        </row>
        <row r="2938">
          <cell r="B2938" t="str">
            <v>70484072</v>
          </cell>
          <cell r="C2938" t="str">
            <v>卫龙 麻辣麻辣很麻很辣 108G</v>
          </cell>
          <cell r="D2938">
            <v>0</v>
          </cell>
          <cell r="E2938">
            <v>0</v>
          </cell>
          <cell r="F2938" t="e">
            <v>#DIV/0!</v>
          </cell>
        </row>
        <row r="2939">
          <cell r="B2939" t="str">
            <v>70484764</v>
          </cell>
          <cell r="C2939" t="str">
            <v>劲仔 手撕素肉香辣牛肉味 20G</v>
          </cell>
          <cell r="D2939">
            <v>6</v>
          </cell>
          <cell r="E2939">
            <v>4.26</v>
          </cell>
          <cell r="F2939">
            <v>0.80230000000000001</v>
          </cell>
        </row>
        <row r="2940">
          <cell r="B2940" t="str">
            <v>70484968</v>
          </cell>
          <cell r="C2940" t="str">
            <v>山姆 MM黄油鸡蛋卷 608G</v>
          </cell>
          <cell r="D2940">
            <v>159</v>
          </cell>
          <cell r="E2940">
            <v>9555.43</v>
          </cell>
          <cell r="F2940">
            <v>67.9096597484277</v>
          </cell>
        </row>
        <row r="2941">
          <cell r="B2941" t="str">
            <v>70485510</v>
          </cell>
          <cell r="C2941" t="str">
            <v>山姆 MM芥末味夏威夷果仁 500G</v>
          </cell>
          <cell r="D2941">
            <v>1</v>
          </cell>
          <cell r="E2941">
            <v>99</v>
          </cell>
          <cell r="F2941">
            <v>111.87</v>
          </cell>
        </row>
        <row r="2942">
          <cell r="B2942" t="str">
            <v>70485940</v>
          </cell>
          <cell r="C2942" t="str">
            <v>甘源 醇香原味薯片 62G</v>
          </cell>
          <cell r="D2942">
            <v>0</v>
          </cell>
          <cell r="E2942">
            <v>0</v>
          </cell>
          <cell r="F2942" t="e">
            <v>#DIV/0!</v>
          </cell>
        </row>
        <row r="2943">
          <cell r="B2943" t="str">
            <v>70485944</v>
          </cell>
          <cell r="C2943" t="str">
            <v>甘源 甘酸番茄味薯片 62G</v>
          </cell>
          <cell r="D2943">
            <v>668</v>
          </cell>
          <cell r="E2943">
            <v>2043.96</v>
          </cell>
          <cell r="F2943">
            <v>3.4575970059880201</v>
          </cell>
        </row>
        <row r="2944">
          <cell r="B2944" t="str">
            <v>70485946</v>
          </cell>
          <cell r="C2944" t="str">
            <v>甘源 铁板牛排味薯片 62G</v>
          </cell>
          <cell r="D2944">
            <v>651</v>
          </cell>
          <cell r="E2944">
            <v>1984.33</v>
          </cell>
          <cell r="F2944">
            <v>3.44438233486943</v>
          </cell>
        </row>
        <row r="2945">
          <cell r="B2945" t="str">
            <v>70486122</v>
          </cell>
          <cell r="C2945" t="str">
            <v>甘源 咸蛋黄味榛子仁 32G</v>
          </cell>
          <cell r="D2945">
            <v>0</v>
          </cell>
          <cell r="E2945">
            <v>0</v>
          </cell>
          <cell r="F2945" t="e">
            <v>#DIV/0!</v>
          </cell>
        </row>
        <row r="2946">
          <cell r="B2946" t="str">
            <v>70486123</v>
          </cell>
          <cell r="C2946" t="str">
            <v>甘源 蜂蜜琥珀核桃仁 32G</v>
          </cell>
          <cell r="D2946">
            <v>2008</v>
          </cell>
          <cell r="E2946">
            <v>5241.7</v>
          </cell>
          <cell r="F2946">
            <v>2.9497614541832702</v>
          </cell>
        </row>
        <row r="2947">
          <cell r="B2947" t="str">
            <v>70486124</v>
          </cell>
          <cell r="C2947" t="str">
            <v>甘源 芝麻琥珀核桃仁 32G</v>
          </cell>
          <cell r="D2947">
            <v>1</v>
          </cell>
          <cell r="E2947">
            <v>2.71</v>
          </cell>
          <cell r="F2947">
            <v>3.0623</v>
          </cell>
        </row>
        <row r="2948">
          <cell r="B2948" t="str">
            <v>70486125</v>
          </cell>
          <cell r="C2948" t="str">
            <v>甘源 蟹黄味腰果 32G</v>
          </cell>
          <cell r="D2948">
            <v>18</v>
          </cell>
          <cell r="E2948">
            <v>49.39</v>
          </cell>
          <cell r="F2948">
            <v>3.10059444444444</v>
          </cell>
        </row>
        <row r="2949">
          <cell r="B2949" t="str">
            <v>70486127</v>
          </cell>
          <cell r="C2949" t="str">
            <v>甘源 炭烧味腰果 32G</v>
          </cell>
          <cell r="D2949">
            <v>63</v>
          </cell>
          <cell r="E2949">
            <v>171.26</v>
          </cell>
          <cell r="F2949">
            <v>3.0718063492063501</v>
          </cell>
        </row>
        <row r="2950">
          <cell r="B2950" t="str">
            <v>70486136</v>
          </cell>
          <cell r="C2950" t="str">
            <v>甘源 多彩鱼皮花生 208G</v>
          </cell>
          <cell r="D2950">
            <v>29</v>
          </cell>
          <cell r="E2950">
            <v>256.42</v>
          </cell>
          <cell r="F2950">
            <v>9.9915379310344807</v>
          </cell>
        </row>
        <row r="2951">
          <cell r="B2951" t="str">
            <v>70487989</v>
          </cell>
          <cell r="C2951" t="str">
            <v>盐津铺子 蒟蒻果冻混合口味 320G</v>
          </cell>
          <cell r="D2951">
            <v>573</v>
          </cell>
          <cell r="E2951">
            <v>3768.66</v>
          </cell>
          <cell r="F2951">
            <v>7.4320869109947596</v>
          </cell>
        </row>
        <row r="2952">
          <cell r="B2952" t="str">
            <v>70488376</v>
          </cell>
          <cell r="C2952" t="str">
            <v>西域春 牛奶干吃片 18G</v>
          </cell>
          <cell r="D2952">
            <v>0</v>
          </cell>
          <cell r="E2952">
            <v>0</v>
          </cell>
          <cell r="F2952" t="e">
            <v>#DIV/0!</v>
          </cell>
        </row>
        <row r="2953">
          <cell r="B2953" t="str">
            <v>70490022</v>
          </cell>
          <cell r="C2953" t="str">
            <v>MEMBER'S MARK 碳烤猪肉脯 500G</v>
          </cell>
          <cell r="D2953">
            <v>4</v>
          </cell>
          <cell r="E2953">
            <v>356</v>
          </cell>
          <cell r="F2953">
            <v>100.57</v>
          </cell>
        </row>
        <row r="2954">
          <cell r="B2954" t="str">
            <v>70490028</v>
          </cell>
          <cell r="C2954" t="str">
            <v>MEMBER'S MARK 有机板栗仁 1KG</v>
          </cell>
          <cell r="D2954">
            <v>3</v>
          </cell>
          <cell r="E2954">
            <v>246.3</v>
          </cell>
          <cell r="F2954">
            <v>92.772999999999996</v>
          </cell>
        </row>
        <row r="2955">
          <cell r="B2955" t="str">
            <v>70490080</v>
          </cell>
          <cell r="C2955" t="str">
            <v>好丽友 果滋果心百香果味 70g</v>
          </cell>
          <cell r="D2955">
            <v>3555</v>
          </cell>
          <cell r="E2955">
            <v>10803.6</v>
          </cell>
          <cell r="F2955">
            <v>3.4340556962025302</v>
          </cell>
        </row>
        <row r="2956">
          <cell r="B2956" t="str">
            <v>70490222</v>
          </cell>
          <cell r="C2956" t="str">
            <v>劲仔 手撕素肉（韩式烧烤味） 20G</v>
          </cell>
          <cell r="D2956">
            <v>0</v>
          </cell>
          <cell r="E2956">
            <v>0</v>
          </cell>
          <cell r="F2956" t="e">
            <v>#DIV/0!</v>
          </cell>
        </row>
        <row r="2957">
          <cell r="B2957" t="str">
            <v>70490784</v>
          </cell>
          <cell r="C2957" t="str">
            <v>千百度 啦咝豆干藤椒味 105G</v>
          </cell>
          <cell r="D2957">
            <v>962</v>
          </cell>
          <cell r="E2957">
            <v>4445.51</v>
          </cell>
          <cell r="F2957">
            <v>5.2218568607068603</v>
          </cell>
        </row>
        <row r="2958">
          <cell r="B2958" t="str">
            <v>70491166</v>
          </cell>
          <cell r="C2958" t="str">
            <v>MEMBER'S MARK 麻辣鸭舌 230G</v>
          </cell>
          <cell r="D2958">
            <v>16</v>
          </cell>
          <cell r="E2958">
            <v>1118.4000000000001</v>
          </cell>
          <cell r="F2958">
            <v>78.986999999999995</v>
          </cell>
        </row>
        <row r="2959">
          <cell r="B2959" t="str">
            <v>70491938</v>
          </cell>
          <cell r="C2959" t="str">
            <v>寰态 薄皮核桃奶香味 500G</v>
          </cell>
          <cell r="D2959">
            <v>78</v>
          </cell>
          <cell r="E2959">
            <v>966.15</v>
          </cell>
          <cell r="F2959">
            <v>13.9967884615385</v>
          </cell>
        </row>
        <row r="2960">
          <cell r="B2960" t="str">
            <v>70491939</v>
          </cell>
          <cell r="C2960" t="str">
            <v>寰态 薄皮核桃草本味 500G</v>
          </cell>
          <cell r="D2960">
            <v>21</v>
          </cell>
          <cell r="E2960">
            <v>260.13</v>
          </cell>
          <cell r="F2960">
            <v>13.9974714285714</v>
          </cell>
        </row>
        <row r="2961">
          <cell r="B2961" t="str">
            <v>70491944</v>
          </cell>
          <cell r="C2961" t="str">
            <v>罗哥 树上干杏 250G</v>
          </cell>
          <cell r="D2961">
            <v>96</v>
          </cell>
          <cell r="E2961">
            <v>1431.31</v>
          </cell>
          <cell r="F2961">
            <v>16.847711458333301</v>
          </cell>
        </row>
        <row r="2962">
          <cell r="B2962" t="str">
            <v>70491969</v>
          </cell>
          <cell r="C2962" t="str">
            <v>走进西域 薄皮核桃 518G</v>
          </cell>
          <cell r="D2962">
            <v>15</v>
          </cell>
          <cell r="E2962">
            <v>165.15</v>
          </cell>
          <cell r="F2962">
            <v>12.4413</v>
          </cell>
        </row>
        <row r="2963">
          <cell r="B2963" t="str">
            <v>70492722</v>
          </cell>
          <cell r="C2963" t="str">
            <v>金晔 桑葚山楂条 108G</v>
          </cell>
          <cell r="D2963">
            <v>294</v>
          </cell>
          <cell r="E2963">
            <v>1040.75</v>
          </cell>
          <cell r="F2963">
            <v>4.0001615646258504</v>
          </cell>
        </row>
        <row r="2964">
          <cell r="B2964" t="str">
            <v>70492873</v>
          </cell>
          <cell r="C2964" t="str">
            <v>金晔 蓝莓山楂条 108G</v>
          </cell>
          <cell r="D2964">
            <v>364</v>
          </cell>
          <cell r="E2964">
            <v>1293.1400000000001</v>
          </cell>
          <cell r="F2964">
            <v>4.0144181318681298</v>
          </cell>
        </row>
        <row r="2965">
          <cell r="B2965" t="str">
            <v>70493832</v>
          </cell>
          <cell r="C2965" t="str">
            <v>劲仔 深海小鱼（香辣味） 20G</v>
          </cell>
          <cell r="D2965">
            <v>3063</v>
          </cell>
          <cell r="E2965">
            <v>4341.9799999999996</v>
          </cell>
          <cell r="F2965">
            <v>1.6018404831864199</v>
          </cell>
        </row>
        <row r="2966">
          <cell r="B2966" t="str">
            <v>70493836</v>
          </cell>
          <cell r="C2966" t="str">
            <v>劲仔 深海小鱼（酱汁味） 20G</v>
          </cell>
          <cell r="D2966">
            <v>2789</v>
          </cell>
          <cell r="E2966">
            <v>3801.98</v>
          </cell>
          <cell r="F2966">
            <v>1.54042215847974</v>
          </cell>
        </row>
        <row r="2967">
          <cell r="B2967" t="str">
            <v>70493840</v>
          </cell>
          <cell r="C2967" t="str">
            <v>溜溜梅 日式梅饼（日式原味） 50G</v>
          </cell>
          <cell r="D2967">
            <v>215</v>
          </cell>
          <cell r="E2967">
            <v>1214.25</v>
          </cell>
          <cell r="F2967">
            <v>6.38187209302325</v>
          </cell>
        </row>
        <row r="2968">
          <cell r="B2968" t="str">
            <v>70493949</v>
          </cell>
          <cell r="C2968" t="str">
            <v>盐津铺子 麻辣棒（混合口味） 180G</v>
          </cell>
          <cell r="D2968">
            <v>3</v>
          </cell>
          <cell r="E2968">
            <v>25.22</v>
          </cell>
          <cell r="F2968">
            <v>9.4995333333333303</v>
          </cell>
        </row>
        <row r="2969">
          <cell r="B2969" t="str">
            <v>70494431</v>
          </cell>
          <cell r="C2969" t="str">
            <v>卫龙 魔芋爽酸辣味 （15+3）g</v>
          </cell>
          <cell r="D2969">
            <v>22</v>
          </cell>
          <cell r="E2969">
            <v>65.760000000000005</v>
          </cell>
          <cell r="F2969">
            <v>3.37767272727273</v>
          </cell>
        </row>
        <row r="2970">
          <cell r="B2970" t="str">
            <v>70494432</v>
          </cell>
          <cell r="C2970" t="str">
            <v>卫龙 魔芋爽麻辣素毛肚 15G</v>
          </cell>
          <cell r="D2970">
            <v>6863</v>
          </cell>
          <cell r="E2970">
            <v>4382.3900000000003</v>
          </cell>
          <cell r="F2970">
            <v>0.72156501529943196</v>
          </cell>
        </row>
        <row r="2971">
          <cell r="B2971" t="str">
            <v>70494622</v>
          </cell>
          <cell r="C2971" t="str">
            <v>旭东 百里挑一藤椒味西瓜籽 158G</v>
          </cell>
          <cell r="D2971">
            <v>0</v>
          </cell>
          <cell r="E2971">
            <v>0</v>
          </cell>
          <cell r="F2971" t="e">
            <v>#DIV/0!</v>
          </cell>
        </row>
        <row r="2972">
          <cell r="B2972" t="str">
            <v>70494626</v>
          </cell>
          <cell r="C2972" t="str">
            <v>旭东 百里挑一五香味红瓜籽 128G</v>
          </cell>
          <cell r="D2972">
            <v>16</v>
          </cell>
          <cell r="E2972">
            <v>121.44</v>
          </cell>
          <cell r="F2972">
            <v>8.5767000000000007</v>
          </cell>
        </row>
        <row r="2973">
          <cell r="B2973" t="str">
            <v>70495428</v>
          </cell>
          <cell r="C2973" t="str">
            <v>渔米之湘 牛蹄筋（香辣味） 20G</v>
          </cell>
          <cell r="D2973">
            <v>3938</v>
          </cell>
          <cell r="E2973">
            <v>6163.2</v>
          </cell>
          <cell r="F2973">
            <v>1.7685159979685099</v>
          </cell>
        </row>
        <row r="2974">
          <cell r="B2974" t="str">
            <v>70496417</v>
          </cell>
          <cell r="C2974" t="str">
            <v>尚上坊 牛板筋烧烤味 25G</v>
          </cell>
          <cell r="D2974">
            <v>598</v>
          </cell>
          <cell r="E2974">
            <v>1754.86</v>
          </cell>
          <cell r="F2974">
            <v>3.3160397993310999</v>
          </cell>
        </row>
        <row r="2975">
          <cell r="B2975" t="str">
            <v>70496418</v>
          </cell>
          <cell r="C2975" t="str">
            <v>尚上坊 牛板筋麻辣味 25G</v>
          </cell>
          <cell r="D2975">
            <v>614</v>
          </cell>
          <cell r="E2975">
            <v>1808.23</v>
          </cell>
          <cell r="F2975">
            <v>3.3278500000000002</v>
          </cell>
        </row>
        <row r="2976">
          <cell r="B2976" t="str">
            <v>70496421</v>
          </cell>
          <cell r="C2976" t="str">
            <v>溜溜梅 5味梅冻分享装 400G</v>
          </cell>
          <cell r="D2976">
            <v>53</v>
          </cell>
          <cell r="E2976">
            <v>803.61</v>
          </cell>
          <cell r="F2976">
            <v>17.133571698113201</v>
          </cell>
        </row>
        <row r="2977">
          <cell r="B2977" t="str">
            <v>70496678</v>
          </cell>
          <cell r="C2977" t="str">
            <v>三只松鼠 虎皮凤爪 105G</v>
          </cell>
          <cell r="D2977">
            <v>0</v>
          </cell>
          <cell r="E2977">
            <v>0</v>
          </cell>
          <cell r="F2977" t="e">
            <v>#DIV/0!</v>
          </cell>
        </row>
        <row r="2978">
          <cell r="B2978" t="str">
            <v>70496684</v>
          </cell>
          <cell r="C2978" t="str">
            <v>三只松鼠 夏威夷果 100G</v>
          </cell>
          <cell r="D2978">
            <v>0</v>
          </cell>
          <cell r="E2978">
            <v>0</v>
          </cell>
          <cell r="F2978" t="e">
            <v>#DIV/0!</v>
          </cell>
        </row>
        <row r="2979">
          <cell r="B2979" t="str">
            <v>70496687</v>
          </cell>
          <cell r="C2979" t="str">
            <v>三只松鼠 碧根果 120G</v>
          </cell>
          <cell r="D2979">
            <v>0</v>
          </cell>
          <cell r="E2979">
            <v>0</v>
          </cell>
          <cell r="F2979" t="e">
            <v>#DIV/0!</v>
          </cell>
        </row>
        <row r="2980">
          <cell r="B2980" t="str">
            <v>70496815</v>
          </cell>
          <cell r="C2980" t="str">
            <v>三只松鼠 手剥巴旦木 120G</v>
          </cell>
          <cell r="D2980">
            <v>0</v>
          </cell>
          <cell r="E2980">
            <v>0</v>
          </cell>
          <cell r="F2980" t="e">
            <v>#DIV/0!</v>
          </cell>
        </row>
        <row r="2981">
          <cell r="B2981" t="str">
            <v>70496816</v>
          </cell>
          <cell r="C2981" t="str">
            <v>三只松鼠 开心果 100G</v>
          </cell>
          <cell r="D2981">
            <v>0</v>
          </cell>
          <cell r="E2981">
            <v>0</v>
          </cell>
          <cell r="F2981" t="e">
            <v>#DIV/0!</v>
          </cell>
        </row>
        <row r="2982">
          <cell r="B2982" t="str">
            <v>70496817</v>
          </cell>
          <cell r="C2982" t="str">
            <v>三只松鼠 紫皮腰果 120G</v>
          </cell>
          <cell r="D2982">
            <v>0</v>
          </cell>
          <cell r="E2982">
            <v>0</v>
          </cell>
          <cell r="F2982" t="e">
            <v>#DIV/0!</v>
          </cell>
        </row>
        <row r="2983">
          <cell r="B2983" t="str">
            <v>70496858</v>
          </cell>
          <cell r="C2983" t="str">
            <v>椒娇 小筋条香辣味 25G</v>
          </cell>
          <cell r="D2983">
            <v>0</v>
          </cell>
          <cell r="E2983">
            <v>0</v>
          </cell>
          <cell r="F2983" t="e">
            <v>#DIV/0!</v>
          </cell>
        </row>
        <row r="2984">
          <cell r="B2984" t="str">
            <v>70496863</v>
          </cell>
          <cell r="C2984" t="str">
            <v>椒娇 小筋条烧烤味 25G</v>
          </cell>
          <cell r="D2984">
            <v>0</v>
          </cell>
          <cell r="E2984">
            <v>0</v>
          </cell>
          <cell r="F2984" t="e">
            <v>#DIV/0!</v>
          </cell>
        </row>
        <row r="2985">
          <cell r="B2985" t="str">
            <v>70496867</v>
          </cell>
          <cell r="C2985" t="str">
            <v>椒娇 小串串香辣味 25G</v>
          </cell>
          <cell r="D2985">
            <v>0</v>
          </cell>
          <cell r="E2985">
            <v>0</v>
          </cell>
          <cell r="F2985" t="e">
            <v>#DIV/0!</v>
          </cell>
        </row>
        <row r="2986">
          <cell r="B2986" t="str">
            <v>70496870</v>
          </cell>
          <cell r="C2986" t="str">
            <v>椒娇 豆豉海鱼香辣味 20G</v>
          </cell>
          <cell r="D2986">
            <v>0</v>
          </cell>
          <cell r="E2986">
            <v>0</v>
          </cell>
          <cell r="F2986" t="e">
            <v>#DIV/0!</v>
          </cell>
        </row>
        <row r="2987">
          <cell r="B2987" t="str">
            <v>70496874</v>
          </cell>
          <cell r="C2987" t="str">
            <v>椒娇 豆豉海鱼酱香味 20G</v>
          </cell>
          <cell r="D2987">
            <v>0</v>
          </cell>
          <cell r="E2987">
            <v>0</v>
          </cell>
          <cell r="F2987" t="e">
            <v>#DIV/0!</v>
          </cell>
        </row>
        <row r="2988">
          <cell r="B2988" t="str">
            <v>70496986</v>
          </cell>
          <cell r="C2988" t="str">
            <v>沙土 话梅味西瓜子 108G</v>
          </cell>
          <cell r="D2988">
            <v>0</v>
          </cell>
          <cell r="E2988">
            <v>0</v>
          </cell>
          <cell r="F2988" t="e">
            <v>#DIV/0!</v>
          </cell>
        </row>
        <row r="2989">
          <cell r="B2989" t="str">
            <v>70496995</v>
          </cell>
          <cell r="C2989" t="str">
            <v>沙土 打手瓜子 240G</v>
          </cell>
          <cell r="D2989">
            <v>0</v>
          </cell>
          <cell r="E2989">
            <v>0</v>
          </cell>
          <cell r="F2989" t="e">
            <v>#DIV/0!</v>
          </cell>
        </row>
        <row r="2990">
          <cell r="B2990" t="str">
            <v>70496996</v>
          </cell>
          <cell r="C2990" t="str">
            <v>沙土 核桃味花生 160G</v>
          </cell>
          <cell r="D2990">
            <v>0</v>
          </cell>
          <cell r="E2990">
            <v>0</v>
          </cell>
          <cell r="F2990" t="e">
            <v>#DIV/0!</v>
          </cell>
        </row>
        <row r="2991">
          <cell r="B2991" t="str">
            <v>70496997</v>
          </cell>
          <cell r="C2991" t="str">
            <v>沙土 五香味花生米 180G</v>
          </cell>
          <cell r="D2991">
            <v>0</v>
          </cell>
          <cell r="E2991">
            <v>0</v>
          </cell>
          <cell r="F2991" t="e">
            <v>#DIV/0!</v>
          </cell>
        </row>
        <row r="2992">
          <cell r="B2992" t="str">
            <v>70496998</v>
          </cell>
          <cell r="C2992" t="str">
            <v>沙土 原香味瓜子 160G</v>
          </cell>
          <cell r="D2992">
            <v>0</v>
          </cell>
          <cell r="E2992">
            <v>0</v>
          </cell>
          <cell r="F2992" t="e">
            <v>#DIV/0!</v>
          </cell>
        </row>
        <row r="2993">
          <cell r="B2993" t="str">
            <v>70497032</v>
          </cell>
          <cell r="C2993" t="str">
            <v>力诚 手撕蟹柳香辣味 45G</v>
          </cell>
          <cell r="D2993">
            <v>0</v>
          </cell>
          <cell r="E2993">
            <v>0</v>
          </cell>
          <cell r="F2993" t="e">
            <v>#DIV/0!</v>
          </cell>
        </row>
        <row r="2994">
          <cell r="B2994" t="str">
            <v>70498496</v>
          </cell>
          <cell r="C2994" t="str">
            <v>好丽友 好友趣多汁牛排味 70G</v>
          </cell>
          <cell r="D2994">
            <v>1671</v>
          </cell>
          <cell r="E2994">
            <v>6758.09</v>
          </cell>
          <cell r="F2994">
            <v>4.5701027528426099</v>
          </cell>
        </row>
        <row r="2995">
          <cell r="B2995" t="str">
            <v>70498497</v>
          </cell>
          <cell r="C2995" t="str">
            <v>好丽友 好友趣韩国泡菜味 70G</v>
          </cell>
          <cell r="D2995">
            <v>1419</v>
          </cell>
          <cell r="E2995">
            <v>5773.67</v>
          </cell>
          <cell r="F2995">
            <v>4.5977780831571504</v>
          </cell>
        </row>
        <row r="2996">
          <cell r="B2996" t="str">
            <v>70498498</v>
          </cell>
          <cell r="C2996" t="str">
            <v>好丽友 好友趣加勒比烤翅味 70G</v>
          </cell>
          <cell r="D2996">
            <v>2719</v>
          </cell>
          <cell r="E2996">
            <v>10552.63</v>
          </cell>
          <cell r="F2996">
            <v>4.3856093784479597</v>
          </cell>
        </row>
        <row r="2997">
          <cell r="B2997" t="str">
            <v>70498499</v>
          </cell>
          <cell r="C2997" t="str">
            <v>好丽友 好友趣蜂蜜黄油味 70G</v>
          </cell>
          <cell r="D2997">
            <v>1466</v>
          </cell>
          <cell r="E2997">
            <v>5954.81</v>
          </cell>
          <cell r="F2997">
            <v>4.5899967939972699</v>
          </cell>
        </row>
        <row r="2998">
          <cell r="B2998" t="str">
            <v>70498522</v>
          </cell>
          <cell r="C2998" t="str">
            <v>乡吧佬 麻辣鸡腿 100G</v>
          </cell>
          <cell r="D2998">
            <v>2323</v>
          </cell>
          <cell r="E2998">
            <v>14474.7</v>
          </cell>
          <cell r="F2998">
            <v>7.0410723202755099</v>
          </cell>
        </row>
        <row r="2999">
          <cell r="B2999" t="str">
            <v>70498525</v>
          </cell>
          <cell r="C2999" t="str">
            <v>乡吧佬 卤鸡腿 80G/袋</v>
          </cell>
          <cell r="D2999">
            <v>1281</v>
          </cell>
          <cell r="E2999">
            <v>7303.39</v>
          </cell>
          <cell r="F2999">
            <v>6.4424907884465297</v>
          </cell>
        </row>
        <row r="3000">
          <cell r="B3000" t="str">
            <v>70498562</v>
          </cell>
          <cell r="C3000" t="str">
            <v>甘源 脱油椒盐味花生 208G</v>
          </cell>
          <cell r="D3000">
            <v>170</v>
          </cell>
          <cell r="E3000">
            <v>1367.57</v>
          </cell>
          <cell r="F3000">
            <v>9.0903182352941094</v>
          </cell>
        </row>
        <row r="3001">
          <cell r="B3001" t="str">
            <v>70498580</v>
          </cell>
          <cell r="C3001" t="str">
            <v>甘源 蒜香味青豌豆 208G</v>
          </cell>
          <cell r="D3001">
            <v>0</v>
          </cell>
          <cell r="E3001">
            <v>0</v>
          </cell>
          <cell r="F3001" t="e">
            <v>#DIV/0!</v>
          </cell>
        </row>
        <row r="3002">
          <cell r="B3002" t="str">
            <v>70498585</v>
          </cell>
          <cell r="C3002" t="str">
            <v>百草味 去核大西梅 50G</v>
          </cell>
          <cell r="D3002">
            <v>13</v>
          </cell>
          <cell r="E3002">
            <v>94.38</v>
          </cell>
          <cell r="F3002">
            <v>8.2037999999999993</v>
          </cell>
        </row>
        <row r="3003">
          <cell r="B3003" t="str">
            <v>70498586</v>
          </cell>
          <cell r="C3003" t="str">
            <v>百草味 拉面丸子麻辣味 50G/袋</v>
          </cell>
          <cell r="D3003">
            <v>12</v>
          </cell>
          <cell r="E3003">
            <v>27.11</v>
          </cell>
          <cell r="F3003">
            <v>2.5528583333333299</v>
          </cell>
        </row>
        <row r="3004">
          <cell r="B3004" t="str">
            <v>70499113</v>
          </cell>
          <cell r="C3004" t="str">
            <v>AJI 蒟蒻果汁果冻百香果和葡萄风味 260G</v>
          </cell>
          <cell r="D3004">
            <v>23</v>
          </cell>
          <cell r="E3004">
            <v>246.32</v>
          </cell>
          <cell r="F3004">
            <v>12.101808695652201</v>
          </cell>
        </row>
        <row r="3005">
          <cell r="B3005" t="str">
            <v>70499125</v>
          </cell>
          <cell r="C3005" t="str">
            <v>AJI 香辣脆骨鱼 80G</v>
          </cell>
          <cell r="D3005">
            <v>501</v>
          </cell>
          <cell r="E3005">
            <v>3922.38</v>
          </cell>
          <cell r="F3005">
            <v>8.84688502994012</v>
          </cell>
        </row>
        <row r="3006">
          <cell r="B3006" t="str">
            <v>70499148</v>
          </cell>
          <cell r="C3006" t="str">
            <v>艾尼大叔 小锅牛肉孜然铝箔 100G</v>
          </cell>
          <cell r="D3006">
            <v>8</v>
          </cell>
          <cell r="E3006">
            <v>145.16</v>
          </cell>
          <cell r="F3006">
            <v>20.50385</v>
          </cell>
        </row>
        <row r="3007">
          <cell r="B3007" t="str">
            <v>70499153</v>
          </cell>
          <cell r="C3007" t="str">
            <v>品品 素毛肚香辣味 60G</v>
          </cell>
          <cell r="D3007">
            <v>9</v>
          </cell>
          <cell r="E3007">
            <v>120.31</v>
          </cell>
          <cell r="F3007">
            <v>15.105588888888899</v>
          </cell>
        </row>
        <row r="3008">
          <cell r="B3008" t="str">
            <v>70499155</v>
          </cell>
          <cell r="C3008" t="str">
            <v>艾尼大叔 小锅牛肉芝麻铝箔 100G</v>
          </cell>
          <cell r="D3008">
            <v>11</v>
          </cell>
          <cell r="E3008">
            <v>199.58</v>
          </cell>
          <cell r="F3008">
            <v>20.502309090909101</v>
          </cell>
        </row>
        <row r="3009">
          <cell r="B3009" t="str">
            <v>70499223</v>
          </cell>
          <cell r="C3009" t="str">
            <v>AJI 香辣脆骨脆 72G</v>
          </cell>
          <cell r="D3009">
            <v>506</v>
          </cell>
          <cell r="E3009">
            <v>3980.04</v>
          </cell>
          <cell r="F3009">
            <v>8.8882316205533591</v>
          </cell>
        </row>
        <row r="3010">
          <cell r="B3010" t="str">
            <v>70499242</v>
          </cell>
          <cell r="C3010" t="str">
            <v>艾尼大叔 艾尼大叔的肉干鸡肉 15G/条</v>
          </cell>
          <cell r="D3010">
            <v>753</v>
          </cell>
          <cell r="E3010">
            <v>980.3</v>
          </cell>
          <cell r="F3010">
            <v>1.47110092961487</v>
          </cell>
        </row>
        <row r="3011">
          <cell r="B3011" t="str">
            <v>70499263</v>
          </cell>
          <cell r="C3011" t="str">
            <v>五号码头 盐焗鸡腿 75G</v>
          </cell>
          <cell r="D3011">
            <v>0</v>
          </cell>
          <cell r="E3011">
            <v>0</v>
          </cell>
          <cell r="F3011" t="e">
            <v>#DIV/0!</v>
          </cell>
        </row>
        <row r="3012">
          <cell r="B3012" t="str">
            <v>70499265</v>
          </cell>
          <cell r="C3012" t="str">
            <v>雪山果园 西梅干 468G</v>
          </cell>
          <cell r="D3012">
            <v>4</v>
          </cell>
          <cell r="E3012">
            <v>78.900000000000006</v>
          </cell>
          <cell r="F3012">
            <v>22.289249999999999</v>
          </cell>
        </row>
        <row r="3013">
          <cell r="B3013" t="str">
            <v>70499272</v>
          </cell>
          <cell r="C3013" t="str">
            <v>艾尼大叔 风干肉孜然味 500G</v>
          </cell>
          <cell r="D3013">
            <v>31</v>
          </cell>
          <cell r="E3013">
            <v>2987.64</v>
          </cell>
          <cell r="F3013">
            <v>108.90429677419399</v>
          </cell>
        </row>
        <row r="3014">
          <cell r="B3014" t="str">
            <v>70499273</v>
          </cell>
          <cell r="C3014" t="str">
            <v>艾尼大叔 风干肉香辣味 500G</v>
          </cell>
          <cell r="D3014">
            <v>42</v>
          </cell>
          <cell r="E3014">
            <v>4019.51</v>
          </cell>
          <cell r="F3014">
            <v>108.14395952381</v>
          </cell>
        </row>
        <row r="3015">
          <cell r="B3015" t="str">
            <v>70499274</v>
          </cell>
          <cell r="C3015" t="str">
            <v>艾尼大叔 风干肉原味 500G</v>
          </cell>
          <cell r="D3015">
            <v>37</v>
          </cell>
          <cell r="E3015">
            <v>3541.61</v>
          </cell>
          <cell r="F3015">
            <v>108.162683783784</v>
          </cell>
        </row>
        <row r="3016">
          <cell r="B3016" t="str">
            <v>70499275</v>
          </cell>
          <cell r="C3016" t="str">
            <v>艾尼大叔 小锅牛肉麻辣味 408G</v>
          </cell>
          <cell r="D3016">
            <v>76</v>
          </cell>
          <cell r="E3016">
            <v>5050.46</v>
          </cell>
          <cell r="F3016">
            <v>75.092365789473703</v>
          </cell>
        </row>
        <row r="3017">
          <cell r="B3017" t="str">
            <v>70501922</v>
          </cell>
          <cell r="C3017" t="str">
            <v>马马妈 香辣味鸭肫 60G</v>
          </cell>
          <cell r="D3017">
            <v>13</v>
          </cell>
          <cell r="E3017">
            <v>85.38</v>
          </cell>
          <cell r="F3017">
            <v>7.4214923076923096</v>
          </cell>
        </row>
        <row r="3018">
          <cell r="B3018" t="str">
            <v>70503075</v>
          </cell>
          <cell r="C3018" t="str">
            <v>马马妈 香辣鸭肠 60G</v>
          </cell>
          <cell r="D3018">
            <v>0</v>
          </cell>
          <cell r="E3018">
            <v>0</v>
          </cell>
          <cell r="F3018" t="e">
            <v>#DIV/0!</v>
          </cell>
        </row>
        <row r="3019">
          <cell r="B3019" t="str">
            <v>70503077</v>
          </cell>
          <cell r="C3019" t="str">
            <v>马马妈 奥尔良鸡翅根 80G</v>
          </cell>
          <cell r="D3019">
            <v>0</v>
          </cell>
          <cell r="E3019">
            <v>0</v>
          </cell>
          <cell r="F3019" t="e">
            <v>#DIV/0!</v>
          </cell>
        </row>
        <row r="3020">
          <cell r="B3020" t="str">
            <v>70503079</v>
          </cell>
          <cell r="C3020" t="str">
            <v>马马妈 香辣味虾排 120G</v>
          </cell>
          <cell r="D3020">
            <v>0</v>
          </cell>
          <cell r="E3020">
            <v>0</v>
          </cell>
          <cell r="F3020" t="e">
            <v>#DIV/0!</v>
          </cell>
        </row>
        <row r="3021">
          <cell r="B3021" t="str">
            <v>70503273</v>
          </cell>
          <cell r="C3021" t="str">
            <v>啃馋你 风干鸭脖香辣味 60G</v>
          </cell>
          <cell r="D3021">
            <v>3</v>
          </cell>
          <cell r="E3021">
            <v>18.54</v>
          </cell>
          <cell r="F3021">
            <v>6.9833999999999996</v>
          </cell>
        </row>
        <row r="3022">
          <cell r="B3022" t="str">
            <v>70503276</v>
          </cell>
          <cell r="C3022" t="str">
            <v>啃馋你 风干鸭脖原味 60G</v>
          </cell>
          <cell r="D3022">
            <v>0</v>
          </cell>
          <cell r="E3022">
            <v>0</v>
          </cell>
          <cell r="F3022" t="e">
            <v>#DIV/0!</v>
          </cell>
        </row>
        <row r="3023">
          <cell r="B3023" t="str">
            <v>70504068</v>
          </cell>
          <cell r="C3023" t="str">
            <v>马马妈 香烤鸡翅根 68G</v>
          </cell>
          <cell r="D3023">
            <v>4</v>
          </cell>
          <cell r="E3023">
            <v>29.28</v>
          </cell>
          <cell r="F3023">
            <v>8.2715999999999994</v>
          </cell>
        </row>
        <row r="3024">
          <cell r="B3024" t="str">
            <v>70504073</v>
          </cell>
          <cell r="C3024" t="str">
            <v>马马妈 泡椒凤爪筋 80G</v>
          </cell>
          <cell r="D3024">
            <v>10</v>
          </cell>
          <cell r="E3024">
            <v>84.43</v>
          </cell>
          <cell r="F3024">
            <v>9.5405899999999999</v>
          </cell>
        </row>
        <row r="3025">
          <cell r="B3025" t="str">
            <v>70504157</v>
          </cell>
          <cell r="C3025" t="str">
            <v>马马妈 香辣小酥肉 100G</v>
          </cell>
          <cell r="D3025">
            <v>0</v>
          </cell>
          <cell r="E3025">
            <v>0</v>
          </cell>
          <cell r="F3025" t="e">
            <v>#DIV/0!</v>
          </cell>
        </row>
        <row r="3026">
          <cell r="B3026" t="str">
            <v>70504190</v>
          </cell>
          <cell r="C3026" t="str">
            <v>亲亲 黄桃葡萄果肉果冻 520G</v>
          </cell>
          <cell r="D3026">
            <v>3</v>
          </cell>
          <cell r="E3026">
            <v>22.77</v>
          </cell>
          <cell r="F3026">
            <v>8.5767000000000007</v>
          </cell>
        </row>
        <row r="3027">
          <cell r="B3027" t="str">
            <v>70507096</v>
          </cell>
          <cell r="C3027" t="str">
            <v>尚吧 盐焗味酱卤鸭腿 95G</v>
          </cell>
          <cell r="D3027">
            <v>5</v>
          </cell>
          <cell r="E3027">
            <v>31.14</v>
          </cell>
          <cell r="F3027">
            <v>7.0376399999999997</v>
          </cell>
        </row>
        <row r="3028">
          <cell r="B3028" t="str">
            <v>70507138</v>
          </cell>
          <cell r="C3028" t="str">
            <v>张飞传人 灯影鸡肉丝（五香味） 60G</v>
          </cell>
          <cell r="D3028">
            <v>0</v>
          </cell>
          <cell r="E3028">
            <v>0</v>
          </cell>
          <cell r="F3028" t="e">
            <v>#DIV/0!</v>
          </cell>
        </row>
        <row r="3029">
          <cell r="B3029" t="str">
            <v>70508959</v>
          </cell>
          <cell r="C3029" t="str">
            <v>永健 脱骨凤爪山椒味 20G</v>
          </cell>
          <cell r="D3029">
            <v>3270</v>
          </cell>
          <cell r="E3029">
            <v>4363.79</v>
          </cell>
          <cell r="F3029">
            <v>1.50797636085627</v>
          </cell>
        </row>
        <row r="3030">
          <cell r="B3030" t="str">
            <v>70508961</v>
          </cell>
          <cell r="C3030" t="str">
            <v>永健 泡椒鲜笋山椒味 35G</v>
          </cell>
          <cell r="D3030">
            <v>17</v>
          </cell>
          <cell r="E3030">
            <v>11.35</v>
          </cell>
          <cell r="F3030">
            <v>0.75444117647058795</v>
          </cell>
        </row>
        <row r="3031">
          <cell r="B3031" t="str">
            <v>70508963</v>
          </cell>
          <cell r="C3031" t="str">
            <v>永健 脱骨凤爪柠檬味 20G</v>
          </cell>
          <cell r="D3031">
            <v>2577</v>
          </cell>
          <cell r="E3031">
            <v>4366.2</v>
          </cell>
          <cell r="F3031">
            <v>1.91455413271246</v>
          </cell>
        </row>
        <row r="3032">
          <cell r="B3032" t="str">
            <v>70509053</v>
          </cell>
          <cell r="C3032" t="str">
            <v>永健 香卤鸡翅 95G</v>
          </cell>
          <cell r="D3032">
            <v>3</v>
          </cell>
          <cell r="E3032">
            <v>33.72</v>
          </cell>
          <cell r="F3032">
            <v>12.7012</v>
          </cell>
        </row>
        <row r="3033">
          <cell r="B3033" t="str">
            <v>70509091</v>
          </cell>
          <cell r="C3033" t="str">
            <v>波力 蔓越莓夹心海苔 12G</v>
          </cell>
          <cell r="D3033">
            <v>4</v>
          </cell>
          <cell r="E3033">
            <v>13.28</v>
          </cell>
          <cell r="F3033">
            <v>3.7515999999999998</v>
          </cell>
        </row>
        <row r="3034">
          <cell r="B3034" t="str">
            <v>70509094</v>
          </cell>
          <cell r="C3034" t="str">
            <v>百吉猫 小米锅巴劲爽香辣味 68G</v>
          </cell>
          <cell r="D3034">
            <v>3</v>
          </cell>
          <cell r="E3034">
            <v>5.99</v>
          </cell>
          <cell r="F3034">
            <v>2.2562333333333302</v>
          </cell>
        </row>
        <row r="3035">
          <cell r="B3035" t="str">
            <v>70509158</v>
          </cell>
          <cell r="C3035" t="str">
            <v>喜家婆 灌汤花生五香味 205G</v>
          </cell>
          <cell r="D3035">
            <v>42</v>
          </cell>
          <cell r="E3035">
            <v>286.26</v>
          </cell>
          <cell r="F3035">
            <v>7.7017571428571401</v>
          </cell>
        </row>
        <row r="3036">
          <cell r="B3036" t="str">
            <v>70509162</v>
          </cell>
          <cell r="C3036" t="str">
            <v>喜家婆 灌汤花生香辣味 205G</v>
          </cell>
          <cell r="D3036">
            <v>34</v>
          </cell>
          <cell r="E3036">
            <v>231.77</v>
          </cell>
          <cell r="F3036">
            <v>7.7029441176470597</v>
          </cell>
        </row>
        <row r="3037">
          <cell r="B3037" t="str">
            <v>70511182</v>
          </cell>
          <cell r="C3037" t="str">
            <v>精武 鸭锁骨（甜辣味） 65G</v>
          </cell>
          <cell r="D3037">
            <v>199</v>
          </cell>
          <cell r="E3037">
            <v>1452.96</v>
          </cell>
          <cell r="F3037">
            <v>8.2504763819095501</v>
          </cell>
        </row>
        <row r="3038">
          <cell r="B3038" t="str">
            <v>70511183</v>
          </cell>
          <cell r="C3038" t="str">
            <v>精武 鸭翅（甜辣味） 90G</v>
          </cell>
          <cell r="D3038">
            <v>319</v>
          </cell>
          <cell r="E3038">
            <v>2377.73</v>
          </cell>
          <cell r="F3038">
            <v>8.4226799373040695</v>
          </cell>
        </row>
        <row r="3039">
          <cell r="B3039" t="str">
            <v>70511187</v>
          </cell>
          <cell r="C3039" t="str">
            <v>贤哥 麻辣素肉条 101G</v>
          </cell>
          <cell r="D3039">
            <v>1183</v>
          </cell>
          <cell r="E3039">
            <v>3473.47</v>
          </cell>
          <cell r="F3039">
            <v>3.31785384615385</v>
          </cell>
        </row>
        <row r="3040">
          <cell r="B3040" t="str">
            <v>70511191</v>
          </cell>
          <cell r="C3040" t="str">
            <v>麻辣王子 很麻很辣 73G</v>
          </cell>
          <cell r="D3040">
            <v>983</v>
          </cell>
          <cell r="E3040">
            <v>3424.06</v>
          </cell>
          <cell r="F3040">
            <v>3.9361015259409999</v>
          </cell>
        </row>
        <row r="3041">
          <cell r="B3041" t="str">
            <v>70512692</v>
          </cell>
          <cell r="C3041" t="str">
            <v>永健 泰式酸辣脱骨凤爪 15G</v>
          </cell>
          <cell r="D3041">
            <v>2037</v>
          </cell>
          <cell r="E3041">
            <v>3469.59</v>
          </cell>
          <cell r="F3041">
            <v>1.9247111929307801</v>
          </cell>
        </row>
        <row r="3042">
          <cell r="B3042" t="str">
            <v>70512770</v>
          </cell>
          <cell r="C3042" t="str">
            <v>盐津铺子 手撕蟹柳混合口味 135G</v>
          </cell>
          <cell r="D3042">
            <v>12</v>
          </cell>
          <cell r="E3042">
            <v>78.599999999999994</v>
          </cell>
          <cell r="F3042">
            <v>7.4015000000000004</v>
          </cell>
        </row>
        <row r="3043">
          <cell r="B3043" t="str">
            <v>70512780</v>
          </cell>
          <cell r="C3043" t="str">
            <v>昆享 芒果奶方 150G</v>
          </cell>
          <cell r="D3043">
            <v>38</v>
          </cell>
          <cell r="E3043">
            <v>339.69</v>
          </cell>
          <cell r="F3043">
            <v>10.1013078947368</v>
          </cell>
        </row>
        <row r="3044">
          <cell r="B3044" t="str">
            <v>70512781</v>
          </cell>
          <cell r="C3044" t="str">
            <v>昆享 草莓奶方 150G</v>
          </cell>
          <cell r="D3044">
            <v>44</v>
          </cell>
          <cell r="E3044">
            <v>393.32</v>
          </cell>
          <cell r="F3044">
            <v>10.101172727272701</v>
          </cell>
        </row>
        <row r="3045">
          <cell r="B3045" t="str">
            <v>70512954</v>
          </cell>
          <cell r="C3045" t="str">
            <v>MEMBER'S MARK 有机咸香花生仁 630G</v>
          </cell>
          <cell r="D3045">
            <v>31</v>
          </cell>
          <cell r="E3045">
            <v>1426.62</v>
          </cell>
          <cell r="F3045">
            <v>52.002600000000001</v>
          </cell>
        </row>
        <row r="3046">
          <cell r="B3046" t="str">
            <v>70513009</v>
          </cell>
          <cell r="C3046" t="str">
            <v>MEMBER'S MARK 夏威夷果仁 680G</v>
          </cell>
          <cell r="D3046">
            <v>5</v>
          </cell>
          <cell r="E3046">
            <v>649.5</v>
          </cell>
          <cell r="F3046">
            <v>146.78700000000001</v>
          </cell>
        </row>
        <row r="3047">
          <cell r="B3047" t="str">
            <v>70513477</v>
          </cell>
          <cell r="C3047" t="str">
            <v>无穷 爆香鸡肉粒 20G</v>
          </cell>
          <cell r="D3047">
            <v>3513</v>
          </cell>
          <cell r="E3047">
            <v>9145.02</v>
          </cell>
          <cell r="F3047">
            <v>2.9416090520922298</v>
          </cell>
        </row>
        <row r="3048">
          <cell r="B3048" t="str">
            <v>70513539</v>
          </cell>
          <cell r="C3048" t="str">
            <v>桃不掉的诱惑 黄桃糯糯 80G</v>
          </cell>
          <cell r="D3048">
            <v>423</v>
          </cell>
          <cell r="E3048">
            <v>4166.2</v>
          </cell>
          <cell r="F3048">
            <v>11.129565011820301</v>
          </cell>
        </row>
        <row r="3049">
          <cell r="B3049" t="str">
            <v>70513550</v>
          </cell>
          <cell r="C3049" t="str">
            <v>桃不掉的诱惑 金杏糯糯 80G</v>
          </cell>
          <cell r="D3049">
            <v>293</v>
          </cell>
          <cell r="E3049">
            <v>2884.34</v>
          </cell>
          <cell r="F3049">
            <v>11.1239051194539</v>
          </cell>
        </row>
        <row r="3050">
          <cell r="B3050" t="str">
            <v>70514230</v>
          </cell>
          <cell r="C3050" t="str">
            <v>百草味 坚果零食礼盒（吉祥礼） 1.888千克</v>
          </cell>
          <cell r="D3050">
            <v>9</v>
          </cell>
          <cell r="E3050">
            <v>605.02</v>
          </cell>
          <cell r="F3050">
            <v>75.963622222222199</v>
          </cell>
        </row>
        <row r="3051">
          <cell r="B3051" t="str">
            <v>70515747</v>
          </cell>
          <cell r="C3051" t="str">
            <v>百草味 坚果零食礼盒 1598G</v>
          </cell>
          <cell r="D3051">
            <v>71</v>
          </cell>
          <cell r="E3051">
            <v>2933.04</v>
          </cell>
          <cell r="F3051">
            <v>46.680777464788697</v>
          </cell>
        </row>
        <row r="3052">
          <cell r="B3052" t="str">
            <v>70516421</v>
          </cell>
          <cell r="C3052" t="str">
            <v>品客 沁爽青瓜撞海盐风味 110G</v>
          </cell>
          <cell r="D3052">
            <v>6</v>
          </cell>
          <cell r="E3052">
            <v>48.06</v>
          </cell>
          <cell r="F3052">
            <v>9.0512999999999995</v>
          </cell>
        </row>
        <row r="3053">
          <cell r="B3053" t="str">
            <v>70517225</v>
          </cell>
          <cell r="C3053" t="str">
            <v>上好佳 洋葱圈 65G</v>
          </cell>
          <cell r="D3053">
            <v>2537</v>
          </cell>
          <cell r="E3053">
            <v>10826.8</v>
          </cell>
          <cell r="F3053">
            <v>4.8223429247142304</v>
          </cell>
        </row>
        <row r="3054">
          <cell r="B3054" t="str">
            <v>70517232</v>
          </cell>
          <cell r="C3054" t="str">
            <v>上好佳 田园薯片 香辣口味 70G</v>
          </cell>
          <cell r="D3054">
            <v>1441</v>
          </cell>
          <cell r="E3054">
            <v>6145.91</v>
          </cell>
          <cell r="F3054">
            <v>4.8194852879944499</v>
          </cell>
        </row>
        <row r="3055">
          <cell r="B3055" t="str">
            <v>70517239</v>
          </cell>
          <cell r="C3055" t="str">
            <v>上好佳 田园薯片 原味 70G</v>
          </cell>
          <cell r="D3055">
            <v>1636</v>
          </cell>
          <cell r="E3055">
            <v>6986.54</v>
          </cell>
          <cell r="F3055">
            <v>4.82566638141809</v>
          </cell>
        </row>
        <row r="3056">
          <cell r="B3056" t="str">
            <v>70517244</v>
          </cell>
          <cell r="C3056" t="str">
            <v>上好佳 田园薯片 番茄口味 70G</v>
          </cell>
          <cell r="D3056">
            <v>1712</v>
          </cell>
          <cell r="E3056">
            <v>7318.28</v>
          </cell>
          <cell r="F3056">
            <v>4.8304067757009301</v>
          </cell>
        </row>
        <row r="3057">
          <cell r="B3057" t="str">
            <v>70517249</v>
          </cell>
          <cell r="C3057" t="str">
            <v>上好佳 田园薯片 烤肉口味 70G</v>
          </cell>
          <cell r="D3057">
            <v>1682</v>
          </cell>
          <cell r="E3057">
            <v>7192.64</v>
          </cell>
          <cell r="F3057">
            <v>4.8321541022592198</v>
          </cell>
        </row>
        <row r="3058">
          <cell r="B3058" t="str">
            <v>70517258</v>
          </cell>
          <cell r="C3058" t="str">
            <v>上好佳 田园薯片 甜辣口味 70G</v>
          </cell>
          <cell r="D3058">
            <v>2</v>
          </cell>
          <cell r="E3058">
            <v>8.5</v>
          </cell>
          <cell r="F3058">
            <v>4.8025000000000002</v>
          </cell>
        </row>
        <row r="3059">
          <cell r="B3059" t="str">
            <v>70517272</v>
          </cell>
          <cell r="C3059" t="str">
            <v>上好佳 鲜虾条 65G</v>
          </cell>
          <cell r="D3059">
            <v>2552</v>
          </cell>
          <cell r="E3059">
            <v>10875.36</v>
          </cell>
          <cell r="F3059">
            <v>4.8155003134796202</v>
          </cell>
        </row>
        <row r="3060">
          <cell r="B3060" t="str">
            <v>70517273</v>
          </cell>
          <cell r="C3060" t="str">
            <v>上好佳 鲜虾片 60G</v>
          </cell>
          <cell r="D3060">
            <v>2242</v>
          </cell>
          <cell r="E3060">
            <v>9568.2900000000009</v>
          </cell>
          <cell r="F3060">
            <v>4.8225547279215002</v>
          </cell>
        </row>
        <row r="3061">
          <cell r="B3061" t="str">
            <v>70519214</v>
          </cell>
          <cell r="C3061" t="str">
            <v>三胖蛋 五香瓜子 160G</v>
          </cell>
          <cell r="D3061">
            <v>39</v>
          </cell>
          <cell r="E3061">
            <v>500.56</v>
          </cell>
          <cell r="F3061">
            <v>14.503405128205101</v>
          </cell>
        </row>
        <row r="3062">
          <cell r="B3062" t="str">
            <v>70520131</v>
          </cell>
          <cell r="C3062" t="str">
            <v>马马妈 虎皮凤爪 75G</v>
          </cell>
          <cell r="D3062">
            <v>0</v>
          </cell>
          <cell r="E3062">
            <v>0</v>
          </cell>
          <cell r="F3062" t="e">
            <v>#DIV/0!</v>
          </cell>
        </row>
        <row r="3063">
          <cell r="B3063" t="str">
            <v>70520132</v>
          </cell>
          <cell r="C3063" t="str">
            <v>马马妈 脆烤小香肠 80G</v>
          </cell>
          <cell r="D3063">
            <v>0</v>
          </cell>
          <cell r="E3063">
            <v>0</v>
          </cell>
          <cell r="F3063" t="e">
            <v>#DIV/0!</v>
          </cell>
        </row>
        <row r="3064">
          <cell r="B3064" t="str">
            <v>70520133</v>
          </cell>
          <cell r="C3064" t="str">
            <v>马马妈 柠檬凤爪筋 80G</v>
          </cell>
          <cell r="D3064">
            <v>10</v>
          </cell>
          <cell r="E3064">
            <v>84.43</v>
          </cell>
          <cell r="F3064">
            <v>9.5405899999999999</v>
          </cell>
        </row>
        <row r="3065">
          <cell r="B3065" t="str">
            <v>70520137</v>
          </cell>
          <cell r="C3065" t="str">
            <v>马马妈 麻辣牛板筋 65G</v>
          </cell>
          <cell r="D3065">
            <v>20</v>
          </cell>
          <cell r="E3065">
            <v>131.33000000000001</v>
          </cell>
          <cell r="F3065">
            <v>7.4201449999999998</v>
          </cell>
        </row>
        <row r="3066">
          <cell r="B3066" t="str">
            <v>70520138</v>
          </cell>
          <cell r="C3066" t="str">
            <v>马马妈 香辣牛蹄筋 90G</v>
          </cell>
          <cell r="D3066">
            <v>20</v>
          </cell>
          <cell r="E3066">
            <v>121.95</v>
          </cell>
          <cell r="F3066">
            <v>6.8901750000000002</v>
          </cell>
        </row>
        <row r="3067">
          <cell r="B3067" t="str">
            <v>70520974</v>
          </cell>
          <cell r="C3067" t="str">
            <v>三只松鼠 每日坚果 25G</v>
          </cell>
          <cell r="D3067">
            <v>0</v>
          </cell>
          <cell r="E3067">
            <v>0</v>
          </cell>
          <cell r="F3067" t="e">
            <v>#DIV/0!</v>
          </cell>
        </row>
        <row r="3068">
          <cell r="B3068" t="str">
            <v>70521700</v>
          </cell>
          <cell r="C3068" t="str">
            <v>廿一研食社 花椒锅巴(花椒味) 180G</v>
          </cell>
          <cell r="D3068">
            <v>33</v>
          </cell>
          <cell r="E3068">
            <v>280.5</v>
          </cell>
          <cell r="F3068">
            <v>9.6050000000000004</v>
          </cell>
        </row>
        <row r="3069">
          <cell r="B3069" t="str">
            <v>70521706</v>
          </cell>
          <cell r="C3069" t="str">
            <v>廿一研食社 花椒锅巴(爆辣味) 180G</v>
          </cell>
          <cell r="D3069">
            <v>17</v>
          </cell>
          <cell r="E3069">
            <v>144.5</v>
          </cell>
          <cell r="F3069">
            <v>9.6050000000000004</v>
          </cell>
        </row>
        <row r="3070">
          <cell r="B3070" t="str">
            <v>70522347</v>
          </cell>
          <cell r="C3070" t="str">
            <v>金晔 水蜜桃口味山楂棒 108G</v>
          </cell>
          <cell r="D3070">
            <v>0</v>
          </cell>
          <cell r="E3070">
            <v>0</v>
          </cell>
          <cell r="F3070" t="e">
            <v>#DIV/0!</v>
          </cell>
        </row>
        <row r="3071">
          <cell r="B3071" t="str">
            <v>70522511</v>
          </cell>
          <cell r="C3071" t="str">
            <v>罗小懒 口水鸡香辣味 180G</v>
          </cell>
          <cell r="D3071">
            <v>2</v>
          </cell>
          <cell r="E3071">
            <v>15.06</v>
          </cell>
          <cell r="F3071">
            <v>8.5089000000000006</v>
          </cell>
        </row>
        <row r="3072">
          <cell r="B3072" t="str">
            <v>70522566</v>
          </cell>
          <cell r="C3072" t="str">
            <v>罗小懒 山椒笋条泡椒味 300G</v>
          </cell>
          <cell r="D3072">
            <v>8</v>
          </cell>
          <cell r="E3072">
            <v>60.23</v>
          </cell>
          <cell r="F3072">
            <v>8.5074874999999999</v>
          </cell>
        </row>
        <row r="3073">
          <cell r="B3073" t="str">
            <v>70522574</v>
          </cell>
          <cell r="C3073" t="str">
            <v>罗小懒 山椒笋尖泡椒味 208G</v>
          </cell>
          <cell r="D3073">
            <v>5</v>
          </cell>
          <cell r="E3073">
            <v>37.630000000000003</v>
          </cell>
          <cell r="F3073">
            <v>8.5043799999999994</v>
          </cell>
        </row>
        <row r="3074">
          <cell r="B3074" t="str">
            <v>70522638</v>
          </cell>
          <cell r="C3074" t="str">
            <v>超友味 鲜湘味黄瓜 125G</v>
          </cell>
          <cell r="D3074">
            <v>23</v>
          </cell>
          <cell r="E3074">
            <v>133.97999999999999</v>
          </cell>
          <cell r="F3074">
            <v>6.5824956521739102</v>
          </cell>
        </row>
        <row r="3075">
          <cell r="B3075" t="str">
            <v>70523750</v>
          </cell>
          <cell r="C3075" t="str">
            <v>奥赛 爆浆荔枝串串山楂 108G</v>
          </cell>
          <cell r="D3075">
            <v>766</v>
          </cell>
          <cell r="E3075">
            <v>4079.18</v>
          </cell>
          <cell r="F3075">
            <v>6.0175892950391603</v>
          </cell>
        </row>
        <row r="3076">
          <cell r="B3076" t="str">
            <v>70523753</v>
          </cell>
          <cell r="C3076" t="str">
            <v>奥赛 爆浆青提串串山楂 108G</v>
          </cell>
          <cell r="D3076">
            <v>821</v>
          </cell>
          <cell r="E3076">
            <v>4372.88</v>
          </cell>
          <cell r="F3076">
            <v>6.0187020706455501</v>
          </cell>
        </row>
        <row r="3077">
          <cell r="B3077" t="str">
            <v>70523763</v>
          </cell>
          <cell r="C3077" t="str">
            <v>独库情 九制枣黄金 20G*15/盒</v>
          </cell>
          <cell r="D3077">
            <v>11</v>
          </cell>
          <cell r="E3077">
            <v>632.75</v>
          </cell>
          <cell r="F3077">
            <v>65.000681818181803</v>
          </cell>
        </row>
        <row r="3078">
          <cell r="B3078" t="str">
            <v>70523767</v>
          </cell>
          <cell r="C3078" t="str">
            <v>独库情 九制枣黄金 20G*15/盒</v>
          </cell>
          <cell r="D3078">
            <v>12</v>
          </cell>
          <cell r="E3078">
            <v>690.27</v>
          </cell>
          <cell r="F3078">
            <v>65.000425000000007</v>
          </cell>
        </row>
        <row r="3079">
          <cell r="B3079" t="str">
            <v>70523772</v>
          </cell>
          <cell r="C3079" t="str">
            <v>天山小哥 香卤原蒸鹰嘴豆 100G</v>
          </cell>
          <cell r="D3079">
            <v>269</v>
          </cell>
          <cell r="E3079">
            <v>1138.6199999999999</v>
          </cell>
          <cell r="F3079">
            <v>4.78305055762082</v>
          </cell>
        </row>
        <row r="3080">
          <cell r="B3080" t="str">
            <v>70523860</v>
          </cell>
          <cell r="C3080" t="str">
            <v>独库情 酸甜苹果果丹皮 200G</v>
          </cell>
          <cell r="D3080">
            <v>396</v>
          </cell>
          <cell r="E3080">
            <v>4971.1099999999997</v>
          </cell>
          <cell r="F3080">
            <v>14.185238131313101</v>
          </cell>
        </row>
        <row r="3081">
          <cell r="B3081" t="str">
            <v>70523871</v>
          </cell>
          <cell r="C3081" t="str">
            <v>独库情 杏子果丹皮 200G</v>
          </cell>
          <cell r="D3081">
            <v>354</v>
          </cell>
          <cell r="E3081">
            <v>4440.1899999999996</v>
          </cell>
          <cell r="F3081">
            <v>14.1734878531073</v>
          </cell>
        </row>
        <row r="3082">
          <cell r="B3082" t="str">
            <v>70523872</v>
          </cell>
          <cell r="C3082" t="str">
            <v>独库情 树莓果丹皮 200G</v>
          </cell>
          <cell r="D3082">
            <v>259</v>
          </cell>
          <cell r="E3082">
            <v>3792.53</v>
          </cell>
          <cell r="F3082">
            <v>16.546559459459498</v>
          </cell>
        </row>
        <row r="3083">
          <cell r="B3083" t="str">
            <v>70523885</v>
          </cell>
          <cell r="C3083" t="str">
            <v>渔米之湘 烤脖香辣味 40G</v>
          </cell>
          <cell r="D3083">
            <v>2611</v>
          </cell>
          <cell r="E3083">
            <v>3717</v>
          </cell>
          <cell r="F3083">
            <v>1.6086595174262699</v>
          </cell>
        </row>
        <row r="3084">
          <cell r="B3084" t="str">
            <v>70523886</v>
          </cell>
          <cell r="C3084" t="str">
            <v>渔米之湘 烤脖糖醋味 40G</v>
          </cell>
          <cell r="D3084">
            <v>3416</v>
          </cell>
          <cell r="E3084">
            <v>4868.34</v>
          </cell>
          <cell r="F3084">
            <v>1.61042862997658</v>
          </cell>
        </row>
        <row r="3085">
          <cell r="B3085" t="str">
            <v>70523887</v>
          </cell>
          <cell r="C3085" t="str">
            <v>渔米之湘 烤脖黑鸭味 40G</v>
          </cell>
          <cell r="D3085">
            <v>4115</v>
          </cell>
          <cell r="E3085">
            <v>5863.29</v>
          </cell>
          <cell r="F3085">
            <v>1.6100893560145799</v>
          </cell>
        </row>
        <row r="3086">
          <cell r="B3086" t="str">
            <v>70523899</v>
          </cell>
          <cell r="C3086" t="str">
            <v>渔米之湘 风味小鱼麻辣味 12G</v>
          </cell>
          <cell r="D3086">
            <v>11012</v>
          </cell>
          <cell r="E3086">
            <v>7726.94</v>
          </cell>
          <cell r="F3086">
            <v>0.792902488194697</v>
          </cell>
        </row>
        <row r="3087">
          <cell r="B3087" t="str">
            <v>70523902</v>
          </cell>
          <cell r="C3087" t="str">
            <v>渔米之湘 牛蹄筋香辣味 12G</v>
          </cell>
          <cell r="D3087">
            <v>9828</v>
          </cell>
          <cell r="E3087">
            <v>6900.89</v>
          </cell>
          <cell r="F3087">
            <v>0.79344787342287304</v>
          </cell>
        </row>
        <row r="3088">
          <cell r="B3088" t="str">
            <v>70523903</v>
          </cell>
          <cell r="C3088" t="str">
            <v>渔米之湘 牛蹄筋烧烤味 12G</v>
          </cell>
          <cell r="D3088">
            <v>8113</v>
          </cell>
          <cell r="E3088">
            <v>5691.22</v>
          </cell>
          <cell r="F3088">
            <v>0.79268810550967606</v>
          </cell>
        </row>
        <row r="3089">
          <cell r="B3089" t="str">
            <v>70523904</v>
          </cell>
          <cell r="C3089" t="str">
            <v>渔米之湘 牛蹄筋烧烤味 20G</v>
          </cell>
          <cell r="D3089">
            <v>3678</v>
          </cell>
          <cell r="E3089">
            <v>5767.01</v>
          </cell>
          <cell r="F3089">
            <v>1.7718111201740101</v>
          </cell>
        </row>
        <row r="3090">
          <cell r="B3090" t="str">
            <v>70523907</v>
          </cell>
          <cell r="C3090" t="str">
            <v>渔米之湘 爆辣鱼 60G</v>
          </cell>
          <cell r="D3090">
            <v>4</v>
          </cell>
          <cell r="E3090">
            <v>14.16</v>
          </cell>
          <cell r="F3090">
            <v>4.0002000000000004</v>
          </cell>
        </row>
        <row r="3091">
          <cell r="B3091" t="str">
            <v>70523908</v>
          </cell>
          <cell r="C3091" t="str">
            <v>渔米之湘 麻辣鱼 60G</v>
          </cell>
          <cell r="D3091">
            <v>4</v>
          </cell>
          <cell r="E3091">
            <v>14.16</v>
          </cell>
          <cell r="F3091">
            <v>4.0002000000000004</v>
          </cell>
        </row>
        <row r="3092">
          <cell r="B3092" t="str">
            <v>70524419</v>
          </cell>
          <cell r="C3092" t="str">
            <v>乐事 飘香麻辣锅味 135G</v>
          </cell>
          <cell r="D3092">
            <v>2</v>
          </cell>
          <cell r="E3092">
            <v>16.98</v>
          </cell>
          <cell r="F3092">
            <v>9.5937000000000001</v>
          </cell>
        </row>
        <row r="3093">
          <cell r="B3093" t="str">
            <v>70524486</v>
          </cell>
          <cell r="C3093" t="str">
            <v>乐事 空气脆脆玉米脆奶香芝士味 60G</v>
          </cell>
          <cell r="D3093">
            <v>15</v>
          </cell>
          <cell r="E3093">
            <v>66.41</v>
          </cell>
          <cell r="F3093">
            <v>5.0028866666666696</v>
          </cell>
        </row>
        <row r="3094">
          <cell r="B3094" t="str">
            <v>70525418</v>
          </cell>
          <cell r="C3094" t="str">
            <v>乡妹子 多味翅尖 45G</v>
          </cell>
          <cell r="D3094">
            <v>0</v>
          </cell>
          <cell r="E3094">
            <v>0</v>
          </cell>
          <cell r="F3094" t="e">
            <v>#DIV/0!</v>
          </cell>
        </row>
        <row r="3095">
          <cell r="B3095" t="str">
            <v>70525419</v>
          </cell>
          <cell r="C3095" t="str">
            <v>乡妹子 红油翅尖香辣味 45G</v>
          </cell>
          <cell r="D3095">
            <v>0</v>
          </cell>
          <cell r="E3095">
            <v>0</v>
          </cell>
          <cell r="F3095" t="e">
            <v>#DIV/0!</v>
          </cell>
        </row>
        <row r="3096">
          <cell r="B3096" t="str">
            <v>70525420</v>
          </cell>
          <cell r="C3096" t="str">
            <v>乡妹子 泡椒亦翅亦爪 30G</v>
          </cell>
          <cell r="D3096">
            <v>0</v>
          </cell>
          <cell r="E3096">
            <v>0</v>
          </cell>
          <cell r="F3096" t="e">
            <v>#DIV/0!</v>
          </cell>
        </row>
        <row r="3097">
          <cell r="B3097" t="str">
            <v>70525421</v>
          </cell>
          <cell r="C3097" t="str">
            <v>乡妹子 多味亦翅亦爪 26G</v>
          </cell>
          <cell r="D3097">
            <v>0</v>
          </cell>
          <cell r="E3097">
            <v>0</v>
          </cell>
          <cell r="F3097" t="e">
            <v>#DIV/0!</v>
          </cell>
        </row>
        <row r="3098">
          <cell r="B3098" t="str">
            <v>70525422</v>
          </cell>
          <cell r="C3098" t="str">
            <v>乡妹子 嗨啦脆皮鸡爪 35G</v>
          </cell>
          <cell r="D3098">
            <v>0</v>
          </cell>
          <cell r="E3098">
            <v>0</v>
          </cell>
          <cell r="F3098" t="e">
            <v>#DIV/0!</v>
          </cell>
        </row>
        <row r="3099">
          <cell r="B3099" t="str">
            <v>70525428</v>
          </cell>
          <cell r="C3099" t="str">
            <v>三只松鼠 智利西梅干 100G</v>
          </cell>
          <cell r="D3099">
            <v>0</v>
          </cell>
          <cell r="E3099">
            <v>0</v>
          </cell>
          <cell r="F3099" t="e">
            <v>#DIV/0!</v>
          </cell>
        </row>
        <row r="3100">
          <cell r="B3100" t="str">
            <v>70525430</v>
          </cell>
          <cell r="C3100" t="str">
            <v>三只松鼠 椰香夏威夷果仁 65G</v>
          </cell>
          <cell r="D3100">
            <v>3</v>
          </cell>
          <cell r="E3100">
            <v>27.09</v>
          </cell>
          <cell r="F3100">
            <v>10.203900000000001</v>
          </cell>
        </row>
        <row r="3101">
          <cell r="B3101" t="str">
            <v>70525435</v>
          </cell>
          <cell r="C3101" t="str">
            <v>三只松鼠 芥未味夏威夷果仁 60G</v>
          </cell>
          <cell r="D3101">
            <v>0</v>
          </cell>
          <cell r="E3101">
            <v>0</v>
          </cell>
          <cell r="F3101" t="e">
            <v>#DIV/0!</v>
          </cell>
        </row>
        <row r="3102">
          <cell r="B3102" t="str">
            <v>70525455</v>
          </cell>
          <cell r="C3102" t="str">
            <v>鲁明斋 虎皮凤爪酱香味 105G</v>
          </cell>
          <cell r="D3102">
            <v>7</v>
          </cell>
          <cell r="E3102">
            <v>80.56</v>
          </cell>
          <cell r="F3102">
            <v>13.004685714285699</v>
          </cell>
        </row>
        <row r="3103">
          <cell r="B3103" t="str">
            <v>70525456</v>
          </cell>
          <cell r="C3103" t="str">
            <v>鲁明斋 虎皮凤爪麻辣味 105G</v>
          </cell>
          <cell r="D3103">
            <v>5</v>
          </cell>
          <cell r="E3103">
            <v>57.55</v>
          </cell>
          <cell r="F3103">
            <v>13.0063</v>
          </cell>
        </row>
        <row r="3104">
          <cell r="B3104" t="str">
            <v>70525459</v>
          </cell>
          <cell r="C3104" t="str">
            <v>鲁明斋 秘制鸭脖甜辣味 108G</v>
          </cell>
          <cell r="D3104">
            <v>26</v>
          </cell>
          <cell r="E3104">
            <v>278.45999999999998</v>
          </cell>
          <cell r="F3104">
            <v>12.1023</v>
          </cell>
        </row>
        <row r="3105">
          <cell r="B3105" t="str">
            <v>70525461</v>
          </cell>
          <cell r="C3105" t="str">
            <v>鲁明斋 风味鸭锁骨甜辣味 108G</v>
          </cell>
          <cell r="D3105">
            <v>8</v>
          </cell>
          <cell r="E3105">
            <v>85.68</v>
          </cell>
          <cell r="F3105">
            <v>12.1023</v>
          </cell>
        </row>
        <row r="3106">
          <cell r="B3106" t="str">
            <v>70526584</v>
          </cell>
          <cell r="C3106" t="str">
            <v>家乐氏 燕麦一口脆烤黑糖乳茶味 40G</v>
          </cell>
          <cell r="D3106">
            <v>0</v>
          </cell>
          <cell r="E3106">
            <v>0</v>
          </cell>
          <cell r="F3106" t="e">
            <v>#DIV/0!</v>
          </cell>
        </row>
        <row r="3107">
          <cell r="B3107" t="str">
            <v>70527289</v>
          </cell>
          <cell r="C3107" t="str">
            <v>鲁明斋 虎皮鸡腿酱香味 80G</v>
          </cell>
          <cell r="D3107">
            <v>20</v>
          </cell>
          <cell r="E3107">
            <v>92.11</v>
          </cell>
          <cell r="F3107">
            <v>5.2042149999999996</v>
          </cell>
        </row>
        <row r="3108">
          <cell r="B3108" t="str">
            <v>70527290</v>
          </cell>
          <cell r="C3108" t="str">
            <v>鲁明斋 虎皮鸡腿香辣味 80G</v>
          </cell>
          <cell r="D3108">
            <v>2</v>
          </cell>
          <cell r="E3108">
            <v>9.2200000000000006</v>
          </cell>
          <cell r="F3108">
            <v>5.2092999999999998</v>
          </cell>
        </row>
        <row r="3109">
          <cell r="B3109" t="str">
            <v>70528482</v>
          </cell>
          <cell r="C3109" t="str">
            <v>花椒世家 薄脆锅巴麻辣味 70G</v>
          </cell>
          <cell r="D3109">
            <v>3169</v>
          </cell>
          <cell r="E3109">
            <v>5867.7</v>
          </cell>
          <cell r="F3109">
            <v>2.092300725781</v>
          </cell>
        </row>
        <row r="3110">
          <cell r="B3110" t="str">
            <v>70528483</v>
          </cell>
          <cell r="C3110" t="str">
            <v>花椒世家 薄脆锅巴孜然味 70G</v>
          </cell>
          <cell r="D3110">
            <v>2621</v>
          </cell>
          <cell r="E3110">
            <v>4870.92</v>
          </cell>
          <cell r="F3110">
            <v>2.1000151087371202</v>
          </cell>
        </row>
        <row r="3111">
          <cell r="B3111" t="str">
            <v>70528484</v>
          </cell>
          <cell r="C3111" t="str">
            <v>花椒世家 薄脆锅巴香葱味 70G</v>
          </cell>
          <cell r="D3111">
            <v>2562</v>
          </cell>
          <cell r="E3111">
            <v>4771.53</v>
          </cell>
          <cell r="F3111">
            <v>2.10453899297424</v>
          </cell>
        </row>
        <row r="3112">
          <cell r="B3112" t="str">
            <v>70529182</v>
          </cell>
          <cell r="C3112" t="str">
            <v>怡达 爆浆蓝莓山楂 120G</v>
          </cell>
          <cell r="D3112">
            <v>196</v>
          </cell>
          <cell r="E3112">
            <v>1388.87</v>
          </cell>
          <cell r="F3112">
            <v>8.0072607142857102</v>
          </cell>
        </row>
        <row r="3113">
          <cell r="B3113" t="str">
            <v>70529185</v>
          </cell>
          <cell r="C3113" t="str">
            <v>怡达 爆浆秋梨山楂 120G</v>
          </cell>
          <cell r="D3113">
            <v>184</v>
          </cell>
          <cell r="E3113">
            <v>1300.01</v>
          </cell>
          <cell r="F3113">
            <v>7.9837570652173904</v>
          </cell>
        </row>
        <row r="3114">
          <cell r="B3114" t="str">
            <v>70529194</v>
          </cell>
          <cell r="C3114" t="str">
            <v>怡达 原味山楂棒 128G</v>
          </cell>
          <cell r="D3114">
            <v>57</v>
          </cell>
          <cell r="E3114">
            <v>405.87</v>
          </cell>
          <cell r="F3114">
            <v>8.0461947368421001</v>
          </cell>
        </row>
        <row r="3115">
          <cell r="B3115" t="str">
            <v>70529196</v>
          </cell>
          <cell r="C3115" t="str">
            <v>怡达 蓝莓山楂棒 108G</v>
          </cell>
          <cell r="D3115">
            <v>84</v>
          </cell>
          <cell r="E3115">
            <v>601.72</v>
          </cell>
          <cell r="F3115">
            <v>8.0945666666666707</v>
          </cell>
        </row>
        <row r="3116">
          <cell r="B3116" t="str">
            <v>70529198</v>
          </cell>
          <cell r="C3116" t="str">
            <v>怡达 鸡内金山楂棒 108G</v>
          </cell>
          <cell r="D3116">
            <v>60</v>
          </cell>
          <cell r="E3116">
            <v>424.96</v>
          </cell>
          <cell r="F3116">
            <v>8.0034133333333308</v>
          </cell>
        </row>
        <row r="3117">
          <cell r="B3117" t="str">
            <v>70529213</v>
          </cell>
          <cell r="C3117" t="str">
            <v>怡达 爆浆草莓山楂 120G</v>
          </cell>
          <cell r="D3117">
            <v>131</v>
          </cell>
          <cell r="E3117">
            <v>921.28</v>
          </cell>
          <cell r="F3117">
            <v>7.9469190839694601</v>
          </cell>
        </row>
        <row r="3118">
          <cell r="B3118" t="str">
            <v>70529288</v>
          </cell>
          <cell r="C3118" t="str">
            <v>盐津铺子 大魔王魔芋素毛肚（六必居麻酱味＋纯香芝麻酱味）200g</v>
          </cell>
          <cell r="D3118">
            <v>0</v>
          </cell>
          <cell r="E3118">
            <v>0</v>
          </cell>
          <cell r="F3118" t="e">
            <v>#DIV/0!</v>
          </cell>
        </row>
        <row r="3119">
          <cell r="B3119" t="str">
            <v>70530271</v>
          </cell>
          <cell r="C3119" t="str">
            <v>那斯尔 烤羊肉 150G</v>
          </cell>
          <cell r="D3119">
            <v>14</v>
          </cell>
          <cell r="E3119">
            <v>341</v>
          </cell>
          <cell r="F3119">
            <v>27.523571428571401</v>
          </cell>
        </row>
        <row r="3120">
          <cell r="B3120" t="str">
            <v>70530272</v>
          </cell>
          <cell r="C3120" t="str">
            <v>那斯尔 烤鸽子 袋</v>
          </cell>
          <cell r="D3120">
            <v>10</v>
          </cell>
          <cell r="E3120">
            <v>272.27999999999997</v>
          </cell>
          <cell r="F3120">
            <v>30.76764</v>
          </cell>
        </row>
        <row r="3121">
          <cell r="B3121" t="str">
            <v>70530274</v>
          </cell>
          <cell r="C3121" t="str">
            <v>那斯尔 烤羊肉 90G</v>
          </cell>
          <cell r="D3121">
            <v>75</v>
          </cell>
          <cell r="E3121">
            <v>1311</v>
          </cell>
          <cell r="F3121">
            <v>19.752400000000002</v>
          </cell>
        </row>
        <row r="3122">
          <cell r="B3122" t="str">
            <v>70530334</v>
          </cell>
          <cell r="C3122" t="str">
            <v>那斯尔 孜然牛肉 45G</v>
          </cell>
          <cell r="D3122">
            <v>262</v>
          </cell>
          <cell r="E3122">
            <v>1686.49</v>
          </cell>
          <cell r="F3122">
            <v>7.2737927480915996</v>
          </cell>
        </row>
        <row r="3123">
          <cell r="B3123" t="str">
            <v>70530335</v>
          </cell>
          <cell r="C3123" t="str">
            <v>那斯尔 烤羊肉 45G</v>
          </cell>
          <cell r="D3123">
            <v>101</v>
          </cell>
          <cell r="E3123">
            <v>820.05</v>
          </cell>
          <cell r="F3123">
            <v>9.1748168316831702</v>
          </cell>
        </row>
        <row r="3124">
          <cell r="B3124" t="str">
            <v>70530336</v>
          </cell>
          <cell r="C3124" t="str">
            <v>那斯尔 孜然鸡肉干 28G</v>
          </cell>
          <cell r="D3124">
            <v>923</v>
          </cell>
          <cell r="E3124">
            <v>1919.56</v>
          </cell>
          <cell r="F3124">
            <v>2.3500572047670598</v>
          </cell>
        </row>
        <row r="3125">
          <cell r="B3125" t="str">
            <v>70530337</v>
          </cell>
          <cell r="C3125" t="str">
            <v>那斯尔 特色烤鸡腿 袋</v>
          </cell>
          <cell r="D3125">
            <v>218</v>
          </cell>
          <cell r="E3125">
            <v>1024.71</v>
          </cell>
          <cell r="F3125">
            <v>5.3115701834862401</v>
          </cell>
        </row>
        <row r="3126">
          <cell r="B3126" t="str">
            <v>70530338</v>
          </cell>
          <cell r="C3126" t="str">
            <v>那斯尔 香辣牛肉 45G</v>
          </cell>
          <cell r="D3126">
            <v>241</v>
          </cell>
          <cell r="E3126">
            <v>1551.45</v>
          </cell>
          <cell r="F3126">
            <v>7.2744336099585096</v>
          </cell>
        </row>
        <row r="3127">
          <cell r="B3127" t="str">
            <v>70530372</v>
          </cell>
          <cell r="C3127" t="str">
            <v>那斯尔 香辣鸡肉干 28G</v>
          </cell>
          <cell r="D3127">
            <v>784</v>
          </cell>
          <cell r="E3127">
            <v>1630.6</v>
          </cell>
          <cell r="F3127">
            <v>2.3502270408163302</v>
          </cell>
        </row>
        <row r="3128">
          <cell r="B3128" t="str">
            <v>70530796</v>
          </cell>
          <cell r="C3128" t="str">
            <v>亲亲 大虾片原味 160G</v>
          </cell>
          <cell r="D3128">
            <v>26</v>
          </cell>
          <cell r="E3128">
            <v>162.44</v>
          </cell>
          <cell r="F3128">
            <v>7.0598923076923104</v>
          </cell>
        </row>
        <row r="3129">
          <cell r="B3129" t="str">
            <v>70530804</v>
          </cell>
          <cell r="C3129" t="str">
            <v>亲亲 大虾片越式烧烤味 160G</v>
          </cell>
          <cell r="D3129">
            <v>38</v>
          </cell>
          <cell r="E3129">
            <v>212.99</v>
          </cell>
          <cell r="F3129">
            <v>6.3336499999999996</v>
          </cell>
        </row>
        <row r="3130">
          <cell r="B3130" t="str">
            <v>70531568</v>
          </cell>
          <cell r="C3130" t="str">
            <v>大吃兄 锅巴大王 藤椒风味盒装 168G</v>
          </cell>
          <cell r="D3130">
            <v>28</v>
          </cell>
          <cell r="E3130">
            <v>240.51</v>
          </cell>
          <cell r="F3130">
            <v>9.7062964285714308</v>
          </cell>
        </row>
        <row r="3131">
          <cell r="B3131" t="str">
            <v>70531569</v>
          </cell>
          <cell r="C3131" t="str">
            <v>大吃兄 锅巴大王 小龙虾风味盒装 168G</v>
          </cell>
          <cell r="D3131">
            <v>13</v>
          </cell>
          <cell r="E3131">
            <v>111.66</v>
          </cell>
          <cell r="F3131">
            <v>9.7058307692307704</v>
          </cell>
        </row>
        <row r="3132">
          <cell r="B3132" t="str">
            <v>70531581</v>
          </cell>
          <cell r="C3132" t="str">
            <v>王小卤 去骨凤爪香辣味 72G</v>
          </cell>
          <cell r="D3132">
            <v>5</v>
          </cell>
          <cell r="E3132">
            <v>65.95</v>
          </cell>
          <cell r="F3132">
            <v>14.9047</v>
          </cell>
        </row>
        <row r="3133">
          <cell r="B3133" t="str">
            <v>70532747</v>
          </cell>
          <cell r="C3133" t="str">
            <v>盐津铺子 蒟蒻满分可吸果冻爽（水蜜桃味） 125G</v>
          </cell>
          <cell r="D3133">
            <v>0</v>
          </cell>
          <cell r="E3133">
            <v>0</v>
          </cell>
          <cell r="F3133" t="e">
            <v>#DIV/0!</v>
          </cell>
        </row>
        <row r="3134">
          <cell r="B3134" t="str">
            <v>70532802</v>
          </cell>
          <cell r="C3134" t="str">
            <v>盐津铺子 大魔王魔芋素毛肚（六必居麻酱味） 18G</v>
          </cell>
          <cell r="D3134">
            <v>4255</v>
          </cell>
          <cell r="E3134">
            <v>2836.23</v>
          </cell>
          <cell r="F3134">
            <v>0.75321736780258497</v>
          </cell>
        </row>
        <row r="3135">
          <cell r="B3135" t="str">
            <v>70533131</v>
          </cell>
          <cell r="C3135" t="str">
            <v>食验室 七窖茉莉奶酪玉米片【立袋】 40G</v>
          </cell>
          <cell r="D3135">
            <v>16</v>
          </cell>
          <cell r="E3135">
            <v>99.84</v>
          </cell>
          <cell r="F3135">
            <v>7.0511999999999997</v>
          </cell>
        </row>
        <row r="3136">
          <cell r="B3136" t="str">
            <v>70533137</v>
          </cell>
          <cell r="C3136" t="str">
            <v>食验室 厚厚奶酪玉米片【立袋】 40G</v>
          </cell>
          <cell r="D3136">
            <v>18</v>
          </cell>
          <cell r="E3136">
            <v>112.32</v>
          </cell>
          <cell r="F3136">
            <v>7.0511999999999997</v>
          </cell>
        </row>
        <row r="3137">
          <cell r="B3137" t="str">
            <v>70533924</v>
          </cell>
          <cell r="C3137" t="str">
            <v>无穷 酥骨香脖 30G</v>
          </cell>
          <cell r="D3137">
            <v>8</v>
          </cell>
          <cell r="E3137">
            <v>18.079999999999998</v>
          </cell>
          <cell r="F3137">
            <v>2.5537999999999998</v>
          </cell>
        </row>
        <row r="3138">
          <cell r="B3138" t="str">
            <v>70534474</v>
          </cell>
          <cell r="C3138" t="str">
            <v>亲亲 洋葱圈原味 80G</v>
          </cell>
          <cell r="D3138">
            <v>1</v>
          </cell>
          <cell r="E3138">
            <v>4.78</v>
          </cell>
          <cell r="F3138">
            <v>5.4013999999999998</v>
          </cell>
        </row>
        <row r="3139">
          <cell r="B3139" t="str">
            <v>70534488</v>
          </cell>
          <cell r="C3139" t="str">
            <v>动心一族 杨梅陈皮丝 52G</v>
          </cell>
          <cell r="D3139">
            <v>0</v>
          </cell>
          <cell r="E3139">
            <v>0</v>
          </cell>
          <cell r="F3139" t="e">
            <v>#DIV/0!</v>
          </cell>
        </row>
        <row r="3140">
          <cell r="B3140" t="str">
            <v>70534567</v>
          </cell>
          <cell r="C3140" t="str">
            <v>优乐多 雪花梅 110G</v>
          </cell>
          <cell r="D3140">
            <v>0</v>
          </cell>
          <cell r="E3140">
            <v>0</v>
          </cell>
          <cell r="F3140" t="e">
            <v>#DIV/0!</v>
          </cell>
        </row>
        <row r="3141">
          <cell r="B3141" t="str">
            <v>70534569</v>
          </cell>
          <cell r="C3141" t="str">
            <v>优乐多 半话梅 110G</v>
          </cell>
          <cell r="D3141">
            <v>1</v>
          </cell>
          <cell r="E3141">
            <v>5.49</v>
          </cell>
          <cell r="F3141">
            <v>6.2037000000000004</v>
          </cell>
        </row>
        <row r="3142">
          <cell r="B3142" t="str">
            <v>70534573</v>
          </cell>
          <cell r="C3142" t="str">
            <v>优乐多 酸甜梅 110G</v>
          </cell>
          <cell r="D3142">
            <v>0</v>
          </cell>
          <cell r="E3142">
            <v>0</v>
          </cell>
          <cell r="F3142" t="e">
            <v>#DIV/0!</v>
          </cell>
        </row>
        <row r="3143">
          <cell r="B3143" t="str">
            <v>70534592</v>
          </cell>
          <cell r="C3143" t="str">
            <v>邬辣妈 酒鬼鱼山椒味 45G</v>
          </cell>
          <cell r="D3143">
            <v>2</v>
          </cell>
          <cell r="E3143">
            <v>6.64</v>
          </cell>
          <cell r="F3143">
            <v>3.7515999999999998</v>
          </cell>
        </row>
        <row r="3144">
          <cell r="B3144" t="str">
            <v>70534593</v>
          </cell>
          <cell r="C3144" t="str">
            <v>邬辣妈 香辣脆皮 90G</v>
          </cell>
          <cell r="D3144">
            <v>3</v>
          </cell>
          <cell r="E3144">
            <v>9.9600000000000009</v>
          </cell>
          <cell r="F3144">
            <v>3.7515999999999998</v>
          </cell>
        </row>
        <row r="3145">
          <cell r="B3145" t="str">
            <v>70534595</v>
          </cell>
          <cell r="C3145" t="str">
            <v>良品铺子 蜜烤小鸡腿鸡翅根 84G</v>
          </cell>
          <cell r="D3145">
            <v>4</v>
          </cell>
          <cell r="E3145">
            <v>45.15</v>
          </cell>
          <cell r="F3145">
            <v>12.754875</v>
          </cell>
        </row>
        <row r="3146">
          <cell r="B3146" t="str">
            <v>70534613</v>
          </cell>
          <cell r="C3146" t="str">
            <v>良品铺子 魔芋爽香辣味 105G</v>
          </cell>
          <cell r="D3146">
            <v>0</v>
          </cell>
          <cell r="E3146">
            <v>0</v>
          </cell>
          <cell r="F3146" t="e">
            <v>#DIV/0!</v>
          </cell>
        </row>
        <row r="3147">
          <cell r="B3147" t="str">
            <v>70534627</v>
          </cell>
          <cell r="C3147" t="str">
            <v>良品铺子 虎皮凤爪香辣味 130G</v>
          </cell>
          <cell r="D3147">
            <v>11</v>
          </cell>
          <cell r="E3147">
            <v>129.69</v>
          </cell>
          <cell r="F3147">
            <v>13.322699999999999</v>
          </cell>
        </row>
        <row r="3148">
          <cell r="B3148" t="str">
            <v>70534664</v>
          </cell>
          <cell r="C3148" t="str">
            <v>良品铺子 脆辣棒香辣味 60G</v>
          </cell>
          <cell r="D3148">
            <v>7</v>
          </cell>
          <cell r="E3148">
            <v>24.78</v>
          </cell>
          <cell r="F3148">
            <v>4.0002000000000004</v>
          </cell>
        </row>
        <row r="3149">
          <cell r="B3149" t="str">
            <v>70534665</v>
          </cell>
          <cell r="C3149" t="str">
            <v>邬辣妈 香辣素牛排 100G</v>
          </cell>
          <cell r="D3149">
            <v>7</v>
          </cell>
          <cell r="E3149">
            <v>23.24</v>
          </cell>
          <cell r="F3149">
            <v>3.7515999999999998</v>
          </cell>
        </row>
        <row r="3150">
          <cell r="B3150" t="str">
            <v>70534731</v>
          </cell>
          <cell r="C3150" t="str">
            <v>动心一族 果C卷山楂 120G</v>
          </cell>
          <cell r="D3150">
            <v>0</v>
          </cell>
          <cell r="E3150">
            <v>0</v>
          </cell>
          <cell r="F3150" t="e">
            <v>#DIV/0!</v>
          </cell>
        </row>
        <row r="3151">
          <cell r="B3151" t="str">
            <v>70534735</v>
          </cell>
          <cell r="C3151" t="str">
            <v>马马妈 酱香鹌鹑蛋 100G</v>
          </cell>
          <cell r="D3151">
            <v>0</v>
          </cell>
          <cell r="E3151">
            <v>0</v>
          </cell>
          <cell r="F3151" t="e">
            <v>#DIV/0!</v>
          </cell>
        </row>
        <row r="3152">
          <cell r="B3152" t="str">
            <v>70534736</v>
          </cell>
          <cell r="C3152" t="str">
            <v>马马妈 柠檬味去骨鸭掌 80G</v>
          </cell>
          <cell r="D3152">
            <v>7</v>
          </cell>
          <cell r="E3152">
            <v>65.680000000000007</v>
          </cell>
          <cell r="F3152">
            <v>10.6026285714286</v>
          </cell>
        </row>
        <row r="3153">
          <cell r="B3153" t="str">
            <v>70534737</v>
          </cell>
          <cell r="C3153" t="str">
            <v>马马妈 藤椒味去骨鸭掌 80G</v>
          </cell>
          <cell r="D3153">
            <v>6</v>
          </cell>
          <cell r="E3153">
            <v>56.3</v>
          </cell>
          <cell r="F3153">
            <v>10.6031666666667</v>
          </cell>
        </row>
        <row r="3154">
          <cell r="B3154" t="str">
            <v>70534751</v>
          </cell>
          <cell r="C3154" t="str">
            <v>马马妈 香辣鸭舌 42G</v>
          </cell>
          <cell r="D3154">
            <v>0</v>
          </cell>
          <cell r="E3154">
            <v>0</v>
          </cell>
          <cell r="F3154" t="e">
            <v>#DIV/0!</v>
          </cell>
        </row>
        <row r="3155">
          <cell r="B3155" t="str">
            <v>70534752</v>
          </cell>
          <cell r="C3155" t="str">
            <v>马马妈 烧烤牛肉 108G</v>
          </cell>
          <cell r="D3155">
            <v>0</v>
          </cell>
          <cell r="E3155">
            <v>0</v>
          </cell>
          <cell r="F3155" t="e">
            <v>#DIV/0!</v>
          </cell>
        </row>
        <row r="3156">
          <cell r="B3156" t="str">
            <v>70534756</v>
          </cell>
          <cell r="C3156" t="str">
            <v>马马妈 麻辣牛肉 108G</v>
          </cell>
          <cell r="D3156">
            <v>0</v>
          </cell>
          <cell r="E3156">
            <v>0</v>
          </cell>
          <cell r="F3156" t="e">
            <v>#DIV/0!</v>
          </cell>
        </row>
        <row r="3157">
          <cell r="B3157" t="str">
            <v>70534774</v>
          </cell>
          <cell r="C3157" t="str">
            <v>香香嘴 火锅素毛肚香辣味 60G</v>
          </cell>
          <cell r="D3157">
            <v>990</v>
          </cell>
          <cell r="E3157">
            <v>3261.11</v>
          </cell>
          <cell r="F3157">
            <v>3.72227707070707</v>
          </cell>
        </row>
        <row r="3158">
          <cell r="B3158" t="str">
            <v>70534775</v>
          </cell>
          <cell r="C3158" t="str">
            <v>香香嘴 火锅素毛肚藤椒味 60G</v>
          </cell>
          <cell r="D3158">
            <v>582</v>
          </cell>
          <cell r="E3158">
            <v>1913.01</v>
          </cell>
          <cell r="F3158">
            <v>3.7142634020618601</v>
          </cell>
        </row>
        <row r="3159">
          <cell r="B3159" t="str">
            <v>70534776</v>
          </cell>
          <cell r="C3159" t="str">
            <v>香香嘴 笋尖脆山椒味 100G</v>
          </cell>
          <cell r="D3159">
            <v>4</v>
          </cell>
          <cell r="E3159">
            <v>13.12</v>
          </cell>
          <cell r="F3159">
            <v>3.7063999999999999</v>
          </cell>
        </row>
        <row r="3160">
          <cell r="B3160" t="str">
            <v>70534777</v>
          </cell>
          <cell r="C3160" t="str">
            <v>香香嘴 辣来辣去素牛板筋 90G</v>
          </cell>
          <cell r="D3160">
            <v>923</v>
          </cell>
          <cell r="E3160">
            <v>2208.2600000000002</v>
          </cell>
          <cell r="F3160">
            <v>2.7035035752979399</v>
          </cell>
        </row>
        <row r="3161">
          <cell r="B3161" t="str">
            <v>70534811</v>
          </cell>
          <cell r="C3161" t="str">
            <v>马马妈 香辣鸭脖 90G</v>
          </cell>
          <cell r="D3161">
            <v>0</v>
          </cell>
          <cell r="E3161">
            <v>0</v>
          </cell>
          <cell r="F3161" t="e">
            <v>#DIV/0!</v>
          </cell>
        </row>
        <row r="3162">
          <cell r="B3162" t="str">
            <v>70534812</v>
          </cell>
          <cell r="C3162" t="str">
            <v>马马妈 香辣味鱼豆腐 120G</v>
          </cell>
          <cell r="D3162">
            <v>1</v>
          </cell>
          <cell r="E3162">
            <v>5.58</v>
          </cell>
          <cell r="F3162">
            <v>6.3053999999999997</v>
          </cell>
        </row>
        <row r="3163">
          <cell r="B3163" t="str">
            <v>70534813</v>
          </cell>
          <cell r="C3163" t="str">
            <v>马马妈 香辣鸭翅 110G</v>
          </cell>
          <cell r="D3163">
            <v>0</v>
          </cell>
          <cell r="E3163">
            <v>0</v>
          </cell>
          <cell r="F3163" t="e">
            <v>#DIV/0!</v>
          </cell>
        </row>
        <row r="3164">
          <cell r="B3164" t="str">
            <v>70534814</v>
          </cell>
          <cell r="C3164" t="str">
            <v>马马妈 酸辣味海带结 200G</v>
          </cell>
          <cell r="D3164">
            <v>9</v>
          </cell>
          <cell r="E3164">
            <v>50.67</v>
          </cell>
          <cell r="F3164">
            <v>6.3619000000000003</v>
          </cell>
        </row>
        <row r="3165">
          <cell r="B3165" t="str">
            <v>70534815</v>
          </cell>
          <cell r="C3165" t="str">
            <v>马马妈 香辣味手撕蟹柳 80G</v>
          </cell>
          <cell r="D3165">
            <v>5</v>
          </cell>
          <cell r="E3165">
            <v>28.15</v>
          </cell>
          <cell r="F3165">
            <v>6.3619000000000003</v>
          </cell>
        </row>
        <row r="3166">
          <cell r="B3166" t="str">
            <v>70534816</v>
          </cell>
          <cell r="C3166" t="str">
            <v>马马妈 香辣魔芋爽 140G</v>
          </cell>
          <cell r="D3166">
            <v>32</v>
          </cell>
          <cell r="E3166">
            <v>209.84</v>
          </cell>
          <cell r="F3166">
            <v>7.4099750000000002</v>
          </cell>
        </row>
        <row r="3167">
          <cell r="B3167" t="str">
            <v>70534822</v>
          </cell>
          <cell r="C3167" t="str">
            <v>大吃兄 蛋黄锅巴盐焗蟹香风味 138G</v>
          </cell>
          <cell r="D3167">
            <v>47</v>
          </cell>
          <cell r="E3167">
            <v>282.94</v>
          </cell>
          <cell r="F3167">
            <v>6.8026</v>
          </cell>
        </row>
        <row r="3168">
          <cell r="B3168" t="str">
            <v>70534823</v>
          </cell>
          <cell r="C3168" t="str">
            <v>大吃兄 蛋黄锅巴川麻川辣风味 138G</v>
          </cell>
          <cell r="D3168">
            <v>28</v>
          </cell>
          <cell r="E3168">
            <v>168.56</v>
          </cell>
          <cell r="F3168">
            <v>6.8026</v>
          </cell>
        </row>
        <row r="3169">
          <cell r="B3169" t="str">
            <v>70534824</v>
          </cell>
          <cell r="C3169" t="str">
            <v>溜溜梅 咔哩梅茉莉龙井味136g</v>
          </cell>
          <cell r="D3169">
            <v>215</v>
          </cell>
          <cell r="E3169">
            <v>1517.71</v>
          </cell>
          <cell r="F3169">
            <v>7.9768013953488399</v>
          </cell>
        </row>
        <row r="3170">
          <cell r="B3170" t="str">
            <v>70534827</v>
          </cell>
          <cell r="C3170" t="str">
            <v>香香嘴 手撕肉干麻辣味 12G</v>
          </cell>
          <cell r="D3170">
            <v>2304</v>
          </cell>
          <cell r="E3170">
            <v>3708.73</v>
          </cell>
          <cell r="F3170">
            <v>1.8189517795138901</v>
          </cell>
        </row>
        <row r="3171">
          <cell r="B3171" t="str">
            <v>70534828</v>
          </cell>
          <cell r="C3171" t="str">
            <v>香香嘴 手撕肉干香辣味 12G</v>
          </cell>
          <cell r="D3171">
            <v>2500</v>
          </cell>
          <cell r="E3171">
            <v>4027</v>
          </cell>
          <cell r="F3171">
            <v>1.8202039999999999</v>
          </cell>
        </row>
        <row r="3172">
          <cell r="B3172" t="str">
            <v>70534829</v>
          </cell>
          <cell r="C3172" t="str">
            <v>香香嘴 鸡爪筋山椒味 23G</v>
          </cell>
          <cell r="D3172">
            <v>2110</v>
          </cell>
          <cell r="E3172">
            <v>3385.89</v>
          </cell>
          <cell r="F3172">
            <v>1.8132965402843599</v>
          </cell>
        </row>
        <row r="3173">
          <cell r="B3173" t="str">
            <v>70534830</v>
          </cell>
          <cell r="C3173" t="str">
            <v>香香嘴 鸡爪筋柠檬味 23G</v>
          </cell>
          <cell r="D3173">
            <v>1902</v>
          </cell>
          <cell r="E3173">
            <v>3046.85</v>
          </cell>
          <cell r="F3173">
            <v>1.81016850683491</v>
          </cell>
        </row>
        <row r="3174">
          <cell r="B3174" t="str">
            <v>70534831</v>
          </cell>
          <cell r="C3174" t="str">
            <v>大吃兄 蛋黄锅巴吮指甜辣风味 138G</v>
          </cell>
          <cell r="D3174">
            <v>49</v>
          </cell>
          <cell r="E3174">
            <v>294.98</v>
          </cell>
          <cell r="F3174">
            <v>6.8026</v>
          </cell>
        </row>
        <row r="3175">
          <cell r="B3175" t="str">
            <v>70534838</v>
          </cell>
          <cell r="C3175" t="str">
            <v>亲亲 复合薯片醇香原味 105G</v>
          </cell>
          <cell r="D3175">
            <v>2</v>
          </cell>
          <cell r="E3175">
            <v>8.44</v>
          </cell>
          <cell r="F3175">
            <v>4.7686000000000002</v>
          </cell>
        </row>
        <row r="3176">
          <cell r="B3176" t="str">
            <v>70534841</v>
          </cell>
          <cell r="C3176" t="str">
            <v>马马妈 香辣鸭锁骨 85G</v>
          </cell>
          <cell r="D3176">
            <v>0</v>
          </cell>
          <cell r="E3176">
            <v>0</v>
          </cell>
          <cell r="F3176" t="e">
            <v>#DIV/0!</v>
          </cell>
        </row>
        <row r="3177">
          <cell r="B3177" t="str">
            <v>70534842</v>
          </cell>
          <cell r="C3177" t="str">
            <v>品品 逗嘴去骨乌鸡爪泰式酸椒味 120G</v>
          </cell>
          <cell r="D3177">
            <v>26</v>
          </cell>
          <cell r="E3177">
            <v>437.24</v>
          </cell>
          <cell r="F3177">
            <v>19.003123076923099</v>
          </cell>
        </row>
        <row r="3178">
          <cell r="B3178" t="str">
            <v>70534843</v>
          </cell>
          <cell r="C3178" t="str">
            <v>品品 牛脆肚黔贵酸辣味 68G</v>
          </cell>
          <cell r="D3178">
            <v>10</v>
          </cell>
          <cell r="E3178">
            <v>89.4</v>
          </cell>
          <cell r="F3178">
            <v>10.1022</v>
          </cell>
        </row>
        <row r="3179">
          <cell r="B3179" t="str">
            <v>70534844</v>
          </cell>
          <cell r="C3179" t="str">
            <v>品品 麻辣牛肉 90G</v>
          </cell>
          <cell r="D3179">
            <v>7</v>
          </cell>
          <cell r="E3179">
            <v>93.56</v>
          </cell>
          <cell r="F3179">
            <v>15.1032571428571</v>
          </cell>
        </row>
        <row r="3180">
          <cell r="B3180" t="str">
            <v>70534846</v>
          </cell>
          <cell r="C3180" t="str">
            <v>品品 厚切孜然牛肉 60G</v>
          </cell>
          <cell r="D3180">
            <v>1</v>
          </cell>
          <cell r="E3180">
            <v>13.37</v>
          </cell>
          <cell r="F3180">
            <v>15.1081</v>
          </cell>
        </row>
        <row r="3181">
          <cell r="B3181" t="str">
            <v>70534927</v>
          </cell>
          <cell r="C3181" t="str">
            <v>五号码头 脱骨鸭掌盐焗味 90G</v>
          </cell>
          <cell r="D3181">
            <v>28</v>
          </cell>
          <cell r="E3181">
            <v>376.67</v>
          </cell>
          <cell r="F3181">
            <v>15.201325000000001</v>
          </cell>
        </row>
        <row r="3182">
          <cell r="B3182" t="str">
            <v>70534929</v>
          </cell>
          <cell r="C3182" t="str">
            <v>五号码头 脱骨鸭掌香辣味 90G</v>
          </cell>
          <cell r="D3182">
            <v>39</v>
          </cell>
          <cell r="E3182">
            <v>524.64</v>
          </cell>
          <cell r="F3182">
            <v>15.2011076923077</v>
          </cell>
        </row>
        <row r="3183">
          <cell r="B3183" t="str">
            <v>70534932</v>
          </cell>
          <cell r="C3183" t="str">
            <v>张飞 手撕豆干香辣味 80G</v>
          </cell>
          <cell r="D3183">
            <v>592</v>
          </cell>
          <cell r="E3183">
            <v>2154.9299999999998</v>
          </cell>
          <cell r="F3183">
            <v>4.1132954391891898</v>
          </cell>
        </row>
        <row r="3184">
          <cell r="B3184" t="str">
            <v>70534933</v>
          </cell>
          <cell r="C3184" t="str">
            <v>大丰 原味瓜子 180G</v>
          </cell>
          <cell r="D3184">
            <v>4</v>
          </cell>
          <cell r="E3184">
            <v>19.02</v>
          </cell>
          <cell r="F3184">
            <v>5.3731499999999999</v>
          </cell>
        </row>
        <row r="3185">
          <cell r="B3185" t="str">
            <v>70534936</v>
          </cell>
          <cell r="C3185" t="str">
            <v>大丰 绿茶味瓜子 300G</v>
          </cell>
          <cell r="D3185">
            <v>0</v>
          </cell>
          <cell r="E3185">
            <v>0</v>
          </cell>
          <cell r="F3185" t="e">
            <v>#DIV/0!</v>
          </cell>
        </row>
        <row r="3186">
          <cell r="B3186" t="str">
            <v>70534963</v>
          </cell>
          <cell r="C3186" t="str">
            <v>花生姑娘 脱油花生香辣味 108G</v>
          </cell>
          <cell r="D3186">
            <v>0</v>
          </cell>
          <cell r="E3186">
            <v>0</v>
          </cell>
          <cell r="F3186" t="e">
            <v>#DIV/0!</v>
          </cell>
        </row>
        <row r="3187">
          <cell r="B3187" t="str">
            <v>70534967</v>
          </cell>
          <cell r="C3187" t="str">
            <v>花生姑娘 脱油花生五香味 108G</v>
          </cell>
          <cell r="D3187">
            <v>0</v>
          </cell>
          <cell r="E3187">
            <v>0</v>
          </cell>
          <cell r="F3187" t="e">
            <v>#DIV/0!</v>
          </cell>
        </row>
        <row r="3188">
          <cell r="B3188" t="str">
            <v>70534968</v>
          </cell>
          <cell r="C3188" t="str">
            <v>鲁明斋 爆胶猪蹄酱香味 220G</v>
          </cell>
          <cell r="D3188">
            <v>20</v>
          </cell>
          <cell r="E3188">
            <v>368.2</v>
          </cell>
          <cell r="F3188">
            <v>20.8033</v>
          </cell>
        </row>
        <row r="3189">
          <cell r="B3189" t="str">
            <v>70534972</v>
          </cell>
          <cell r="C3189" t="str">
            <v>鲁明斋 爆胶猪蹄麻辣味 220G</v>
          </cell>
          <cell r="D3189">
            <v>32</v>
          </cell>
          <cell r="E3189">
            <v>589.09</v>
          </cell>
          <cell r="F3189">
            <v>20.802240625</v>
          </cell>
        </row>
        <row r="3190">
          <cell r="B3190" t="str">
            <v>70534974</v>
          </cell>
          <cell r="C3190" t="str">
            <v>王小卤 虎皮凤爪麻辣味 210G</v>
          </cell>
          <cell r="D3190">
            <v>963</v>
          </cell>
          <cell r="E3190">
            <v>22063.4</v>
          </cell>
          <cell r="F3190">
            <v>25.889555555555599</v>
          </cell>
        </row>
        <row r="3191">
          <cell r="B3191" t="str">
            <v>70534976</v>
          </cell>
          <cell r="C3191" t="str">
            <v>鲁明斋 脆菇豆皮卷 120G</v>
          </cell>
          <cell r="D3191">
            <v>1</v>
          </cell>
          <cell r="E3191">
            <v>5.4</v>
          </cell>
          <cell r="F3191">
            <v>6.1020000000000003</v>
          </cell>
        </row>
        <row r="3192">
          <cell r="B3192" t="str">
            <v>70534977</v>
          </cell>
          <cell r="C3192" t="str">
            <v>王小卤 虎皮凤爪微辣味 210G</v>
          </cell>
          <cell r="D3192">
            <v>12</v>
          </cell>
          <cell r="E3192">
            <v>240.48</v>
          </cell>
          <cell r="F3192">
            <v>22.645199999999999</v>
          </cell>
        </row>
        <row r="3193">
          <cell r="B3193" t="str">
            <v>70534979</v>
          </cell>
          <cell r="C3193" t="str">
            <v>鲁明斋 海带豆皮卷 120G</v>
          </cell>
          <cell r="D3193">
            <v>0</v>
          </cell>
          <cell r="E3193">
            <v>0</v>
          </cell>
          <cell r="F3193" t="e">
            <v>#DIV/0!</v>
          </cell>
        </row>
        <row r="3194">
          <cell r="B3194" t="str">
            <v>70534982</v>
          </cell>
          <cell r="C3194" t="str">
            <v>鲁明斋 板栗素牛排香辣味 120G</v>
          </cell>
          <cell r="D3194">
            <v>1</v>
          </cell>
          <cell r="E3194">
            <v>5.4</v>
          </cell>
          <cell r="F3194">
            <v>6.1020000000000003</v>
          </cell>
        </row>
        <row r="3195">
          <cell r="B3195" t="str">
            <v>70534986</v>
          </cell>
          <cell r="C3195" t="str">
            <v>鲁明斋 板栗素牛排五香味 120G</v>
          </cell>
          <cell r="D3195">
            <v>1</v>
          </cell>
          <cell r="E3195">
            <v>5.4</v>
          </cell>
          <cell r="F3195">
            <v>6.1020000000000003</v>
          </cell>
        </row>
        <row r="3196">
          <cell r="B3196" t="str">
            <v>70534987</v>
          </cell>
          <cell r="C3196" t="str">
            <v>优乐多 匠心罐装九制陈皮 130G</v>
          </cell>
          <cell r="D3196">
            <v>0</v>
          </cell>
          <cell r="E3196">
            <v>0</v>
          </cell>
          <cell r="F3196" t="e">
            <v>#DIV/0!</v>
          </cell>
        </row>
        <row r="3197">
          <cell r="B3197" t="str">
            <v>70535016</v>
          </cell>
          <cell r="C3197" t="str">
            <v>心栗话 油栗仁 108G</v>
          </cell>
          <cell r="D3197">
            <v>8</v>
          </cell>
          <cell r="E3197">
            <v>58.08</v>
          </cell>
          <cell r="F3197">
            <v>8.2037999999999993</v>
          </cell>
        </row>
        <row r="3198">
          <cell r="B3198" t="str">
            <v>70535026</v>
          </cell>
          <cell r="C3198" t="str">
            <v>甘源 爆烈香辣味薯片油炸 40G</v>
          </cell>
          <cell r="D3198">
            <v>0</v>
          </cell>
          <cell r="E3198">
            <v>0</v>
          </cell>
          <cell r="F3198" t="e">
            <v>#DIV/0!</v>
          </cell>
        </row>
        <row r="3199">
          <cell r="B3199" t="str">
            <v>70535028</v>
          </cell>
          <cell r="C3199" t="str">
            <v>甘源 脆爽黄瓜味薯片油炸 40G</v>
          </cell>
          <cell r="D3199">
            <v>0</v>
          </cell>
          <cell r="E3199">
            <v>0</v>
          </cell>
          <cell r="F3199" t="e">
            <v>#DIV/0!</v>
          </cell>
        </row>
        <row r="3200">
          <cell r="B3200" t="str">
            <v>70535031</v>
          </cell>
          <cell r="C3200" t="str">
            <v>甘源 甘酸番茄味薯片油炸 40G</v>
          </cell>
          <cell r="D3200">
            <v>0</v>
          </cell>
          <cell r="E3200">
            <v>0</v>
          </cell>
          <cell r="F3200" t="e">
            <v>#DIV/0!</v>
          </cell>
        </row>
        <row r="3201">
          <cell r="B3201" t="str">
            <v>70535039</v>
          </cell>
          <cell r="C3201" t="str">
            <v>食之兮 栗仁物语甘栗仁原味 80G</v>
          </cell>
          <cell r="D3201">
            <v>0</v>
          </cell>
          <cell r="E3201">
            <v>0</v>
          </cell>
          <cell r="F3201" t="e">
            <v>#DIV/0!</v>
          </cell>
        </row>
        <row r="3202">
          <cell r="B3202" t="str">
            <v>70535041</v>
          </cell>
          <cell r="C3202" t="str">
            <v>食之兮 烤肉豆干香辣味 88G</v>
          </cell>
          <cell r="D3202">
            <v>0</v>
          </cell>
          <cell r="E3202">
            <v>0</v>
          </cell>
          <cell r="F3202" t="e">
            <v>#DIV/0!</v>
          </cell>
        </row>
        <row r="3203">
          <cell r="B3203" t="str">
            <v>70535043</v>
          </cell>
          <cell r="C3203" t="str">
            <v>食之兮 烤肉豆干五香味 88G</v>
          </cell>
          <cell r="D3203">
            <v>1</v>
          </cell>
          <cell r="E3203">
            <v>6.2</v>
          </cell>
          <cell r="F3203">
            <v>7.0060000000000002</v>
          </cell>
        </row>
        <row r="3204">
          <cell r="B3204" t="str">
            <v>70535044</v>
          </cell>
          <cell r="C3204" t="str">
            <v>马马妈 柠檬味去骨鸡爪 80G</v>
          </cell>
          <cell r="D3204">
            <v>0</v>
          </cell>
          <cell r="E3204">
            <v>0</v>
          </cell>
          <cell r="F3204" t="e">
            <v>#DIV/0!</v>
          </cell>
        </row>
        <row r="3205">
          <cell r="B3205" t="str">
            <v>70535045</v>
          </cell>
          <cell r="C3205" t="str">
            <v>食之兮 笋丝豆干香辣味 88G</v>
          </cell>
          <cell r="D3205">
            <v>0</v>
          </cell>
          <cell r="E3205">
            <v>0</v>
          </cell>
          <cell r="F3205" t="e">
            <v>#DIV/0!</v>
          </cell>
        </row>
        <row r="3206">
          <cell r="B3206" t="str">
            <v>70535046</v>
          </cell>
          <cell r="C3206" t="str">
            <v>马马妈 香辣味去骨鸡爪 80G</v>
          </cell>
          <cell r="D3206">
            <v>2</v>
          </cell>
          <cell r="E3206">
            <v>18.760000000000002</v>
          </cell>
          <cell r="F3206">
            <v>10.599399999999999</v>
          </cell>
        </row>
        <row r="3207">
          <cell r="B3207" t="str">
            <v>70535049</v>
          </cell>
          <cell r="C3207" t="str">
            <v>食之兮 整根风干肉原味 26G</v>
          </cell>
          <cell r="D3207">
            <v>5</v>
          </cell>
          <cell r="E3207">
            <v>30.99</v>
          </cell>
          <cell r="F3207">
            <v>7.0037399999999996</v>
          </cell>
        </row>
        <row r="3208">
          <cell r="B3208" t="str">
            <v>70535053</v>
          </cell>
          <cell r="C3208" t="str">
            <v>马马妈 香辣魔芋贡菜 150G</v>
          </cell>
          <cell r="D3208">
            <v>232</v>
          </cell>
          <cell r="E3208">
            <v>1201.94</v>
          </cell>
          <cell r="F3208">
            <v>5.8542767241379297</v>
          </cell>
        </row>
        <row r="3209">
          <cell r="B3209" t="str">
            <v>70535054</v>
          </cell>
          <cell r="C3209" t="str">
            <v>马马妈 孜香牛板筋 65G</v>
          </cell>
          <cell r="D3209">
            <v>8</v>
          </cell>
          <cell r="E3209">
            <v>52.56</v>
          </cell>
          <cell r="F3209">
            <v>7.4241000000000001</v>
          </cell>
        </row>
        <row r="3210">
          <cell r="B3210" t="str">
            <v>70535056</v>
          </cell>
          <cell r="C3210" t="str">
            <v>大丰 陈皮瓜子 280G</v>
          </cell>
          <cell r="D3210">
            <v>0</v>
          </cell>
          <cell r="E3210">
            <v>0</v>
          </cell>
          <cell r="F3210" t="e">
            <v>#DIV/0!</v>
          </cell>
        </row>
        <row r="3211">
          <cell r="B3211" t="str">
            <v>70535089</v>
          </cell>
          <cell r="C3211" t="str">
            <v>品品 撒拉铺子豆干烧烤味 105G</v>
          </cell>
          <cell r="D3211">
            <v>888</v>
          </cell>
          <cell r="E3211">
            <v>3397.14</v>
          </cell>
          <cell r="F3211">
            <v>4.3229371621621597</v>
          </cell>
        </row>
        <row r="3212">
          <cell r="B3212" t="str">
            <v>70535090</v>
          </cell>
          <cell r="C3212" t="str">
            <v>品品 撒拉铺子豆干五香味 105G</v>
          </cell>
          <cell r="D3212">
            <v>780</v>
          </cell>
          <cell r="E3212">
            <v>2994.34</v>
          </cell>
          <cell r="F3212">
            <v>4.3379541025641002</v>
          </cell>
        </row>
        <row r="3213">
          <cell r="B3213" t="str">
            <v>70535091</v>
          </cell>
          <cell r="C3213" t="str">
            <v>品品 撒拉铺子豆干麻辣味 105G</v>
          </cell>
          <cell r="D3213">
            <v>982</v>
          </cell>
          <cell r="E3213">
            <v>3753.51</v>
          </cell>
          <cell r="F3213">
            <v>4.3192121181262699</v>
          </cell>
        </row>
        <row r="3214">
          <cell r="B3214" t="str">
            <v>70535112</v>
          </cell>
          <cell r="C3214" t="str">
            <v>马马妈 烧烤牛蹄筋 80G</v>
          </cell>
          <cell r="D3214">
            <v>0</v>
          </cell>
          <cell r="E3214">
            <v>0</v>
          </cell>
          <cell r="F3214" t="e">
            <v>#DIV/0!</v>
          </cell>
        </row>
        <row r="3215">
          <cell r="B3215" t="str">
            <v>70535118</v>
          </cell>
          <cell r="C3215" t="str">
            <v>心栗话 油栗仁木糖醇 108G</v>
          </cell>
          <cell r="D3215">
            <v>9</v>
          </cell>
          <cell r="E3215">
            <v>65.34</v>
          </cell>
          <cell r="F3215">
            <v>8.2037999999999993</v>
          </cell>
        </row>
        <row r="3216">
          <cell r="B3216" t="str">
            <v>70535913</v>
          </cell>
          <cell r="C3216" t="str">
            <v>稻香村 盐焗味鸭肫 115G</v>
          </cell>
          <cell r="D3216">
            <v>2</v>
          </cell>
          <cell r="E3216">
            <v>23.2</v>
          </cell>
          <cell r="F3216">
            <v>13.108000000000001</v>
          </cell>
        </row>
        <row r="3217">
          <cell r="B3217" t="str">
            <v>70535914</v>
          </cell>
          <cell r="C3217" t="str">
            <v>稻香村 蒜香味鸭肫 115G</v>
          </cell>
          <cell r="D3217">
            <v>0</v>
          </cell>
          <cell r="E3217">
            <v>0</v>
          </cell>
          <cell r="F3217" t="e">
            <v>#DIV/0!</v>
          </cell>
        </row>
        <row r="3218">
          <cell r="B3218" t="str">
            <v>70535916</v>
          </cell>
          <cell r="C3218" t="str">
            <v>良品铺子 迷你烤香肠炭烤味 98G</v>
          </cell>
          <cell r="D3218">
            <v>5</v>
          </cell>
          <cell r="E3218">
            <v>58.1</v>
          </cell>
          <cell r="F3218">
            <v>13.130599999999999</v>
          </cell>
        </row>
        <row r="3219">
          <cell r="B3219" t="str">
            <v>70535922</v>
          </cell>
          <cell r="C3219" t="str">
            <v>椒巴客 花椒锅巴爆辣味 210G</v>
          </cell>
          <cell r="D3219">
            <v>1322</v>
          </cell>
          <cell r="E3219">
            <v>9983.4500000000007</v>
          </cell>
          <cell r="F3219">
            <v>8.5335086989410005</v>
          </cell>
        </row>
        <row r="3220">
          <cell r="B3220" t="str">
            <v>70535923</v>
          </cell>
          <cell r="C3220" t="str">
            <v>椒巴客 花椒锅巴椒香味 138G</v>
          </cell>
          <cell r="D3220">
            <v>1600</v>
          </cell>
          <cell r="E3220">
            <v>7299.16</v>
          </cell>
          <cell r="F3220">
            <v>5.15503175</v>
          </cell>
        </row>
        <row r="3221">
          <cell r="B3221" t="str">
            <v>70535924</v>
          </cell>
          <cell r="C3221" t="str">
            <v>椒巴客 花椒锅巴麻辣味 138G</v>
          </cell>
          <cell r="D3221">
            <v>1555</v>
          </cell>
          <cell r="E3221">
            <v>7178.7</v>
          </cell>
          <cell r="F3221">
            <v>5.2166758842443697</v>
          </cell>
        </row>
        <row r="3222">
          <cell r="B3222" t="str">
            <v>70535925</v>
          </cell>
          <cell r="C3222" t="str">
            <v>椒巴客 花椒锅巴椒香味 188G</v>
          </cell>
          <cell r="D3222">
            <v>0</v>
          </cell>
          <cell r="E3222">
            <v>0</v>
          </cell>
          <cell r="F3222" t="e">
            <v>#DIV/0!</v>
          </cell>
        </row>
        <row r="3223">
          <cell r="B3223" t="str">
            <v>70535926</v>
          </cell>
          <cell r="C3223" t="str">
            <v>椒巴客 花椒锅巴麻辣味 188G</v>
          </cell>
          <cell r="D3223">
            <v>0</v>
          </cell>
          <cell r="E3223">
            <v>0</v>
          </cell>
          <cell r="F3223" t="e">
            <v>#DIV/0!</v>
          </cell>
        </row>
        <row r="3224">
          <cell r="B3224" t="str">
            <v>70535936</v>
          </cell>
          <cell r="C3224" t="str">
            <v>蜡笔小新 乳酸果冻 360G</v>
          </cell>
          <cell r="D3224">
            <v>0</v>
          </cell>
          <cell r="E3224">
            <v>0</v>
          </cell>
          <cell r="F3224" t="e">
            <v>#DIV/0!</v>
          </cell>
        </row>
        <row r="3225">
          <cell r="B3225" t="str">
            <v>70535964</v>
          </cell>
          <cell r="C3225" t="str">
            <v>乡吧佬 香卤凤爪 30G</v>
          </cell>
          <cell r="D3225">
            <v>34</v>
          </cell>
          <cell r="E3225">
            <v>96.32</v>
          </cell>
          <cell r="F3225">
            <v>3.2012235294117599</v>
          </cell>
        </row>
        <row r="3226">
          <cell r="B3226" t="str">
            <v>70535969</v>
          </cell>
          <cell r="C3226" t="str">
            <v>乡吧佬 泡椒鸡爪 30G</v>
          </cell>
          <cell r="D3226">
            <v>1</v>
          </cell>
          <cell r="E3226">
            <v>2.84</v>
          </cell>
          <cell r="F3226">
            <v>3.2092000000000001</v>
          </cell>
        </row>
        <row r="3227">
          <cell r="B3227" t="str">
            <v>70535978</v>
          </cell>
          <cell r="C3227" t="str">
            <v>百草味 一口芒果条 80G</v>
          </cell>
          <cell r="D3227">
            <v>0</v>
          </cell>
          <cell r="E3227">
            <v>0</v>
          </cell>
          <cell r="F3227" t="e">
            <v>#DIV/0!</v>
          </cell>
        </row>
        <row r="3228">
          <cell r="B3228" t="str">
            <v>70535980</v>
          </cell>
          <cell r="C3228" t="str">
            <v>乡吧佬 香辣鸭翅 85G</v>
          </cell>
          <cell r="D3228">
            <v>3</v>
          </cell>
          <cell r="E3228">
            <v>16.47</v>
          </cell>
          <cell r="F3228">
            <v>6.2037000000000004</v>
          </cell>
        </row>
        <row r="3229">
          <cell r="B3229" t="str">
            <v>70535982</v>
          </cell>
          <cell r="C3229" t="str">
            <v>乡吧佬 盐焗鸡腿 80G</v>
          </cell>
          <cell r="D3229">
            <v>934</v>
          </cell>
          <cell r="E3229">
            <v>5825.9</v>
          </cell>
          <cell r="F3229">
            <v>7.0484657387580301</v>
          </cell>
        </row>
        <row r="3230">
          <cell r="B3230" t="str">
            <v>70535983</v>
          </cell>
          <cell r="C3230" t="str">
            <v>脆升升 海盐柠檬味薯片 60G</v>
          </cell>
          <cell r="D3230">
            <v>402</v>
          </cell>
          <cell r="E3230">
            <v>1616.4</v>
          </cell>
          <cell r="F3230">
            <v>4.5436119402985096</v>
          </cell>
        </row>
        <row r="3231">
          <cell r="B3231" t="str">
            <v>70535987</v>
          </cell>
          <cell r="C3231" t="str">
            <v>三只松鼠 脱油花生麻辣味 220G</v>
          </cell>
          <cell r="D3231">
            <v>1</v>
          </cell>
          <cell r="E3231">
            <v>7.08</v>
          </cell>
          <cell r="F3231">
            <v>8.0004000000000008</v>
          </cell>
        </row>
        <row r="3232">
          <cell r="B3232" t="str">
            <v>70536004</v>
          </cell>
          <cell r="C3232" t="str">
            <v>贤哥 麻辣小脆片 58G</v>
          </cell>
          <cell r="D3232">
            <v>0</v>
          </cell>
          <cell r="E3232">
            <v>0</v>
          </cell>
          <cell r="F3232" t="e">
            <v>#DIV/0!</v>
          </cell>
        </row>
        <row r="3233">
          <cell r="B3233" t="str">
            <v>70536010</v>
          </cell>
          <cell r="C3233" t="str">
            <v>如水 藤椒味花生 80G</v>
          </cell>
          <cell r="D3233">
            <v>446</v>
          </cell>
          <cell r="E3233">
            <v>2378.5300000000002</v>
          </cell>
          <cell r="F3233">
            <v>6.02632040358744</v>
          </cell>
        </row>
        <row r="3234">
          <cell r="B3234" t="str">
            <v>70536053</v>
          </cell>
          <cell r="C3234" t="str">
            <v>马马妈 香辣鸭掌 85G</v>
          </cell>
          <cell r="D3234">
            <v>0</v>
          </cell>
          <cell r="E3234">
            <v>0</v>
          </cell>
          <cell r="F3234" t="e">
            <v>#DIV/0!</v>
          </cell>
        </row>
        <row r="3235">
          <cell r="B3235" t="str">
            <v>70536056</v>
          </cell>
          <cell r="C3235" t="str">
            <v>马马妈 酸辣魔芋贡菜 150G</v>
          </cell>
          <cell r="D3235">
            <v>154</v>
          </cell>
          <cell r="E3235">
            <v>797.04</v>
          </cell>
          <cell r="F3235">
            <v>5.8484103896103896</v>
          </cell>
        </row>
        <row r="3236">
          <cell r="B3236" t="str">
            <v>70536059</v>
          </cell>
          <cell r="C3236" t="str">
            <v>萌鹿 卤汁花生酱卤味 408G</v>
          </cell>
          <cell r="D3236">
            <v>6</v>
          </cell>
          <cell r="E3236">
            <v>45.14</v>
          </cell>
          <cell r="F3236">
            <v>8.5013666666666694</v>
          </cell>
        </row>
        <row r="3237">
          <cell r="B3237" t="str">
            <v>70536061</v>
          </cell>
          <cell r="C3237" t="str">
            <v>萌鹿 卤汁花生泡椒味 408G</v>
          </cell>
          <cell r="D3237">
            <v>14</v>
          </cell>
          <cell r="E3237">
            <v>105.39</v>
          </cell>
          <cell r="F3237">
            <v>8.5064785714285698</v>
          </cell>
        </row>
        <row r="3238">
          <cell r="B3238" t="str">
            <v>70536064</v>
          </cell>
          <cell r="C3238" t="str">
            <v>萌鹿 卤汁花生话梅味 408G</v>
          </cell>
          <cell r="D3238">
            <v>14</v>
          </cell>
          <cell r="E3238">
            <v>105.38</v>
          </cell>
          <cell r="F3238">
            <v>8.5056714285714303</v>
          </cell>
        </row>
        <row r="3239">
          <cell r="B3239" t="str">
            <v>70536082</v>
          </cell>
          <cell r="C3239" t="str">
            <v>盐津铺子 爆浆鳕鱼肠奶酪流心味 25G</v>
          </cell>
          <cell r="D3239">
            <v>15</v>
          </cell>
          <cell r="E3239">
            <v>23.24</v>
          </cell>
          <cell r="F3239">
            <v>1.75074666666667</v>
          </cell>
        </row>
        <row r="3240">
          <cell r="B3240" t="str">
            <v>70536083</v>
          </cell>
          <cell r="C3240" t="str">
            <v>盐津铺子 爆浆鳕鱼肠干酪芝士味 25G</v>
          </cell>
          <cell r="D3240">
            <v>9</v>
          </cell>
          <cell r="E3240">
            <v>13.95</v>
          </cell>
          <cell r="F3240">
            <v>1.7515000000000001</v>
          </cell>
        </row>
        <row r="3241">
          <cell r="B3241" t="str">
            <v>70536100</v>
          </cell>
          <cell r="C3241" t="str">
            <v>三只松鼠 炭烧腰果 120G</v>
          </cell>
          <cell r="D3241">
            <v>0</v>
          </cell>
          <cell r="E3241">
            <v>0</v>
          </cell>
          <cell r="F3241" t="e">
            <v>#DIV/0!</v>
          </cell>
        </row>
        <row r="3242">
          <cell r="B3242" t="str">
            <v>70536101</v>
          </cell>
          <cell r="C3242" t="str">
            <v>三只松鼠 奶香烤核桃 150G</v>
          </cell>
          <cell r="D3242">
            <v>0</v>
          </cell>
          <cell r="E3242">
            <v>0</v>
          </cell>
          <cell r="F3242" t="e">
            <v>#DIV/0!</v>
          </cell>
        </row>
        <row r="3243">
          <cell r="B3243" t="str">
            <v>70536103</v>
          </cell>
          <cell r="C3243" t="str">
            <v>三只松鼠 原香大瓜子 200G</v>
          </cell>
          <cell r="D3243">
            <v>21</v>
          </cell>
          <cell r="E3243">
            <v>148.68</v>
          </cell>
          <cell r="F3243">
            <v>8.0004000000000008</v>
          </cell>
        </row>
        <row r="3244">
          <cell r="B3244" t="str">
            <v>70536104</v>
          </cell>
          <cell r="C3244" t="str">
            <v>三只松鼠 焦糖大瓜子 200G</v>
          </cell>
          <cell r="D3244">
            <v>5</v>
          </cell>
          <cell r="E3244">
            <v>35.4</v>
          </cell>
          <cell r="F3244">
            <v>8.0004000000000008</v>
          </cell>
        </row>
        <row r="3245">
          <cell r="B3245" t="str">
            <v>70536105</v>
          </cell>
          <cell r="C3245" t="str">
            <v>三只松鼠 五香大瓜子 200G</v>
          </cell>
          <cell r="D3245">
            <v>0</v>
          </cell>
          <cell r="E3245">
            <v>0</v>
          </cell>
          <cell r="F3245" t="e">
            <v>#DIV/0!</v>
          </cell>
        </row>
        <row r="3246">
          <cell r="B3246" t="str">
            <v>70536106</v>
          </cell>
          <cell r="C3246" t="str">
            <v>三只松鼠 山核桃味小花生 280G</v>
          </cell>
          <cell r="D3246">
            <v>0</v>
          </cell>
          <cell r="E3246">
            <v>0</v>
          </cell>
          <cell r="F3246" t="e">
            <v>#DIV/0!</v>
          </cell>
        </row>
        <row r="3247">
          <cell r="B3247" t="str">
            <v>70536107</v>
          </cell>
          <cell r="C3247" t="str">
            <v>三只松鼠 蒜香小花生 280G</v>
          </cell>
          <cell r="D3247">
            <v>16</v>
          </cell>
          <cell r="E3247">
            <v>113.28</v>
          </cell>
          <cell r="F3247">
            <v>8.0004000000000008</v>
          </cell>
        </row>
        <row r="3248">
          <cell r="B3248" t="str">
            <v>70536116</v>
          </cell>
          <cell r="C3248" t="str">
            <v>盐津铺子 手撕烤脖香辣味 36G</v>
          </cell>
          <cell r="D3248">
            <v>3343</v>
          </cell>
          <cell r="E3248">
            <v>5195.8999999999996</v>
          </cell>
          <cell r="F3248">
            <v>1.7563167813341301</v>
          </cell>
        </row>
        <row r="3249">
          <cell r="B3249" t="str">
            <v>70536117</v>
          </cell>
          <cell r="C3249" t="str">
            <v>盐津铺子 手撕烤脖糖醋味 36G</v>
          </cell>
          <cell r="D3249">
            <v>2801</v>
          </cell>
          <cell r="E3249">
            <v>4357.3900000000003</v>
          </cell>
          <cell r="F3249">
            <v>1.75789028918243</v>
          </cell>
        </row>
        <row r="3250">
          <cell r="B3250" t="str">
            <v>70536128</v>
          </cell>
          <cell r="C3250" t="str">
            <v>草原情 芝士脆米球 32G</v>
          </cell>
          <cell r="D3250">
            <v>29</v>
          </cell>
          <cell r="E3250">
            <v>177.19</v>
          </cell>
          <cell r="F3250">
            <v>6.9043000000000001</v>
          </cell>
        </row>
        <row r="3251">
          <cell r="B3251" t="str">
            <v>70536143</v>
          </cell>
          <cell r="C3251" t="str">
            <v>廿一研食社 豌豆脆香辣小龙虾味 138G</v>
          </cell>
          <cell r="D3251">
            <v>9</v>
          </cell>
          <cell r="E3251">
            <v>76.5</v>
          </cell>
          <cell r="F3251">
            <v>9.6050000000000004</v>
          </cell>
        </row>
        <row r="3252">
          <cell r="B3252" t="str">
            <v>70536144</v>
          </cell>
          <cell r="C3252" t="str">
            <v>廿一研食社 豌豆脆花椒味 138G</v>
          </cell>
          <cell r="D3252">
            <v>0</v>
          </cell>
          <cell r="E3252">
            <v>0</v>
          </cell>
          <cell r="F3252" t="e">
            <v>#DIV/0!</v>
          </cell>
        </row>
        <row r="3253">
          <cell r="B3253" t="str">
            <v>70536150</v>
          </cell>
          <cell r="C3253" t="str">
            <v>廿一研食社 海带脆笋酸辣味 120G</v>
          </cell>
          <cell r="D3253">
            <v>4</v>
          </cell>
          <cell r="E3253">
            <v>26.56</v>
          </cell>
          <cell r="F3253">
            <v>7.5031999999999996</v>
          </cell>
        </row>
        <row r="3254">
          <cell r="B3254" t="str">
            <v>70536152</v>
          </cell>
          <cell r="C3254" t="str">
            <v>三只松鼠 鹌鹑蛋盐焗味 140G</v>
          </cell>
          <cell r="D3254">
            <v>1</v>
          </cell>
          <cell r="E3254">
            <v>7.08</v>
          </cell>
          <cell r="F3254">
            <v>8.0004000000000008</v>
          </cell>
        </row>
        <row r="3255">
          <cell r="B3255" t="str">
            <v>70536160</v>
          </cell>
          <cell r="C3255" t="str">
            <v>玛宇 琵琶腿盐焗 90G</v>
          </cell>
          <cell r="D3255">
            <v>6</v>
          </cell>
          <cell r="E3255">
            <v>25.5</v>
          </cell>
          <cell r="F3255">
            <v>4.8025000000000002</v>
          </cell>
        </row>
        <row r="3256">
          <cell r="B3256" t="str">
            <v>70536161</v>
          </cell>
          <cell r="C3256" t="str">
            <v>玛宇 琵琶腿香辣 90G</v>
          </cell>
          <cell r="D3256">
            <v>11</v>
          </cell>
          <cell r="E3256">
            <v>46.75</v>
          </cell>
          <cell r="F3256">
            <v>4.8025000000000002</v>
          </cell>
        </row>
        <row r="3257">
          <cell r="B3257" t="str">
            <v>70536182</v>
          </cell>
          <cell r="C3257" t="str">
            <v>良品铺子 野山笋条泡椒味 90G</v>
          </cell>
          <cell r="D3257">
            <v>20</v>
          </cell>
          <cell r="E3257">
            <v>92.92</v>
          </cell>
          <cell r="F3257">
            <v>5.2499799999999999</v>
          </cell>
        </row>
        <row r="3258">
          <cell r="B3258" t="str">
            <v>70536231</v>
          </cell>
          <cell r="C3258" t="str">
            <v>沙发猫 鲍香鱿鱼香辣味 80G</v>
          </cell>
          <cell r="D3258">
            <v>754</v>
          </cell>
          <cell r="E3258">
            <v>4365.57</v>
          </cell>
          <cell r="F3258">
            <v>6.54256511936339</v>
          </cell>
        </row>
        <row r="3259">
          <cell r="B3259" t="str">
            <v>70536232</v>
          </cell>
          <cell r="C3259" t="str">
            <v>沙发猫 虎皮凤爪五香味 68G</v>
          </cell>
          <cell r="D3259">
            <v>711</v>
          </cell>
          <cell r="E3259">
            <v>4000.67</v>
          </cell>
          <cell r="F3259">
            <v>6.3583081575246103</v>
          </cell>
        </row>
        <row r="3260">
          <cell r="B3260" t="str">
            <v>70536233</v>
          </cell>
          <cell r="C3260" t="str">
            <v>沙发猫 虎皮凤爪香辣味 68G</v>
          </cell>
          <cell r="D3260">
            <v>881</v>
          </cell>
          <cell r="E3260">
            <v>4975.01</v>
          </cell>
          <cell r="F3260">
            <v>6.3811138479001102</v>
          </cell>
        </row>
        <row r="3261">
          <cell r="B3261" t="str">
            <v>70536800</v>
          </cell>
          <cell r="C3261" t="str">
            <v>怡达 熊出没原味山楂棒 60G</v>
          </cell>
          <cell r="D3261">
            <v>14</v>
          </cell>
          <cell r="E3261">
            <v>61.79</v>
          </cell>
          <cell r="F3261">
            <v>4.9873357142857104</v>
          </cell>
        </row>
        <row r="3262">
          <cell r="B3262" t="str">
            <v>70536801</v>
          </cell>
          <cell r="C3262" t="str">
            <v>怡达 熊出没樱桃杏山楂棒 60G</v>
          </cell>
          <cell r="D3262">
            <v>28</v>
          </cell>
          <cell r="E3262">
            <v>124.99</v>
          </cell>
          <cell r="F3262">
            <v>5.0442392857142897</v>
          </cell>
        </row>
        <row r="3263">
          <cell r="B3263" t="str">
            <v>70536802</v>
          </cell>
          <cell r="C3263" t="str">
            <v>怡达 熊出没鸡内金山楂棒 60G</v>
          </cell>
          <cell r="D3263">
            <v>40</v>
          </cell>
          <cell r="E3263">
            <v>176.59</v>
          </cell>
          <cell r="F3263">
            <v>4.9886675</v>
          </cell>
        </row>
        <row r="3264">
          <cell r="B3264" t="str">
            <v>70536803</v>
          </cell>
          <cell r="C3264" t="str">
            <v>怡达 果粒支乳酸菌棒棒卷 145G</v>
          </cell>
          <cell r="D3264">
            <v>0</v>
          </cell>
          <cell r="E3264">
            <v>0</v>
          </cell>
          <cell r="F3264" t="e">
            <v>#DIV/0!</v>
          </cell>
        </row>
        <row r="3265">
          <cell r="B3265" t="str">
            <v>70536805</v>
          </cell>
          <cell r="C3265" t="str">
            <v>怡达 乳酸菌山楂片 180G</v>
          </cell>
          <cell r="D3265">
            <v>5</v>
          </cell>
          <cell r="E3265">
            <v>44.25</v>
          </cell>
          <cell r="F3265">
            <v>10.000500000000001</v>
          </cell>
        </row>
        <row r="3266">
          <cell r="B3266" t="str">
            <v>70536806</v>
          </cell>
          <cell r="C3266" t="str">
            <v>怡达 果粒乳酸菌山楂条 180G</v>
          </cell>
          <cell r="D3266">
            <v>4</v>
          </cell>
          <cell r="E3266">
            <v>35.4</v>
          </cell>
          <cell r="F3266">
            <v>10.000500000000001</v>
          </cell>
        </row>
        <row r="3267">
          <cell r="B3267" t="str">
            <v>70536807</v>
          </cell>
          <cell r="C3267" t="str">
            <v>怡达 果粒乳酸菌果丹皮 180G</v>
          </cell>
          <cell r="D3267">
            <v>0</v>
          </cell>
          <cell r="E3267">
            <v>0</v>
          </cell>
          <cell r="F3267" t="e">
            <v>#DIV/0!</v>
          </cell>
        </row>
        <row r="3268">
          <cell r="B3268" t="str">
            <v>70538231</v>
          </cell>
          <cell r="C3268" t="str">
            <v>椒巴客 花椒锅巴爆辣味 188G</v>
          </cell>
          <cell r="D3268">
            <v>0</v>
          </cell>
          <cell r="E3268">
            <v>0</v>
          </cell>
          <cell r="F3268" t="e">
            <v>#DIV/0!</v>
          </cell>
        </row>
        <row r="3269">
          <cell r="B3269" t="str">
            <v>70538232</v>
          </cell>
          <cell r="C3269" t="str">
            <v>椒巴客 花椒锅巴爆辣味 138G</v>
          </cell>
          <cell r="D3269">
            <v>1281</v>
          </cell>
          <cell r="E3269">
            <v>5822.74</v>
          </cell>
          <cell r="F3269">
            <v>5.1363748633879798</v>
          </cell>
        </row>
        <row r="3270">
          <cell r="B3270" t="str">
            <v>70538455</v>
          </cell>
          <cell r="C3270" t="str">
            <v>精武 鸭脖麻辣味 70G</v>
          </cell>
          <cell r="D3270">
            <v>330</v>
          </cell>
          <cell r="E3270">
            <v>2456.65</v>
          </cell>
          <cell r="F3270">
            <v>8.4121651515151505</v>
          </cell>
        </row>
        <row r="3271">
          <cell r="B3271" t="str">
            <v>70538591</v>
          </cell>
          <cell r="C3271" t="str">
            <v>山姆 棒棒娃麻辣牛肉 560G</v>
          </cell>
          <cell r="D3271">
            <v>57</v>
          </cell>
          <cell r="E3271">
            <v>4548.6000000000004</v>
          </cell>
          <cell r="F3271">
            <v>90.174000000000007</v>
          </cell>
        </row>
        <row r="3272">
          <cell r="B3272" t="str">
            <v>70538609</v>
          </cell>
          <cell r="C3272" t="str">
            <v>山姆 FINUTE蒜味虾片 300G</v>
          </cell>
          <cell r="D3272">
            <v>7</v>
          </cell>
          <cell r="E3272">
            <v>184.61</v>
          </cell>
          <cell r="F3272">
            <v>29.801328571428598</v>
          </cell>
        </row>
        <row r="3273">
          <cell r="B3273" t="str">
            <v>70539201</v>
          </cell>
          <cell r="C3273" t="str">
            <v>加减乘除 正宗话梅 60G</v>
          </cell>
          <cell r="D3273">
            <v>685</v>
          </cell>
          <cell r="E3273">
            <v>3596.3</v>
          </cell>
          <cell r="F3273">
            <v>5.9325824817518198</v>
          </cell>
        </row>
        <row r="3274">
          <cell r="B3274" t="str">
            <v>70539204</v>
          </cell>
          <cell r="C3274" t="str">
            <v>加减乘除 傲雪红梅 95G</v>
          </cell>
          <cell r="D3274">
            <v>672</v>
          </cell>
          <cell r="E3274">
            <v>3295.28</v>
          </cell>
          <cell r="F3274">
            <v>5.5411702380952397</v>
          </cell>
        </row>
        <row r="3275">
          <cell r="B3275" t="str">
            <v>70539207</v>
          </cell>
          <cell r="C3275" t="str">
            <v>加减乘除 正宗乌梅 100G</v>
          </cell>
          <cell r="D3275">
            <v>104</v>
          </cell>
          <cell r="E3275">
            <v>545.61</v>
          </cell>
          <cell r="F3275">
            <v>5.9282624999999998</v>
          </cell>
        </row>
        <row r="3276">
          <cell r="B3276" t="str">
            <v>70539210</v>
          </cell>
          <cell r="C3276" t="str">
            <v>加减乘除 妙酸梅 95G</v>
          </cell>
          <cell r="D3276">
            <v>345</v>
          </cell>
          <cell r="E3276">
            <v>1812.79</v>
          </cell>
          <cell r="F3276">
            <v>5.9375440579710101</v>
          </cell>
        </row>
        <row r="3277">
          <cell r="B3277" t="str">
            <v>70539221</v>
          </cell>
          <cell r="C3277" t="str">
            <v>加减乘除 红梅 200G</v>
          </cell>
          <cell r="D3277">
            <v>12</v>
          </cell>
          <cell r="E3277">
            <v>134.83000000000001</v>
          </cell>
          <cell r="F3277">
            <v>12.6964916666667</v>
          </cell>
        </row>
        <row r="3278">
          <cell r="B3278" t="str">
            <v>70540607</v>
          </cell>
          <cell r="C3278" t="str">
            <v>百世兴 原创酒鬼花生原味 100G</v>
          </cell>
          <cell r="D3278">
            <v>1338</v>
          </cell>
          <cell r="E3278">
            <v>5576.55</v>
          </cell>
          <cell r="F3278">
            <v>4.70964237668161</v>
          </cell>
        </row>
        <row r="3279">
          <cell r="B3279" t="str">
            <v>70540608</v>
          </cell>
          <cell r="C3279" t="str">
            <v>百世兴 原创酒鬼花生麻辣味 100G</v>
          </cell>
          <cell r="D3279">
            <v>1644</v>
          </cell>
          <cell r="E3279">
            <v>6863.76</v>
          </cell>
          <cell r="F3279">
            <v>4.7177912408759104</v>
          </cell>
        </row>
        <row r="3280">
          <cell r="B3280" t="str">
            <v>70542979</v>
          </cell>
          <cell r="C3280" t="str">
            <v>诺倍得 甜辣炸鸡味小食 60G</v>
          </cell>
          <cell r="D3280">
            <v>39</v>
          </cell>
          <cell r="E3280">
            <v>386.57</v>
          </cell>
          <cell r="F3280">
            <v>11.2006179487179</v>
          </cell>
        </row>
        <row r="3281">
          <cell r="B3281" t="str">
            <v>70542988</v>
          </cell>
          <cell r="C3281" t="str">
            <v>上好佳 田园泡玉米味 65G</v>
          </cell>
          <cell r="D3281">
            <v>7</v>
          </cell>
          <cell r="E3281">
            <v>29.75</v>
          </cell>
          <cell r="F3281">
            <v>4.8025000000000002</v>
          </cell>
        </row>
        <row r="3282">
          <cell r="B3282" t="str">
            <v>70543030</v>
          </cell>
          <cell r="C3282" t="str">
            <v>上好佳 玉米卷 65G</v>
          </cell>
          <cell r="D3282">
            <v>1</v>
          </cell>
          <cell r="E3282">
            <v>4.25</v>
          </cell>
          <cell r="F3282">
            <v>4.8025000000000002</v>
          </cell>
        </row>
        <row r="3283">
          <cell r="B3283" t="str">
            <v>70543116</v>
          </cell>
          <cell r="C3283" t="str">
            <v>上好佳 日式鱼果海苔味 70G</v>
          </cell>
          <cell r="D3283">
            <v>1</v>
          </cell>
          <cell r="E3283">
            <v>4.25</v>
          </cell>
          <cell r="F3283">
            <v>4.8025000000000002</v>
          </cell>
        </row>
        <row r="3284">
          <cell r="B3284" t="str">
            <v>70543430</v>
          </cell>
          <cell r="C3284" t="str">
            <v>甘源 椒盐味花生充气包系列 108G</v>
          </cell>
          <cell r="D3284">
            <v>0</v>
          </cell>
          <cell r="E3284">
            <v>0</v>
          </cell>
          <cell r="F3284" t="e">
            <v>#DIV/0!</v>
          </cell>
        </row>
        <row r="3285">
          <cell r="B3285" t="str">
            <v>70543431</v>
          </cell>
          <cell r="C3285" t="str">
            <v>乐事 分享大礼包 370G</v>
          </cell>
          <cell r="D3285">
            <v>0</v>
          </cell>
          <cell r="E3285">
            <v>0</v>
          </cell>
          <cell r="F3285" t="e">
            <v>#DIV/0!</v>
          </cell>
        </row>
        <row r="3286">
          <cell r="B3286" t="str">
            <v>70543437</v>
          </cell>
          <cell r="C3286" t="str">
            <v>甘源 多味花生充气包系列 108G</v>
          </cell>
          <cell r="D3286">
            <v>1</v>
          </cell>
          <cell r="E3286">
            <v>5.69</v>
          </cell>
          <cell r="F3286">
            <v>6.4297000000000004</v>
          </cell>
        </row>
        <row r="3287">
          <cell r="B3287" t="str">
            <v>70543448</v>
          </cell>
          <cell r="C3287" t="str">
            <v>乐事 新春祝福桶 90G*4</v>
          </cell>
          <cell r="D3287">
            <v>0</v>
          </cell>
          <cell r="E3287">
            <v>0</v>
          </cell>
          <cell r="F3287" t="e">
            <v>#DIV/0!</v>
          </cell>
        </row>
        <row r="3288">
          <cell r="B3288" t="str">
            <v>70543451</v>
          </cell>
          <cell r="C3288" t="str">
            <v>甘源 麻辣味青豌豆充气包系列 110G</v>
          </cell>
          <cell r="D3288">
            <v>0</v>
          </cell>
          <cell r="E3288">
            <v>0</v>
          </cell>
          <cell r="F3288" t="e">
            <v>#DIV/0!</v>
          </cell>
        </row>
        <row r="3289">
          <cell r="B3289" t="str">
            <v>70543466</v>
          </cell>
          <cell r="C3289" t="str">
            <v>甘源 原烤花生充气包系列 108G</v>
          </cell>
          <cell r="D3289">
            <v>0</v>
          </cell>
          <cell r="E3289">
            <v>0</v>
          </cell>
          <cell r="F3289" t="e">
            <v>#DIV/0!</v>
          </cell>
        </row>
        <row r="3290">
          <cell r="B3290" t="str">
            <v>70543467</v>
          </cell>
          <cell r="C3290" t="str">
            <v>甘源 咸蛋黄蚕豆 208G</v>
          </cell>
          <cell r="D3290">
            <v>0</v>
          </cell>
          <cell r="E3290">
            <v>0</v>
          </cell>
          <cell r="F3290" t="e">
            <v>#DIV/0!</v>
          </cell>
        </row>
        <row r="3291">
          <cell r="B3291" t="str">
            <v>70543483</v>
          </cell>
          <cell r="C3291" t="str">
            <v>甘源 牛排味兰花豆充气包系列 108G</v>
          </cell>
          <cell r="D3291">
            <v>0</v>
          </cell>
          <cell r="E3291">
            <v>0</v>
          </cell>
          <cell r="F3291" t="e">
            <v>#DIV/0!</v>
          </cell>
        </row>
        <row r="3292">
          <cell r="B3292" t="str">
            <v>70543492</v>
          </cell>
          <cell r="C3292" t="str">
            <v>甘源 藤椒味青豌豆充气包系列 110G</v>
          </cell>
          <cell r="D3292">
            <v>0</v>
          </cell>
          <cell r="E3292">
            <v>0</v>
          </cell>
          <cell r="F3292" t="e">
            <v>#DIV/0!</v>
          </cell>
        </row>
        <row r="3293">
          <cell r="B3293" t="str">
            <v>70543498</v>
          </cell>
          <cell r="C3293" t="str">
            <v>甘源 蒜香味翡翠绿蚕豆充气包系列 88G</v>
          </cell>
          <cell r="D3293">
            <v>32</v>
          </cell>
          <cell r="E3293">
            <v>182.1</v>
          </cell>
          <cell r="F3293">
            <v>6.4304062499999999</v>
          </cell>
        </row>
        <row r="3294">
          <cell r="B3294" t="str">
            <v>70543501</v>
          </cell>
          <cell r="C3294" t="str">
            <v>甘源 鲜虾味豆果虾条 208G</v>
          </cell>
          <cell r="D3294">
            <v>228</v>
          </cell>
          <cell r="E3294">
            <v>1959.93</v>
          </cell>
          <cell r="F3294">
            <v>9.7136881578947296</v>
          </cell>
        </row>
        <row r="3295">
          <cell r="B3295" t="str">
            <v>70543505</v>
          </cell>
          <cell r="C3295" t="str">
            <v>乐事 分享大礼包 239G</v>
          </cell>
          <cell r="D3295">
            <v>0</v>
          </cell>
          <cell r="E3295">
            <v>0</v>
          </cell>
          <cell r="F3295" t="e">
            <v>#DIV/0!</v>
          </cell>
        </row>
        <row r="3296">
          <cell r="B3296" t="str">
            <v>70543506</v>
          </cell>
          <cell r="C3296" t="str">
            <v>甘源 麻辣花生充气包系列 108G</v>
          </cell>
          <cell r="D3296">
            <v>11</v>
          </cell>
          <cell r="E3296">
            <v>62.6</v>
          </cell>
          <cell r="F3296">
            <v>6.4307272727272702</v>
          </cell>
        </row>
        <row r="3297">
          <cell r="B3297" t="str">
            <v>70543582</v>
          </cell>
          <cell r="C3297" t="str">
            <v>香之派 多味鸡爪 33G</v>
          </cell>
          <cell r="D3297">
            <v>1311</v>
          </cell>
          <cell r="E3297">
            <v>2584.9</v>
          </cell>
          <cell r="F3297">
            <v>2.2280221205186899</v>
          </cell>
        </row>
        <row r="3298">
          <cell r="B3298" t="str">
            <v>70544503</v>
          </cell>
          <cell r="C3298" t="str">
            <v>王小卤 虎皮凤爪（香辣味） 25G</v>
          </cell>
          <cell r="D3298">
            <v>8</v>
          </cell>
          <cell r="E3298">
            <v>27.67</v>
          </cell>
          <cell r="F3298">
            <v>3.9083874999999999</v>
          </cell>
        </row>
        <row r="3299">
          <cell r="B3299" t="str">
            <v>70545845</v>
          </cell>
          <cell r="C3299" t="str">
            <v>山姆 脱骨鸭掌 600G</v>
          </cell>
          <cell r="D3299">
            <v>37</v>
          </cell>
          <cell r="E3299">
            <v>2586.3000000000002</v>
          </cell>
          <cell r="F3299">
            <v>78.986999999999995</v>
          </cell>
        </row>
        <row r="3300">
          <cell r="B3300" t="str">
            <v>70547991</v>
          </cell>
          <cell r="C3300" t="str">
            <v>印第安 爆米花（海盐气泡柠檬味） 118G</v>
          </cell>
          <cell r="D3300">
            <v>24</v>
          </cell>
          <cell r="E3300">
            <v>205.68</v>
          </cell>
          <cell r="F3300">
            <v>9.6841000000000008</v>
          </cell>
        </row>
        <row r="3301">
          <cell r="B3301" t="str">
            <v>70548132</v>
          </cell>
          <cell r="C3301" t="str">
            <v>沙发猫 手工鲜香（原味）猪肉脯 55G</v>
          </cell>
          <cell r="D3301">
            <v>392</v>
          </cell>
          <cell r="E3301">
            <v>2265.5300000000002</v>
          </cell>
          <cell r="F3301">
            <v>6.53073698979592</v>
          </cell>
        </row>
        <row r="3302">
          <cell r="B3302" t="str">
            <v>70548133</v>
          </cell>
          <cell r="C3302" t="str">
            <v>沙发猫 手工鲜香（芝麻味）猪肉脯 55G</v>
          </cell>
          <cell r="D3302">
            <v>303</v>
          </cell>
          <cell r="E3302">
            <v>1746.59</v>
          </cell>
          <cell r="F3302">
            <v>6.51368547854785</v>
          </cell>
        </row>
        <row r="3303">
          <cell r="B3303" t="str">
            <v>70550079</v>
          </cell>
          <cell r="C3303" t="str">
            <v>精武 鸭舌甜辣味 35G</v>
          </cell>
          <cell r="D3303">
            <v>186</v>
          </cell>
          <cell r="E3303">
            <v>2044.33</v>
          </cell>
          <cell r="F3303">
            <v>12.419854301075301</v>
          </cell>
        </row>
        <row r="3304">
          <cell r="B3304" t="str">
            <v>70551255</v>
          </cell>
          <cell r="C3304" t="str">
            <v>精武 鸭掌麻辣味 92G</v>
          </cell>
          <cell r="D3304">
            <v>60</v>
          </cell>
          <cell r="E3304">
            <v>659.46</v>
          </cell>
          <cell r="F3304">
            <v>12.419829999999999</v>
          </cell>
        </row>
        <row r="3305">
          <cell r="B3305" t="str">
            <v>70551813</v>
          </cell>
          <cell r="C3305" t="str">
            <v>佳龙 筋筋有味 30G</v>
          </cell>
          <cell r="D3305">
            <v>0</v>
          </cell>
          <cell r="E3305">
            <v>0</v>
          </cell>
          <cell r="F3305" t="e">
            <v>#DIV/0!</v>
          </cell>
        </row>
        <row r="3306">
          <cell r="B3306" t="str">
            <v>70551875</v>
          </cell>
          <cell r="C3306" t="str">
            <v>花生姑娘 藤椒味脱油花生 36G</v>
          </cell>
          <cell r="D3306">
            <v>0</v>
          </cell>
          <cell r="E3306">
            <v>-0.01</v>
          </cell>
          <cell r="F3306" t="e">
            <v>#DIV/0!</v>
          </cell>
        </row>
        <row r="3307">
          <cell r="B3307" t="str">
            <v>70551879</v>
          </cell>
          <cell r="C3307" t="str">
            <v>椒骄 湘味灯笼干 80G</v>
          </cell>
          <cell r="D3307">
            <v>0</v>
          </cell>
          <cell r="E3307">
            <v>0</v>
          </cell>
          <cell r="F3307" t="e">
            <v>#DIV/0!</v>
          </cell>
        </row>
        <row r="3308">
          <cell r="B3308" t="str">
            <v>70551880</v>
          </cell>
          <cell r="C3308" t="str">
            <v>椒骄 香辣素牛肉丸 80G</v>
          </cell>
          <cell r="D3308">
            <v>0</v>
          </cell>
          <cell r="E3308">
            <v>0</v>
          </cell>
          <cell r="F3308" t="e">
            <v>#DIV/0!</v>
          </cell>
        </row>
        <row r="3309">
          <cell r="B3309" t="str">
            <v>70551881</v>
          </cell>
          <cell r="C3309" t="str">
            <v>椒骄 香辣兰花干 80G</v>
          </cell>
          <cell r="D3309">
            <v>0</v>
          </cell>
          <cell r="E3309">
            <v>0</v>
          </cell>
          <cell r="F3309" t="e">
            <v>#DIV/0!</v>
          </cell>
        </row>
        <row r="3310">
          <cell r="B3310" t="str">
            <v>70551882</v>
          </cell>
          <cell r="C3310" t="str">
            <v>椒骄 素红烧狮子头 80G</v>
          </cell>
          <cell r="D3310">
            <v>0</v>
          </cell>
          <cell r="E3310">
            <v>0</v>
          </cell>
          <cell r="F3310" t="e">
            <v>#DIV/0!</v>
          </cell>
        </row>
        <row r="3311">
          <cell r="B3311" t="str">
            <v>70551883</v>
          </cell>
          <cell r="C3311" t="str">
            <v>椒骄 鸡汁兰花串 80G</v>
          </cell>
          <cell r="D3311">
            <v>0</v>
          </cell>
          <cell r="E3311">
            <v>0</v>
          </cell>
          <cell r="F3311" t="e">
            <v>#DIV/0!</v>
          </cell>
        </row>
        <row r="3312">
          <cell r="B3312" t="str">
            <v>70551887</v>
          </cell>
          <cell r="C3312" t="str">
            <v>维巧 透明小立袋九制梅肉 110G</v>
          </cell>
          <cell r="D3312">
            <v>0</v>
          </cell>
          <cell r="E3312">
            <v>0</v>
          </cell>
          <cell r="F3312" t="e">
            <v>#DIV/0!</v>
          </cell>
        </row>
        <row r="3313">
          <cell r="B3313" t="str">
            <v>70551890</v>
          </cell>
          <cell r="C3313" t="str">
            <v>维巧 透明小立袋热恋小红梅 130G</v>
          </cell>
          <cell r="D3313">
            <v>0</v>
          </cell>
          <cell r="E3313">
            <v>0</v>
          </cell>
          <cell r="F3313" t="e">
            <v>#DIV/0!</v>
          </cell>
        </row>
        <row r="3314">
          <cell r="B3314" t="str">
            <v>70551891</v>
          </cell>
          <cell r="C3314" t="str">
            <v>维巧 透明小立袋九制话梅 100G</v>
          </cell>
          <cell r="D3314">
            <v>0</v>
          </cell>
          <cell r="E3314">
            <v>0</v>
          </cell>
          <cell r="F3314" t="e">
            <v>#DIV/0!</v>
          </cell>
        </row>
        <row r="3315">
          <cell r="B3315" t="str">
            <v>70551893</v>
          </cell>
          <cell r="C3315" t="str">
            <v>维巧 透明小立袋厚切桃肉 95G</v>
          </cell>
          <cell r="D3315">
            <v>0</v>
          </cell>
          <cell r="E3315">
            <v>0</v>
          </cell>
          <cell r="F3315" t="e">
            <v>#DIV/0!</v>
          </cell>
        </row>
        <row r="3316">
          <cell r="B3316" t="str">
            <v>70551895</v>
          </cell>
          <cell r="C3316" t="str">
            <v>维巧 透明小立袋话梅皇 65G</v>
          </cell>
          <cell r="D3316">
            <v>0</v>
          </cell>
          <cell r="E3316">
            <v>0</v>
          </cell>
          <cell r="F3316" t="e">
            <v>#DIV/0!</v>
          </cell>
        </row>
        <row r="3317">
          <cell r="B3317" t="str">
            <v>70551896</v>
          </cell>
          <cell r="C3317" t="str">
            <v>维巧 透明小立袋双蛋花生 65G</v>
          </cell>
          <cell r="D3317">
            <v>0</v>
          </cell>
          <cell r="E3317">
            <v>0</v>
          </cell>
          <cell r="F3317" t="e">
            <v>#DIV/0!</v>
          </cell>
        </row>
        <row r="3318">
          <cell r="B3318" t="str">
            <v>70551901</v>
          </cell>
          <cell r="C3318" t="str">
            <v>三只松鼠 坚果礼瑞甄款礼盒 1.54KG</v>
          </cell>
          <cell r="D3318">
            <v>4</v>
          </cell>
          <cell r="E3318">
            <v>180.56</v>
          </cell>
          <cell r="F3318">
            <v>51.008200000000002</v>
          </cell>
        </row>
        <row r="3319">
          <cell r="B3319" t="str">
            <v>70551902</v>
          </cell>
          <cell r="C3319" t="str">
            <v>三只松鼠 坚果炒货礼乐纷享 975G</v>
          </cell>
          <cell r="D3319">
            <v>42</v>
          </cell>
          <cell r="E3319">
            <v>1468.83</v>
          </cell>
          <cell r="F3319">
            <v>39.518521428571397</v>
          </cell>
        </row>
        <row r="3320">
          <cell r="B3320" t="str">
            <v>70551905</v>
          </cell>
          <cell r="C3320" t="str">
            <v>乐明 井盐花生 130G</v>
          </cell>
          <cell r="D3320">
            <v>0</v>
          </cell>
          <cell r="E3320">
            <v>0</v>
          </cell>
          <cell r="F3320" t="e">
            <v>#DIV/0!</v>
          </cell>
        </row>
        <row r="3321">
          <cell r="B3321" t="str">
            <v>70551906</v>
          </cell>
          <cell r="C3321" t="str">
            <v>乐明 蒜香花生 130G</v>
          </cell>
          <cell r="D3321">
            <v>0</v>
          </cell>
          <cell r="E3321">
            <v>0</v>
          </cell>
          <cell r="F3321" t="e">
            <v>#DIV/0!</v>
          </cell>
        </row>
        <row r="3322">
          <cell r="B3322" t="str">
            <v>70551914</v>
          </cell>
          <cell r="C3322" t="str">
            <v>维巧透明小立袋[妙酸奶梅]130g</v>
          </cell>
          <cell r="D3322">
            <v>0</v>
          </cell>
          <cell r="E3322">
            <v>0</v>
          </cell>
          <cell r="F3322" t="e">
            <v>#DIV/0!</v>
          </cell>
        </row>
        <row r="3323">
          <cell r="B3323" t="str">
            <v>70551916</v>
          </cell>
          <cell r="C3323" t="str">
            <v>佳龙 糯辣条 30G</v>
          </cell>
          <cell r="D3323">
            <v>0</v>
          </cell>
          <cell r="E3323">
            <v>0</v>
          </cell>
          <cell r="F3323" t="e">
            <v>#DIV/0!</v>
          </cell>
        </row>
        <row r="3324">
          <cell r="B3324" t="str">
            <v>70551918</v>
          </cell>
          <cell r="C3324" t="str">
            <v>佳龙 糯辣条 102G</v>
          </cell>
          <cell r="D3324">
            <v>0</v>
          </cell>
          <cell r="E3324">
            <v>0</v>
          </cell>
          <cell r="F3324" t="e">
            <v>#DIV/0!</v>
          </cell>
        </row>
        <row r="3325">
          <cell r="B3325" t="str">
            <v>70551919</v>
          </cell>
          <cell r="C3325" t="str">
            <v>佳龙 辣魔方 30G</v>
          </cell>
          <cell r="D3325">
            <v>0</v>
          </cell>
          <cell r="E3325">
            <v>0</v>
          </cell>
          <cell r="F3325" t="e">
            <v>#DIV/0!</v>
          </cell>
        </row>
        <row r="3326">
          <cell r="B3326" t="str">
            <v>70551920</v>
          </cell>
          <cell r="C3326" t="str">
            <v>乡妹子 鸡腿 90G</v>
          </cell>
          <cell r="D3326">
            <v>1311</v>
          </cell>
          <cell r="E3326">
            <v>4260.17</v>
          </cell>
          <cell r="F3326">
            <v>3.6720000762776501</v>
          </cell>
        </row>
        <row r="3327">
          <cell r="B3327" t="str">
            <v>70551921</v>
          </cell>
          <cell r="C3327" t="str">
            <v>乡妹子 鸡腿 90G</v>
          </cell>
          <cell r="D3327">
            <v>1849</v>
          </cell>
          <cell r="E3327">
            <v>6015.44</v>
          </cell>
          <cell r="F3327">
            <v>3.6762829637642001</v>
          </cell>
        </row>
        <row r="3328">
          <cell r="B3328" t="str">
            <v>70553237</v>
          </cell>
          <cell r="C3328" t="str">
            <v>好丽友 全家福大礼盒 510G</v>
          </cell>
          <cell r="D3328">
            <v>0</v>
          </cell>
          <cell r="E3328">
            <v>0</v>
          </cell>
          <cell r="F3328" t="e">
            <v>#DIV/0!</v>
          </cell>
        </row>
        <row r="3329">
          <cell r="B3329" t="str">
            <v>70553252</v>
          </cell>
          <cell r="C3329" t="str">
            <v>好丽友 全家福大礼包 360G</v>
          </cell>
          <cell r="D3329">
            <v>0</v>
          </cell>
          <cell r="E3329">
            <v>0</v>
          </cell>
          <cell r="F3329" t="e">
            <v>#DIV/0!</v>
          </cell>
        </row>
        <row r="3330">
          <cell r="B3330" t="str">
            <v>70553387</v>
          </cell>
          <cell r="C3330" t="str">
            <v>盼盼 喜气洋洋礼盒 510g+400ml</v>
          </cell>
          <cell r="D3330">
            <v>195</v>
          </cell>
          <cell r="E3330">
            <v>4663.7299999999996</v>
          </cell>
          <cell r="F3330">
            <v>27.025717435897398</v>
          </cell>
        </row>
        <row r="3331">
          <cell r="B3331" t="str">
            <v>70553388</v>
          </cell>
          <cell r="C3331" t="str">
            <v>盼盼 福气满满礼盒 460g+400ml</v>
          </cell>
          <cell r="D3331">
            <v>177</v>
          </cell>
          <cell r="E3331">
            <v>6328.4</v>
          </cell>
          <cell r="F3331">
            <v>40.401649717514097</v>
          </cell>
        </row>
        <row r="3332">
          <cell r="B3332" t="str">
            <v>70553487</v>
          </cell>
          <cell r="C3332" t="str">
            <v>百草味 坚果零食礼盒迎福礼 1005G</v>
          </cell>
          <cell r="D3332">
            <v>4</v>
          </cell>
          <cell r="E3332">
            <v>95.59</v>
          </cell>
          <cell r="F3332">
            <v>27.004175</v>
          </cell>
        </row>
        <row r="3333">
          <cell r="B3333" t="str">
            <v>70555905</v>
          </cell>
          <cell r="C3333" t="str">
            <v>盐津铺子 素大牛排(黑椒味) 18G</v>
          </cell>
          <cell r="D3333">
            <v>3517</v>
          </cell>
          <cell r="E3333">
            <v>2339.9899999999998</v>
          </cell>
          <cell r="F3333">
            <v>0.75183073642308795</v>
          </cell>
        </row>
        <row r="3334">
          <cell r="B3334" t="str">
            <v>70556426</v>
          </cell>
          <cell r="C3334" t="str">
            <v>煌记 香港榛子巧克力礼盒 480G</v>
          </cell>
          <cell r="D3334">
            <v>2</v>
          </cell>
          <cell r="E3334">
            <v>59.3</v>
          </cell>
          <cell r="F3334">
            <v>33.5045</v>
          </cell>
        </row>
        <row r="3335">
          <cell r="B3335" t="str">
            <v>70556430</v>
          </cell>
          <cell r="C3335" t="str">
            <v>芝麻官 兰花豆五香 108G</v>
          </cell>
          <cell r="D3335">
            <v>29</v>
          </cell>
          <cell r="E3335">
            <v>89.8</v>
          </cell>
          <cell r="F3335">
            <v>3.4991034482758598</v>
          </cell>
        </row>
        <row r="3336">
          <cell r="B3336" t="str">
            <v>70556494</v>
          </cell>
          <cell r="C3336" t="str">
            <v>辣媳妇 山椒凤爪 125G</v>
          </cell>
          <cell r="D3336">
            <v>1</v>
          </cell>
          <cell r="E3336">
            <v>8.16</v>
          </cell>
          <cell r="F3336">
            <v>9.2208000000000006</v>
          </cell>
        </row>
        <row r="3337">
          <cell r="B3337" t="str">
            <v>70556504</v>
          </cell>
          <cell r="C3337" t="str">
            <v>辣媳妇 山椒笨鸡棒 165G</v>
          </cell>
          <cell r="D3337">
            <v>0</v>
          </cell>
          <cell r="E3337">
            <v>0</v>
          </cell>
          <cell r="F3337" t="e">
            <v>#DIV/0!</v>
          </cell>
        </row>
        <row r="3338">
          <cell r="B3338" t="str">
            <v>70556515</v>
          </cell>
          <cell r="C3338" t="str">
            <v>辣媳妇 山椒脆骨 65G</v>
          </cell>
          <cell r="D3338">
            <v>11</v>
          </cell>
          <cell r="E3338">
            <v>52.03</v>
          </cell>
          <cell r="F3338">
            <v>5.3449</v>
          </cell>
        </row>
        <row r="3339">
          <cell r="B3339" t="str">
            <v>70556526</v>
          </cell>
          <cell r="C3339" t="str">
            <v>辣媳妇 爆椒凤爪 108G</v>
          </cell>
          <cell r="D3339">
            <v>15</v>
          </cell>
          <cell r="E3339">
            <v>135.30000000000001</v>
          </cell>
          <cell r="F3339">
            <v>10.192600000000001</v>
          </cell>
        </row>
        <row r="3340">
          <cell r="B3340" t="str">
            <v>70556529</v>
          </cell>
          <cell r="C3340" t="str">
            <v>随园 五香花生 200G</v>
          </cell>
          <cell r="D3340">
            <v>0</v>
          </cell>
          <cell r="E3340">
            <v>0</v>
          </cell>
          <cell r="F3340" t="e">
            <v>#DIV/0!</v>
          </cell>
        </row>
        <row r="3341">
          <cell r="B3341" t="str">
            <v>70556538</v>
          </cell>
          <cell r="C3341" t="str">
            <v>辣媳妇 烧烤脆骨 60G</v>
          </cell>
          <cell r="D3341">
            <v>19</v>
          </cell>
          <cell r="E3341">
            <v>89.8</v>
          </cell>
          <cell r="F3341">
            <v>5.3407368421052599</v>
          </cell>
        </row>
        <row r="3342">
          <cell r="B3342" t="str">
            <v>70556550</v>
          </cell>
          <cell r="C3342" t="str">
            <v>辣媳妇 虎皮肉卷香辣味 105G</v>
          </cell>
          <cell r="D3342">
            <v>78</v>
          </cell>
          <cell r="E3342">
            <v>692.28</v>
          </cell>
          <cell r="F3342">
            <v>10.029184615384599</v>
          </cell>
        </row>
        <row r="3343">
          <cell r="B3343" t="str">
            <v>70556560</v>
          </cell>
          <cell r="C3343" t="str">
            <v>辣媳妇 24G虎皮肉卷卤香味 24G</v>
          </cell>
          <cell r="D3343">
            <v>34</v>
          </cell>
          <cell r="E3343">
            <v>47.25</v>
          </cell>
          <cell r="F3343">
            <v>1.5703676470588199</v>
          </cell>
        </row>
        <row r="3344">
          <cell r="B3344" t="str">
            <v>70556586</v>
          </cell>
          <cell r="C3344" t="str">
            <v>西域皇后 手工奶疙瘩 500G</v>
          </cell>
          <cell r="D3344">
            <v>80</v>
          </cell>
          <cell r="E3344">
            <v>1722.15</v>
          </cell>
          <cell r="F3344">
            <v>24.325368749999999</v>
          </cell>
        </row>
        <row r="3345">
          <cell r="B3345" t="str">
            <v>70556590</v>
          </cell>
          <cell r="C3345" t="str">
            <v>辣媳妇 虎皮肉卷香辣味 24G</v>
          </cell>
          <cell r="D3345">
            <v>54</v>
          </cell>
          <cell r="E3345">
            <v>74.13</v>
          </cell>
          <cell r="F3345">
            <v>1.5512388888888899</v>
          </cell>
        </row>
        <row r="3346">
          <cell r="B3346" t="str">
            <v>70556622</v>
          </cell>
          <cell r="C3346" t="str">
            <v>东江清水 脆骨鱼仔香辣 90G</v>
          </cell>
          <cell r="D3346">
            <v>4</v>
          </cell>
          <cell r="E3346">
            <v>32.24</v>
          </cell>
          <cell r="F3346">
            <v>9.1077999999999992</v>
          </cell>
        </row>
        <row r="3347">
          <cell r="B3347" t="str">
            <v>70556635</v>
          </cell>
          <cell r="C3347" t="str">
            <v>东江清水 脆骨鱼仔泡椒 90G</v>
          </cell>
          <cell r="D3347">
            <v>2</v>
          </cell>
          <cell r="E3347">
            <v>16.12</v>
          </cell>
          <cell r="F3347">
            <v>9.1077999999999992</v>
          </cell>
        </row>
        <row r="3348">
          <cell r="B3348" t="str">
            <v>70556639</v>
          </cell>
          <cell r="C3348" t="str">
            <v>老炒坊 1号瓜子 150G</v>
          </cell>
          <cell r="D3348">
            <v>10</v>
          </cell>
          <cell r="E3348">
            <v>62</v>
          </cell>
          <cell r="F3348">
            <v>7.0060000000000002</v>
          </cell>
        </row>
        <row r="3349">
          <cell r="B3349" t="str">
            <v>70556647</v>
          </cell>
          <cell r="C3349" t="str">
            <v>东江清水 脆骨鱼仔香辣 13G</v>
          </cell>
          <cell r="D3349">
            <v>9</v>
          </cell>
          <cell r="E3349">
            <v>8.3699999999999992</v>
          </cell>
          <cell r="F3349">
            <v>1.0508999999999999</v>
          </cell>
        </row>
        <row r="3350">
          <cell r="B3350" t="str">
            <v>70556651</v>
          </cell>
          <cell r="C3350" t="str">
            <v>老炒坊 礼盒铁罐特级葵花子 180G</v>
          </cell>
          <cell r="D3350">
            <v>5</v>
          </cell>
          <cell r="E3350">
            <v>79.650000000000006</v>
          </cell>
          <cell r="F3350">
            <v>18.000900000000001</v>
          </cell>
        </row>
        <row r="3351">
          <cell r="B3351" t="str">
            <v>70556658</v>
          </cell>
          <cell r="C3351" t="str">
            <v>东江清水 戏鱼酱汁味 80G</v>
          </cell>
          <cell r="D3351">
            <v>33</v>
          </cell>
          <cell r="E3351">
            <v>262.89999999999998</v>
          </cell>
          <cell r="F3351">
            <v>9.0023333333333309</v>
          </cell>
        </row>
        <row r="3352">
          <cell r="B3352" t="str">
            <v>70556660</v>
          </cell>
          <cell r="C3352" t="str">
            <v>老炒坊 礼盒铁罐特级卤味南瓜子 180G</v>
          </cell>
          <cell r="D3352">
            <v>3</v>
          </cell>
          <cell r="E3352">
            <v>47.79</v>
          </cell>
          <cell r="F3352">
            <v>18.000900000000001</v>
          </cell>
        </row>
        <row r="3353">
          <cell r="B3353" t="str">
            <v>70556675</v>
          </cell>
          <cell r="C3353" t="str">
            <v>东江清水 小鱼仔香辣味 60G</v>
          </cell>
          <cell r="D3353">
            <v>0</v>
          </cell>
          <cell r="E3353">
            <v>0</v>
          </cell>
          <cell r="F3353" t="e">
            <v>#DIV/0!</v>
          </cell>
        </row>
        <row r="3354">
          <cell r="B3354" t="str">
            <v>70556677</v>
          </cell>
          <cell r="C3354" t="str">
            <v>老炒坊 五香红瓜子 128G</v>
          </cell>
          <cell r="D3354">
            <v>22</v>
          </cell>
          <cell r="E3354">
            <v>136.30000000000001</v>
          </cell>
          <cell r="F3354">
            <v>7.0008636363636398</v>
          </cell>
        </row>
        <row r="3355">
          <cell r="B3355" t="str">
            <v>70556683</v>
          </cell>
          <cell r="C3355" t="str">
            <v>东江清水 蟹柳香辣味 60G</v>
          </cell>
          <cell r="D3355">
            <v>15</v>
          </cell>
          <cell r="E3355">
            <v>93</v>
          </cell>
          <cell r="F3355">
            <v>7.0060000000000002</v>
          </cell>
        </row>
        <row r="3356">
          <cell r="B3356" t="str">
            <v>70556685</v>
          </cell>
          <cell r="C3356" t="str">
            <v>老炒坊 大美甲茶香味南瓜子 128G</v>
          </cell>
          <cell r="D3356">
            <v>7</v>
          </cell>
          <cell r="E3356">
            <v>43.39</v>
          </cell>
          <cell r="F3356">
            <v>7.0043857142857098</v>
          </cell>
        </row>
        <row r="3357">
          <cell r="B3357" t="str">
            <v>70556691</v>
          </cell>
          <cell r="C3357" t="str">
            <v>东江清水 茶油香辣味山珍鱿鱼 60G</v>
          </cell>
          <cell r="D3357">
            <v>0</v>
          </cell>
          <cell r="E3357">
            <v>0</v>
          </cell>
          <cell r="F3357" t="e">
            <v>#DIV/0!</v>
          </cell>
        </row>
        <row r="3358">
          <cell r="B3358" t="str">
            <v>70556699</v>
          </cell>
          <cell r="C3358" t="str">
            <v>卿的味道 老卤柴火片干香辣 158G</v>
          </cell>
          <cell r="D3358">
            <v>24</v>
          </cell>
          <cell r="E3358">
            <v>175.24</v>
          </cell>
          <cell r="F3358">
            <v>8.2508833333333307</v>
          </cell>
        </row>
        <row r="3359">
          <cell r="B3359" t="str">
            <v>70556701</v>
          </cell>
          <cell r="C3359" t="str">
            <v>金语 浪漫之旅什锦礼盒 415G</v>
          </cell>
          <cell r="D3359">
            <v>2</v>
          </cell>
          <cell r="E3359">
            <v>70.62</v>
          </cell>
          <cell r="F3359">
            <v>39.900300000000001</v>
          </cell>
        </row>
        <row r="3360">
          <cell r="B3360" t="str">
            <v>70556706</v>
          </cell>
          <cell r="C3360" t="str">
            <v>卿的味道 老卤酱方干原味 158G</v>
          </cell>
          <cell r="D3360">
            <v>3</v>
          </cell>
          <cell r="E3360">
            <v>21.91</v>
          </cell>
          <cell r="F3360">
            <v>8.2527666666666697</v>
          </cell>
        </row>
        <row r="3361">
          <cell r="B3361" t="str">
            <v>70556713</v>
          </cell>
          <cell r="C3361" t="str">
            <v>卿的味道 老卤酱方干香辣 158G</v>
          </cell>
          <cell r="D3361">
            <v>11</v>
          </cell>
          <cell r="E3361">
            <v>80.33</v>
          </cell>
          <cell r="F3361">
            <v>8.2520818181818196</v>
          </cell>
        </row>
        <row r="3362">
          <cell r="B3362" t="str">
            <v>70556729</v>
          </cell>
          <cell r="C3362" t="str">
            <v>金语 燕窝雪耳 660G</v>
          </cell>
          <cell r="D3362">
            <v>4</v>
          </cell>
          <cell r="E3362">
            <v>127.44</v>
          </cell>
          <cell r="F3362">
            <v>36.001800000000003</v>
          </cell>
        </row>
        <row r="3363">
          <cell r="B3363" t="str">
            <v>70556733</v>
          </cell>
          <cell r="C3363" t="str">
            <v>金语 蔓越莓花生牛轧糖暴富 350G</v>
          </cell>
          <cell r="D3363">
            <v>0</v>
          </cell>
          <cell r="E3363">
            <v>0</v>
          </cell>
          <cell r="F3363" t="e">
            <v>#DIV/0!</v>
          </cell>
        </row>
        <row r="3364">
          <cell r="B3364" t="str">
            <v>70556780</v>
          </cell>
          <cell r="C3364" t="str">
            <v>西域皇后 新疆烤奶皮 100G</v>
          </cell>
          <cell r="D3364">
            <v>80</v>
          </cell>
          <cell r="E3364">
            <v>1666.15</v>
          </cell>
          <cell r="F3364">
            <v>23.534368749999999</v>
          </cell>
        </row>
        <row r="3365">
          <cell r="B3365" t="str">
            <v>70556781</v>
          </cell>
          <cell r="C3365" t="str">
            <v>果满天山 蟠桃干 200G</v>
          </cell>
          <cell r="D3365">
            <v>17</v>
          </cell>
          <cell r="E3365">
            <v>210</v>
          </cell>
          <cell r="F3365">
            <v>13.9588235294118</v>
          </cell>
        </row>
        <row r="3366">
          <cell r="B3366" t="str">
            <v>70556782</v>
          </cell>
          <cell r="C3366" t="str">
            <v>果满天山 乌酸梅 308G</v>
          </cell>
          <cell r="D3366">
            <v>181</v>
          </cell>
          <cell r="E3366">
            <v>1101.92</v>
          </cell>
          <cell r="F3366">
            <v>6.8793900552486198</v>
          </cell>
        </row>
        <row r="3367">
          <cell r="B3367" t="str">
            <v>70556783</v>
          </cell>
          <cell r="C3367" t="str">
            <v>果满天山 伊犁樱桃李果 308G</v>
          </cell>
          <cell r="D3367">
            <v>0</v>
          </cell>
          <cell r="E3367">
            <v>0</v>
          </cell>
          <cell r="F3367" t="e">
            <v>#DIV/0!</v>
          </cell>
        </row>
        <row r="3368">
          <cell r="B3368" t="str">
            <v>70556789</v>
          </cell>
          <cell r="C3368" t="str">
            <v>加减乘除 香蕉片 125G</v>
          </cell>
          <cell r="D3368">
            <v>1</v>
          </cell>
          <cell r="E3368">
            <v>6.48</v>
          </cell>
          <cell r="F3368">
            <v>7.3224</v>
          </cell>
        </row>
        <row r="3369">
          <cell r="B3369" t="str">
            <v>70556790</v>
          </cell>
          <cell r="C3369" t="str">
            <v>加减乘除 解馋零食香辣皮皮虾 50G</v>
          </cell>
          <cell r="D3369">
            <v>27</v>
          </cell>
          <cell r="E3369">
            <v>118.62</v>
          </cell>
          <cell r="F3369">
            <v>4.9644666666666701</v>
          </cell>
        </row>
        <row r="3370">
          <cell r="B3370" t="str">
            <v>70556791</v>
          </cell>
          <cell r="C3370" t="str">
            <v>加减乘除 解馋零食泥鳅鱼 48G</v>
          </cell>
          <cell r="D3370">
            <v>10</v>
          </cell>
          <cell r="E3370">
            <v>43.72</v>
          </cell>
          <cell r="F3370">
            <v>4.9403600000000001</v>
          </cell>
        </row>
        <row r="3371">
          <cell r="B3371" t="str">
            <v>70556792</v>
          </cell>
          <cell r="C3371" t="str">
            <v>可汁可滋 即食黑椒牛肉扒 35G</v>
          </cell>
          <cell r="D3371">
            <v>6</v>
          </cell>
          <cell r="E3371">
            <v>7.82</v>
          </cell>
          <cell r="F3371">
            <v>1.4727666666666701</v>
          </cell>
        </row>
        <row r="3372">
          <cell r="B3372" t="str">
            <v>70556793</v>
          </cell>
          <cell r="C3372" t="str">
            <v>可汁可滋 即食奥尔良鸡肉扒 35G</v>
          </cell>
          <cell r="D3372">
            <v>8</v>
          </cell>
          <cell r="E3372">
            <v>21.2</v>
          </cell>
          <cell r="F3372">
            <v>2.9944999999999999</v>
          </cell>
        </row>
        <row r="3373">
          <cell r="B3373" t="str">
            <v>70556794</v>
          </cell>
          <cell r="C3373" t="str">
            <v>可汁可滋 即食原味牛肉扒 35G</v>
          </cell>
          <cell r="D3373">
            <v>0</v>
          </cell>
          <cell r="E3373">
            <v>0</v>
          </cell>
          <cell r="F3373" t="e">
            <v>#DIV/0!</v>
          </cell>
        </row>
        <row r="3374">
          <cell r="B3374" t="str">
            <v>70556795</v>
          </cell>
          <cell r="C3374" t="str">
            <v>可汁可滋 即食香辣猪肉扒 35G</v>
          </cell>
          <cell r="D3374">
            <v>0</v>
          </cell>
          <cell r="E3374">
            <v>0</v>
          </cell>
          <cell r="F3374" t="e">
            <v>#DIV/0!</v>
          </cell>
        </row>
        <row r="3375">
          <cell r="B3375" t="str">
            <v>70556802</v>
          </cell>
          <cell r="C3375" t="str">
            <v>徽记 焦糖味瓜子 220G</v>
          </cell>
          <cell r="D3375">
            <v>12</v>
          </cell>
          <cell r="E3375">
            <v>88.92</v>
          </cell>
          <cell r="F3375">
            <v>8.3733000000000004</v>
          </cell>
        </row>
        <row r="3376">
          <cell r="B3376" t="str">
            <v>70556803</v>
          </cell>
          <cell r="C3376" t="str">
            <v>徽记 山核桃味瓜子 220G</v>
          </cell>
          <cell r="D3376">
            <v>16</v>
          </cell>
          <cell r="E3376">
            <v>118.56</v>
          </cell>
          <cell r="F3376">
            <v>8.3733000000000004</v>
          </cell>
        </row>
        <row r="3377">
          <cell r="B3377" t="str">
            <v>70556804</v>
          </cell>
          <cell r="C3377" t="str">
            <v>徽记 白桃味瓜子 220G</v>
          </cell>
          <cell r="D3377">
            <v>15</v>
          </cell>
          <cell r="E3377">
            <v>111.15</v>
          </cell>
          <cell r="F3377">
            <v>8.3733000000000004</v>
          </cell>
        </row>
        <row r="3378">
          <cell r="B3378" t="str">
            <v>70556805</v>
          </cell>
          <cell r="C3378" t="str">
            <v>辣媳妇 爆椒脆骨 90G</v>
          </cell>
          <cell r="D3378">
            <v>7</v>
          </cell>
          <cell r="E3378">
            <v>62.97</v>
          </cell>
          <cell r="F3378">
            <v>10.165157142857099</v>
          </cell>
        </row>
        <row r="3379">
          <cell r="B3379" t="str">
            <v>70556806</v>
          </cell>
          <cell r="C3379" t="str">
            <v>辣媳妇 爆椒脆肚 120G</v>
          </cell>
          <cell r="D3379">
            <v>20</v>
          </cell>
          <cell r="E3379">
            <v>178.59</v>
          </cell>
          <cell r="F3379">
            <v>10.090335</v>
          </cell>
        </row>
        <row r="3380">
          <cell r="B3380" t="str">
            <v>70556807</v>
          </cell>
          <cell r="C3380" t="str">
            <v>啃馋你 麻辣风干鸭脖 60G</v>
          </cell>
          <cell r="D3380">
            <v>15</v>
          </cell>
          <cell r="E3380">
            <v>92.7</v>
          </cell>
          <cell r="F3380">
            <v>6.9833999999999996</v>
          </cell>
        </row>
        <row r="3381">
          <cell r="B3381" t="str">
            <v>70556808</v>
          </cell>
          <cell r="C3381" t="str">
            <v>啃馋你 微辣风干鸭脖 60G</v>
          </cell>
          <cell r="D3381">
            <v>4</v>
          </cell>
          <cell r="E3381">
            <v>24.72</v>
          </cell>
          <cell r="F3381">
            <v>6.9833999999999996</v>
          </cell>
        </row>
        <row r="3382">
          <cell r="B3382" t="str">
            <v>70556813</v>
          </cell>
          <cell r="C3382" t="str">
            <v>好丽友 呀土豆泡菜味 70G</v>
          </cell>
          <cell r="D3382">
            <v>1165</v>
          </cell>
          <cell r="E3382">
            <v>4566.28</v>
          </cell>
          <cell r="F3382">
            <v>4.4290956223176003</v>
          </cell>
        </row>
        <row r="3383">
          <cell r="B3383" t="str">
            <v>70556815</v>
          </cell>
          <cell r="C3383" t="str">
            <v>拾光悠味 九千丝 92G</v>
          </cell>
          <cell r="D3383">
            <v>31</v>
          </cell>
          <cell r="E3383">
            <v>101.62</v>
          </cell>
          <cell r="F3383">
            <v>3.7042129032258102</v>
          </cell>
        </row>
        <row r="3384">
          <cell r="B3384" t="str">
            <v>70556816</v>
          </cell>
          <cell r="C3384" t="str">
            <v>拾光悠味 财迷片 92G</v>
          </cell>
          <cell r="D3384">
            <v>63</v>
          </cell>
          <cell r="E3384">
            <v>206.49</v>
          </cell>
          <cell r="F3384">
            <v>3.7037095238095201</v>
          </cell>
        </row>
        <row r="3385">
          <cell r="B3385" t="str">
            <v>70556817</v>
          </cell>
          <cell r="C3385" t="str">
            <v>拾光悠味 香辣棒 92G</v>
          </cell>
          <cell r="D3385">
            <v>66</v>
          </cell>
          <cell r="E3385">
            <v>216.37</v>
          </cell>
          <cell r="F3385">
            <v>3.7045166666666698</v>
          </cell>
        </row>
        <row r="3386">
          <cell r="B3386" t="str">
            <v>70556818</v>
          </cell>
          <cell r="C3386" t="str">
            <v>宏民 老式大辣片 150G</v>
          </cell>
          <cell r="D3386">
            <v>276</v>
          </cell>
          <cell r="E3386">
            <v>1417.56</v>
          </cell>
          <cell r="F3386">
            <v>5.8037782608695601</v>
          </cell>
        </row>
        <row r="3387">
          <cell r="B3387" t="str">
            <v>70556819</v>
          </cell>
          <cell r="C3387" t="str">
            <v>侯氏 麻花麻辣味 100G</v>
          </cell>
          <cell r="D3387">
            <v>52</v>
          </cell>
          <cell r="E3387">
            <v>230.27</v>
          </cell>
          <cell r="F3387">
            <v>5.0039442307692301</v>
          </cell>
        </row>
        <row r="3388">
          <cell r="B3388" t="str">
            <v>70556820</v>
          </cell>
          <cell r="C3388" t="str">
            <v>侯氏 麻花咸酥口味 100G</v>
          </cell>
          <cell r="D3388">
            <v>1</v>
          </cell>
          <cell r="E3388">
            <v>4.43</v>
          </cell>
          <cell r="F3388">
            <v>5.0058999999999996</v>
          </cell>
        </row>
        <row r="3389">
          <cell r="B3389" t="str">
            <v>70556821</v>
          </cell>
          <cell r="C3389" t="str">
            <v>西域皇后 爆浆酸奶 500G</v>
          </cell>
          <cell r="D3389">
            <v>135</v>
          </cell>
          <cell r="E3389">
            <v>1318.18</v>
          </cell>
          <cell r="F3389">
            <v>11.033654814814801</v>
          </cell>
        </row>
        <row r="3390">
          <cell r="B3390" t="str">
            <v>70556822</v>
          </cell>
          <cell r="C3390" t="str">
            <v>加减乘除 解馋零食香辣蟹 60G</v>
          </cell>
          <cell r="D3390">
            <v>10</v>
          </cell>
          <cell r="E3390">
            <v>43.74</v>
          </cell>
          <cell r="F3390">
            <v>4.9426199999999998</v>
          </cell>
        </row>
        <row r="3391">
          <cell r="B3391" t="str">
            <v>70556823</v>
          </cell>
          <cell r="C3391" t="str">
            <v>东江清水 茶油香辣味脆骨脆 60G</v>
          </cell>
          <cell r="D3391">
            <v>0</v>
          </cell>
          <cell r="E3391">
            <v>0</v>
          </cell>
          <cell r="F3391" t="e">
            <v>#DIV/0!</v>
          </cell>
        </row>
        <row r="3392">
          <cell r="B3392" t="str">
            <v>70556824</v>
          </cell>
          <cell r="C3392" t="str">
            <v>东江清水 茶油香辣味脆骨鱿鱼 60G</v>
          </cell>
          <cell r="D3392">
            <v>0</v>
          </cell>
          <cell r="E3392">
            <v>0</v>
          </cell>
          <cell r="F3392" t="e">
            <v>#DIV/0!</v>
          </cell>
        </row>
        <row r="3393">
          <cell r="B3393" t="str">
            <v>70556828</v>
          </cell>
          <cell r="C3393" t="str">
            <v>CODEX 鸿运来松露礼盒 500G</v>
          </cell>
          <cell r="D3393">
            <v>0</v>
          </cell>
          <cell r="E3393">
            <v>0</v>
          </cell>
          <cell r="F3393" t="e">
            <v>#DIV/0!</v>
          </cell>
        </row>
        <row r="3394">
          <cell r="B3394" t="str">
            <v>70556834</v>
          </cell>
          <cell r="C3394" t="str">
            <v>煌记 香港全家桶0蔗糖组合 572G</v>
          </cell>
          <cell r="D3394">
            <v>0</v>
          </cell>
          <cell r="E3394">
            <v>0</v>
          </cell>
          <cell r="F3394" t="e">
            <v>#DIV/0!</v>
          </cell>
        </row>
        <row r="3395">
          <cell r="B3395" t="str">
            <v>70556836</v>
          </cell>
          <cell r="C3395" t="str">
            <v>煌记 香港食运亨通-什锦饼干礼盒 643G</v>
          </cell>
          <cell r="D3395">
            <v>7</v>
          </cell>
          <cell r="E3395">
            <v>305.39999999999998</v>
          </cell>
          <cell r="F3395">
            <v>49.3002857142857</v>
          </cell>
        </row>
        <row r="3396">
          <cell r="B3396" t="str">
            <v>70556837</v>
          </cell>
          <cell r="C3396" t="str">
            <v>煌记 香港年福盈门-臻品礼盒糕点、饼干 832G</v>
          </cell>
          <cell r="D3396">
            <v>402</v>
          </cell>
          <cell r="E3396">
            <v>32851.49</v>
          </cell>
          <cell r="F3396">
            <v>92.343740547263707</v>
          </cell>
        </row>
        <row r="3397">
          <cell r="B3397" t="str">
            <v>70556838</v>
          </cell>
          <cell r="C3397" t="str">
            <v>徽记 瓜子礼包 1.292KG</v>
          </cell>
          <cell r="D3397">
            <v>3</v>
          </cell>
          <cell r="E3397">
            <v>163.01</v>
          </cell>
          <cell r="F3397">
            <v>61.400433333333297</v>
          </cell>
        </row>
        <row r="3398">
          <cell r="B3398" t="str">
            <v>70556846</v>
          </cell>
          <cell r="C3398" t="str">
            <v>芝麻官 花豆香辣 108G</v>
          </cell>
          <cell r="D3398">
            <v>50</v>
          </cell>
          <cell r="E3398">
            <v>156.02000000000001</v>
          </cell>
          <cell r="F3398">
            <v>3.526052</v>
          </cell>
        </row>
        <row r="3399">
          <cell r="B3399" t="str">
            <v>70556849</v>
          </cell>
          <cell r="C3399" t="str">
            <v>好丽友 高纤坚果棒蔓越莓酸奶味 30克</v>
          </cell>
          <cell r="D3399">
            <v>2621</v>
          </cell>
          <cell r="E3399">
            <v>9317.64</v>
          </cell>
          <cell r="F3399">
            <v>4.0171435330026704</v>
          </cell>
        </row>
        <row r="3400">
          <cell r="B3400" t="str">
            <v>70556850</v>
          </cell>
          <cell r="C3400" t="str">
            <v>好丽友 能量坚果棒原香坚果味 30克</v>
          </cell>
          <cell r="D3400">
            <v>2454</v>
          </cell>
          <cell r="E3400">
            <v>8720.73</v>
          </cell>
          <cell r="F3400">
            <v>4.0156580684596603</v>
          </cell>
        </row>
        <row r="3401">
          <cell r="B3401" t="str">
            <v>70556851</v>
          </cell>
          <cell r="C3401" t="str">
            <v>好丽友 高蛋白坚果棒太妃坚果味 30克</v>
          </cell>
          <cell r="D3401">
            <v>2462</v>
          </cell>
          <cell r="E3401">
            <v>8753.7099999999991</v>
          </cell>
          <cell r="F3401">
            <v>4.0177466693744899</v>
          </cell>
        </row>
        <row r="3402">
          <cell r="B3402" t="str">
            <v>70556868</v>
          </cell>
          <cell r="C3402" t="str">
            <v>甘甘说 土豆片麻辣味 120G</v>
          </cell>
          <cell r="D3402">
            <v>0</v>
          </cell>
          <cell r="E3402">
            <v>0</v>
          </cell>
          <cell r="F3402" t="e">
            <v>#DIV/0!</v>
          </cell>
        </row>
        <row r="3403">
          <cell r="B3403" t="str">
            <v>70556869</v>
          </cell>
          <cell r="C3403" t="str">
            <v>甘甘说 土豆片麻辣味 75G</v>
          </cell>
          <cell r="D3403">
            <v>4</v>
          </cell>
          <cell r="E3403">
            <v>17.420000000000002</v>
          </cell>
          <cell r="F3403">
            <v>4.9211499999999999</v>
          </cell>
        </row>
        <row r="3404">
          <cell r="B3404" t="str">
            <v>70556949</v>
          </cell>
          <cell r="C3404" t="str">
            <v>椒骄 多味粉丝 116G</v>
          </cell>
          <cell r="D3404">
            <v>0</v>
          </cell>
          <cell r="E3404">
            <v>0</v>
          </cell>
          <cell r="F3404" t="e">
            <v>#DIV/0!</v>
          </cell>
        </row>
        <row r="3405">
          <cell r="B3405" t="str">
            <v>70556951</v>
          </cell>
          <cell r="C3405" t="str">
            <v>椒骄 素牛筋 85G</v>
          </cell>
          <cell r="D3405">
            <v>0</v>
          </cell>
          <cell r="E3405">
            <v>0</v>
          </cell>
          <cell r="F3405" t="e">
            <v>#DIV/0!</v>
          </cell>
        </row>
        <row r="3406">
          <cell r="B3406" t="str">
            <v>70558007</v>
          </cell>
          <cell r="C3406" t="str">
            <v>劲仔 深海小鱼烧烤味 12G/袋</v>
          </cell>
          <cell r="D3406">
            <v>4442</v>
          </cell>
          <cell r="E3406">
            <v>4399.8</v>
          </cell>
          <cell r="F3406">
            <v>1.1192647456100899</v>
          </cell>
        </row>
        <row r="3407">
          <cell r="B3407" t="str">
            <v>70558900</v>
          </cell>
          <cell r="C3407" t="str">
            <v>开心熊猫 马牙瓜子 105G</v>
          </cell>
          <cell r="D3407">
            <v>2</v>
          </cell>
          <cell r="E3407">
            <v>12.96</v>
          </cell>
          <cell r="F3407">
            <v>7.3224</v>
          </cell>
        </row>
        <row r="3408">
          <cell r="B3408" t="str">
            <v>70558959</v>
          </cell>
          <cell r="C3408" t="str">
            <v>甘源 好味到家 825G</v>
          </cell>
          <cell r="D3408">
            <v>316</v>
          </cell>
          <cell r="E3408">
            <v>17504.349999999999</v>
          </cell>
          <cell r="F3408">
            <v>62.594669303797502</v>
          </cell>
        </row>
        <row r="3409">
          <cell r="B3409" t="str">
            <v>70559070</v>
          </cell>
          <cell r="C3409" t="str">
            <v>MAXICORN 奶酪味玉米片 200G</v>
          </cell>
          <cell r="D3409">
            <v>17</v>
          </cell>
          <cell r="E3409">
            <v>127.91</v>
          </cell>
          <cell r="F3409">
            <v>8.5022529411764705</v>
          </cell>
        </row>
        <row r="3410">
          <cell r="B3410" t="str">
            <v>70559071</v>
          </cell>
          <cell r="C3410" t="str">
            <v>MAXICORN 烧烤味玉米片 140G</v>
          </cell>
          <cell r="D3410">
            <v>19</v>
          </cell>
          <cell r="E3410">
            <v>143.44</v>
          </cell>
          <cell r="F3410">
            <v>8.5309052631578908</v>
          </cell>
        </row>
        <row r="3411">
          <cell r="B3411" t="str">
            <v>70559072</v>
          </cell>
          <cell r="C3411" t="str">
            <v>MAXICORN 原味玉米片 140G</v>
          </cell>
          <cell r="D3411">
            <v>34</v>
          </cell>
          <cell r="E3411">
            <v>259.77999999999997</v>
          </cell>
          <cell r="F3411">
            <v>8.6338647058823508</v>
          </cell>
        </row>
        <row r="3412">
          <cell r="B3412" t="str">
            <v>70559154</v>
          </cell>
          <cell r="C3412" t="str">
            <v>卫龙 魔芋爽香辣味 （15+3）g</v>
          </cell>
          <cell r="D3412">
            <v>7021</v>
          </cell>
          <cell r="E3412">
            <v>4495.32</v>
          </cell>
          <cell r="F3412">
            <v>0.72350257798034501</v>
          </cell>
        </row>
        <row r="3413">
          <cell r="B3413" t="str">
            <v>70559856</v>
          </cell>
          <cell r="C3413" t="str">
            <v>双汇 卤鸡琵琶腿(原味) 80g</v>
          </cell>
          <cell r="D3413">
            <v>4</v>
          </cell>
          <cell r="E3413">
            <v>15.63</v>
          </cell>
          <cell r="F3413">
            <v>4.4154749999999998</v>
          </cell>
        </row>
        <row r="3414">
          <cell r="B3414" t="str">
            <v>70560125</v>
          </cell>
          <cell r="C3414" t="str">
            <v>上好佳 番茄薯条 70G</v>
          </cell>
          <cell r="D3414">
            <v>1</v>
          </cell>
          <cell r="E3414">
            <v>4.25</v>
          </cell>
          <cell r="F3414">
            <v>4.8025000000000002</v>
          </cell>
        </row>
        <row r="3415">
          <cell r="B3415" t="str">
            <v>70560378</v>
          </cell>
          <cell r="C3415" t="str">
            <v>香之派 手撕肉干(香辣味) 15G</v>
          </cell>
          <cell r="D3415">
            <v>2295</v>
          </cell>
          <cell r="E3415">
            <v>2984.9</v>
          </cell>
          <cell r="F3415">
            <v>1.4696893246187399</v>
          </cell>
        </row>
        <row r="3416">
          <cell r="B3416" t="str">
            <v>70560943</v>
          </cell>
          <cell r="C3416" t="str">
            <v>卤门家族 手剥笋老汤味 230G/袋</v>
          </cell>
          <cell r="D3416">
            <v>1</v>
          </cell>
          <cell r="E3416">
            <v>7.53</v>
          </cell>
          <cell r="F3416">
            <v>8.5089000000000006</v>
          </cell>
        </row>
        <row r="3417">
          <cell r="B3417" t="str">
            <v>70560951</v>
          </cell>
          <cell r="C3417" t="str">
            <v>卤门家族 贡菜魔芋（香辣味） 15G</v>
          </cell>
          <cell r="D3417">
            <v>65</v>
          </cell>
          <cell r="E3417">
            <v>83.64</v>
          </cell>
          <cell r="F3417">
            <v>1.4540492307692301</v>
          </cell>
        </row>
        <row r="3418">
          <cell r="B3418" t="str">
            <v>70560958</v>
          </cell>
          <cell r="C3418" t="str">
            <v>卤门家族 贡菜魔芋（酸辣味） 15G</v>
          </cell>
          <cell r="D3418">
            <v>105</v>
          </cell>
          <cell r="E3418">
            <v>134.97</v>
          </cell>
          <cell r="F3418">
            <v>1.45253428571429</v>
          </cell>
        </row>
        <row r="3419">
          <cell r="B3419" t="str">
            <v>70561026</v>
          </cell>
          <cell r="C3419" t="str">
            <v>卫龙 魔芋爽 18G</v>
          </cell>
          <cell r="D3419">
            <v>973</v>
          </cell>
          <cell r="E3419">
            <v>788.75</v>
          </cell>
          <cell r="F3419">
            <v>0.91602004110996904</v>
          </cell>
        </row>
        <row r="3420">
          <cell r="B3420" t="str">
            <v>70562806</v>
          </cell>
          <cell r="C3420" t="str">
            <v>红谷林 黑麦小石子饼（麻辣味） 90G/袋</v>
          </cell>
          <cell r="D3420">
            <v>21</v>
          </cell>
          <cell r="E3420">
            <v>68.819999999999993</v>
          </cell>
          <cell r="F3420">
            <v>3.7031714285714301</v>
          </cell>
        </row>
        <row r="3421">
          <cell r="B3421" t="str">
            <v>70562904</v>
          </cell>
          <cell r="C3421" t="str">
            <v>劲仔 深海小鱼卤香味 20G</v>
          </cell>
          <cell r="D3421">
            <v>2206</v>
          </cell>
          <cell r="E3421">
            <v>3064.55</v>
          </cell>
          <cell r="F3421">
            <v>1.5697830915684501</v>
          </cell>
        </row>
        <row r="3422">
          <cell r="B3422" t="str">
            <v>70562929</v>
          </cell>
          <cell r="C3422" t="str">
            <v>红谷林 黑麦小石子饼（原味） 90G/袋</v>
          </cell>
          <cell r="D3422">
            <v>30</v>
          </cell>
          <cell r="E3422">
            <v>98.35</v>
          </cell>
          <cell r="F3422">
            <v>3.7045166666666698</v>
          </cell>
        </row>
        <row r="3423">
          <cell r="B3423" t="str">
            <v>70563719</v>
          </cell>
          <cell r="C3423" t="str">
            <v>卫龙 风吃海带香辣味辣条 15G/袋</v>
          </cell>
          <cell r="D3423">
            <v>3507</v>
          </cell>
          <cell r="E3423">
            <v>2248.21</v>
          </cell>
          <cell r="F3423">
            <v>0.72440185343598495</v>
          </cell>
        </row>
        <row r="3424">
          <cell r="B3424" t="str">
            <v>70564901</v>
          </cell>
          <cell r="C3424" t="str">
            <v>上好佳 粟米条草莓口味 60G/袋</v>
          </cell>
          <cell r="D3424">
            <v>1830</v>
          </cell>
          <cell r="E3424">
            <v>7818.16</v>
          </cell>
          <cell r="F3424">
            <v>4.82760699453552</v>
          </cell>
        </row>
        <row r="3425">
          <cell r="B3425" t="str">
            <v>70567062</v>
          </cell>
          <cell r="C3425" t="str">
            <v>盐津铺子 31°鲜虎皮鱼豆腐(周黑鸭经典风味) 18g</v>
          </cell>
          <cell r="D3425">
            <v>3437</v>
          </cell>
          <cell r="E3425">
            <v>2287.52</v>
          </cell>
          <cell r="F3425">
            <v>0.75207960430608101</v>
          </cell>
        </row>
        <row r="3426">
          <cell r="B3426" t="str">
            <v>70567303</v>
          </cell>
          <cell r="C3426" t="str">
            <v>恰疆果 每日坚果 500G</v>
          </cell>
          <cell r="D3426">
            <v>8</v>
          </cell>
          <cell r="E3426">
            <v>424.78</v>
          </cell>
          <cell r="F3426">
            <v>60.000174999999999</v>
          </cell>
        </row>
        <row r="3427">
          <cell r="B3427" t="str">
            <v>70567310</v>
          </cell>
          <cell r="C3427" t="str">
            <v>恰疆果 榴莲核桃仁 100G</v>
          </cell>
          <cell r="D3427">
            <v>6</v>
          </cell>
          <cell r="E3427">
            <v>95.58</v>
          </cell>
          <cell r="F3427">
            <v>18.000900000000001</v>
          </cell>
        </row>
        <row r="3428">
          <cell r="B3428" t="str">
            <v>70567313</v>
          </cell>
          <cell r="C3428" t="str">
            <v>恰疆果 草莓巴旦木 100G</v>
          </cell>
          <cell r="D3428">
            <v>3</v>
          </cell>
          <cell r="E3428">
            <v>47.79</v>
          </cell>
          <cell r="F3428">
            <v>18.000900000000001</v>
          </cell>
        </row>
        <row r="3429">
          <cell r="B3429" t="str">
            <v>70567314</v>
          </cell>
          <cell r="C3429" t="str">
            <v>恰疆果 酸奶巴旦木 100G</v>
          </cell>
          <cell r="D3429">
            <v>0</v>
          </cell>
          <cell r="E3429">
            <v>0</v>
          </cell>
          <cell r="F3429" t="e">
            <v>#DIV/0!</v>
          </cell>
        </row>
        <row r="3430">
          <cell r="B3430" t="str">
            <v>70574273</v>
          </cell>
          <cell r="C3430" t="str">
            <v>甘源 原烤花生 75G</v>
          </cell>
          <cell r="D3430">
            <v>15</v>
          </cell>
          <cell r="E3430">
            <v>54.05</v>
          </cell>
          <cell r="F3430">
            <v>4.0717666666666696</v>
          </cell>
        </row>
        <row r="3431">
          <cell r="B3431" t="str">
            <v>70574274</v>
          </cell>
          <cell r="C3431" t="str">
            <v>甘源 综合果仁 75G</v>
          </cell>
          <cell r="D3431">
            <v>1740</v>
          </cell>
          <cell r="E3431">
            <v>7207.98</v>
          </cell>
          <cell r="F3431">
            <v>4.6810444827586197</v>
          </cell>
        </row>
        <row r="3432">
          <cell r="B3432" t="str">
            <v>70574276</v>
          </cell>
          <cell r="C3432" t="str">
            <v>甘源 带壳奶香味花生 260G</v>
          </cell>
          <cell r="D3432">
            <v>116</v>
          </cell>
          <cell r="E3432">
            <v>1066.8599999999999</v>
          </cell>
          <cell r="F3432">
            <v>10.3926879310345</v>
          </cell>
        </row>
        <row r="3433">
          <cell r="B3433" t="str">
            <v>70574327</v>
          </cell>
          <cell r="C3433" t="str">
            <v>无穷 烤鸡翅根蜂蜜味 100G</v>
          </cell>
          <cell r="D3433">
            <v>10</v>
          </cell>
          <cell r="E3433">
            <v>180.1</v>
          </cell>
          <cell r="F3433">
            <v>20.351299999999998</v>
          </cell>
        </row>
        <row r="3434">
          <cell r="B3434" t="str">
            <v>70574428</v>
          </cell>
          <cell r="C3434" t="str">
            <v>溜溜梅 日式梅饼清新柠檬味 60G</v>
          </cell>
          <cell r="D3434">
            <v>22</v>
          </cell>
          <cell r="E3434">
            <v>130.51</v>
          </cell>
          <cell r="F3434">
            <v>6.70346818181818</v>
          </cell>
        </row>
        <row r="3435">
          <cell r="B3435" t="str">
            <v>70574848</v>
          </cell>
          <cell r="C3435" t="str">
            <v>甘源 咸蛋黄蚕豆 75G</v>
          </cell>
          <cell r="D3435">
            <v>0</v>
          </cell>
          <cell r="E3435">
            <v>0</v>
          </cell>
          <cell r="F3435" t="e">
            <v>#DIV/0!</v>
          </cell>
        </row>
        <row r="3436">
          <cell r="B3436" t="str">
            <v>70574849</v>
          </cell>
          <cell r="C3436" t="str">
            <v>甘源 黑蒜藤椒糯米锅巴 102G</v>
          </cell>
          <cell r="D3436">
            <v>705</v>
          </cell>
          <cell r="E3436">
            <v>3999.66</v>
          </cell>
          <cell r="F3436">
            <v>6.4108025531914903</v>
          </cell>
        </row>
        <row r="3437">
          <cell r="B3437" t="str">
            <v>70574850</v>
          </cell>
          <cell r="C3437" t="str">
            <v>甘源 带壳蒜香味花生 260G</v>
          </cell>
          <cell r="D3437">
            <v>161</v>
          </cell>
          <cell r="E3437">
            <v>1478.21</v>
          </cell>
          <cell r="F3437">
            <v>10.3750142857143</v>
          </cell>
        </row>
        <row r="3438">
          <cell r="B3438" t="str">
            <v>70574859</v>
          </cell>
          <cell r="C3438" t="str">
            <v>甘源 火鸡辣味虾条 70G</v>
          </cell>
          <cell r="D3438">
            <v>11</v>
          </cell>
          <cell r="E3438">
            <v>52.89</v>
          </cell>
          <cell r="F3438">
            <v>5.4332454545454496</v>
          </cell>
        </row>
        <row r="3439">
          <cell r="B3439" t="str">
            <v>70574862</v>
          </cell>
          <cell r="C3439" t="str">
            <v>甘源 带壳奶香味花生 108G</v>
          </cell>
          <cell r="D3439">
            <v>2679</v>
          </cell>
          <cell r="E3439">
            <v>11041.32</v>
          </cell>
          <cell r="F3439">
            <v>4.6572197088465801</v>
          </cell>
        </row>
        <row r="3440">
          <cell r="B3440" t="str">
            <v>70574866</v>
          </cell>
          <cell r="C3440" t="str">
            <v>甘源 芥末味夏威夷果仁 80G</v>
          </cell>
          <cell r="D3440">
            <v>4</v>
          </cell>
          <cell r="E3440">
            <v>45.64</v>
          </cell>
          <cell r="F3440">
            <v>12.8933</v>
          </cell>
        </row>
        <row r="3441">
          <cell r="B3441" t="str">
            <v>70574870</v>
          </cell>
          <cell r="C3441" t="str">
            <v>甘源 鲜虾鸡汁味糯米锅巴 102G</v>
          </cell>
          <cell r="D3441">
            <v>638</v>
          </cell>
          <cell r="E3441">
            <v>3610.99</v>
          </cell>
          <cell r="F3441">
            <v>6.3956405956112796</v>
          </cell>
        </row>
        <row r="3442">
          <cell r="B3442" t="str">
            <v>70574871</v>
          </cell>
          <cell r="C3442" t="str">
            <v>甘源 爆椒咸蛋黄糯米锅巴 102G</v>
          </cell>
          <cell r="D3442">
            <v>981</v>
          </cell>
          <cell r="E3442">
            <v>5556.15</v>
          </cell>
          <cell r="F3442">
            <v>6.4000504587156</v>
          </cell>
        </row>
        <row r="3443">
          <cell r="B3443" t="str">
            <v>70574872</v>
          </cell>
          <cell r="C3443" t="str">
            <v>甘源 鲜虾味果蔬虾条 70G</v>
          </cell>
          <cell r="D3443">
            <v>0</v>
          </cell>
          <cell r="E3443">
            <v>0</v>
          </cell>
          <cell r="F3443" t="e">
            <v>#DIV/0!</v>
          </cell>
        </row>
        <row r="3444">
          <cell r="B3444" t="str">
            <v>70574875</v>
          </cell>
          <cell r="C3444" t="str">
            <v>甘源 蒜香味绿蚕豆 208G</v>
          </cell>
          <cell r="D3444">
            <v>164</v>
          </cell>
          <cell r="E3444">
            <v>1510.68</v>
          </cell>
          <cell r="F3444">
            <v>10.4089536585366</v>
          </cell>
        </row>
        <row r="3445">
          <cell r="B3445" t="str">
            <v>70574880</v>
          </cell>
          <cell r="C3445" t="str">
            <v>甘源 带壳蒜香味花生 108G</v>
          </cell>
          <cell r="D3445">
            <v>2644</v>
          </cell>
          <cell r="E3445">
            <v>10901.57</v>
          </cell>
          <cell r="F3445">
            <v>4.6591430030257204</v>
          </cell>
        </row>
        <row r="3446">
          <cell r="B3446" t="str">
            <v>70574883</v>
          </cell>
          <cell r="C3446" t="str">
            <v>甘源 蜂蜜黄油味鲜切薯条 120G</v>
          </cell>
          <cell r="D3446">
            <v>160</v>
          </cell>
          <cell r="E3446">
            <v>1160.71</v>
          </cell>
          <cell r="F3446">
            <v>8.1975143750000008</v>
          </cell>
        </row>
        <row r="3447">
          <cell r="B3447" t="str">
            <v>70574884</v>
          </cell>
          <cell r="C3447" t="str">
            <v>甘源 海盐黑胡椒味鲜切薯条 120G</v>
          </cell>
          <cell r="D3447">
            <v>212</v>
          </cell>
          <cell r="E3447">
            <v>1536.74</v>
          </cell>
          <cell r="F3447">
            <v>8.1911141509434007</v>
          </cell>
        </row>
        <row r="3448">
          <cell r="B3448" t="str">
            <v>70574890</v>
          </cell>
          <cell r="C3448" t="str">
            <v>甘源 益生元紫薯米饼 138G</v>
          </cell>
          <cell r="D3448">
            <v>4</v>
          </cell>
          <cell r="E3448">
            <v>24.72</v>
          </cell>
          <cell r="F3448">
            <v>6.9833999999999996</v>
          </cell>
        </row>
        <row r="3449">
          <cell r="B3449" t="str">
            <v>70577123</v>
          </cell>
          <cell r="C3449" t="str">
            <v>百里挑一 珍珠茶瓜子（茶香味) 138G</v>
          </cell>
          <cell r="D3449">
            <v>2</v>
          </cell>
          <cell r="E3449">
            <v>15.06</v>
          </cell>
          <cell r="F3449">
            <v>8.5089000000000006</v>
          </cell>
        </row>
        <row r="3450">
          <cell r="B3450" t="str">
            <v>70579191</v>
          </cell>
          <cell r="C3450" t="str">
            <v>绝味牌 黑鸭风味蒜香虎皮凤爪 230G</v>
          </cell>
          <cell r="D3450">
            <v>0</v>
          </cell>
          <cell r="E3450">
            <v>0</v>
          </cell>
          <cell r="F3450" t="e">
            <v>#DIV/0!</v>
          </cell>
        </row>
        <row r="3451">
          <cell r="B3451" t="str">
            <v>70579244</v>
          </cell>
          <cell r="C3451" t="str">
            <v>加减乘除 藕片黑鸭 140G</v>
          </cell>
          <cell r="D3451">
            <v>3</v>
          </cell>
          <cell r="E3451">
            <v>17.27</v>
          </cell>
          <cell r="F3451">
            <v>6.5050333333333299</v>
          </cell>
        </row>
        <row r="3452">
          <cell r="B3452" t="str">
            <v>70579285</v>
          </cell>
          <cell r="C3452" t="str">
            <v>无品牌 肉多多烤肠 根</v>
          </cell>
          <cell r="D3452">
            <v>0</v>
          </cell>
          <cell r="E3452">
            <v>0</v>
          </cell>
          <cell r="F3452" t="e">
            <v>#DIV/0!</v>
          </cell>
        </row>
        <row r="3453">
          <cell r="B3453" t="str">
            <v>70579289</v>
          </cell>
          <cell r="C3453" t="str">
            <v>绝味牌 鲜货装招牌风味鸭锁骨 230G</v>
          </cell>
          <cell r="D3453">
            <v>0</v>
          </cell>
          <cell r="E3453">
            <v>0</v>
          </cell>
          <cell r="F3453" t="e">
            <v>#DIV/0!</v>
          </cell>
        </row>
        <row r="3454">
          <cell r="B3454" t="str">
            <v>70579292</v>
          </cell>
          <cell r="C3454" t="str">
            <v>绝味牌 鲜货装招牌风味鸭脖 300G</v>
          </cell>
          <cell r="D3454">
            <v>0</v>
          </cell>
          <cell r="E3454">
            <v>0</v>
          </cell>
          <cell r="F3454" t="e">
            <v>#DIV/0!</v>
          </cell>
        </row>
        <row r="3455">
          <cell r="B3455" t="str">
            <v>70579295</v>
          </cell>
          <cell r="C3455" t="str">
            <v>绝味牌 鲜货装其他风味风干鸭脖 300G</v>
          </cell>
          <cell r="D3455">
            <v>0</v>
          </cell>
          <cell r="E3455">
            <v>0</v>
          </cell>
          <cell r="F3455" t="e">
            <v>#DIV/0!</v>
          </cell>
        </row>
        <row r="3456">
          <cell r="B3456" t="str">
            <v>70579307</v>
          </cell>
          <cell r="C3456" t="str">
            <v>亿家馨 泡椒元气蛋 30G</v>
          </cell>
          <cell r="D3456">
            <v>0</v>
          </cell>
          <cell r="E3456">
            <v>0</v>
          </cell>
          <cell r="F3456" t="e">
            <v>#DIV/0!</v>
          </cell>
        </row>
        <row r="3457">
          <cell r="B3457" t="str">
            <v>70579309</v>
          </cell>
          <cell r="C3457" t="str">
            <v>亿家馨 卤香元气蛋 30G</v>
          </cell>
          <cell r="D3457">
            <v>25</v>
          </cell>
          <cell r="E3457">
            <v>33.25</v>
          </cell>
          <cell r="F3457">
            <v>1.5028999999999999</v>
          </cell>
        </row>
        <row r="3458">
          <cell r="B3458" t="str">
            <v>70580257</v>
          </cell>
          <cell r="C3458" t="str">
            <v>天山小哥 原味原蒸鹰嘴豆 110G</v>
          </cell>
          <cell r="D3458">
            <v>291</v>
          </cell>
          <cell r="E3458">
            <v>1139.8</v>
          </cell>
          <cell r="F3458">
            <v>4.4260274914089299</v>
          </cell>
        </row>
        <row r="3459">
          <cell r="B3459" t="str">
            <v>70580258</v>
          </cell>
          <cell r="C3459" t="str">
            <v>天山小哥 鲜辣味原蒸鹰嘴豆 110G</v>
          </cell>
          <cell r="D3459">
            <v>209</v>
          </cell>
          <cell r="E3459">
            <v>854.11</v>
          </cell>
          <cell r="F3459">
            <v>4.6179153110047801</v>
          </cell>
        </row>
        <row r="3460">
          <cell r="B3460" t="str">
            <v>70580285</v>
          </cell>
          <cell r="C3460" t="str">
            <v>馋巴郎 牛肉干蒜香味 39G</v>
          </cell>
          <cell r="D3460">
            <v>48</v>
          </cell>
          <cell r="E3460">
            <v>297.35000000000002</v>
          </cell>
          <cell r="F3460">
            <v>7.00011458333333</v>
          </cell>
        </row>
        <row r="3461">
          <cell r="B3461" t="str">
            <v>70580286</v>
          </cell>
          <cell r="C3461" t="str">
            <v>馋巴郎 牛肉干香辣味 39G</v>
          </cell>
          <cell r="D3461">
            <v>47</v>
          </cell>
          <cell r="E3461">
            <v>291.16000000000003</v>
          </cell>
          <cell r="F3461">
            <v>7.0002297872340398</v>
          </cell>
        </row>
        <row r="3462">
          <cell r="B3462" t="str">
            <v>70580287</v>
          </cell>
          <cell r="C3462" t="str">
            <v>馋巴郎 牛肉干麻辣味 39G</v>
          </cell>
          <cell r="D3462">
            <v>48</v>
          </cell>
          <cell r="E3462">
            <v>297.35000000000002</v>
          </cell>
          <cell r="F3462">
            <v>7.00011458333333</v>
          </cell>
        </row>
        <row r="3463">
          <cell r="B3463" t="str">
            <v>70580288</v>
          </cell>
          <cell r="C3463" t="str">
            <v>馋巴郎 牛肉干孜然味 39G</v>
          </cell>
          <cell r="D3463">
            <v>48</v>
          </cell>
          <cell r="E3463">
            <v>297.35000000000002</v>
          </cell>
          <cell r="F3463">
            <v>7.00011458333333</v>
          </cell>
        </row>
        <row r="3464">
          <cell r="B3464" t="str">
            <v>70580289</v>
          </cell>
          <cell r="C3464" t="str">
            <v>馋巴郎 牛肉干芝麻味 39G</v>
          </cell>
          <cell r="D3464">
            <v>47</v>
          </cell>
          <cell r="E3464">
            <v>291.16000000000003</v>
          </cell>
          <cell r="F3464">
            <v>7.0002297872340398</v>
          </cell>
        </row>
        <row r="3465">
          <cell r="B3465" t="str">
            <v>70583090</v>
          </cell>
          <cell r="C3465" t="str">
            <v>香之良品 酱卤鸭胗香辣味 22G</v>
          </cell>
          <cell r="D3465">
            <v>1482</v>
          </cell>
          <cell r="E3465">
            <v>3687.71</v>
          </cell>
          <cell r="F3465">
            <v>2.8118166666666702</v>
          </cell>
        </row>
        <row r="3466">
          <cell r="B3466" t="str">
            <v>70583091</v>
          </cell>
          <cell r="C3466" t="str">
            <v>香之良品 酱卤鸭胗卤香味 22G</v>
          </cell>
          <cell r="D3466">
            <v>1267</v>
          </cell>
          <cell r="E3466">
            <v>3150.95</v>
          </cell>
          <cell r="F3466">
            <v>2.8102395422257298</v>
          </cell>
        </row>
        <row r="3467">
          <cell r="B3467" t="str">
            <v>70583821</v>
          </cell>
          <cell r="C3467" t="str">
            <v>山姆 都乐一颗小橘干 500G</v>
          </cell>
          <cell r="D3467">
            <v>0</v>
          </cell>
          <cell r="E3467">
            <v>0</v>
          </cell>
          <cell r="F3467" t="e">
            <v>#DIV/0!</v>
          </cell>
        </row>
        <row r="3468">
          <cell r="B3468" t="str">
            <v>70584486</v>
          </cell>
          <cell r="C3468" t="str">
            <v>MM 活性益生菌奶片 800G</v>
          </cell>
          <cell r="D3468">
            <v>0</v>
          </cell>
          <cell r="E3468">
            <v>0</v>
          </cell>
          <cell r="F3468" t="e">
            <v>#DIV/0!</v>
          </cell>
        </row>
        <row r="3469">
          <cell r="B3469" t="str">
            <v>70586544</v>
          </cell>
          <cell r="C3469" t="str">
            <v>食验室 纤脆玉米片香菜牛肉塔可味 30G</v>
          </cell>
          <cell r="D3469">
            <v>58</v>
          </cell>
          <cell r="E3469">
            <v>361.88</v>
          </cell>
          <cell r="F3469">
            <v>7.0504206896551702</v>
          </cell>
        </row>
        <row r="3470">
          <cell r="B3470" t="str">
            <v>70586611</v>
          </cell>
          <cell r="C3470" t="str">
            <v>徐福记 熊博士果汁果冻葡萄味可吸果冻 150G</v>
          </cell>
          <cell r="D3470">
            <v>20</v>
          </cell>
          <cell r="E3470">
            <v>41.6</v>
          </cell>
          <cell r="F3470">
            <v>2.3504</v>
          </cell>
        </row>
        <row r="3471">
          <cell r="B3471" t="str">
            <v>70586612</v>
          </cell>
          <cell r="C3471" t="str">
            <v>徐福记 熊博士果汁果冻草莓味可吸果冻150G</v>
          </cell>
          <cell r="D3471">
            <v>16</v>
          </cell>
          <cell r="E3471">
            <v>33.28</v>
          </cell>
          <cell r="F3471">
            <v>2.3504</v>
          </cell>
        </row>
        <row r="3472">
          <cell r="B3472" t="str">
            <v>70586641</v>
          </cell>
          <cell r="C3472" t="str">
            <v>金丝燕 银耳烤梨 252G（精装版）</v>
          </cell>
          <cell r="D3472">
            <v>1</v>
          </cell>
          <cell r="E3472">
            <v>7.34</v>
          </cell>
          <cell r="F3472">
            <v>8.2942</v>
          </cell>
        </row>
        <row r="3473">
          <cell r="B3473" t="str">
            <v>70586642</v>
          </cell>
          <cell r="C3473" t="str">
            <v>金丝燕 银耳烤梨礼 252G*5</v>
          </cell>
          <cell r="D3473">
            <v>47</v>
          </cell>
          <cell r="E3473">
            <v>2038.15</v>
          </cell>
          <cell r="F3473">
            <v>49.002329787233997</v>
          </cell>
        </row>
        <row r="3474">
          <cell r="B3474" t="str">
            <v>70597537</v>
          </cell>
          <cell r="C3474" t="str">
            <v>可比克 超值快乐装烧烤味薯片（90G*2） 180G</v>
          </cell>
          <cell r="D3474">
            <v>67</v>
          </cell>
          <cell r="E3474">
            <v>679.68</v>
          </cell>
          <cell r="F3474">
            <v>11.4632597014925</v>
          </cell>
        </row>
        <row r="3475">
          <cell r="B3475" t="str">
            <v>70597538</v>
          </cell>
          <cell r="C3475" t="str">
            <v>可比克 超值快乐装番茄味薯片（90G*2） 180G</v>
          </cell>
          <cell r="D3475">
            <v>53</v>
          </cell>
          <cell r="E3475">
            <v>525.86</v>
          </cell>
          <cell r="F3475">
            <v>11.2117320754717</v>
          </cell>
        </row>
        <row r="3476">
          <cell r="B3476" t="str">
            <v>70599395</v>
          </cell>
          <cell r="C3476" t="str">
            <v>上好佳 鲜虾片蒜香味 60G</v>
          </cell>
          <cell r="D3476">
            <v>4</v>
          </cell>
          <cell r="E3476">
            <v>17</v>
          </cell>
          <cell r="F3476">
            <v>4.8025000000000002</v>
          </cell>
        </row>
        <row r="3477">
          <cell r="B3477" t="str">
            <v>70599930</v>
          </cell>
          <cell r="C3477" t="str">
            <v>卫龙 魔芋爽麻辣味 50g</v>
          </cell>
          <cell r="D3477">
            <v>3456</v>
          </cell>
          <cell r="E3477">
            <v>10212.799999999999</v>
          </cell>
          <cell r="F3477">
            <v>3.3392546296296302</v>
          </cell>
        </row>
        <row r="3478">
          <cell r="B3478" t="str">
            <v>70599931</v>
          </cell>
          <cell r="C3478" t="str">
            <v>卫龙 大面筋吮指烤肉味 106G</v>
          </cell>
          <cell r="D3478">
            <v>1292</v>
          </cell>
          <cell r="E3478">
            <v>4819.79</v>
          </cell>
          <cell r="F3478">
            <v>4.2154510061919499</v>
          </cell>
        </row>
        <row r="3479">
          <cell r="B3479" t="str">
            <v>70601973</v>
          </cell>
          <cell r="C3479" t="str">
            <v>广州酒家 豉椒虎皮凤爪 200G</v>
          </cell>
          <cell r="D3479">
            <v>19</v>
          </cell>
          <cell r="E3479">
            <v>277.45</v>
          </cell>
          <cell r="F3479">
            <v>16.5009736842105</v>
          </cell>
        </row>
        <row r="3480">
          <cell r="B3480" t="str">
            <v>70601980</v>
          </cell>
          <cell r="C3480" t="str">
            <v>盼盼 咔滋客薯条很大（番茄味） 200G</v>
          </cell>
          <cell r="D3480">
            <v>2</v>
          </cell>
          <cell r="E3480">
            <v>12.22</v>
          </cell>
          <cell r="F3480">
            <v>6.9043000000000001</v>
          </cell>
        </row>
        <row r="3481">
          <cell r="B3481" t="str">
            <v>70601981</v>
          </cell>
          <cell r="C3481" t="str">
            <v>盼盼 咔滋客薯条很大（奥尔良烤翅味） 200G</v>
          </cell>
          <cell r="D3481">
            <v>2</v>
          </cell>
          <cell r="E3481">
            <v>12.22</v>
          </cell>
          <cell r="F3481">
            <v>6.9043000000000001</v>
          </cell>
        </row>
        <row r="3482">
          <cell r="B3482" t="str">
            <v>70601982</v>
          </cell>
          <cell r="C3482" t="str">
            <v>盼盼 咔滋客薯片很大番茄味 245G</v>
          </cell>
          <cell r="D3482">
            <v>4</v>
          </cell>
          <cell r="E3482">
            <v>24.44</v>
          </cell>
          <cell r="F3482">
            <v>6.9043000000000001</v>
          </cell>
        </row>
        <row r="3483">
          <cell r="B3483" t="str">
            <v>70601983</v>
          </cell>
          <cell r="C3483" t="str">
            <v>盼盼 咔滋客薯片很大烤肉味 245G</v>
          </cell>
          <cell r="D3483">
            <v>5</v>
          </cell>
          <cell r="E3483">
            <v>30.55</v>
          </cell>
          <cell r="F3483">
            <v>6.9043000000000001</v>
          </cell>
        </row>
        <row r="3484">
          <cell r="B3484" t="str">
            <v>70601984</v>
          </cell>
          <cell r="C3484" t="str">
            <v>盼盼 咔滋客黄金玉米棒芝士味 100G</v>
          </cell>
          <cell r="D3484">
            <v>27</v>
          </cell>
          <cell r="E3484">
            <v>105.25</v>
          </cell>
          <cell r="F3484">
            <v>4.4049074074074097</v>
          </cell>
        </row>
        <row r="3485">
          <cell r="B3485" t="str">
            <v>70601985</v>
          </cell>
          <cell r="C3485" t="str">
            <v>盼盼 咔滋客黄金玉米棒原味味 100G</v>
          </cell>
          <cell r="D3485">
            <v>15</v>
          </cell>
          <cell r="E3485">
            <v>58.48</v>
          </cell>
          <cell r="F3485">
            <v>4.4054933333333297</v>
          </cell>
        </row>
        <row r="3486">
          <cell r="B3486" t="str">
            <v>70631500</v>
          </cell>
          <cell r="C3486" t="str">
            <v>卫龙 魔芋爽麻酱味 15g</v>
          </cell>
          <cell r="D3486">
            <v>3518</v>
          </cell>
          <cell r="E3486">
            <v>2264.13</v>
          </cell>
          <cell r="F3486">
            <v>0.72725039795338298</v>
          </cell>
        </row>
        <row r="3487">
          <cell r="B3487" t="str">
            <v>70631501</v>
          </cell>
          <cell r="C3487" t="str">
            <v>卫龙 魔芋爽麻酱味 80G</v>
          </cell>
          <cell r="D3487">
            <v>591</v>
          </cell>
          <cell r="E3487">
            <v>2127.89</v>
          </cell>
          <cell r="F3487">
            <v>4.0685544839255501</v>
          </cell>
        </row>
        <row r="3488">
          <cell r="B3488" t="str">
            <v>70637025</v>
          </cell>
          <cell r="C3488" t="str">
            <v>上好佳 醇脆薯片香辣鸡翅味罐装 85G</v>
          </cell>
          <cell r="D3488">
            <v>34</v>
          </cell>
          <cell r="E3488">
            <v>144.5</v>
          </cell>
          <cell r="F3488">
            <v>4.8025000000000002</v>
          </cell>
        </row>
        <row r="3489">
          <cell r="B3489" t="str">
            <v>70637026</v>
          </cell>
          <cell r="C3489" t="str">
            <v>上好佳 醇脆薯片蜂蜜黄油味罐装 85G</v>
          </cell>
          <cell r="D3489">
            <v>16</v>
          </cell>
          <cell r="E3489">
            <v>69.819999999999993</v>
          </cell>
          <cell r="F3489">
            <v>4.9310375000000004</v>
          </cell>
        </row>
        <row r="3490">
          <cell r="B3490" t="str">
            <v>70637968</v>
          </cell>
          <cell r="C3490" t="str">
            <v>恋上鸭 甜辣鸭脖 80G</v>
          </cell>
          <cell r="D3490">
            <v>783</v>
          </cell>
          <cell r="E3490">
            <v>3963.17</v>
          </cell>
          <cell r="F3490">
            <v>5.7195173690932304</v>
          </cell>
        </row>
        <row r="3491">
          <cell r="B3491" t="str">
            <v>70638299</v>
          </cell>
          <cell r="C3491" t="str">
            <v>上好佳 粟米条曲奇霜淇淋味 60G</v>
          </cell>
          <cell r="D3491">
            <v>14</v>
          </cell>
          <cell r="E3491">
            <v>59.76</v>
          </cell>
          <cell r="F3491">
            <v>4.8234857142857104</v>
          </cell>
        </row>
        <row r="3492">
          <cell r="B3492" t="str">
            <v>70638300</v>
          </cell>
          <cell r="C3492" t="str">
            <v>上好佳 田园泡倾心黄油味 65G</v>
          </cell>
          <cell r="D3492">
            <v>2</v>
          </cell>
          <cell r="E3492">
            <v>8.5</v>
          </cell>
          <cell r="F3492">
            <v>4.8025000000000002</v>
          </cell>
        </row>
        <row r="3493">
          <cell r="B3493" t="str">
            <v>70640112</v>
          </cell>
          <cell r="C3493" t="str">
            <v>麻辣王子 正宗辣条微麻微辣 160G</v>
          </cell>
          <cell r="D3493">
            <v>46</v>
          </cell>
          <cell r="E3493">
            <v>321.63</v>
          </cell>
          <cell r="F3493">
            <v>7.9009108695652204</v>
          </cell>
        </row>
        <row r="3494">
          <cell r="B3494" t="str">
            <v>70640113</v>
          </cell>
          <cell r="C3494" t="str">
            <v>椒巴客 去骨鸡脚筋柠檬 28G</v>
          </cell>
          <cell r="D3494">
            <v>11</v>
          </cell>
          <cell r="E3494">
            <v>15.84</v>
          </cell>
          <cell r="F3494">
            <v>1.6272</v>
          </cell>
        </row>
        <row r="3495">
          <cell r="B3495" t="str">
            <v>70640114</v>
          </cell>
          <cell r="C3495" t="str">
            <v>力诚 深海鱼竹轮 100G</v>
          </cell>
          <cell r="D3495">
            <v>25</v>
          </cell>
          <cell r="E3495">
            <v>163.75</v>
          </cell>
          <cell r="F3495">
            <v>7.4015000000000004</v>
          </cell>
        </row>
        <row r="3496">
          <cell r="B3496" t="str">
            <v>70640115</v>
          </cell>
          <cell r="C3496" t="str">
            <v>巧妈妈 乳酸菌布丁 115G</v>
          </cell>
          <cell r="D3496">
            <v>15</v>
          </cell>
          <cell r="E3496">
            <v>48.84</v>
          </cell>
          <cell r="F3496">
            <v>3.6792799999999999</v>
          </cell>
        </row>
        <row r="3497">
          <cell r="B3497" t="str">
            <v>70640122</v>
          </cell>
          <cell r="C3497" t="str">
            <v>椒巴客 去骨鸡脚筋山椒 28G</v>
          </cell>
          <cell r="D3497">
            <v>14</v>
          </cell>
          <cell r="E3497">
            <v>20.14</v>
          </cell>
          <cell r="F3497">
            <v>1.62558571428571</v>
          </cell>
        </row>
        <row r="3498">
          <cell r="B3498" t="str">
            <v>70640123</v>
          </cell>
          <cell r="C3498" t="str">
            <v>卧龙 拉面丸子香辣味 158G</v>
          </cell>
          <cell r="D3498">
            <v>896</v>
          </cell>
          <cell r="E3498">
            <v>3359.51</v>
          </cell>
          <cell r="F3498">
            <v>4.2368820312500004</v>
          </cell>
        </row>
        <row r="3499">
          <cell r="B3499" t="str">
            <v>70640125</v>
          </cell>
          <cell r="C3499" t="str">
            <v>茂嘉庄 情人梅（网红） 108G</v>
          </cell>
          <cell r="D3499">
            <v>34</v>
          </cell>
          <cell r="E3499">
            <v>150.6</v>
          </cell>
          <cell r="F3499">
            <v>5.0052352941176501</v>
          </cell>
        </row>
        <row r="3500">
          <cell r="B3500" t="str">
            <v>70640127</v>
          </cell>
          <cell r="C3500" t="str">
            <v>盐津铺子 手撕烤脖（黑鸭味） 36G</v>
          </cell>
          <cell r="D3500">
            <v>1658</v>
          </cell>
          <cell r="E3500">
            <v>2587.04</v>
          </cell>
          <cell r="F3500">
            <v>1.76318166465621</v>
          </cell>
        </row>
        <row r="3501">
          <cell r="B3501" t="str">
            <v>70640132</v>
          </cell>
          <cell r="C3501" t="str">
            <v>卧龙 高山玉米脆香辣味 108G</v>
          </cell>
          <cell r="D3501">
            <v>244</v>
          </cell>
          <cell r="E3501">
            <v>921.24</v>
          </cell>
          <cell r="F3501">
            <v>4.2663983606557396</v>
          </cell>
        </row>
        <row r="3502">
          <cell r="B3502" t="str">
            <v>70640133</v>
          </cell>
          <cell r="C3502" t="str">
            <v>茂嘉庄 冰糖杨梅（网红） 100G</v>
          </cell>
          <cell r="D3502">
            <v>5</v>
          </cell>
          <cell r="E3502">
            <v>22.14</v>
          </cell>
          <cell r="F3502">
            <v>5.0036399999999999</v>
          </cell>
        </row>
        <row r="3503">
          <cell r="B3503" t="str">
            <v>70640135</v>
          </cell>
          <cell r="C3503" t="str">
            <v>上好佳 粟米条哈密瓜味 60G</v>
          </cell>
          <cell r="D3503">
            <v>5</v>
          </cell>
          <cell r="E3503">
            <v>21.25</v>
          </cell>
          <cell r="F3503">
            <v>4.8025000000000002</v>
          </cell>
        </row>
        <row r="3504">
          <cell r="B3504" t="str">
            <v>70640140</v>
          </cell>
          <cell r="C3504" t="str">
            <v>笑喔喔 菲律宾芒果干（新版带拉链） 90G</v>
          </cell>
          <cell r="D3504">
            <v>3</v>
          </cell>
          <cell r="E3504">
            <v>19.14</v>
          </cell>
          <cell r="F3504">
            <v>7.2093999999999996</v>
          </cell>
        </row>
        <row r="3505">
          <cell r="B3505" t="str">
            <v>70640142</v>
          </cell>
          <cell r="C3505" t="str">
            <v>花椒世家 黑臻锅巴孜然椒香味 128G</v>
          </cell>
          <cell r="D3505">
            <v>32</v>
          </cell>
          <cell r="E3505">
            <v>152.96</v>
          </cell>
          <cell r="F3505">
            <v>5.4013999999999998</v>
          </cell>
        </row>
        <row r="3506">
          <cell r="B3506" t="str">
            <v>70640149</v>
          </cell>
          <cell r="C3506" t="str">
            <v>上好佳 田园薯片西柚味 70G</v>
          </cell>
          <cell r="D3506">
            <v>2</v>
          </cell>
          <cell r="E3506">
            <v>8.5</v>
          </cell>
          <cell r="F3506">
            <v>4.8025000000000002</v>
          </cell>
        </row>
        <row r="3507">
          <cell r="B3507" t="str">
            <v>70640150</v>
          </cell>
          <cell r="C3507" t="str">
            <v>罗小懒 鸡爪筋（泡椒） 140G</v>
          </cell>
          <cell r="D3507">
            <v>3</v>
          </cell>
          <cell r="E3507">
            <v>22.59</v>
          </cell>
          <cell r="F3507">
            <v>8.5089000000000006</v>
          </cell>
        </row>
        <row r="3508">
          <cell r="B3508" t="str">
            <v>70640152</v>
          </cell>
          <cell r="C3508" t="str">
            <v>起亮 阿拉斯加鳕鱼豆腐香辣味 25G</v>
          </cell>
          <cell r="D3508">
            <v>13</v>
          </cell>
          <cell r="E3508">
            <v>9.23</v>
          </cell>
          <cell r="F3508">
            <v>0.80230000000000001</v>
          </cell>
        </row>
        <row r="3509">
          <cell r="B3509" t="str">
            <v>70640161</v>
          </cell>
          <cell r="C3509" t="str">
            <v>艾尼大叔 小锅牛肉（芝麻） 408G</v>
          </cell>
          <cell r="D3509">
            <v>15</v>
          </cell>
          <cell r="E3509">
            <v>995.58</v>
          </cell>
          <cell r="F3509">
            <v>75.000360000000001</v>
          </cell>
        </row>
        <row r="3510">
          <cell r="B3510" t="str">
            <v>70640164</v>
          </cell>
          <cell r="C3510" t="str">
            <v>起亮 阿拉斯加鳕鱼豆腐烧烤味 25G</v>
          </cell>
          <cell r="D3510">
            <v>9</v>
          </cell>
          <cell r="E3510">
            <v>5.89</v>
          </cell>
          <cell r="F3510">
            <v>0.73952222222222197</v>
          </cell>
        </row>
        <row r="3511">
          <cell r="B3511" t="str">
            <v>70640175</v>
          </cell>
          <cell r="C3511" t="str">
            <v>卫龙 亲嘴烧麻辣牛肉风味 24G</v>
          </cell>
          <cell r="D3511">
            <v>6</v>
          </cell>
          <cell r="E3511">
            <v>3.84</v>
          </cell>
          <cell r="F3511">
            <v>0.72319999999999995</v>
          </cell>
        </row>
        <row r="3512">
          <cell r="B3512" t="str">
            <v>70640179</v>
          </cell>
          <cell r="C3512" t="str">
            <v>零零喵 老卤鸭掌麻辣味 88G</v>
          </cell>
          <cell r="D3512">
            <v>10</v>
          </cell>
          <cell r="E3512">
            <v>74.38</v>
          </cell>
          <cell r="F3512">
            <v>8.4049399999999999</v>
          </cell>
        </row>
        <row r="3513">
          <cell r="B3513" t="str">
            <v>70640185</v>
          </cell>
          <cell r="C3513" t="str">
            <v>好食川 麻酱牛肉(老北京麻酱味) 42G</v>
          </cell>
          <cell r="D3513">
            <v>3</v>
          </cell>
          <cell r="E3513">
            <v>22.58</v>
          </cell>
          <cell r="F3513">
            <v>8.5051333333333297</v>
          </cell>
        </row>
        <row r="3514">
          <cell r="B3514" t="str">
            <v>70640189</v>
          </cell>
          <cell r="C3514" t="str">
            <v>零零喵 老卤鸭掌卤香味 88G</v>
          </cell>
          <cell r="D3514">
            <v>11</v>
          </cell>
          <cell r="E3514">
            <v>81.819999999999993</v>
          </cell>
          <cell r="F3514">
            <v>8.4051454545454494</v>
          </cell>
        </row>
        <row r="3515">
          <cell r="B3515" t="str">
            <v>70640194</v>
          </cell>
          <cell r="C3515" t="str">
            <v>好食川 麻酱牛肉(四川火锅味) 42G</v>
          </cell>
          <cell r="D3515">
            <v>7</v>
          </cell>
          <cell r="E3515">
            <v>44.45</v>
          </cell>
          <cell r="F3515">
            <v>7.1755000000000004</v>
          </cell>
        </row>
        <row r="3516">
          <cell r="B3516" t="str">
            <v>70640196</v>
          </cell>
          <cell r="C3516" t="str">
            <v>香之派 泡椒鸡爪 33G</v>
          </cell>
          <cell r="D3516">
            <v>1571</v>
          </cell>
          <cell r="E3516">
            <v>3099.94</v>
          </cell>
          <cell r="F3516">
            <v>2.2297467854869502</v>
          </cell>
        </row>
        <row r="3517">
          <cell r="B3517" t="str">
            <v>70640200</v>
          </cell>
          <cell r="C3517" t="str">
            <v>零零喵 老卤鸭翅卤香味 118G</v>
          </cell>
          <cell r="D3517">
            <v>12</v>
          </cell>
          <cell r="E3517">
            <v>89.26</v>
          </cell>
          <cell r="F3517">
            <v>8.4053166666666694</v>
          </cell>
        </row>
        <row r="3518">
          <cell r="B3518" t="str">
            <v>70640207</v>
          </cell>
          <cell r="C3518" t="str">
            <v>香之派 烧烤手撕肉干 15G</v>
          </cell>
          <cell r="D3518">
            <v>1746</v>
          </cell>
          <cell r="E3518">
            <v>2263.9699999999998</v>
          </cell>
          <cell r="F3518">
            <v>1.4652268613974799</v>
          </cell>
        </row>
        <row r="3519">
          <cell r="B3519" t="str">
            <v>70640208</v>
          </cell>
          <cell r="C3519" t="str">
            <v>零零喵 老卤鸭翅麻辣味 118G</v>
          </cell>
          <cell r="D3519">
            <v>7</v>
          </cell>
          <cell r="E3519">
            <v>52.08</v>
          </cell>
          <cell r="F3519">
            <v>8.4071999999999996</v>
          </cell>
        </row>
        <row r="3520">
          <cell r="B3520" t="str">
            <v>70640211</v>
          </cell>
          <cell r="C3520" t="str">
            <v>张飞 麻辣牛肉干 50G</v>
          </cell>
          <cell r="D3520">
            <v>1</v>
          </cell>
          <cell r="E3520">
            <v>0</v>
          </cell>
          <cell r="F3520">
            <v>0</v>
          </cell>
        </row>
        <row r="3521">
          <cell r="B3521" t="str">
            <v>70640212</v>
          </cell>
          <cell r="C3521" t="str">
            <v>渔米之湘 爆汁鱼(香辣味) 20G</v>
          </cell>
          <cell r="D3521">
            <v>4108</v>
          </cell>
          <cell r="E3521">
            <v>6396.27</v>
          </cell>
          <cell r="F3521">
            <v>1.75944135832522</v>
          </cell>
        </row>
        <row r="3522">
          <cell r="B3522" t="str">
            <v>70640215</v>
          </cell>
          <cell r="C3522" t="str">
            <v>口水娃 兰花豆牛肉味 76G</v>
          </cell>
          <cell r="D3522">
            <v>1561</v>
          </cell>
          <cell r="E3522">
            <v>4231.28</v>
          </cell>
          <cell r="F3522">
            <v>3.06300217809097</v>
          </cell>
        </row>
        <row r="3523">
          <cell r="B3523" t="str">
            <v>70640217</v>
          </cell>
          <cell r="C3523" t="str">
            <v>好食川 麻酱牛肉(老北京麻酱味) 10G</v>
          </cell>
          <cell r="D3523">
            <v>32</v>
          </cell>
          <cell r="E3523">
            <v>51.1</v>
          </cell>
          <cell r="F3523">
            <v>1.8044687500000001</v>
          </cell>
        </row>
        <row r="3524">
          <cell r="B3524" t="str">
            <v>70640220</v>
          </cell>
          <cell r="C3524" t="str">
            <v>渔米之湘 爆汁鱼(微辣味) 20G</v>
          </cell>
          <cell r="D3524">
            <v>4050</v>
          </cell>
          <cell r="E3524">
            <v>6306.44</v>
          </cell>
          <cell r="F3524">
            <v>1.7595746172839499</v>
          </cell>
        </row>
        <row r="3525">
          <cell r="B3525" t="str">
            <v>70640222</v>
          </cell>
          <cell r="C3525" t="str">
            <v>好食川 麻酱牛肉(四川火锅味) 10G</v>
          </cell>
          <cell r="D3525">
            <v>70</v>
          </cell>
          <cell r="E3525">
            <v>111.7</v>
          </cell>
          <cell r="F3525">
            <v>1.80315714285714</v>
          </cell>
        </row>
        <row r="3526">
          <cell r="B3526" t="str">
            <v>70640225</v>
          </cell>
          <cell r="C3526" t="str">
            <v>张飞 笋丁牛肉 50G</v>
          </cell>
          <cell r="D3526">
            <v>8</v>
          </cell>
          <cell r="E3526">
            <v>46.73</v>
          </cell>
          <cell r="F3526">
            <v>6.6006125000000004</v>
          </cell>
        </row>
        <row r="3527">
          <cell r="B3527" t="str">
            <v>70640226</v>
          </cell>
          <cell r="C3527" t="str">
            <v>渔米之湘 爱鱼虾(香辣味) 20G</v>
          </cell>
          <cell r="D3527">
            <v>2889</v>
          </cell>
          <cell r="E3527">
            <v>4502.7</v>
          </cell>
          <cell r="F3527">
            <v>1.7611806853582599</v>
          </cell>
        </row>
        <row r="3528">
          <cell r="B3528" t="str">
            <v>70640230</v>
          </cell>
          <cell r="C3528" t="str">
            <v>渔米之湘 爱鱼虾(椒盐味) 20G</v>
          </cell>
          <cell r="D3528">
            <v>2970</v>
          </cell>
          <cell r="E3528">
            <v>4632.42</v>
          </cell>
          <cell r="F3528">
            <v>1.7625032323232299</v>
          </cell>
        </row>
        <row r="3529">
          <cell r="B3529" t="str">
            <v>70640237</v>
          </cell>
          <cell r="C3529" t="str">
            <v>馋小爱 手撕鸭脖烧烤味 55G</v>
          </cell>
          <cell r="D3529">
            <v>3</v>
          </cell>
          <cell r="E3529">
            <v>12.15</v>
          </cell>
          <cell r="F3529">
            <v>4.5765000000000002</v>
          </cell>
        </row>
        <row r="3530">
          <cell r="B3530" t="str">
            <v>70640238</v>
          </cell>
          <cell r="C3530" t="str">
            <v>恋上鸭 香烤鸭翅根 80G</v>
          </cell>
          <cell r="D3530">
            <v>625</v>
          </cell>
          <cell r="E3530">
            <v>3160.44</v>
          </cell>
          <cell r="F3530">
            <v>5.7140755199999997</v>
          </cell>
        </row>
        <row r="3531">
          <cell r="B3531" t="str">
            <v>70640242</v>
          </cell>
          <cell r="C3531" t="str">
            <v>馋小爱 手撕鸭脖香辣味 55G</v>
          </cell>
          <cell r="D3531">
            <v>4</v>
          </cell>
          <cell r="E3531">
            <v>16.2</v>
          </cell>
          <cell r="F3531">
            <v>4.5765000000000002</v>
          </cell>
        </row>
        <row r="3532">
          <cell r="B3532" t="str">
            <v>70640244</v>
          </cell>
          <cell r="C3532" t="str">
            <v>馋小爱 手撕鸭脖蜜汁味 55G</v>
          </cell>
          <cell r="D3532">
            <v>3</v>
          </cell>
          <cell r="E3532">
            <v>12.15</v>
          </cell>
          <cell r="F3532">
            <v>4.5765000000000002</v>
          </cell>
        </row>
        <row r="3533">
          <cell r="B3533" t="str">
            <v>70640248</v>
          </cell>
          <cell r="C3533" t="str">
            <v>零零喵 老卤鸡爪卤香味 95G</v>
          </cell>
          <cell r="D3533">
            <v>5</v>
          </cell>
          <cell r="E3533">
            <v>37.200000000000003</v>
          </cell>
          <cell r="F3533">
            <v>8.4071999999999996</v>
          </cell>
        </row>
        <row r="3534">
          <cell r="B3534" t="str">
            <v>70640249</v>
          </cell>
          <cell r="C3534" t="str">
            <v>零零喵 老卤鸡爪麻辣味 95G</v>
          </cell>
          <cell r="D3534">
            <v>2</v>
          </cell>
          <cell r="E3534">
            <v>14.88</v>
          </cell>
          <cell r="F3534">
            <v>8.4071999999999996</v>
          </cell>
        </row>
        <row r="3535">
          <cell r="B3535" t="str">
            <v>70640252</v>
          </cell>
          <cell r="C3535" t="str">
            <v>卤门家族 鲜卤鸡腿盐焗味 140G</v>
          </cell>
          <cell r="D3535">
            <v>1</v>
          </cell>
          <cell r="E3535">
            <v>5.4</v>
          </cell>
          <cell r="F3535">
            <v>6.1020000000000003</v>
          </cell>
        </row>
        <row r="3536">
          <cell r="B3536" t="str">
            <v>70640253</v>
          </cell>
          <cell r="C3536" t="str">
            <v>卤门家族 鲜卤鸡腿五香味 140G</v>
          </cell>
          <cell r="D3536">
            <v>3</v>
          </cell>
          <cell r="E3536">
            <v>16.2</v>
          </cell>
          <cell r="F3536">
            <v>6.1020000000000003</v>
          </cell>
        </row>
        <row r="3537">
          <cell r="B3537" t="str">
            <v>70640254</v>
          </cell>
          <cell r="C3537" t="str">
            <v>卤门家族 鲜卤鸡腿烧烤味 140G</v>
          </cell>
          <cell r="D3537">
            <v>1</v>
          </cell>
          <cell r="E3537">
            <v>5.4</v>
          </cell>
          <cell r="F3537">
            <v>6.1020000000000003</v>
          </cell>
        </row>
        <row r="3538">
          <cell r="B3538" t="str">
            <v>70640255</v>
          </cell>
          <cell r="C3538" t="str">
            <v>乡妹子 多味双爪 65G</v>
          </cell>
          <cell r="D3538">
            <v>1</v>
          </cell>
          <cell r="E3538">
            <v>3.23</v>
          </cell>
          <cell r="F3538">
            <v>3.6499000000000001</v>
          </cell>
        </row>
        <row r="3539">
          <cell r="B3539" t="str">
            <v>70640256</v>
          </cell>
          <cell r="C3539" t="str">
            <v>乡妹子 泡椒双爪 65G</v>
          </cell>
          <cell r="D3539">
            <v>4</v>
          </cell>
          <cell r="E3539">
            <v>12.92</v>
          </cell>
          <cell r="F3539">
            <v>3.6499000000000001</v>
          </cell>
        </row>
        <row r="3540">
          <cell r="B3540" t="str">
            <v>70640257</v>
          </cell>
          <cell r="C3540" t="str">
            <v>乡妹子 十鲜拌卤酸辣鸡爪 43G</v>
          </cell>
          <cell r="D3540">
            <v>41</v>
          </cell>
          <cell r="E3540">
            <v>90.83</v>
          </cell>
          <cell r="F3540">
            <v>2.5033634146341499</v>
          </cell>
        </row>
        <row r="3541">
          <cell r="B3541" t="str">
            <v>70640258</v>
          </cell>
          <cell r="C3541" t="str">
            <v>源氏 麻酱辣片 108G</v>
          </cell>
          <cell r="D3541">
            <v>8</v>
          </cell>
          <cell r="E3541">
            <v>29.03</v>
          </cell>
          <cell r="F3541">
            <v>4.1004874999999998</v>
          </cell>
        </row>
        <row r="3542">
          <cell r="B3542" t="str">
            <v>70640263</v>
          </cell>
          <cell r="C3542" t="str">
            <v>乡妹子 多味鸡爪 50G</v>
          </cell>
          <cell r="D3542">
            <v>1300</v>
          </cell>
          <cell r="E3542">
            <v>2911.83</v>
          </cell>
          <cell r="F3542">
            <v>2.5310522307692298</v>
          </cell>
        </row>
        <row r="3543">
          <cell r="B3543" t="str">
            <v>70640264</v>
          </cell>
          <cell r="C3543" t="str">
            <v>乡妹子 泡椒鸡爪 50G</v>
          </cell>
          <cell r="D3543">
            <v>1493</v>
          </cell>
          <cell r="E3543">
            <v>3338.68</v>
          </cell>
          <cell r="F3543">
            <v>2.5269312793034202</v>
          </cell>
        </row>
        <row r="3544">
          <cell r="B3544" t="str">
            <v>70640265</v>
          </cell>
          <cell r="C3544" t="str">
            <v>源氏 手撕香辣棒 90G</v>
          </cell>
          <cell r="D3544">
            <v>2</v>
          </cell>
          <cell r="E3544">
            <v>6.2</v>
          </cell>
          <cell r="F3544">
            <v>3.5030000000000001</v>
          </cell>
        </row>
        <row r="3545">
          <cell r="B3545" t="str">
            <v>70640266</v>
          </cell>
          <cell r="C3545" t="str">
            <v>源氏 手撕大辣片 90G</v>
          </cell>
          <cell r="D3545">
            <v>3</v>
          </cell>
          <cell r="E3545">
            <v>9.3000000000000007</v>
          </cell>
          <cell r="F3545">
            <v>3.5030000000000001</v>
          </cell>
        </row>
        <row r="3546">
          <cell r="B3546" t="str">
            <v>70640267</v>
          </cell>
          <cell r="C3546" t="str">
            <v>源氏 手撕大面筋 90G</v>
          </cell>
          <cell r="D3546">
            <v>26</v>
          </cell>
          <cell r="E3546">
            <v>80.599999999999994</v>
          </cell>
          <cell r="F3546">
            <v>3.5030000000000001</v>
          </cell>
        </row>
        <row r="3547">
          <cell r="B3547" t="str">
            <v>70640268</v>
          </cell>
          <cell r="C3547" t="str">
            <v>源氏 烤辣片 65G</v>
          </cell>
          <cell r="D3547">
            <v>7</v>
          </cell>
          <cell r="E3547">
            <v>21.7</v>
          </cell>
          <cell r="F3547">
            <v>3.5030000000000001</v>
          </cell>
        </row>
        <row r="3548">
          <cell r="B3548" t="str">
            <v>70640269</v>
          </cell>
          <cell r="C3548" t="str">
            <v>源氏 烤豆卷 65G</v>
          </cell>
          <cell r="D3548">
            <v>9</v>
          </cell>
          <cell r="E3548">
            <v>27.9</v>
          </cell>
          <cell r="F3548">
            <v>3.5030000000000001</v>
          </cell>
        </row>
        <row r="3549">
          <cell r="B3549" t="str">
            <v>70640270</v>
          </cell>
          <cell r="C3549" t="str">
            <v>源氏 豆逗小排长 148G</v>
          </cell>
          <cell r="D3549">
            <v>11</v>
          </cell>
          <cell r="E3549">
            <v>39.93</v>
          </cell>
          <cell r="F3549">
            <v>4.1018999999999997</v>
          </cell>
        </row>
        <row r="3550">
          <cell r="B3550" t="str">
            <v>70640289</v>
          </cell>
          <cell r="C3550" t="str">
            <v>麻辣王子 正宗辣条很麻很辣 160G</v>
          </cell>
          <cell r="D3550">
            <v>235</v>
          </cell>
          <cell r="E3550">
            <v>1662.48</v>
          </cell>
          <cell r="F3550">
            <v>7.9940527659574503</v>
          </cell>
        </row>
        <row r="3551">
          <cell r="B3551" t="str">
            <v>70640291</v>
          </cell>
          <cell r="C3551" t="str">
            <v>椒巴客 厚切黑臻锅巴川香麻辣味 70G</v>
          </cell>
          <cell r="D3551">
            <v>6</v>
          </cell>
          <cell r="E3551">
            <v>22.49</v>
          </cell>
          <cell r="F3551">
            <v>4.2356166666666697</v>
          </cell>
        </row>
        <row r="3552">
          <cell r="B3552" t="str">
            <v>70640292</v>
          </cell>
          <cell r="C3552" t="str">
            <v>椒巴客 厚切黑臻锅巴孜然椒香味 70G</v>
          </cell>
          <cell r="D3552">
            <v>14</v>
          </cell>
          <cell r="E3552">
            <v>52.45</v>
          </cell>
          <cell r="F3552">
            <v>4.2334642857142901</v>
          </cell>
        </row>
        <row r="3553">
          <cell r="B3553" t="str">
            <v>70640295</v>
          </cell>
          <cell r="C3553" t="str">
            <v>椒巴客 花椒锅巴黑椒牛排味 138G</v>
          </cell>
          <cell r="D3553">
            <v>3</v>
          </cell>
          <cell r="E3553">
            <v>13.5</v>
          </cell>
          <cell r="F3553">
            <v>5.085</v>
          </cell>
        </row>
        <row r="3554">
          <cell r="B3554" t="str">
            <v>70640299</v>
          </cell>
          <cell r="C3554" t="str">
            <v>椒巴客 三角脆骨红油 28G</v>
          </cell>
          <cell r="D3554">
            <v>1</v>
          </cell>
          <cell r="E3554">
            <v>1.44</v>
          </cell>
          <cell r="F3554">
            <v>1.6272</v>
          </cell>
        </row>
        <row r="3555">
          <cell r="B3555" t="str">
            <v>70640300</v>
          </cell>
          <cell r="C3555" t="str">
            <v>椒巴客 三角脆骨山椒 28G</v>
          </cell>
          <cell r="D3555">
            <v>2</v>
          </cell>
          <cell r="E3555">
            <v>2.88</v>
          </cell>
          <cell r="F3555">
            <v>1.6272</v>
          </cell>
        </row>
        <row r="3556">
          <cell r="B3556" t="str">
            <v>70640301</v>
          </cell>
          <cell r="C3556" t="str">
            <v>椒巴客 牛脆耳山椒 28G</v>
          </cell>
          <cell r="D3556">
            <v>27</v>
          </cell>
          <cell r="E3556">
            <v>38.75</v>
          </cell>
          <cell r="F3556">
            <v>1.62175925925926</v>
          </cell>
        </row>
        <row r="3557">
          <cell r="B3557" t="str">
            <v>70640302</v>
          </cell>
          <cell r="C3557" t="str">
            <v>椒巴客 牛脆耳红油 28G</v>
          </cell>
          <cell r="D3557">
            <v>3</v>
          </cell>
          <cell r="E3557">
            <v>4.32</v>
          </cell>
          <cell r="F3557">
            <v>1.6272</v>
          </cell>
        </row>
        <row r="3558">
          <cell r="B3558" t="str">
            <v>70640307</v>
          </cell>
          <cell r="C3558" t="str">
            <v>好食川 麻酱牛肉(柠檬蒜香味)盒装 10G</v>
          </cell>
          <cell r="D3558">
            <v>21</v>
          </cell>
          <cell r="E3558">
            <v>33.54</v>
          </cell>
          <cell r="F3558">
            <v>1.80477142857143</v>
          </cell>
        </row>
        <row r="3559">
          <cell r="B3559" t="str">
            <v>70640311</v>
          </cell>
          <cell r="C3559" t="str">
            <v>印第安 奶油味爆米花 118G</v>
          </cell>
          <cell r="D3559">
            <v>71</v>
          </cell>
          <cell r="E3559">
            <v>609</v>
          </cell>
          <cell r="F3559">
            <v>9.6925352112676002</v>
          </cell>
        </row>
        <row r="3560">
          <cell r="B3560" t="str">
            <v>70640312</v>
          </cell>
          <cell r="C3560" t="str">
            <v>印第安 焦糖味爆米花 118G</v>
          </cell>
          <cell r="D3560">
            <v>42</v>
          </cell>
          <cell r="E3560">
            <v>359.94</v>
          </cell>
          <cell r="F3560">
            <v>9.6841000000000008</v>
          </cell>
        </row>
        <row r="3561">
          <cell r="B3561" t="str">
            <v>70640325</v>
          </cell>
          <cell r="C3561" t="str">
            <v>金晔 山楂小葫芦(原味) 88G</v>
          </cell>
          <cell r="D3561">
            <v>3</v>
          </cell>
          <cell r="E3561">
            <v>25.23</v>
          </cell>
          <cell r="F3561">
            <v>9.5032999999999994</v>
          </cell>
        </row>
        <row r="3562">
          <cell r="B3562" t="str">
            <v>70640327</v>
          </cell>
          <cell r="C3562" t="str">
            <v>金晔 山楂小葫芦(草莓味) 88G</v>
          </cell>
          <cell r="D3562">
            <v>3</v>
          </cell>
          <cell r="E3562">
            <v>25.23</v>
          </cell>
          <cell r="F3562">
            <v>9.5032999999999994</v>
          </cell>
        </row>
        <row r="3563">
          <cell r="B3563" t="str">
            <v>70640329</v>
          </cell>
          <cell r="C3563" t="str">
            <v>麻六记 手磨豆干(五香味) 240G</v>
          </cell>
          <cell r="D3563">
            <v>6</v>
          </cell>
          <cell r="E3563">
            <v>56.31</v>
          </cell>
          <cell r="F3563">
            <v>10.60505</v>
          </cell>
        </row>
        <row r="3564">
          <cell r="B3564" t="str">
            <v>70640330</v>
          </cell>
          <cell r="C3564" t="str">
            <v>麻六记 手磨豆干(麻辣味) 240G</v>
          </cell>
          <cell r="D3564">
            <v>8</v>
          </cell>
          <cell r="E3564">
            <v>75.069999999999993</v>
          </cell>
          <cell r="F3564">
            <v>10.6036375</v>
          </cell>
        </row>
        <row r="3565">
          <cell r="B3565" t="str">
            <v>70640333</v>
          </cell>
          <cell r="C3565" t="str">
            <v>巧妈妈 炒酸奶布丁 115G</v>
          </cell>
          <cell r="D3565">
            <v>34</v>
          </cell>
          <cell r="E3565">
            <v>116.08</v>
          </cell>
          <cell r="F3565">
            <v>3.8579529411764701</v>
          </cell>
        </row>
        <row r="3566">
          <cell r="B3566" t="str">
            <v>70640334</v>
          </cell>
          <cell r="C3566" t="str">
            <v>巧妈妈 鸡蛋布丁 115G</v>
          </cell>
          <cell r="D3566">
            <v>31</v>
          </cell>
          <cell r="E3566">
            <v>104.96</v>
          </cell>
          <cell r="F3566">
            <v>3.8259612903225801</v>
          </cell>
        </row>
        <row r="3567">
          <cell r="B3567" t="str">
            <v>70640363</v>
          </cell>
          <cell r="C3567" t="str">
            <v>马马妈 香辣牙签牛肉 45G</v>
          </cell>
          <cell r="D3567">
            <v>2</v>
          </cell>
          <cell r="E3567">
            <v>16.3</v>
          </cell>
          <cell r="F3567">
            <v>9.2095000000000002</v>
          </cell>
        </row>
        <row r="3568">
          <cell r="B3568" t="str">
            <v>70640388</v>
          </cell>
          <cell r="C3568" t="str">
            <v>八千里 香豆干麻辣味 22G</v>
          </cell>
          <cell r="D3568">
            <v>12</v>
          </cell>
          <cell r="E3568">
            <v>8.02</v>
          </cell>
          <cell r="F3568">
            <v>0.75521666666666698</v>
          </cell>
        </row>
        <row r="3569">
          <cell r="B3569" t="str">
            <v>70640390</v>
          </cell>
          <cell r="C3569" t="str">
            <v>马马妈 麻辣鸡丝 120G</v>
          </cell>
          <cell r="D3569">
            <v>3</v>
          </cell>
          <cell r="E3569">
            <v>26.29</v>
          </cell>
          <cell r="F3569">
            <v>9.9025666666666705</v>
          </cell>
        </row>
        <row r="3570">
          <cell r="B3570" t="str">
            <v>70640411</v>
          </cell>
          <cell r="C3570" t="str">
            <v>八千里 香豆干孜然味 22G</v>
          </cell>
          <cell r="D3570">
            <v>1</v>
          </cell>
          <cell r="E3570">
            <v>0.67</v>
          </cell>
          <cell r="F3570">
            <v>0.7571</v>
          </cell>
        </row>
        <row r="3571">
          <cell r="B3571" t="str">
            <v>70640413</v>
          </cell>
          <cell r="C3571" t="str">
            <v>八千里 香豆干烧烤味 22G</v>
          </cell>
          <cell r="D3571">
            <v>36</v>
          </cell>
          <cell r="E3571">
            <v>23.97</v>
          </cell>
          <cell r="F3571">
            <v>0.75239166666666701</v>
          </cell>
        </row>
        <row r="3572">
          <cell r="B3572" t="str">
            <v>70640414</v>
          </cell>
          <cell r="C3572" t="str">
            <v>八千里 香豆干麻辣味 250G</v>
          </cell>
          <cell r="D3572">
            <v>1</v>
          </cell>
          <cell r="E3572">
            <v>6.77</v>
          </cell>
          <cell r="F3572">
            <v>7.6501000000000001</v>
          </cell>
        </row>
        <row r="3573">
          <cell r="B3573" t="str">
            <v>70640415</v>
          </cell>
          <cell r="C3573" t="str">
            <v>八千里 香豆干香辣味 250G</v>
          </cell>
          <cell r="D3573">
            <v>1</v>
          </cell>
          <cell r="E3573">
            <v>6.77</v>
          </cell>
          <cell r="F3573">
            <v>7.6501000000000001</v>
          </cell>
        </row>
        <row r="3574">
          <cell r="B3574" t="str">
            <v>70640416</v>
          </cell>
          <cell r="C3574" t="str">
            <v>八千里 香豆干孜然味 250G</v>
          </cell>
          <cell r="D3574">
            <v>2</v>
          </cell>
          <cell r="E3574">
            <v>13.54</v>
          </cell>
          <cell r="F3574">
            <v>7.6501000000000001</v>
          </cell>
        </row>
        <row r="3575">
          <cell r="B3575" t="str">
            <v>70640429</v>
          </cell>
          <cell r="C3575" t="str">
            <v>八千里 香豆干烧烤味 250G</v>
          </cell>
          <cell r="D3575">
            <v>1</v>
          </cell>
          <cell r="E3575">
            <v>6.77</v>
          </cell>
          <cell r="F3575">
            <v>7.6501000000000001</v>
          </cell>
        </row>
        <row r="3576">
          <cell r="B3576" t="str">
            <v>70640449</v>
          </cell>
          <cell r="C3576" t="str">
            <v>卫龙 魔芋爽爆辣味 15G</v>
          </cell>
          <cell r="D3576">
            <v>2849</v>
          </cell>
          <cell r="E3576">
            <v>1831.21</v>
          </cell>
          <cell r="F3576">
            <v>0.72631354861354902</v>
          </cell>
        </row>
        <row r="3577">
          <cell r="B3577" t="str">
            <v>70640459</v>
          </cell>
          <cell r="C3577" t="str">
            <v>茂嘉庄 清爽梅肉（新） 160G</v>
          </cell>
          <cell r="D3577">
            <v>6</v>
          </cell>
          <cell r="E3577">
            <v>26.58</v>
          </cell>
          <cell r="F3577">
            <v>5.0058999999999996</v>
          </cell>
        </row>
        <row r="3578">
          <cell r="B3578" t="str">
            <v>70640462</v>
          </cell>
          <cell r="C3578" t="str">
            <v>笑喔喔 芒果干 108G</v>
          </cell>
          <cell r="D3578">
            <v>5</v>
          </cell>
          <cell r="E3578">
            <v>41.15</v>
          </cell>
          <cell r="F3578">
            <v>9.2998999999999992</v>
          </cell>
        </row>
        <row r="3579">
          <cell r="B3579" t="str">
            <v>70640463</v>
          </cell>
          <cell r="C3579" t="str">
            <v>笑喔喔 泰国芒果干（新版带拉链） 90G</v>
          </cell>
          <cell r="D3579">
            <v>3</v>
          </cell>
          <cell r="E3579">
            <v>19.14</v>
          </cell>
          <cell r="F3579">
            <v>7.2093999999999996</v>
          </cell>
        </row>
        <row r="3580">
          <cell r="B3580" t="str">
            <v>70640465</v>
          </cell>
          <cell r="C3580" t="str">
            <v>笑喔喔 香辣味泥鳅鱼 60G</v>
          </cell>
          <cell r="D3580">
            <v>12</v>
          </cell>
          <cell r="E3580">
            <v>76.48</v>
          </cell>
          <cell r="F3580">
            <v>7.2018666666666702</v>
          </cell>
        </row>
        <row r="3581">
          <cell r="B3581" t="str">
            <v>70640467</v>
          </cell>
          <cell r="C3581" t="str">
            <v>笑喔喔 香酥鱼皮(新） 90G</v>
          </cell>
          <cell r="D3581">
            <v>3</v>
          </cell>
          <cell r="E3581">
            <v>19.14</v>
          </cell>
          <cell r="F3581">
            <v>7.2093999999999996</v>
          </cell>
        </row>
        <row r="3582">
          <cell r="B3582" t="str">
            <v>70640468</v>
          </cell>
          <cell r="C3582" t="str">
            <v>恋上鸭 甜辣鸭翅根 80G</v>
          </cell>
          <cell r="D3582">
            <v>640</v>
          </cell>
          <cell r="E3582">
            <v>3238.36</v>
          </cell>
          <cell r="F3582">
            <v>5.7177293750000002</v>
          </cell>
        </row>
        <row r="3583">
          <cell r="B3583" t="str">
            <v>70640470</v>
          </cell>
          <cell r="C3583" t="str">
            <v>恋上鸭 香烤鸭翅 90G</v>
          </cell>
          <cell r="D3583">
            <v>652</v>
          </cell>
          <cell r="E3583">
            <v>3304.71</v>
          </cell>
          <cell r="F3583">
            <v>5.72748819018405</v>
          </cell>
        </row>
        <row r="3584">
          <cell r="B3584" t="str">
            <v>70640471</v>
          </cell>
          <cell r="C3584" t="str">
            <v>恋上鸭 甜辣鸭翅 90G</v>
          </cell>
          <cell r="D3584">
            <v>586</v>
          </cell>
          <cell r="E3584">
            <v>2969.23</v>
          </cell>
          <cell r="F3584">
            <v>5.7256482935153601</v>
          </cell>
        </row>
        <row r="3585">
          <cell r="B3585" t="str">
            <v>70640472</v>
          </cell>
          <cell r="C3585" t="str">
            <v>脆升升 碳烤鱿鱼味薯片 60G</v>
          </cell>
          <cell r="D3585">
            <v>3</v>
          </cell>
          <cell r="E3585">
            <v>11.96</v>
          </cell>
          <cell r="F3585">
            <v>4.5049333333333301</v>
          </cell>
        </row>
        <row r="3586">
          <cell r="B3586" t="str">
            <v>70640474</v>
          </cell>
          <cell r="C3586" t="str">
            <v>笑喔喔 素鸡翅（香辣味） 95G</v>
          </cell>
          <cell r="D3586">
            <v>5</v>
          </cell>
          <cell r="E3586">
            <v>19.05</v>
          </cell>
          <cell r="F3586">
            <v>4.3052999999999999</v>
          </cell>
        </row>
        <row r="3587">
          <cell r="B3587" t="str">
            <v>70640479</v>
          </cell>
          <cell r="C3587" t="str">
            <v>栗嗨家 油栗仁木糖醇味 150G</v>
          </cell>
          <cell r="D3587">
            <v>550</v>
          </cell>
          <cell r="E3587">
            <v>3503.74</v>
          </cell>
          <cell r="F3587">
            <v>7.1985930909090898</v>
          </cell>
        </row>
        <row r="3588">
          <cell r="B3588" t="str">
            <v>70640480</v>
          </cell>
          <cell r="C3588" t="str">
            <v>栗嗨家 油栗仁粉糯甜味 150G</v>
          </cell>
          <cell r="D3588">
            <v>436</v>
          </cell>
          <cell r="E3588">
            <v>2777.19</v>
          </cell>
          <cell r="F3588">
            <v>7.1977630733945004</v>
          </cell>
        </row>
        <row r="3589">
          <cell r="B3589" t="str">
            <v>70640481</v>
          </cell>
          <cell r="C3589" t="str">
            <v>无穷 虎皮辣爪 13G</v>
          </cell>
          <cell r="D3589">
            <v>1621</v>
          </cell>
          <cell r="E3589">
            <v>3124.56</v>
          </cell>
          <cell r="F3589">
            <v>2.1781325107958001</v>
          </cell>
        </row>
        <row r="3590">
          <cell r="B3590" t="str">
            <v>70640482</v>
          </cell>
          <cell r="C3590" t="str">
            <v>渔米之湘 臭豆腐(香辣味) 66G</v>
          </cell>
          <cell r="D3590">
            <v>936</v>
          </cell>
          <cell r="E3590">
            <v>3669.19</v>
          </cell>
          <cell r="F3590">
            <v>4.4296845085470098</v>
          </cell>
        </row>
        <row r="3591">
          <cell r="B3591" t="str">
            <v>70640483</v>
          </cell>
          <cell r="C3591" t="str">
            <v>尚禾谷 有机甘栗仁 60G</v>
          </cell>
          <cell r="D3591">
            <v>8</v>
          </cell>
          <cell r="E3591">
            <v>36.32</v>
          </cell>
          <cell r="F3591">
            <v>5.1302000000000003</v>
          </cell>
        </row>
        <row r="3592">
          <cell r="B3592" t="str">
            <v>70640484</v>
          </cell>
          <cell r="C3592" t="str">
            <v>尚禾谷 蜂蜜味甘栗仁 60G</v>
          </cell>
          <cell r="D3592">
            <v>5</v>
          </cell>
          <cell r="E3592">
            <v>22.7</v>
          </cell>
          <cell r="F3592">
            <v>5.1302000000000003</v>
          </cell>
        </row>
        <row r="3593">
          <cell r="B3593" t="str">
            <v>70640487</v>
          </cell>
          <cell r="C3593" t="str">
            <v>尚禾谷 甘栗子原味 200G</v>
          </cell>
          <cell r="D3593">
            <v>11</v>
          </cell>
          <cell r="E3593">
            <v>108.79</v>
          </cell>
          <cell r="F3593">
            <v>11.175700000000001</v>
          </cell>
        </row>
        <row r="3594">
          <cell r="B3594" t="str">
            <v>70640488</v>
          </cell>
          <cell r="C3594" t="str">
            <v>尚禾谷 甘栗子蜂蜜 200G</v>
          </cell>
          <cell r="D3594">
            <v>13</v>
          </cell>
          <cell r="E3594">
            <v>126.77</v>
          </cell>
          <cell r="F3594">
            <v>11.0192384615385</v>
          </cell>
        </row>
        <row r="3595">
          <cell r="B3595" t="str">
            <v>70640489</v>
          </cell>
          <cell r="C3595" t="str">
            <v>尚禾谷 爆汁牛肉棒香辣味 24G</v>
          </cell>
          <cell r="D3595">
            <v>3</v>
          </cell>
          <cell r="E3595">
            <v>2.04</v>
          </cell>
          <cell r="F3595">
            <v>0.76839999999999997</v>
          </cell>
        </row>
        <row r="3596">
          <cell r="B3596" t="str">
            <v>70640490</v>
          </cell>
          <cell r="C3596" t="str">
            <v>尚禾谷 爆汁牛肉棒火锅味 24G</v>
          </cell>
          <cell r="D3596">
            <v>3</v>
          </cell>
          <cell r="E3596">
            <v>2.0299999999999998</v>
          </cell>
          <cell r="F3596">
            <v>0.76463333333333305</v>
          </cell>
        </row>
        <row r="3597">
          <cell r="B3597" t="str">
            <v>70640491</v>
          </cell>
          <cell r="C3597" t="str">
            <v>尚禾谷 爆汁牛肉棒红烧味 24G</v>
          </cell>
          <cell r="D3597">
            <v>14</v>
          </cell>
          <cell r="E3597">
            <v>9.4700000000000006</v>
          </cell>
          <cell r="F3597">
            <v>0.76436428571428605</v>
          </cell>
        </row>
        <row r="3598">
          <cell r="B3598" t="str">
            <v>70640492</v>
          </cell>
          <cell r="C3598" t="str">
            <v>乡巴佬 盐焗鸡腿 90G</v>
          </cell>
          <cell r="D3598">
            <v>1399</v>
          </cell>
          <cell r="E3598">
            <v>5299.21</v>
          </cell>
          <cell r="F3598">
            <v>4.2802768406004299</v>
          </cell>
        </row>
        <row r="3599">
          <cell r="B3599" t="str">
            <v>70640493</v>
          </cell>
          <cell r="C3599" t="str">
            <v>乡巴佬 蜜汁鸡腿 80G</v>
          </cell>
          <cell r="D3599">
            <v>1439</v>
          </cell>
          <cell r="E3599">
            <v>5444.35</v>
          </cell>
          <cell r="F3599">
            <v>4.2752713690062496</v>
          </cell>
        </row>
        <row r="3600">
          <cell r="B3600" t="str">
            <v>70640494</v>
          </cell>
          <cell r="C3600" t="str">
            <v>乡巴佬 盐焗鸭腿 110G</v>
          </cell>
          <cell r="D3600">
            <v>976</v>
          </cell>
          <cell r="E3600">
            <v>3986.55</v>
          </cell>
          <cell r="F3600">
            <v>4.6155753073770498</v>
          </cell>
        </row>
        <row r="3601">
          <cell r="B3601" t="str">
            <v>70640495</v>
          </cell>
          <cell r="C3601" t="str">
            <v>乡巴佬 香辣鸭腿 110G</v>
          </cell>
          <cell r="D3601">
            <v>1082</v>
          </cell>
          <cell r="E3601">
            <v>4416.4799999999996</v>
          </cell>
          <cell r="F3601">
            <v>4.61240517560074</v>
          </cell>
        </row>
        <row r="3602">
          <cell r="B3602" t="str">
            <v>70640498</v>
          </cell>
          <cell r="C3602" t="str">
            <v>尚禾谷 抱爆果香辣味 20G</v>
          </cell>
          <cell r="D3602">
            <v>3</v>
          </cell>
          <cell r="E3602">
            <v>2.04</v>
          </cell>
          <cell r="F3602">
            <v>0.76839999999999997</v>
          </cell>
        </row>
        <row r="3603">
          <cell r="B3603" t="str">
            <v>70640499</v>
          </cell>
          <cell r="C3603" t="str">
            <v>尚禾谷 抱爆果红烧牛肉味 20G</v>
          </cell>
          <cell r="D3603">
            <v>12</v>
          </cell>
          <cell r="E3603">
            <v>8.07</v>
          </cell>
          <cell r="F3603">
            <v>0.75992499999999996</v>
          </cell>
        </row>
        <row r="3604">
          <cell r="B3604" t="str">
            <v>70640505</v>
          </cell>
          <cell r="C3604" t="str">
            <v>沙发猫 手撕烤脖（香辣味） 40G</v>
          </cell>
          <cell r="D3604">
            <v>577</v>
          </cell>
          <cell r="E3604">
            <v>1024.22</v>
          </cell>
          <cell r="F3604">
            <v>2.0058381282495699</v>
          </cell>
        </row>
        <row r="3605">
          <cell r="B3605" t="str">
            <v>70640506</v>
          </cell>
          <cell r="C3605" t="str">
            <v>渔米之湘 鸡肉粒(香辣味) 24G</v>
          </cell>
          <cell r="D3605">
            <v>3088</v>
          </cell>
          <cell r="E3605">
            <v>4821.45</v>
          </cell>
          <cell r="F3605">
            <v>1.7643259391191699</v>
          </cell>
        </row>
        <row r="3606">
          <cell r="B3606" t="str">
            <v>70640507</v>
          </cell>
          <cell r="C3606" t="str">
            <v>渔米之湘 爱鱼虾(香辣味) 40G</v>
          </cell>
          <cell r="D3606">
            <v>3285</v>
          </cell>
          <cell r="E3606">
            <v>12857.05</v>
          </cell>
          <cell r="F3606">
            <v>4.4226686453576898</v>
          </cell>
        </row>
        <row r="3607">
          <cell r="B3607" t="str">
            <v>70640508</v>
          </cell>
          <cell r="C3607" t="str">
            <v>渔米之湘 爱鱼虾(椒盐味) 40G</v>
          </cell>
          <cell r="D3607">
            <v>2992</v>
          </cell>
          <cell r="E3607">
            <v>11715.54</v>
          </cell>
          <cell r="F3607">
            <v>4.4246524732620296</v>
          </cell>
        </row>
        <row r="3608">
          <cell r="B3608" t="str">
            <v>70640509</v>
          </cell>
          <cell r="C3608" t="str">
            <v>渔米之湘 爆汁鱼(香辣味) 40G</v>
          </cell>
          <cell r="D3608">
            <v>2763</v>
          </cell>
          <cell r="E3608">
            <v>10817.09</v>
          </cell>
          <cell r="F3608">
            <v>4.4239275063336896</v>
          </cell>
        </row>
        <row r="3609">
          <cell r="B3609" t="str">
            <v>70640510</v>
          </cell>
          <cell r="C3609" t="str">
            <v>渔米之湘 爆汁鱼(微辣味) 40G</v>
          </cell>
          <cell r="D3609">
            <v>2851</v>
          </cell>
          <cell r="E3609">
            <v>11174.66</v>
          </cell>
          <cell r="F3609">
            <v>4.4291005962820096</v>
          </cell>
        </row>
        <row r="3610">
          <cell r="B3610" t="str">
            <v>70640511</v>
          </cell>
          <cell r="C3610" t="str">
            <v>渔米之湘 鸡肉粒(香辣味) 50G</v>
          </cell>
          <cell r="D3610">
            <v>2654</v>
          </cell>
          <cell r="E3610">
            <v>10395.48</v>
          </cell>
          <cell r="F3610">
            <v>4.4261086661642803</v>
          </cell>
        </row>
        <row r="3611">
          <cell r="B3611" t="str">
            <v>70640519</v>
          </cell>
          <cell r="C3611" t="str">
            <v>罗小懒 魔芋干（香辣） 150G</v>
          </cell>
          <cell r="D3611">
            <v>15</v>
          </cell>
          <cell r="E3611">
            <v>112.93</v>
          </cell>
          <cell r="F3611">
            <v>8.5073933333333294</v>
          </cell>
        </row>
        <row r="3612">
          <cell r="B3612" t="str">
            <v>70640531</v>
          </cell>
          <cell r="C3612" t="str">
            <v>甘源 鲜虾味果蔬虾条 75G</v>
          </cell>
          <cell r="D3612">
            <v>4</v>
          </cell>
          <cell r="E3612">
            <v>14.52</v>
          </cell>
          <cell r="F3612">
            <v>4.1018999999999997</v>
          </cell>
        </row>
        <row r="3613">
          <cell r="B3613" t="str">
            <v>70640544</v>
          </cell>
          <cell r="C3613" t="str">
            <v>亿智 IP沾脆脆薯条（海苔味） 15G</v>
          </cell>
          <cell r="D3613">
            <v>598</v>
          </cell>
          <cell r="E3613">
            <v>1579.93</v>
          </cell>
          <cell r="F3613">
            <v>2.9854864548495001</v>
          </cell>
        </row>
        <row r="3614">
          <cell r="B3614" t="str">
            <v>70640545</v>
          </cell>
          <cell r="C3614" t="str">
            <v>亿智 IP沾脆脆薯条（烤鸡翅味） 15G</v>
          </cell>
          <cell r="D3614">
            <v>522</v>
          </cell>
          <cell r="E3614">
            <v>1378.2</v>
          </cell>
          <cell r="F3614">
            <v>2.9834597701149401</v>
          </cell>
        </row>
        <row r="3615">
          <cell r="B3615" t="str">
            <v>70640547</v>
          </cell>
          <cell r="C3615" t="str">
            <v>甘源 经典原味鲜切薯条 120G</v>
          </cell>
          <cell r="D3615">
            <v>5</v>
          </cell>
          <cell r="E3615">
            <v>34.96</v>
          </cell>
          <cell r="F3615">
            <v>7.9009600000000004</v>
          </cell>
        </row>
        <row r="3616">
          <cell r="B3616" t="str">
            <v>70640567</v>
          </cell>
          <cell r="C3616" t="str">
            <v>超友味 桂花杏干 50G</v>
          </cell>
          <cell r="D3616">
            <v>10</v>
          </cell>
          <cell r="E3616">
            <v>48.7</v>
          </cell>
          <cell r="F3616">
            <v>5.5030999999999999</v>
          </cell>
        </row>
        <row r="3617">
          <cell r="B3617" t="str">
            <v>70640568</v>
          </cell>
          <cell r="C3617" t="str">
            <v>超友味 阳光杏干 50G</v>
          </cell>
          <cell r="D3617">
            <v>3</v>
          </cell>
          <cell r="E3617">
            <v>14.61</v>
          </cell>
          <cell r="F3617">
            <v>5.5030999999999999</v>
          </cell>
        </row>
        <row r="3618">
          <cell r="B3618" t="str">
            <v>70640569</v>
          </cell>
          <cell r="C3618" t="str">
            <v>超友味 黄桃干 50G</v>
          </cell>
          <cell r="D3618">
            <v>17</v>
          </cell>
          <cell r="E3618">
            <v>82.79</v>
          </cell>
          <cell r="F3618">
            <v>5.5030999999999999</v>
          </cell>
        </row>
        <row r="3619">
          <cell r="B3619" t="str">
            <v>70640575</v>
          </cell>
          <cell r="C3619" t="str">
            <v>永健 霸王笋尖 35G</v>
          </cell>
          <cell r="D3619">
            <v>1420</v>
          </cell>
          <cell r="E3619">
            <v>2427.5</v>
          </cell>
          <cell r="F3619">
            <v>1.93174295774648</v>
          </cell>
        </row>
        <row r="3620">
          <cell r="B3620" t="str">
            <v>70640578</v>
          </cell>
          <cell r="C3620" t="str">
            <v>卫龙 大面筋 24G</v>
          </cell>
          <cell r="D3620">
            <v>14</v>
          </cell>
          <cell r="E3620">
            <v>8.9700000000000006</v>
          </cell>
          <cell r="F3620">
            <v>0.72400714285714296</v>
          </cell>
        </row>
        <row r="3621">
          <cell r="B3621" t="str">
            <v>70640588</v>
          </cell>
          <cell r="C3621" t="str">
            <v>馋小爱 战斧鸭腿香辣味 138G</v>
          </cell>
          <cell r="D3621">
            <v>0</v>
          </cell>
          <cell r="E3621">
            <v>0</v>
          </cell>
          <cell r="F3621" t="e">
            <v>#DIV/0!</v>
          </cell>
        </row>
        <row r="3622">
          <cell r="B3622" t="str">
            <v>70640592</v>
          </cell>
          <cell r="C3622" t="str">
            <v>花椒世家 手工花椒锅巴黑椒牛排味 158G</v>
          </cell>
          <cell r="D3622">
            <v>18</v>
          </cell>
          <cell r="E3622">
            <v>76.48</v>
          </cell>
          <cell r="F3622">
            <v>4.80124444444444</v>
          </cell>
        </row>
        <row r="3623">
          <cell r="B3623" t="str">
            <v>70640593</v>
          </cell>
          <cell r="C3623" t="str">
            <v>沙发猫 去骨凤爪（泡椒味） 70G</v>
          </cell>
          <cell r="D3623">
            <v>409</v>
          </cell>
          <cell r="E3623">
            <v>2767.05</v>
          </cell>
          <cell r="F3623">
            <v>7.6449058679706603</v>
          </cell>
        </row>
        <row r="3624">
          <cell r="B3624" t="str">
            <v>70640594</v>
          </cell>
          <cell r="C3624" t="str">
            <v>花椒世家 黑臻锅巴川香麻辣味 128G</v>
          </cell>
          <cell r="D3624">
            <v>69</v>
          </cell>
          <cell r="E3624">
            <v>329.82</v>
          </cell>
          <cell r="F3624">
            <v>5.4013999999999998</v>
          </cell>
        </row>
        <row r="3625">
          <cell r="B3625" t="str">
            <v>70640595</v>
          </cell>
          <cell r="C3625" t="str">
            <v>花椒世家 黑臻锅巴黑椒海盐味 128G</v>
          </cell>
          <cell r="D3625">
            <v>20</v>
          </cell>
          <cell r="E3625">
            <v>95.6</v>
          </cell>
          <cell r="F3625">
            <v>5.4013999999999998</v>
          </cell>
        </row>
        <row r="3626">
          <cell r="B3626" t="str">
            <v>70640597</v>
          </cell>
          <cell r="C3626" t="str">
            <v>沙发猫 卤香味老卤鸡爪（卤香味） 80G</v>
          </cell>
          <cell r="D3626">
            <v>219</v>
          </cell>
          <cell r="E3626">
            <v>1465.36</v>
          </cell>
          <cell r="F3626">
            <v>7.5609899543379004</v>
          </cell>
        </row>
        <row r="3627">
          <cell r="B3627" t="str">
            <v>70640599</v>
          </cell>
          <cell r="C3627" t="str">
            <v>永健 泡椒凤爪（山椒经典） 70G</v>
          </cell>
          <cell r="D3627">
            <v>2320</v>
          </cell>
          <cell r="E3627">
            <v>8087.46</v>
          </cell>
          <cell r="F3627">
            <v>3.9391507758620699</v>
          </cell>
        </row>
        <row r="3628">
          <cell r="B3628" t="str">
            <v>70640600</v>
          </cell>
          <cell r="C3628" t="str">
            <v>超友味 陈皮白桃（果脯） 60G</v>
          </cell>
          <cell r="D3628">
            <v>23</v>
          </cell>
          <cell r="E3628">
            <v>211.74</v>
          </cell>
          <cell r="F3628">
            <v>10.402878260869601</v>
          </cell>
        </row>
        <row r="3629">
          <cell r="B3629" t="str">
            <v>70640601</v>
          </cell>
          <cell r="C3629" t="str">
            <v>超友味 百香唇柚（果脯） 60G</v>
          </cell>
          <cell r="D3629">
            <v>20</v>
          </cell>
          <cell r="E3629">
            <v>184.09</v>
          </cell>
          <cell r="F3629">
            <v>10.401085</v>
          </cell>
        </row>
        <row r="3630">
          <cell r="B3630" t="str">
            <v>70640602</v>
          </cell>
          <cell r="C3630" t="str">
            <v>超友味 柚见莓好（果脯） 60G</v>
          </cell>
          <cell r="D3630">
            <v>8</v>
          </cell>
          <cell r="E3630">
            <v>73.680000000000007</v>
          </cell>
          <cell r="F3630">
            <v>10.407299999999999</v>
          </cell>
        </row>
        <row r="3631">
          <cell r="B3631" t="str">
            <v>70640603</v>
          </cell>
          <cell r="C3631" t="str">
            <v>超友味 梅心芭乐（果脯） 60G</v>
          </cell>
          <cell r="D3631">
            <v>11</v>
          </cell>
          <cell r="E3631">
            <v>101.3</v>
          </cell>
          <cell r="F3631">
            <v>10.4062727272727</v>
          </cell>
        </row>
        <row r="3632">
          <cell r="B3632" t="str">
            <v>70640616</v>
          </cell>
          <cell r="C3632" t="str">
            <v>力诚 酱汁鳕鱼丸 100G</v>
          </cell>
          <cell r="D3632">
            <v>13</v>
          </cell>
          <cell r="E3632">
            <v>85.15</v>
          </cell>
          <cell r="F3632">
            <v>7.4015000000000004</v>
          </cell>
        </row>
        <row r="3633">
          <cell r="B3633" t="str">
            <v>70640617</v>
          </cell>
          <cell r="C3633" t="str">
            <v>力诚 竹签鱼片 100G</v>
          </cell>
          <cell r="D3633">
            <v>11</v>
          </cell>
          <cell r="E3633">
            <v>72.05</v>
          </cell>
          <cell r="F3633">
            <v>7.4015000000000004</v>
          </cell>
        </row>
        <row r="3634">
          <cell r="B3634" t="str">
            <v>70640911</v>
          </cell>
          <cell r="C3634" t="str">
            <v>旺仔 彩虹小馒头能量罐综合水果味 80G</v>
          </cell>
          <cell r="D3634">
            <v>3</v>
          </cell>
          <cell r="E3634">
            <v>15.42</v>
          </cell>
          <cell r="F3634">
            <v>5.8082000000000003</v>
          </cell>
        </row>
        <row r="3635">
          <cell r="B3635" t="str">
            <v>70640913</v>
          </cell>
          <cell r="C3635" t="str">
            <v>旺旺 维多粒果冻爽杨枝甘露 150G</v>
          </cell>
          <cell r="D3635">
            <v>16</v>
          </cell>
          <cell r="E3635">
            <v>36.840000000000003</v>
          </cell>
          <cell r="F3635">
            <v>2.6018249999999998</v>
          </cell>
        </row>
        <row r="3636">
          <cell r="B3636" t="str">
            <v>70640914</v>
          </cell>
          <cell r="C3636" t="str">
            <v>旺旺 维多粒果冻爽蓝莓西米露 150G</v>
          </cell>
          <cell r="D3636">
            <v>2</v>
          </cell>
          <cell r="E3636">
            <v>4.62</v>
          </cell>
          <cell r="F3636">
            <v>2.6103000000000001</v>
          </cell>
        </row>
        <row r="3637">
          <cell r="B3637" t="str">
            <v>70640915</v>
          </cell>
          <cell r="C3637" t="str">
            <v>旺旺 嫩布丁蜜桃 130G</v>
          </cell>
          <cell r="D3637">
            <v>3</v>
          </cell>
          <cell r="E3637">
            <v>12.88</v>
          </cell>
          <cell r="F3637">
            <v>4.8514666666666697</v>
          </cell>
        </row>
        <row r="3638">
          <cell r="B3638" t="str">
            <v>70640916</v>
          </cell>
          <cell r="C3638" t="str">
            <v>旺旺 嫩布丁草莓 130G</v>
          </cell>
          <cell r="D3638">
            <v>1</v>
          </cell>
          <cell r="E3638">
            <v>4.3</v>
          </cell>
          <cell r="F3638">
            <v>4.859</v>
          </cell>
        </row>
        <row r="3639">
          <cell r="B3639" t="str">
            <v>70640917</v>
          </cell>
          <cell r="C3639" t="str">
            <v>旺旺 嫩布丁芒果 130G</v>
          </cell>
          <cell r="D3639">
            <v>4</v>
          </cell>
          <cell r="E3639">
            <v>17.190000000000001</v>
          </cell>
          <cell r="F3639">
            <v>4.8561750000000004</v>
          </cell>
        </row>
        <row r="3640">
          <cell r="B3640" t="str">
            <v>70640918</v>
          </cell>
          <cell r="C3640" t="str">
            <v>旺旺 QQ果知法式软糖巨峰葡萄 70G</v>
          </cell>
          <cell r="D3640">
            <v>2</v>
          </cell>
          <cell r="E3640">
            <v>6.82</v>
          </cell>
          <cell r="F3640">
            <v>3.8532999999999999</v>
          </cell>
        </row>
        <row r="3641">
          <cell r="B3641" t="str">
            <v>70643551</v>
          </cell>
          <cell r="C3641" t="str">
            <v>无穷 烤鸡翅根（香辣味） 58G</v>
          </cell>
          <cell r="D3641">
            <v>253</v>
          </cell>
          <cell r="E3641">
            <v>2044.45</v>
          </cell>
          <cell r="F3641">
            <v>9.1313379446640308</v>
          </cell>
        </row>
        <row r="3642">
          <cell r="B3642" t="str">
            <v>70643557</v>
          </cell>
          <cell r="C3642" t="str">
            <v>无穷 虎皮凤爪卤香味 105G</v>
          </cell>
          <cell r="D3642">
            <v>761</v>
          </cell>
          <cell r="E3642">
            <v>7654.67</v>
          </cell>
          <cell r="F3642">
            <v>11.3663299605782</v>
          </cell>
        </row>
        <row r="3643">
          <cell r="B3643" t="str">
            <v>70643712</v>
          </cell>
          <cell r="C3643" t="str">
            <v>无穷 虎皮凤爪香辣味 105G</v>
          </cell>
          <cell r="D3643">
            <v>592</v>
          </cell>
          <cell r="E3643">
            <v>5962.6</v>
          </cell>
          <cell r="F3643">
            <v>11.381314189189199</v>
          </cell>
        </row>
        <row r="3644">
          <cell r="B3644" t="str">
            <v>70643803</v>
          </cell>
          <cell r="C3644" t="str">
            <v>无穷 烤鸡翅根（蜂蜜味） 58G</v>
          </cell>
          <cell r="D3644">
            <v>203</v>
          </cell>
          <cell r="E3644">
            <v>1642.66</v>
          </cell>
          <cell r="F3644">
            <v>9.1438709359605905</v>
          </cell>
        </row>
        <row r="3645">
          <cell r="B3645" t="str">
            <v>70646729</v>
          </cell>
          <cell r="C3645" t="str">
            <v>丝路之葵 原味马牙瓜子  160克</v>
          </cell>
          <cell r="D3645">
            <v>57</v>
          </cell>
          <cell r="E3645">
            <v>412.11</v>
          </cell>
          <cell r="F3645">
            <v>8.1699000000000002</v>
          </cell>
        </row>
        <row r="3646">
          <cell r="B3646" t="str">
            <v>70646730</v>
          </cell>
          <cell r="C3646" t="str">
            <v>丝路之葵 原味马牙瓜子  1000克</v>
          </cell>
          <cell r="D3646">
            <v>64</v>
          </cell>
          <cell r="E3646">
            <v>1869.44</v>
          </cell>
          <cell r="F3646">
            <v>33.007300000000001</v>
          </cell>
        </row>
        <row r="3647">
          <cell r="B3647" t="str">
            <v>70646733</v>
          </cell>
          <cell r="C3647" t="str">
            <v>丝路之葵 原味花瓜子 500克</v>
          </cell>
          <cell r="D3647">
            <v>84</v>
          </cell>
          <cell r="E3647">
            <v>1380.94</v>
          </cell>
          <cell r="F3647">
            <v>18.576930952381002</v>
          </cell>
        </row>
        <row r="3648">
          <cell r="B3648" t="str">
            <v>70649938</v>
          </cell>
          <cell r="C3648" t="str">
            <v>盼盼 HELLO KITTY心愿礼盒 903G</v>
          </cell>
          <cell r="D3648">
            <v>106</v>
          </cell>
          <cell r="E3648">
            <v>2606.21</v>
          </cell>
          <cell r="F3648">
            <v>27.7831820754717</v>
          </cell>
        </row>
        <row r="3649">
          <cell r="B3649" t="str">
            <v>70650154</v>
          </cell>
          <cell r="C3649" t="str">
            <v>良品铺子 大大大快乐 1000G</v>
          </cell>
          <cell r="D3649">
            <v>1009</v>
          </cell>
          <cell r="E3649">
            <v>62461.25</v>
          </cell>
          <cell r="F3649">
            <v>69.951647670961293</v>
          </cell>
        </row>
        <row r="3650">
          <cell r="B3650" t="str">
            <v>70656354</v>
          </cell>
          <cell r="C3650" t="str">
            <v>盼盼 HELLOKITTY萌力礼包 751G</v>
          </cell>
          <cell r="D3650">
            <v>56</v>
          </cell>
          <cell r="E3650">
            <v>1034.43</v>
          </cell>
          <cell r="F3650">
            <v>20.873319642857101</v>
          </cell>
        </row>
        <row r="3651">
          <cell r="B3651" t="str">
            <v>70656355</v>
          </cell>
          <cell r="C3651" t="str">
            <v>甘源 蓝莓桑葚味米饼袋装 168g</v>
          </cell>
          <cell r="D3651">
            <v>489</v>
          </cell>
          <cell r="E3651">
            <v>4555.1400000000003</v>
          </cell>
          <cell r="F3651">
            <v>10.5261926380368</v>
          </cell>
        </row>
        <row r="3652">
          <cell r="B3652" t="str">
            <v>70656357</v>
          </cell>
          <cell r="C3652" t="str">
            <v>甘源 芥末鳕鱼味五黑米饼袋装 168g</v>
          </cell>
          <cell r="D3652">
            <v>355</v>
          </cell>
          <cell r="E3652">
            <v>3300.67</v>
          </cell>
          <cell r="F3652">
            <v>10.506358028169</v>
          </cell>
        </row>
        <row r="3653">
          <cell r="B3653" t="str">
            <v>70656359</v>
          </cell>
          <cell r="C3653" t="str">
            <v>甘源 草莓白桃味米饼袋装 168g</v>
          </cell>
          <cell r="D3653">
            <v>520</v>
          </cell>
          <cell r="E3653">
            <v>4846.59</v>
          </cell>
          <cell r="F3653">
            <v>10.5320128846154</v>
          </cell>
        </row>
        <row r="3654">
          <cell r="B3654" t="str">
            <v>70656721</v>
          </cell>
          <cell r="C3654" t="str">
            <v>甘源 黑松露火腿味五黑米饼袋装 168g</v>
          </cell>
          <cell r="D3654">
            <v>357</v>
          </cell>
          <cell r="E3654">
            <v>3319.5</v>
          </cell>
          <cell r="F3654">
            <v>10.507100840336101</v>
          </cell>
        </row>
        <row r="3655">
          <cell r="B3655" t="str">
            <v>70656726</v>
          </cell>
          <cell r="C3655" t="str">
            <v>甘源 臻果冻干芒果腰果仁 15g</v>
          </cell>
          <cell r="D3655">
            <v>1942</v>
          </cell>
          <cell r="E3655">
            <v>6653.46</v>
          </cell>
          <cell r="F3655">
            <v>3.8714777548918602</v>
          </cell>
        </row>
        <row r="3656">
          <cell r="B3656" t="str">
            <v>70656775</v>
          </cell>
          <cell r="C3656" t="str">
            <v>甘源 臻果混合柿种果仁 33g</v>
          </cell>
          <cell r="D3656">
            <v>2264</v>
          </cell>
          <cell r="E3656">
            <v>7756.52</v>
          </cell>
          <cell r="F3656">
            <v>3.8714079505300298</v>
          </cell>
        </row>
        <row r="3657">
          <cell r="B3657" t="str">
            <v>70656776</v>
          </cell>
          <cell r="C3657" t="str">
            <v>盼盼 HELLOKITTY萌趣礼包 360G</v>
          </cell>
          <cell r="D3657">
            <v>11</v>
          </cell>
          <cell r="E3657">
            <v>131.26</v>
          </cell>
          <cell r="F3657">
            <v>13.4839818181818</v>
          </cell>
        </row>
        <row r="3658">
          <cell r="B3658" t="str">
            <v>70656955</v>
          </cell>
          <cell r="C3658" t="str">
            <v>甘源 袋装经典原味鲜切薯条 40g</v>
          </cell>
          <cell r="D3658">
            <v>2503</v>
          </cell>
          <cell r="E3658">
            <v>6720.72</v>
          </cell>
          <cell r="F3658">
            <v>3.0341244906112701</v>
          </cell>
        </row>
        <row r="3659">
          <cell r="B3659" t="str">
            <v>70657151</v>
          </cell>
          <cell r="C3659" t="str">
            <v>甘源 臻果综合果仁 35g</v>
          </cell>
          <cell r="D3659">
            <v>2043</v>
          </cell>
          <cell r="E3659">
            <v>5388.13</v>
          </cell>
          <cell r="F3659">
            <v>2.9802187469407699</v>
          </cell>
        </row>
        <row r="3660">
          <cell r="B3660" t="str">
            <v>70657944</v>
          </cell>
          <cell r="C3660" t="str">
            <v>甘源 袋装蜂蜜黄油味鲜切薯条 40G</v>
          </cell>
          <cell r="D3660">
            <v>2354</v>
          </cell>
          <cell r="E3660">
            <v>6148.75</v>
          </cell>
          <cell r="F3660">
            <v>2.9516089634664402</v>
          </cell>
        </row>
        <row r="3661">
          <cell r="B3661" t="str">
            <v>70658124</v>
          </cell>
          <cell r="C3661" t="str">
            <v>甘源 黑金蒜龙虾翡翠豆袋装 170G</v>
          </cell>
          <cell r="D3661">
            <v>159</v>
          </cell>
          <cell r="E3661">
            <v>1993.17</v>
          </cell>
          <cell r="F3661">
            <v>14.1652962264151</v>
          </cell>
        </row>
        <row r="3662">
          <cell r="B3662" t="str">
            <v>70658125</v>
          </cell>
          <cell r="C3662" t="str">
            <v>甘源 臻果龙井绿豆沙味混合坚果仁 27G</v>
          </cell>
          <cell r="D3662">
            <v>2333</v>
          </cell>
          <cell r="E3662">
            <v>8007.36</v>
          </cell>
          <cell r="F3662">
            <v>3.87840411487355</v>
          </cell>
        </row>
        <row r="3663">
          <cell r="B3663" t="str">
            <v>70658126</v>
          </cell>
          <cell r="C3663" t="str">
            <v>甘源 臻果蜂蜜夏威夷果仁混合坚果仁 23G</v>
          </cell>
          <cell r="D3663">
            <v>2589</v>
          </cell>
          <cell r="E3663">
            <v>8891.9</v>
          </cell>
          <cell r="F3663">
            <v>3.8809760525299302</v>
          </cell>
        </row>
        <row r="3664">
          <cell r="B3664" t="str">
            <v>70659098</v>
          </cell>
          <cell r="C3664" t="str">
            <v>诺倍得 巧克力味玉米卷（膨化食品） 120G</v>
          </cell>
          <cell r="D3664">
            <v>43</v>
          </cell>
          <cell r="E3664">
            <v>643.14</v>
          </cell>
          <cell r="F3664">
            <v>16.901120930232601</v>
          </cell>
        </row>
        <row r="3665">
          <cell r="B3665" t="str">
            <v>70666484</v>
          </cell>
          <cell r="C3665" t="str">
            <v>优斯麦尔 马牙瓜子 156G</v>
          </cell>
          <cell r="D3665">
            <v>5868</v>
          </cell>
          <cell r="E3665">
            <v>45843.92</v>
          </cell>
          <cell r="F3665">
            <v>8.82815773687798</v>
          </cell>
        </row>
        <row r="3666">
          <cell r="B3666" t="str">
            <v>70666834</v>
          </cell>
          <cell r="C3666" t="str">
            <v>乐事 米饼仙贝全家桶 193G</v>
          </cell>
          <cell r="D3666">
            <v>28</v>
          </cell>
          <cell r="E3666">
            <v>498.1</v>
          </cell>
          <cell r="F3666">
            <v>20.1018928571429</v>
          </cell>
        </row>
        <row r="3667">
          <cell r="B3667" t="str">
            <v>70667069</v>
          </cell>
          <cell r="C3667" t="str">
            <v>优斯麦尔 原味葵花瓜子 500G</v>
          </cell>
          <cell r="D3667">
            <v>10385</v>
          </cell>
          <cell r="E3667">
            <v>128989.35</v>
          </cell>
          <cell r="F3667">
            <v>14.0354324025036</v>
          </cell>
        </row>
        <row r="3668">
          <cell r="B3668" t="str">
            <v>70667070</v>
          </cell>
          <cell r="C3668" t="str">
            <v>优斯麦尔 原味葵花瓜子 156G</v>
          </cell>
          <cell r="D3668">
            <v>20227</v>
          </cell>
          <cell r="E3668">
            <v>116481.03</v>
          </cell>
          <cell r="F3668">
            <v>6.5073201117318398</v>
          </cell>
        </row>
        <row r="3669">
          <cell r="B3669" t="str">
            <v>70668464</v>
          </cell>
          <cell r="C3669" t="str">
            <v>优斯麦尔 原味南瓜子 218G</v>
          </cell>
          <cell r="D3669">
            <v>1629</v>
          </cell>
          <cell r="E3669">
            <v>26038.78</v>
          </cell>
          <cell r="F3669">
            <v>18.062505463474501</v>
          </cell>
        </row>
        <row r="3670">
          <cell r="B3670" t="str">
            <v>70668465</v>
          </cell>
          <cell r="C3670" t="str">
            <v>优斯麦尔 原味葵花瓜子 218G</v>
          </cell>
          <cell r="D3670">
            <v>1567</v>
          </cell>
          <cell r="E3670">
            <v>25464.17</v>
          </cell>
          <cell r="F3670">
            <v>18.3628028717294</v>
          </cell>
        </row>
        <row r="3671">
          <cell r="B3671" t="str">
            <v>70668466</v>
          </cell>
          <cell r="C3671" t="str">
            <v>优斯麦尔 藤椒葵花瓜子 156G</v>
          </cell>
          <cell r="D3671">
            <v>4926</v>
          </cell>
          <cell r="E3671">
            <v>27533.17</v>
          </cell>
          <cell r="F3671">
            <v>6.31597281770199</v>
          </cell>
        </row>
        <row r="3672">
          <cell r="B3672" t="str">
            <v>70668864</v>
          </cell>
          <cell r="C3672" t="str">
            <v>良品铺子 财源滚滚 1097G</v>
          </cell>
          <cell r="D3672">
            <v>761</v>
          </cell>
          <cell r="E3672">
            <v>33072.15</v>
          </cell>
          <cell r="F3672">
            <v>49.108448751642598</v>
          </cell>
        </row>
        <row r="3673">
          <cell r="B3673" t="str">
            <v>70678478</v>
          </cell>
          <cell r="C3673" t="str">
            <v>优斯麦尔 脱皮多味葵花瓜子 180G</v>
          </cell>
          <cell r="D3673">
            <v>2551</v>
          </cell>
          <cell r="E3673">
            <v>17140.310000000001</v>
          </cell>
          <cell r="F3673">
            <v>7.5925324578596598</v>
          </cell>
        </row>
        <row r="3674">
          <cell r="B3674" t="str">
            <v>70678752</v>
          </cell>
          <cell r="C3674" t="str">
            <v>优斯麦尔 五香葵花瓜子 156G</v>
          </cell>
          <cell r="D3674">
            <v>7711</v>
          </cell>
          <cell r="E3674">
            <v>44439.360000000001</v>
          </cell>
          <cell r="F3674">
            <v>6.5123170535598502</v>
          </cell>
        </row>
        <row r="3675">
          <cell r="B3675" t="str">
            <v>70678753</v>
          </cell>
          <cell r="C3675" t="str">
            <v>优斯麦尔 五香南瓜子 180G</v>
          </cell>
          <cell r="D3675">
            <v>1910</v>
          </cell>
          <cell r="E3675">
            <v>14126.84</v>
          </cell>
          <cell r="F3675">
            <v>8.3577639790575908</v>
          </cell>
        </row>
        <row r="3676">
          <cell r="B3676" t="str">
            <v>70678754</v>
          </cell>
          <cell r="C3676" t="str">
            <v>优斯麦尔 话梅味西瓜子 128G</v>
          </cell>
          <cell r="D3676">
            <v>3308</v>
          </cell>
          <cell r="E3676">
            <v>18551.53</v>
          </cell>
          <cell r="F3676">
            <v>6.3371308645707396</v>
          </cell>
        </row>
        <row r="3677">
          <cell r="B3677" t="str">
            <v>70678755</v>
          </cell>
          <cell r="C3677" t="str">
            <v>优斯麦尔 沙棘葵花瓜子 156G</v>
          </cell>
          <cell r="D3677">
            <v>9691</v>
          </cell>
          <cell r="E3677">
            <v>54133.1</v>
          </cell>
          <cell r="F3677">
            <v>6.3120836858941303</v>
          </cell>
        </row>
        <row r="3678">
          <cell r="B3678" t="str">
            <v>70680352</v>
          </cell>
          <cell r="C3678" t="str">
            <v>桃不掉 烤黄桃 86G</v>
          </cell>
          <cell r="D3678">
            <v>9</v>
          </cell>
          <cell r="E3678">
            <v>87.66</v>
          </cell>
          <cell r="F3678">
            <v>11.0062</v>
          </cell>
        </row>
        <row r="3679">
          <cell r="B3679" t="str">
            <v>70680354</v>
          </cell>
          <cell r="C3679" t="str">
            <v>诺倍得 冈古佐拉芝士玉米卷(膨化食品) 55G</v>
          </cell>
          <cell r="D3679">
            <v>205</v>
          </cell>
          <cell r="E3679">
            <v>1760.28</v>
          </cell>
          <cell r="F3679">
            <v>9.7030068292682898</v>
          </cell>
        </row>
        <row r="3680">
          <cell r="B3680" t="str">
            <v>70680823</v>
          </cell>
          <cell r="C3680" t="str">
            <v>诺倍得 年糕小食(膨化食品) 66G</v>
          </cell>
          <cell r="D3680">
            <v>117</v>
          </cell>
          <cell r="E3680">
            <v>1170</v>
          </cell>
          <cell r="F3680">
            <v>11.3</v>
          </cell>
        </row>
        <row r="3681">
          <cell r="B3681" t="str">
            <v>70681017</v>
          </cell>
          <cell r="C3681" t="str">
            <v>好丽友 好友趣火鸡面味 70g</v>
          </cell>
          <cell r="D3681">
            <v>2844</v>
          </cell>
          <cell r="E3681">
            <v>11000.49</v>
          </cell>
          <cell r="F3681">
            <v>4.3707994725738404</v>
          </cell>
        </row>
        <row r="3682">
          <cell r="B3682" t="str">
            <v>70681292</v>
          </cell>
          <cell r="C3682" t="str">
            <v>芭蜂 好运年年福气桶 360G</v>
          </cell>
          <cell r="D3682">
            <v>14</v>
          </cell>
          <cell r="E3682">
            <v>1498.62</v>
          </cell>
          <cell r="F3682">
            <v>120.96004285714299</v>
          </cell>
        </row>
        <row r="3683">
          <cell r="B3683" t="str">
            <v>70681293</v>
          </cell>
          <cell r="C3683" t="str">
            <v>薛记炒货 时珍聚福 2005G</v>
          </cell>
          <cell r="D3683">
            <v>5</v>
          </cell>
          <cell r="E3683">
            <v>535.23</v>
          </cell>
          <cell r="F3683">
            <v>120.96198</v>
          </cell>
        </row>
        <row r="3684">
          <cell r="B3684" t="str">
            <v>70681294</v>
          </cell>
          <cell r="C3684" t="str">
            <v>薛记炒货 时珍年礼 1295G</v>
          </cell>
          <cell r="D3684">
            <v>6</v>
          </cell>
          <cell r="E3684">
            <v>756.96</v>
          </cell>
          <cell r="F3684">
            <v>142.5608</v>
          </cell>
        </row>
        <row r="3685">
          <cell r="B3685" t="str">
            <v>70681305</v>
          </cell>
          <cell r="C3685" t="str">
            <v>MM 和牛牛排脆（海盐黑胡椒味） 1×1盒</v>
          </cell>
          <cell r="D3685">
            <v>16</v>
          </cell>
          <cell r="E3685">
            <v>1558.4</v>
          </cell>
          <cell r="F3685">
            <v>110.062</v>
          </cell>
        </row>
        <row r="3686">
          <cell r="B3686" t="str">
            <v>70681965</v>
          </cell>
          <cell r="C3686" t="str">
            <v>芭蜂 好运年年福气桶(坚果礼盒) 360G</v>
          </cell>
          <cell r="D3686">
            <v>26</v>
          </cell>
          <cell r="E3686">
            <v>2120.5100000000002</v>
          </cell>
          <cell r="F3686">
            <v>92.160626923076904</v>
          </cell>
        </row>
        <row r="3687">
          <cell r="B3687" t="str">
            <v>70681966</v>
          </cell>
          <cell r="C3687" t="str">
            <v>芭蜂 坚果零食大礼盒（福运好礼款） 690G</v>
          </cell>
          <cell r="D3687">
            <v>23</v>
          </cell>
          <cell r="E3687">
            <v>2608.58</v>
          </cell>
          <cell r="F3687">
            <v>128.16066956521701</v>
          </cell>
        </row>
        <row r="3688">
          <cell r="B3688" t="str">
            <v>70681972</v>
          </cell>
          <cell r="C3688" t="str">
            <v>奇萌妈 抱福装满福气礼盒 1378G</v>
          </cell>
          <cell r="D3688">
            <v>12</v>
          </cell>
          <cell r="E3688">
            <v>749.31</v>
          </cell>
          <cell r="F3688">
            <v>70.560024999999996</v>
          </cell>
        </row>
        <row r="3689">
          <cell r="B3689" t="str">
            <v>70681976</v>
          </cell>
          <cell r="C3689" t="str">
            <v>伯乐尝 八方来财礼盒（八方蜜饯） 800G</v>
          </cell>
          <cell r="D3689">
            <v>26</v>
          </cell>
          <cell r="E3689">
            <v>495.4</v>
          </cell>
          <cell r="F3689">
            <v>21.530846153846099</v>
          </cell>
        </row>
        <row r="3690">
          <cell r="B3690" t="str">
            <v>70681977</v>
          </cell>
          <cell r="C3690" t="str">
            <v>伯乐尝 锦膳礼盒（6罐装） 818G</v>
          </cell>
          <cell r="D3690">
            <v>8</v>
          </cell>
          <cell r="E3690">
            <v>504.64</v>
          </cell>
          <cell r="F3690">
            <v>71.2804</v>
          </cell>
        </row>
        <row r="3691">
          <cell r="B3691" t="str">
            <v>70681978</v>
          </cell>
          <cell r="C3691" t="str">
            <v>山东沂农 阿栗山蜜汁板栗 1KG</v>
          </cell>
          <cell r="D3691">
            <v>11</v>
          </cell>
          <cell r="E3691">
            <v>476.61</v>
          </cell>
          <cell r="F3691">
            <v>48.960845454545399</v>
          </cell>
        </row>
        <row r="3692">
          <cell r="B3692" t="str">
            <v>70681981</v>
          </cell>
          <cell r="C3692" t="str">
            <v>吉利火星 马上暴富爆米花 400G</v>
          </cell>
          <cell r="D3692">
            <v>58</v>
          </cell>
          <cell r="E3692">
            <v>1101.31</v>
          </cell>
          <cell r="F3692">
            <v>21.4565568965517</v>
          </cell>
        </row>
        <row r="3693">
          <cell r="B3693" t="str">
            <v>70682051</v>
          </cell>
          <cell r="C3693" t="str">
            <v>芭蜂 坚果零食大礼盒(冲上云霄款) 850G</v>
          </cell>
          <cell r="D3693">
            <v>20</v>
          </cell>
          <cell r="E3693">
            <v>2523.1999999999998</v>
          </cell>
          <cell r="F3693">
            <v>142.5608</v>
          </cell>
        </row>
        <row r="3694">
          <cell r="B3694" t="str">
            <v>70682053</v>
          </cell>
          <cell r="C3694" t="str">
            <v>伯乐尝 168汉飨唐韵礼盒 3200G</v>
          </cell>
          <cell r="D3694">
            <v>3</v>
          </cell>
          <cell r="E3694">
            <v>321.13</v>
          </cell>
          <cell r="F3694">
            <v>120.958966666667</v>
          </cell>
        </row>
        <row r="3695">
          <cell r="B3695" t="str">
            <v>70682054</v>
          </cell>
          <cell r="C3695" t="str">
            <v>蝶恋花 追剧神器爆米花礼盒 612G</v>
          </cell>
          <cell r="D3695">
            <v>23</v>
          </cell>
          <cell r="E3695">
            <v>584.75</v>
          </cell>
          <cell r="F3695">
            <v>28.729021739130399</v>
          </cell>
        </row>
        <row r="3696">
          <cell r="B3696" t="str">
            <v>70682065</v>
          </cell>
          <cell r="C3696" t="str">
            <v>芭蜂 坚果（经典礼盒装） 305G</v>
          </cell>
          <cell r="D3696">
            <v>9</v>
          </cell>
          <cell r="E3696">
            <v>567.72</v>
          </cell>
          <cell r="F3696">
            <v>71.2804</v>
          </cell>
        </row>
        <row r="3697">
          <cell r="B3697" t="str">
            <v>70683617</v>
          </cell>
          <cell r="C3697" t="str">
            <v>三只松鼠 坚果礼琉光橙 1595G</v>
          </cell>
          <cell r="D3697">
            <v>20</v>
          </cell>
          <cell r="E3697">
            <v>1045.17</v>
          </cell>
          <cell r="F3697">
            <v>59.052104999999997</v>
          </cell>
        </row>
        <row r="3698">
          <cell r="B3698" t="str">
            <v>70685020</v>
          </cell>
          <cell r="C3698" t="str">
            <v>EDOPACK  黑松露牛肉苏打饼干 252G</v>
          </cell>
          <cell r="D3698">
            <v>18</v>
          </cell>
          <cell r="E3698">
            <v>151.34</v>
          </cell>
          <cell r="F3698">
            <v>9.5007888888888896</v>
          </cell>
        </row>
        <row r="3699">
          <cell r="B3699" t="str">
            <v>70685789</v>
          </cell>
          <cell r="C3699" t="str">
            <v>雪焰西域 精装夹心核桃糖葫芦 70G±</v>
          </cell>
          <cell r="D3699">
            <v>64</v>
          </cell>
          <cell r="E3699">
            <v>245.23</v>
          </cell>
          <cell r="F3699">
            <v>4.3298421874999997</v>
          </cell>
        </row>
        <row r="3700">
          <cell r="B3700" t="str">
            <v>70685792</v>
          </cell>
          <cell r="C3700" t="str">
            <v>雪焰西域 精装夹心板栗糖葫芦 70G±</v>
          </cell>
          <cell r="D3700">
            <v>26</v>
          </cell>
          <cell r="E3700">
            <v>98.76</v>
          </cell>
          <cell r="F3700">
            <v>4.2922615384615401</v>
          </cell>
        </row>
        <row r="3701">
          <cell r="B3701" t="str">
            <v>70685793</v>
          </cell>
          <cell r="C3701" t="str">
            <v>雪焰西域 精装原味糖葫芦 70G±</v>
          </cell>
          <cell r="D3701">
            <v>60</v>
          </cell>
          <cell r="E3701">
            <v>178.33</v>
          </cell>
          <cell r="F3701">
            <v>3.3585483333333301</v>
          </cell>
        </row>
        <row r="3702">
          <cell r="B3702" t="str">
            <v>70685794</v>
          </cell>
          <cell r="C3702" t="str">
            <v>雪焰西域 精装夹心榴莲糖葫芦 70G±</v>
          </cell>
          <cell r="D3702">
            <v>29</v>
          </cell>
          <cell r="E3702">
            <v>110.84</v>
          </cell>
          <cell r="F3702">
            <v>4.3189379310344798</v>
          </cell>
        </row>
        <row r="3703">
          <cell r="B3703" t="str">
            <v>70686412</v>
          </cell>
          <cell r="C3703" t="str">
            <v>雪焰西域 精装夹心扁扁糖葫芦 70G±</v>
          </cell>
          <cell r="D3703">
            <v>64</v>
          </cell>
          <cell r="E3703">
            <v>245.32</v>
          </cell>
          <cell r="F3703">
            <v>4.3314312499999996</v>
          </cell>
        </row>
        <row r="3704">
          <cell r="B3704" t="str">
            <v>70686413</v>
          </cell>
          <cell r="C3704" t="str">
            <v>雪焰西域 精装山药糖葫芦 70G±</v>
          </cell>
          <cell r="D3704">
            <v>30</v>
          </cell>
          <cell r="E3704">
            <v>77.819999999999993</v>
          </cell>
          <cell r="F3704">
            <v>2.9312200000000002</v>
          </cell>
        </row>
        <row r="3705">
          <cell r="B3705" t="str">
            <v>70686419</v>
          </cell>
          <cell r="C3705" t="str">
            <v>雪焰西域 精装草莓糖葫芦 70G±</v>
          </cell>
          <cell r="D3705">
            <v>49</v>
          </cell>
          <cell r="E3705">
            <v>208.54</v>
          </cell>
          <cell r="F3705">
            <v>4.8091877551020401</v>
          </cell>
        </row>
        <row r="3706">
          <cell r="B3706" t="str">
            <v>70686740</v>
          </cell>
          <cell r="C3706" t="str">
            <v>良品铺子 甄选吉国礼 1132G</v>
          </cell>
          <cell r="D3706">
            <v>49</v>
          </cell>
          <cell r="E3706">
            <v>2351.33</v>
          </cell>
          <cell r="F3706">
            <v>54.224548979591802</v>
          </cell>
        </row>
        <row r="3707">
          <cell r="B3707" t="str">
            <v>70686741</v>
          </cell>
          <cell r="C3707" t="str">
            <v>良品铺子 甄选安国礼 1503G</v>
          </cell>
          <cell r="D3707">
            <v>47</v>
          </cell>
          <cell r="E3707">
            <v>2576.41</v>
          </cell>
          <cell r="F3707">
            <v>61.9434744680851</v>
          </cell>
        </row>
        <row r="3708">
          <cell r="B3708" t="str">
            <v>70686921</v>
          </cell>
          <cell r="C3708" t="str">
            <v>皇上皇趣香 财神到我家 520G</v>
          </cell>
          <cell r="D3708">
            <v>257</v>
          </cell>
          <cell r="E3708">
            <v>12794.16</v>
          </cell>
          <cell r="F3708">
            <v>56.254477821011697</v>
          </cell>
        </row>
        <row r="3709">
          <cell r="B3709" t="str">
            <v>70687003</v>
          </cell>
          <cell r="C3709" t="str">
            <v>MM 双参如意礼盒 1×1组</v>
          </cell>
          <cell r="D3709">
            <v>3</v>
          </cell>
          <cell r="E3709">
            <v>569.70000000000005</v>
          </cell>
          <cell r="F3709">
            <v>214.58699999999999</v>
          </cell>
        </row>
        <row r="3710">
          <cell r="B3710" t="str">
            <v>70687004</v>
          </cell>
          <cell r="C3710" t="str">
            <v>MM 年年有余花胶羹礼盒 12×252G</v>
          </cell>
          <cell r="D3710">
            <v>4</v>
          </cell>
          <cell r="E3710">
            <v>679.6</v>
          </cell>
          <cell r="F3710">
            <v>191.98699999999999</v>
          </cell>
        </row>
        <row r="3711">
          <cell r="B3711" t="str">
            <v>70687007</v>
          </cell>
          <cell r="C3711" t="str">
            <v>MM 鸿运当头坚果礼盒 1×1.5KG</v>
          </cell>
          <cell r="D3711">
            <v>3</v>
          </cell>
          <cell r="E3711">
            <v>504</v>
          </cell>
          <cell r="F3711">
            <v>189.84</v>
          </cell>
        </row>
        <row r="3712">
          <cell r="B3712" t="str">
            <v>70687011</v>
          </cell>
          <cell r="C3712" t="str">
            <v>MM 香脆盐炒香榧仁 420G</v>
          </cell>
          <cell r="D3712">
            <v>5</v>
          </cell>
          <cell r="E3712">
            <v>449.5</v>
          </cell>
          <cell r="F3712">
            <v>101.587</v>
          </cell>
        </row>
        <row r="3713">
          <cell r="B3713" t="str">
            <v>70687012</v>
          </cell>
          <cell r="C3713" t="str">
            <v>MM 红运满罐山楂 1×1302G</v>
          </cell>
          <cell r="D3713">
            <v>13</v>
          </cell>
          <cell r="E3713">
            <v>1298.7</v>
          </cell>
          <cell r="F3713">
            <v>112.887</v>
          </cell>
        </row>
        <row r="3714">
          <cell r="B3714" t="str">
            <v>70687021</v>
          </cell>
          <cell r="C3714" t="str">
            <v>MM 高纤蔬菜脆 1×400G</v>
          </cell>
          <cell r="D3714">
            <v>45</v>
          </cell>
          <cell r="E3714">
            <v>2065.5</v>
          </cell>
          <cell r="F3714">
            <v>51.866999999999997</v>
          </cell>
        </row>
        <row r="3715">
          <cell r="B3715" t="str">
            <v>70687116</v>
          </cell>
          <cell r="C3715" t="str">
            <v>MM 金山开心果礼盒 900G</v>
          </cell>
          <cell r="D3715">
            <v>19</v>
          </cell>
          <cell r="E3715">
            <v>2088.1</v>
          </cell>
          <cell r="F3715">
            <v>124.187</v>
          </cell>
        </row>
        <row r="3716">
          <cell r="B3716" t="str">
            <v>70687922</v>
          </cell>
          <cell r="C3716" t="str">
            <v>柳伍 麻辣田螺 500G</v>
          </cell>
          <cell r="D3716">
            <v>5</v>
          </cell>
          <cell r="E3716">
            <v>35.4</v>
          </cell>
          <cell r="F3716">
            <v>8.0004000000000008</v>
          </cell>
        </row>
        <row r="3717">
          <cell r="B3717" t="str">
            <v>70688698</v>
          </cell>
          <cell r="C3717" t="str">
            <v>好丽友 好丽友呀土豆泡菜味 40G/袋</v>
          </cell>
          <cell r="D3717">
            <v>758</v>
          </cell>
          <cell r="E3717">
            <v>1639.47</v>
          </cell>
          <cell r="F3717">
            <v>2.44406477572559</v>
          </cell>
        </row>
        <row r="3718">
          <cell r="B3718" t="str">
            <v>70710917</v>
          </cell>
          <cell r="C3718" t="str">
            <v>超有味 海带豆卷(香辣味) 100G</v>
          </cell>
          <cell r="D3718">
            <v>67</v>
          </cell>
          <cell r="E3718">
            <v>379.01</v>
          </cell>
          <cell r="F3718">
            <v>6.3922582089552202</v>
          </cell>
        </row>
        <row r="3719">
          <cell r="B3719" t="str">
            <v>70710926</v>
          </cell>
          <cell r="C3719" t="str">
            <v>营养小新 香菇脆（番茄味）装 88G</v>
          </cell>
          <cell r="D3719">
            <v>25</v>
          </cell>
          <cell r="E3719">
            <v>214.21</v>
          </cell>
          <cell r="F3719">
            <v>9.6822920000000003</v>
          </cell>
        </row>
        <row r="3720">
          <cell r="B3720" t="str">
            <v>70710927</v>
          </cell>
          <cell r="C3720" t="str">
            <v>营养小新 香菇脆（爆辣味）连包装 88G</v>
          </cell>
          <cell r="D3720">
            <v>113</v>
          </cell>
          <cell r="E3720">
            <v>141.08000000000001</v>
          </cell>
          <cell r="F3720">
            <v>1.4108000000000001</v>
          </cell>
        </row>
        <row r="3721">
          <cell r="B3721" t="str">
            <v>70710929</v>
          </cell>
          <cell r="C3721" t="str">
            <v>营养小新 香菇脆（番茄味）连包装 88G</v>
          </cell>
          <cell r="D3721">
            <v>113</v>
          </cell>
          <cell r="E3721">
            <v>141.11000000000001</v>
          </cell>
          <cell r="F3721">
            <v>1.4111</v>
          </cell>
        </row>
        <row r="3722">
          <cell r="B3722" t="str">
            <v>70711964</v>
          </cell>
          <cell r="C3722" t="str">
            <v>MM 红运满罐山楂 1302G</v>
          </cell>
          <cell r="D3722">
            <v>15</v>
          </cell>
          <cell r="E3722">
            <v>1498.5</v>
          </cell>
          <cell r="F3722">
            <v>112.887</v>
          </cell>
        </row>
        <row r="3723">
          <cell r="B3723" t="str">
            <v>70712754</v>
          </cell>
          <cell r="C3723" t="str">
            <v>永健 红腰豆(酸菜味) 140G</v>
          </cell>
          <cell r="D3723">
            <v>154</v>
          </cell>
          <cell r="E3723">
            <v>851.77</v>
          </cell>
          <cell r="F3723">
            <v>6.2500006493506497</v>
          </cell>
        </row>
        <row r="3724">
          <cell r="B3724" t="str">
            <v>70712757</v>
          </cell>
          <cell r="C3724" t="str">
            <v>溜溜梅 蓝莓奇异果NFC梅冻 120G</v>
          </cell>
          <cell r="D3724">
            <v>246</v>
          </cell>
          <cell r="E3724">
            <v>1360.64</v>
          </cell>
          <cell r="F3724">
            <v>6.2500943089430896</v>
          </cell>
        </row>
        <row r="3725">
          <cell r="B3725" t="str">
            <v>70712941</v>
          </cell>
          <cell r="C3725" t="str">
            <v>甘源 袋装芥末味夏威夷果仁 60G</v>
          </cell>
          <cell r="D3725">
            <v>58</v>
          </cell>
          <cell r="E3725">
            <v>491.21</v>
          </cell>
          <cell r="F3725">
            <v>9.5701258620689593</v>
          </cell>
        </row>
        <row r="3726">
          <cell r="B3726" t="str">
            <v>70712943</v>
          </cell>
          <cell r="C3726" t="str">
            <v>永健 脆笋脱骨凤爪(酸辣柠檬味) 68G</v>
          </cell>
          <cell r="D3726">
            <v>127</v>
          </cell>
          <cell r="E3726">
            <v>1046.44</v>
          </cell>
          <cell r="F3726">
            <v>9.3108440944881892</v>
          </cell>
        </row>
        <row r="3727">
          <cell r="B3727" t="str">
            <v>70712945</v>
          </cell>
          <cell r="C3727" t="str">
            <v>永健 脆笋脱骨凤爪(韩式味) 68G</v>
          </cell>
          <cell r="D3727">
            <v>120</v>
          </cell>
          <cell r="E3727">
            <v>988.68</v>
          </cell>
          <cell r="F3727">
            <v>9.3100699999999996</v>
          </cell>
        </row>
        <row r="3728">
          <cell r="B3728" t="str">
            <v>70712975</v>
          </cell>
          <cell r="C3728" t="str">
            <v>溜溜梅 陈皮梅条 80G</v>
          </cell>
          <cell r="D3728">
            <v>398</v>
          </cell>
          <cell r="E3728">
            <v>2202.75</v>
          </cell>
          <cell r="F3728">
            <v>6.2540389447236198</v>
          </cell>
        </row>
        <row r="3729">
          <cell r="B3729" t="str">
            <v>70712976</v>
          </cell>
          <cell r="C3729" t="str">
            <v>永健 脆笋脱骨凤爪(酸汤味) 68G</v>
          </cell>
          <cell r="D3729">
            <v>80</v>
          </cell>
          <cell r="E3729">
            <v>659.12</v>
          </cell>
          <cell r="F3729">
            <v>9.3100699999999996</v>
          </cell>
        </row>
        <row r="3730">
          <cell r="B3730" t="str">
            <v>70712977</v>
          </cell>
          <cell r="C3730" t="str">
            <v>溜溜梅 咔哩梅原味 136G</v>
          </cell>
          <cell r="D3730">
            <v>146</v>
          </cell>
          <cell r="E3730">
            <v>848.87</v>
          </cell>
          <cell r="F3730">
            <v>6.5700212328767096</v>
          </cell>
        </row>
        <row r="3731">
          <cell r="B3731" t="str">
            <v>70712982</v>
          </cell>
          <cell r="C3731" t="str">
            <v>甘源 袋装草莓白桃味米饼 72G</v>
          </cell>
          <cell r="D3731">
            <v>222</v>
          </cell>
          <cell r="E3731">
            <v>882.14</v>
          </cell>
          <cell r="F3731">
            <v>4.4901720720720704</v>
          </cell>
        </row>
        <row r="3732">
          <cell r="B3732" t="str">
            <v>70713116</v>
          </cell>
          <cell r="C3732" t="str">
            <v>甘源 袋装混合柿种果仁 65G</v>
          </cell>
          <cell r="D3732">
            <v>87</v>
          </cell>
          <cell r="E3732">
            <v>583.59</v>
          </cell>
          <cell r="F3732">
            <v>7.5799620689655196</v>
          </cell>
        </row>
        <row r="3733">
          <cell r="B3733" t="str">
            <v>70713686</v>
          </cell>
          <cell r="C3733" t="str">
            <v>食验室 奶酪玉米片生椰奶酪味（有机） 40G</v>
          </cell>
          <cell r="D3733">
            <v>69</v>
          </cell>
          <cell r="E3733">
            <v>430.54</v>
          </cell>
          <cell r="F3733">
            <v>7.0508724637681199</v>
          </cell>
        </row>
        <row r="3734">
          <cell r="B3734" t="str">
            <v>70713689</v>
          </cell>
          <cell r="C3734" t="str">
            <v>超有味 竹笋豆卷(香辣味) 100G</v>
          </cell>
          <cell r="D3734">
            <v>44</v>
          </cell>
          <cell r="E3734">
            <v>248.98</v>
          </cell>
          <cell r="F3734">
            <v>6.3942590909090899</v>
          </cell>
        </row>
        <row r="3735">
          <cell r="B3735" t="str">
            <v>70713695</v>
          </cell>
          <cell r="C3735" t="str">
            <v>营养小新 香菇脆（爆辣味）装 88G</v>
          </cell>
          <cell r="D3735">
            <v>34</v>
          </cell>
          <cell r="E3735">
            <v>291.32</v>
          </cell>
          <cell r="F3735">
            <v>9.6821058823529391</v>
          </cell>
        </row>
        <row r="3736">
          <cell r="B3736" t="str">
            <v>70713700</v>
          </cell>
          <cell r="C3736" t="str">
            <v>捍味 肥汁爆肚脆 14G</v>
          </cell>
          <cell r="D3736">
            <v>226</v>
          </cell>
          <cell r="E3736">
            <v>132.27000000000001</v>
          </cell>
          <cell r="F3736">
            <v>0.66134999999999999</v>
          </cell>
        </row>
        <row r="3737">
          <cell r="B3737" t="str">
            <v>70713872</v>
          </cell>
          <cell r="C3737" t="str">
            <v>营养小新 香菇脆（黑胡椒海盐味）连包装 88G</v>
          </cell>
          <cell r="D3737">
            <v>99</v>
          </cell>
          <cell r="E3737">
            <v>123.57</v>
          </cell>
          <cell r="F3737">
            <v>1.4104454545454499</v>
          </cell>
        </row>
        <row r="3738">
          <cell r="B3738" t="str">
            <v>70713881</v>
          </cell>
          <cell r="C3738" t="str">
            <v>鲜农甜 花糯玉米 1.68KG</v>
          </cell>
          <cell r="D3738">
            <v>1</v>
          </cell>
          <cell r="E3738">
            <v>25.44</v>
          </cell>
          <cell r="F3738">
            <v>28.747199999999999</v>
          </cell>
        </row>
        <row r="3739">
          <cell r="B3739" t="str">
            <v>70713886</v>
          </cell>
          <cell r="C3739" t="str">
            <v>营养小新 香菇脆（黑胡椒海盐味）装 88G</v>
          </cell>
          <cell r="D3739">
            <v>30</v>
          </cell>
          <cell r="E3739">
            <v>257.07</v>
          </cell>
          <cell r="F3739">
            <v>9.6829699999999992</v>
          </cell>
        </row>
        <row r="3740">
          <cell r="B3740" t="str">
            <v>70713998</v>
          </cell>
          <cell r="C3740" t="str">
            <v>那斯尔 香辣鸡肉干 100G</v>
          </cell>
          <cell r="D3740">
            <v>148</v>
          </cell>
          <cell r="E3740">
            <v>1028.5999999999999</v>
          </cell>
          <cell r="F3740">
            <v>7.8535000000000004</v>
          </cell>
        </row>
        <row r="3741">
          <cell r="B3741" t="str">
            <v>70720539</v>
          </cell>
          <cell r="C3741" t="str">
            <v>丝路巴扎 精河枸杞 268G</v>
          </cell>
          <cell r="D3741">
            <v>7</v>
          </cell>
          <cell r="E3741">
            <v>154.13999999999999</v>
          </cell>
          <cell r="F3741">
            <v>24.8826</v>
          </cell>
        </row>
        <row r="3742">
          <cell r="B3742" t="str">
            <v>70720548</v>
          </cell>
          <cell r="C3742" t="str">
            <v>丝路巴扎 紫衣腰果 256G</v>
          </cell>
          <cell r="D3742">
            <v>6</v>
          </cell>
          <cell r="E3742">
            <v>143.37</v>
          </cell>
          <cell r="F3742">
            <v>27.001349999999999</v>
          </cell>
        </row>
        <row r="3743">
          <cell r="B3743" t="str">
            <v>70720658</v>
          </cell>
          <cell r="C3743" t="str">
            <v>相遇好客 鸡米花 个</v>
          </cell>
          <cell r="D3743">
            <v>460</v>
          </cell>
          <cell r="E3743">
            <v>3871.5</v>
          </cell>
          <cell r="F3743">
            <v>9.5104239130434802</v>
          </cell>
        </row>
        <row r="3744">
          <cell r="B3744" t="str">
            <v>70720660</v>
          </cell>
          <cell r="C3744" t="str">
            <v>相遇好客 香辣鸡翅 个</v>
          </cell>
          <cell r="D3744">
            <v>149</v>
          </cell>
          <cell r="E3744">
            <v>1329.14</v>
          </cell>
          <cell r="F3744">
            <v>10.080055033557</v>
          </cell>
        </row>
        <row r="3745">
          <cell r="B3745" t="str">
            <v>70720661</v>
          </cell>
          <cell r="C3745" t="str">
            <v>相遇好客 脆皮鸡腿 个</v>
          </cell>
          <cell r="D3745">
            <v>146</v>
          </cell>
          <cell r="E3745">
            <v>1302.3800000000001</v>
          </cell>
          <cell r="F3745">
            <v>10.0800643835616</v>
          </cell>
        </row>
        <row r="3746">
          <cell r="B3746" t="str">
            <v>70720718</v>
          </cell>
          <cell r="C3746" t="str">
            <v>丝路巴扎 无壳南瓜子 298G</v>
          </cell>
          <cell r="D3746">
            <v>7</v>
          </cell>
          <cell r="E3746">
            <v>92.93</v>
          </cell>
          <cell r="F3746">
            <v>15.0015571428571</v>
          </cell>
        </row>
        <row r="3747">
          <cell r="B3747" t="str">
            <v>70720743</v>
          </cell>
          <cell r="C3747" t="str">
            <v>丝路巴扎 喀喀杏王干 486G</v>
          </cell>
          <cell r="D3747">
            <v>0</v>
          </cell>
          <cell r="E3747">
            <v>0</v>
          </cell>
          <cell r="F3747" t="e">
            <v>#DIV/0!</v>
          </cell>
        </row>
        <row r="3748">
          <cell r="B3748" t="str">
            <v>70720744</v>
          </cell>
          <cell r="C3748" t="str">
            <v>丝路巴扎 香香苹果干 339G</v>
          </cell>
          <cell r="D3748">
            <v>0</v>
          </cell>
          <cell r="E3748">
            <v>0</v>
          </cell>
          <cell r="F3748" t="e">
            <v>#DIV/0!</v>
          </cell>
        </row>
        <row r="3749">
          <cell r="B3749" t="str">
            <v>70720753</v>
          </cell>
          <cell r="C3749" t="str">
            <v>丝路巴扎 巴西松子 258G</v>
          </cell>
          <cell r="D3749">
            <v>11</v>
          </cell>
          <cell r="E3749">
            <v>1304.43</v>
          </cell>
          <cell r="F3749">
            <v>134.000536363636</v>
          </cell>
        </row>
        <row r="3750">
          <cell r="B3750" t="str">
            <v>70720755</v>
          </cell>
          <cell r="C3750" t="str">
            <v>丝路巴扎 芥末味巴旦木仁 285G</v>
          </cell>
          <cell r="D3750">
            <v>0</v>
          </cell>
          <cell r="E3750">
            <v>0</v>
          </cell>
          <cell r="F3750" t="e">
            <v>#DIV/0!</v>
          </cell>
        </row>
        <row r="3751">
          <cell r="B3751" t="str">
            <v>70720756</v>
          </cell>
          <cell r="C3751" t="str">
            <v>丝路巴扎 蒸好吃冬枣（无核） 198G</v>
          </cell>
          <cell r="D3751">
            <v>24</v>
          </cell>
          <cell r="E3751">
            <v>264.22000000000003</v>
          </cell>
          <cell r="F3751">
            <v>12.4403583333333</v>
          </cell>
        </row>
        <row r="3752">
          <cell r="B3752" t="str">
            <v>70720758</v>
          </cell>
          <cell r="C3752" t="str">
            <v>相遇好客 鸡排 个</v>
          </cell>
          <cell r="D3752">
            <v>149</v>
          </cell>
          <cell r="E3752">
            <v>1993.7</v>
          </cell>
          <cell r="F3752">
            <v>15.120006711409401</v>
          </cell>
        </row>
        <row r="3753">
          <cell r="B3753" t="str">
            <v>70727169</v>
          </cell>
          <cell r="C3753" t="str">
            <v>MM  徽记牛肝菌翡翠笋椒麻冷泡味 620克</v>
          </cell>
          <cell r="D3753">
            <v>27</v>
          </cell>
          <cell r="E3753">
            <v>1347.3</v>
          </cell>
          <cell r="F3753">
            <v>56.387</v>
          </cell>
        </row>
        <row r="3754">
          <cell r="B3754" t="str">
            <v>70727171</v>
          </cell>
          <cell r="C3754" t="str">
            <v>MM  I.混合口味椰子脆片 400G</v>
          </cell>
          <cell r="D3754">
            <v>56</v>
          </cell>
          <cell r="E3754">
            <v>2794.4</v>
          </cell>
          <cell r="F3754">
            <v>56.387</v>
          </cell>
        </row>
        <row r="3755">
          <cell r="B3755" t="str">
            <v>70727172</v>
          </cell>
          <cell r="C3755" t="str">
            <v>MM  I.坚果蛋白棒 900G</v>
          </cell>
          <cell r="D3755">
            <v>16</v>
          </cell>
          <cell r="E3755">
            <v>1438.4</v>
          </cell>
          <cell r="F3755">
            <v>101.587</v>
          </cell>
        </row>
        <row r="3756">
          <cell r="B3756" t="str">
            <v>70727177</v>
          </cell>
          <cell r="C3756" t="str">
            <v>MM  乐家综合种籽太妃黄油爆米花 648G</v>
          </cell>
          <cell r="D3756">
            <v>23</v>
          </cell>
          <cell r="E3756">
            <v>1377.7</v>
          </cell>
          <cell r="F3756">
            <v>67.686999999999998</v>
          </cell>
        </row>
        <row r="3757">
          <cell r="B3757" t="str">
            <v>70727179</v>
          </cell>
          <cell r="C3757" t="str">
            <v>MM  乳酸菌0脂蒟蒻果冻 18KG</v>
          </cell>
          <cell r="D3757">
            <v>14</v>
          </cell>
          <cell r="E3757">
            <v>837.2</v>
          </cell>
          <cell r="F3757">
            <v>67.573999999999998</v>
          </cell>
        </row>
        <row r="3758">
          <cell r="B3758" t="str">
            <v>70727463</v>
          </cell>
          <cell r="C3758" t="str">
            <v>MM  都乐金钻凤梨圈 225G</v>
          </cell>
          <cell r="D3758">
            <v>48</v>
          </cell>
          <cell r="E3758">
            <v>2875.2</v>
          </cell>
          <cell r="F3758">
            <v>67.686999999999998</v>
          </cell>
        </row>
        <row r="3759">
          <cell r="B3759" t="str">
            <v>70727564</v>
          </cell>
          <cell r="C3759" t="str">
            <v>MM  开心果裹腰果仁 550G</v>
          </cell>
          <cell r="D3759">
            <v>43</v>
          </cell>
          <cell r="E3759">
            <v>3435.7</v>
          </cell>
          <cell r="F3759">
            <v>90.287000000000006</v>
          </cell>
        </row>
        <row r="3760">
          <cell r="B3760" t="str">
            <v>70000564</v>
          </cell>
          <cell r="C3760" t="str">
            <v>昆仑好客福临门 东北优质大米 10kg</v>
          </cell>
          <cell r="D3760">
            <v>8</v>
          </cell>
          <cell r="E3760">
            <v>484.32</v>
          </cell>
          <cell r="F3760">
            <v>68.410200000000003</v>
          </cell>
        </row>
        <row r="3761">
          <cell r="B3761" t="str">
            <v>70000886</v>
          </cell>
          <cell r="C3761" t="str">
            <v>优乐美 奶茶咖啡味 80G</v>
          </cell>
          <cell r="D3761">
            <v>0</v>
          </cell>
          <cell r="E3761">
            <v>0</v>
          </cell>
          <cell r="F3761" t="e">
            <v>#DIV/0!</v>
          </cell>
        </row>
        <row r="3762">
          <cell r="B3762" t="str">
            <v>70001153</v>
          </cell>
          <cell r="C3762" t="str">
            <v>香飘飘 奶茶草莓味 80G</v>
          </cell>
          <cell r="D3762">
            <v>330</v>
          </cell>
          <cell r="E3762">
            <v>865.59</v>
          </cell>
          <cell r="F3762">
            <v>2.9639899999999999</v>
          </cell>
        </row>
        <row r="3763">
          <cell r="B3763" t="str">
            <v>70001154</v>
          </cell>
          <cell r="C3763" t="str">
            <v>香飘飘 奶茶原味 80G</v>
          </cell>
          <cell r="D3763">
            <v>246</v>
          </cell>
          <cell r="E3763">
            <v>644.52</v>
          </cell>
          <cell r="F3763">
            <v>2.9605999999999999</v>
          </cell>
        </row>
        <row r="3764">
          <cell r="B3764" t="str">
            <v>70001680</v>
          </cell>
          <cell r="C3764" t="str">
            <v>香飘飘奶茶香芋味80g</v>
          </cell>
          <cell r="D3764">
            <v>153</v>
          </cell>
          <cell r="E3764">
            <v>400.85</v>
          </cell>
          <cell r="F3764">
            <v>2.9605261437908501</v>
          </cell>
        </row>
        <row r="3765">
          <cell r="B3765" t="str">
            <v>70006144</v>
          </cell>
          <cell r="C3765" t="str">
            <v>鲁花 花生油 5L</v>
          </cell>
          <cell r="D3765">
            <v>42</v>
          </cell>
          <cell r="E3765">
            <v>5745.88</v>
          </cell>
          <cell r="F3765">
            <v>154.59153333333299</v>
          </cell>
        </row>
        <row r="3766">
          <cell r="B3766" t="str">
            <v>70006153</v>
          </cell>
          <cell r="C3766" t="str">
            <v>昆仑好客福临门 压榨一级花生油 5L</v>
          </cell>
          <cell r="D3766">
            <v>891</v>
          </cell>
          <cell r="E3766">
            <v>82685.240000000005</v>
          </cell>
          <cell r="F3766">
            <v>104.86455802469099</v>
          </cell>
        </row>
        <row r="3767">
          <cell r="B3767" t="str">
            <v>70006229</v>
          </cell>
          <cell r="C3767" t="str">
            <v>上海 梅林午餐肉 340G</v>
          </cell>
          <cell r="D3767">
            <v>987</v>
          </cell>
          <cell r="E3767">
            <v>13300.05</v>
          </cell>
          <cell r="F3767">
            <v>15.2270075987842</v>
          </cell>
        </row>
        <row r="3768">
          <cell r="B3768" t="str">
            <v>70006230</v>
          </cell>
          <cell r="C3768" t="str">
            <v>上海 梅林香辣午餐肉 340G</v>
          </cell>
          <cell r="D3768">
            <v>737</v>
          </cell>
          <cell r="E3768">
            <v>9934.3700000000008</v>
          </cell>
          <cell r="F3768">
            <v>15.2318020352782</v>
          </cell>
        </row>
        <row r="3769">
          <cell r="B3769" t="str">
            <v>70006231</v>
          </cell>
          <cell r="C3769" t="str">
            <v>上海 梅林蒜香午餐肉 340G</v>
          </cell>
          <cell r="D3769">
            <v>387</v>
          </cell>
          <cell r="E3769">
            <v>5205.87</v>
          </cell>
          <cell r="F3769">
            <v>15.2006023255814</v>
          </cell>
        </row>
        <row r="3770">
          <cell r="B3770" t="str">
            <v>70006235</v>
          </cell>
          <cell r="C3770" t="str">
            <v>梅林 火腿 340G</v>
          </cell>
          <cell r="D3770">
            <v>365</v>
          </cell>
          <cell r="E3770">
            <v>7685.89</v>
          </cell>
          <cell r="F3770">
            <v>23.794673150684901</v>
          </cell>
        </row>
        <row r="3771">
          <cell r="B3771" t="str">
            <v>70006239</v>
          </cell>
          <cell r="C3771" t="str">
            <v>粤花 金装豆豉鲮鱼罐头 227g</v>
          </cell>
          <cell r="D3771">
            <v>14</v>
          </cell>
          <cell r="E3771">
            <v>215.12</v>
          </cell>
          <cell r="F3771">
            <v>17.363257142857101</v>
          </cell>
        </row>
        <row r="3772">
          <cell r="B3772" t="str">
            <v>70006408</v>
          </cell>
          <cell r="C3772" t="str">
            <v>老干妈 精牛肉末豆豉 210g</v>
          </cell>
          <cell r="D3772">
            <v>240</v>
          </cell>
          <cell r="E3772">
            <v>2297.48</v>
          </cell>
          <cell r="F3772">
            <v>10.817301666666699</v>
          </cell>
        </row>
        <row r="3773">
          <cell r="B3773" t="str">
            <v>70006409</v>
          </cell>
          <cell r="C3773" t="str">
            <v>陶华碧 老干妈肉丝豆豉 280G</v>
          </cell>
          <cell r="D3773">
            <v>106</v>
          </cell>
          <cell r="E3773">
            <v>1172.8800000000001</v>
          </cell>
          <cell r="F3773">
            <v>12.5033433962264</v>
          </cell>
        </row>
        <row r="3774">
          <cell r="B3774" t="str">
            <v>70006628</v>
          </cell>
          <cell r="C3774" t="str">
            <v>老干妈 油辣椒  275g</v>
          </cell>
          <cell r="D3774">
            <v>115</v>
          </cell>
          <cell r="E3774">
            <v>1094.49</v>
          </cell>
          <cell r="F3774">
            <v>10.7545539130435</v>
          </cell>
        </row>
        <row r="3775">
          <cell r="B3775" t="str">
            <v>70006811</v>
          </cell>
          <cell r="C3775" t="str">
            <v>花园 全脂奶粉 500g</v>
          </cell>
          <cell r="D3775">
            <v>7</v>
          </cell>
          <cell r="E3775">
            <v>223.02</v>
          </cell>
          <cell r="F3775">
            <v>36.001800000000003</v>
          </cell>
        </row>
        <row r="3776">
          <cell r="B3776" t="str">
            <v>70007165</v>
          </cell>
          <cell r="C3776" t="str">
            <v>老干妈 风味豆豉  280g</v>
          </cell>
          <cell r="D3776">
            <v>249</v>
          </cell>
          <cell r="E3776">
            <v>2383.9299999999998</v>
          </cell>
          <cell r="F3776">
            <v>10.818638152610401</v>
          </cell>
        </row>
        <row r="3777">
          <cell r="B3777" t="str">
            <v>70014792</v>
          </cell>
          <cell r="C3777" t="str">
            <v>南方黑芝麻糊 (精装) 240G*36</v>
          </cell>
          <cell r="D3777">
            <v>0</v>
          </cell>
          <cell r="E3777">
            <v>0</v>
          </cell>
          <cell r="F3777" t="e">
            <v>#DIV/0!</v>
          </cell>
        </row>
        <row r="3778">
          <cell r="B3778" t="str">
            <v>70014811</v>
          </cell>
          <cell r="C3778" t="str">
            <v>梅林 午餐肉 198G</v>
          </cell>
          <cell r="D3778">
            <v>873</v>
          </cell>
          <cell r="E3778">
            <v>7740.15</v>
          </cell>
          <cell r="F3778">
            <v>10.0187508591065</v>
          </cell>
        </row>
        <row r="3779">
          <cell r="B3779" t="str">
            <v>70016861</v>
          </cell>
          <cell r="C3779" t="str">
            <v>李锦记 纯香芝麻油 410ML</v>
          </cell>
          <cell r="D3779">
            <v>66</v>
          </cell>
          <cell r="E3779">
            <v>1476.99</v>
          </cell>
          <cell r="F3779">
            <v>25.287859090909102</v>
          </cell>
        </row>
        <row r="3780">
          <cell r="B3780" t="str">
            <v>70020133</v>
          </cell>
          <cell r="C3780" t="str">
            <v>古龙 丁香鱼 110G</v>
          </cell>
          <cell r="D3780">
            <v>8</v>
          </cell>
          <cell r="E3780">
            <v>62.32</v>
          </cell>
          <cell r="F3780">
            <v>8.8026999999999997</v>
          </cell>
        </row>
        <row r="3781">
          <cell r="B3781" t="str">
            <v>70021534</v>
          </cell>
          <cell r="C3781" t="str">
            <v>古龙 香菇肉酱 180g</v>
          </cell>
          <cell r="D3781">
            <v>10</v>
          </cell>
          <cell r="E3781">
            <v>53.1</v>
          </cell>
          <cell r="F3781">
            <v>6.0003000000000002</v>
          </cell>
        </row>
        <row r="3782">
          <cell r="B3782" t="str">
            <v>70026981</v>
          </cell>
          <cell r="C3782" t="str">
            <v>鲁花 菜籽油 5L</v>
          </cell>
          <cell r="D3782">
            <v>21</v>
          </cell>
          <cell r="E3782">
            <v>1650.23</v>
          </cell>
          <cell r="F3782">
            <v>88.798090476190495</v>
          </cell>
        </row>
        <row r="3783">
          <cell r="B3783" t="str">
            <v>70030138</v>
          </cell>
          <cell r="C3783" t="str">
            <v>昆仑好客福临门 压榨一级葵花籽油 5L</v>
          </cell>
          <cell r="D3783">
            <v>1203</v>
          </cell>
          <cell r="E3783">
            <v>85337.09</v>
          </cell>
          <cell r="F3783">
            <v>80.1586963424771</v>
          </cell>
        </row>
        <row r="3784">
          <cell r="B3784" t="str">
            <v>70031932</v>
          </cell>
          <cell r="C3784" t="str">
            <v>福临门黄金产地玉米油 5L</v>
          </cell>
          <cell r="D3784">
            <v>541</v>
          </cell>
          <cell r="E3784">
            <v>38734.589999999997</v>
          </cell>
          <cell r="F3784">
            <v>80.905890388169993</v>
          </cell>
        </row>
        <row r="3785">
          <cell r="B3785" t="str">
            <v>70038041</v>
          </cell>
          <cell r="C3785" t="str">
            <v>李锦记 凉拌汁 207ML</v>
          </cell>
          <cell r="D3785">
            <v>477</v>
          </cell>
          <cell r="E3785">
            <v>3305.27</v>
          </cell>
          <cell r="F3785">
            <v>7.8300945492662501</v>
          </cell>
        </row>
        <row r="3786">
          <cell r="B3786" t="str">
            <v>70038042</v>
          </cell>
          <cell r="C3786" t="str">
            <v>李锦记 京式甜酱 170G</v>
          </cell>
          <cell r="D3786">
            <v>55</v>
          </cell>
          <cell r="E3786">
            <v>270.60000000000002</v>
          </cell>
          <cell r="F3786">
            <v>5.5595999999999997</v>
          </cell>
        </row>
        <row r="3787">
          <cell r="B3787" t="str">
            <v>70038345</v>
          </cell>
          <cell r="C3787" t="str">
            <v>李锦记 香辣酱 205G</v>
          </cell>
          <cell r="D3787">
            <v>102</v>
          </cell>
          <cell r="E3787">
            <v>1049.3699999999999</v>
          </cell>
          <cell r="F3787">
            <v>11.625373529411799</v>
          </cell>
        </row>
        <row r="3788">
          <cell r="B3788" t="str">
            <v>70039933</v>
          </cell>
          <cell r="C3788" t="str">
            <v>福临门 压榨一级葵花籽油 1.8L</v>
          </cell>
          <cell r="D3788">
            <v>21</v>
          </cell>
          <cell r="E3788">
            <v>620</v>
          </cell>
          <cell r="F3788">
            <v>33.361904761904803</v>
          </cell>
        </row>
        <row r="3789">
          <cell r="B3789" t="str">
            <v>70041206</v>
          </cell>
          <cell r="C3789" t="str">
            <v>金龙鱼 玉米胚芽油 5L</v>
          </cell>
          <cell r="D3789">
            <v>74</v>
          </cell>
          <cell r="E3789">
            <v>5037.63</v>
          </cell>
          <cell r="F3789">
            <v>76.925971621621599</v>
          </cell>
        </row>
        <row r="3790">
          <cell r="B3790" t="str">
            <v>70041220</v>
          </cell>
          <cell r="C3790" t="str">
            <v>金龙鱼 阳光葵花籽油 5L</v>
          </cell>
          <cell r="D3790">
            <v>1809</v>
          </cell>
          <cell r="E3790">
            <v>125757.83</v>
          </cell>
          <cell r="F3790">
            <v>78.555195080154803</v>
          </cell>
        </row>
        <row r="3791">
          <cell r="B3791" t="str">
            <v>70042053</v>
          </cell>
          <cell r="C3791" t="str">
            <v>昆仑好客福临门 家香味低芥酸浓香压榨菜籽油 5L</v>
          </cell>
          <cell r="D3791">
            <v>21</v>
          </cell>
          <cell r="E3791">
            <v>1660.6</v>
          </cell>
          <cell r="F3791">
            <v>89.356095238095193</v>
          </cell>
        </row>
        <row r="3792">
          <cell r="B3792" t="str">
            <v>70042098</v>
          </cell>
          <cell r="C3792" t="str">
            <v>福临门稻花香 5KG</v>
          </cell>
          <cell r="D3792">
            <v>634</v>
          </cell>
          <cell r="E3792">
            <v>43857.43</v>
          </cell>
          <cell r="F3792">
            <v>78.168605520504698</v>
          </cell>
        </row>
        <row r="3793">
          <cell r="B3793" t="str">
            <v>70043028</v>
          </cell>
          <cell r="C3793" t="str">
            <v>李锦记 锦珍生抽 500ML</v>
          </cell>
          <cell r="D3793">
            <v>105</v>
          </cell>
          <cell r="E3793">
            <v>591.07000000000005</v>
          </cell>
          <cell r="F3793">
            <v>6.3610390476190499</v>
          </cell>
        </row>
        <row r="3794">
          <cell r="B3794" t="str">
            <v>70045490</v>
          </cell>
          <cell r="C3794" t="str">
            <v>昆仑好客福临门 东北优质大米 5kg</v>
          </cell>
          <cell r="D3794">
            <v>3487</v>
          </cell>
          <cell r="E3794">
            <v>108609.34</v>
          </cell>
          <cell r="F3794">
            <v>35.196029308861497</v>
          </cell>
        </row>
        <row r="3795">
          <cell r="B3795" t="str">
            <v>70046571</v>
          </cell>
          <cell r="C3795" t="str">
            <v>李锦记 金标生抽 500ML</v>
          </cell>
          <cell r="D3795">
            <v>238</v>
          </cell>
          <cell r="E3795">
            <v>1412.25</v>
          </cell>
          <cell r="F3795">
            <v>6.7052205882352904</v>
          </cell>
        </row>
        <row r="3796">
          <cell r="B3796" t="str">
            <v>70047043</v>
          </cell>
          <cell r="C3796" t="str">
            <v>喜之郎 优乐美1元连包奶茶原味 22G</v>
          </cell>
          <cell r="D3796">
            <v>0</v>
          </cell>
          <cell r="E3796">
            <v>0</v>
          </cell>
          <cell r="F3796" t="e">
            <v>#DIV/0!</v>
          </cell>
        </row>
        <row r="3797">
          <cell r="B3797" t="str">
            <v>70047046</v>
          </cell>
          <cell r="C3797" t="str">
            <v>喜之郎 优乐美1元连包奶草莓味 22G</v>
          </cell>
          <cell r="D3797">
            <v>0</v>
          </cell>
          <cell r="E3797">
            <v>0</v>
          </cell>
          <cell r="F3797" t="e">
            <v>#DIV/0!</v>
          </cell>
        </row>
        <row r="3798">
          <cell r="B3798" t="str">
            <v>70047047</v>
          </cell>
          <cell r="C3798" t="str">
            <v>喜之郎 优乐美1元连包奶麦香味 22G</v>
          </cell>
          <cell r="D3798">
            <v>0</v>
          </cell>
          <cell r="E3798">
            <v>0</v>
          </cell>
          <cell r="F3798" t="e">
            <v>#DIV/0!</v>
          </cell>
        </row>
        <row r="3799">
          <cell r="B3799" t="str">
            <v>70047048</v>
          </cell>
          <cell r="C3799" t="str">
            <v>喜之郎 优乐美1元连包奶香芋味 22G</v>
          </cell>
          <cell r="D3799">
            <v>0</v>
          </cell>
          <cell r="E3799">
            <v>0</v>
          </cell>
          <cell r="F3799" t="e">
            <v>#DIV/0!</v>
          </cell>
        </row>
        <row r="3800">
          <cell r="B3800" t="str">
            <v>70047410</v>
          </cell>
          <cell r="C3800" t="str">
            <v>鹰金钱 金酱豆鼔鲮鱼 227G</v>
          </cell>
          <cell r="D3800">
            <v>419</v>
          </cell>
          <cell r="E3800">
            <v>4449.8</v>
          </cell>
          <cell r="F3800">
            <v>12.000653937947501</v>
          </cell>
        </row>
        <row r="3801">
          <cell r="B3801" t="str">
            <v>70048923</v>
          </cell>
          <cell r="C3801" t="str">
            <v>胡姬花 香传承古法花生油 5L</v>
          </cell>
          <cell r="D3801">
            <v>1</v>
          </cell>
          <cell r="E3801">
            <v>128.44</v>
          </cell>
          <cell r="F3801">
            <v>145.13720000000001</v>
          </cell>
        </row>
        <row r="3802">
          <cell r="B3802" t="str">
            <v>70048987</v>
          </cell>
          <cell r="C3802" t="str">
            <v>李锦记 蒸鱼豉油 410ML</v>
          </cell>
          <cell r="D3802">
            <v>132</v>
          </cell>
          <cell r="E3802">
            <v>1203.4000000000001</v>
          </cell>
          <cell r="F3802">
            <v>10.301833333333301</v>
          </cell>
        </row>
        <row r="3803">
          <cell r="B3803" t="str">
            <v>70051014</v>
          </cell>
          <cell r="C3803" t="str">
            <v>李锦记 蒜蓉香辣酱 160G</v>
          </cell>
          <cell r="D3803">
            <v>415</v>
          </cell>
          <cell r="E3803">
            <v>2340.25</v>
          </cell>
          <cell r="F3803">
            <v>6.3722469879518098</v>
          </cell>
        </row>
        <row r="3804">
          <cell r="B3804" t="str">
            <v>70051353</v>
          </cell>
          <cell r="C3804" t="str">
            <v>李锦记 精选生抽 500ML</v>
          </cell>
          <cell r="D3804">
            <v>6</v>
          </cell>
          <cell r="E3804">
            <v>52</v>
          </cell>
          <cell r="F3804">
            <v>9.7933333333333294</v>
          </cell>
        </row>
        <row r="3805">
          <cell r="B3805" t="str">
            <v>70052254</v>
          </cell>
          <cell r="C3805" t="str">
            <v>鲁花 芝麻香油 180ML</v>
          </cell>
          <cell r="D3805">
            <v>60</v>
          </cell>
          <cell r="E3805">
            <v>561.6</v>
          </cell>
          <cell r="F3805">
            <v>10.5768</v>
          </cell>
        </row>
        <row r="3806">
          <cell r="B3806" t="str">
            <v>70053277</v>
          </cell>
          <cell r="C3806" t="str">
            <v>金健 贡米 5KG</v>
          </cell>
          <cell r="D3806">
            <v>34</v>
          </cell>
          <cell r="E3806">
            <v>1574.61</v>
          </cell>
          <cell r="F3806">
            <v>52.332626470588202</v>
          </cell>
        </row>
        <row r="3807">
          <cell r="B3807" t="str">
            <v>70057709</v>
          </cell>
          <cell r="C3807" t="str">
            <v>梅林 四鲜烤麸罐头 354G</v>
          </cell>
          <cell r="D3807">
            <v>441</v>
          </cell>
          <cell r="E3807">
            <v>2782.62</v>
          </cell>
          <cell r="F3807">
            <v>7.1300693877550998</v>
          </cell>
        </row>
        <row r="3808">
          <cell r="B3808" t="str">
            <v>70057712</v>
          </cell>
          <cell r="C3808" t="str">
            <v>梅林 五香黄花鱼罐头 227G</v>
          </cell>
          <cell r="D3808">
            <v>1301</v>
          </cell>
          <cell r="E3808">
            <v>10602.12</v>
          </cell>
          <cell r="F3808">
            <v>9.2086053804765609</v>
          </cell>
        </row>
        <row r="3809">
          <cell r="B3809" t="str">
            <v>70060988</v>
          </cell>
          <cell r="C3809" t="str">
            <v>梅林 茄汁黄豆罐头 425G</v>
          </cell>
          <cell r="D3809">
            <v>546</v>
          </cell>
          <cell r="E3809">
            <v>2754.46</v>
          </cell>
          <cell r="F3809">
            <v>5.7006223443223396</v>
          </cell>
        </row>
        <row r="3810">
          <cell r="B3810" t="str">
            <v>70061744</v>
          </cell>
          <cell r="C3810" t="str">
            <v>川南 块状牛肉牛肉酱 210G</v>
          </cell>
          <cell r="D3810">
            <v>214</v>
          </cell>
          <cell r="E3810">
            <v>1737.82</v>
          </cell>
          <cell r="F3810">
            <v>9.1763392523364509</v>
          </cell>
        </row>
        <row r="3811">
          <cell r="B3811" t="str">
            <v>70063678</v>
          </cell>
          <cell r="C3811" t="str">
            <v>金健 佳品泰国香米 5KG</v>
          </cell>
          <cell r="D3811">
            <v>11</v>
          </cell>
          <cell r="E3811">
            <v>537.24</v>
          </cell>
          <cell r="F3811">
            <v>55.1892</v>
          </cell>
        </row>
        <row r="3812">
          <cell r="B3812" t="str">
            <v>70063930</v>
          </cell>
          <cell r="C3812" t="str">
            <v>双汇 猪肉罐头 340G</v>
          </cell>
          <cell r="D3812">
            <v>14</v>
          </cell>
          <cell r="E3812">
            <v>110.45</v>
          </cell>
          <cell r="F3812">
            <v>8.9148928571428598</v>
          </cell>
        </row>
        <row r="3813">
          <cell r="B3813" t="str">
            <v>70064526</v>
          </cell>
          <cell r="C3813" t="str">
            <v>金健 东北长粒香米 5KG</v>
          </cell>
          <cell r="D3813">
            <v>1252</v>
          </cell>
          <cell r="E3813">
            <v>45939.77</v>
          </cell>
          <cell r="F3813">
            <v>41.463210942491997</v>
          </cell>
        </row>
        <row r="3814">
          <cell r="B3814" t="str">
            <v>70066557</v>
          </cell>
          <cell r="C3814" t="str">
            <v>李锦记 蚝油</v>
          </cell>
          <cell r="D3814">
            <v>92</v>
          </cell>
          <cell r="E3814">
            <v>1276.95</v>
          </cell>
          <cell r="F3814">
            <v>15.684277173912999</v>
          </cell>
        </row>
        <row r="3815">
          <cell r="B3815" t="str">
            <v>70068747</v>
          </cell>
          <cell r="C3815" t="str">
            <v>福临门 自然香黑龙江长粒香米 5kg</v>
          </cell>
          <cell r="D3815">
            <v>18651</v>
          </cell>
          <cell r="E3815">
            <v>709865.85</v>
          </cell>
          <cell r="F3815">
            <v>43.008332555895102</v>
          </cell>
        </row>
        <row r="3816">
          <cell r="B3816" t="str">
            <v>70069885</v>
          </cell>
          <cell r="C3816" t="str">
            <v>金龙鱼 原香稻 5KG</v>
          </cell>
          <cell r="D3816">
            <v>22</v>
          </cell>
          <cell r="E3816">
            <v>1705.91</v>
          </cell>
          <cell r="F3816">
            <v>87.621740909090903</v>
          </cell>
        </row>
        <row r="3817">
          <cell r="B3817" t="str">
            <v>70072397</v>
          </cell>
          <cell r="C3817" t="str">
            <v>恒顺 镇江香醋 500G</v>
          </cell>
          <cell r="D3817">
            <v>14</v>
          </cell>
          <cell r="E3817">
            <v>143.75</v>
          </cell>
          <cell r="F3817">
            <v>11.6026785714286</v>
          </cell>
        </row>
        <row r="3818">
          <cell r="B3818" t="str">
            <v>70072436</v>
          </cell>
          <cell r="C3818" t="str">
            <v>梅林 红烧排骨 340G</v>
          </cell>
          <cell r="D3818">
            <v>527</v>
          </cell>
          <cell r="E3818">
            <v>11911.4</v>
          </cell>
          <cell r="F3818">
            <v>25.540573055028499</v>
          </cell>
        </row>
        <row r="3819">
          <cell r="B3819" t="str">
            <v>70072437</v>
          </cell>
          <cell r="C3819" t="str">
            <v>梅林 红烧猪肉 340G</v>
          </cell>
          <cell r="D3819">
            <v>302</v>
          </cell>
          <cell r="E3819">
            <v>5680.25</v>
          </cell>
          <cell r="F3819">
            <v>21.2539155629139</v>
          </cell>
        </row>
        <row r="3820">
          <cell r="B3820" t="str">
            <v>70072438</v>
          </cell>
          <cell r="C3820" t="str">
            <v>梅林 红烧扣肉 340G</v>
          </cell>
          <cell r="D3820">
            <v>495</v>
          </cell>
          <cell r="E3820">
            <v>10448.219999999999</v>
          </cell>
          <cell r="F3820">
            <v>23.8514921212121</v>
          </cell>
        </row>
        <row r="3821">
          <cell r="B3821" t="str">
            <v>70072439</v>
          </cell>
          <cell r="C3821" t="str">
            <v>梅林 红烧瘦肉 340G</v>
          </cell>
          <cell r="D3821">
            <v>335</v>
          </cell>
          <cell r="E3821">
            <v>7083.95</v>
          </cell>
          <cell r="F3821">
            <v>23.8951149253731</v>
          </cell>
        </row>
        <row r="3822">
          <cell r="B3822" t="str">
            <v>70072441</v>
          </cell>
          <cell r="C3822" t="str">
            <v>梅林 油门笋 397G</v>
          </cell>
          <cell r="D3822">
            <v>493</v>
          </cell>
          <cell r="E3822">
            <v>3980.75</v>
          </cell>
          <cell r="F3822">
            <v>9.1242342799188592</v>
          </cell>
        </row>
        <row r="3823">
          <cell r="B3823" t="str">
            <v>70075620</v>
          </cell>
          <cell r="C3823" t="str">
            <v>金龙鱼 葵籽油 1.8L</v>
          </cell>
          <cell r="D3823">
            <v>34</v>
          </cell>
          <cell r="E3823">
            <v>986.18</v>
          </cell>
          <cell r="F3823">
            <v>32.775982352941199</v>
          </cell>
        </row>
        <row r="3824">
          <cell r="B3824" t="str">
            <v>70081078</v>
          </cell>
          <cell r="C3824" t="str">
            <v>味聚特 牛肉酱 210G</v>
          </cell>
          <cell r="D3824">
            <v>39</v>
          </cell>
          <cell r="E3824">
            <v>480.83</v>
          </cell>
          <cell r="F3824">
            <v>13.931741025640999</v>
          </cell>
        </row>
        <row r="3825">
          <cell r="B3825" t="str">
            <v>70082766</v>
          </cell>
          <cell r="C3825" t="str">
            <v>金龙鱼 清香稻(原龙江清香稻) 5KG</v>
          </cell>
          <cell r="D3825">
            <v>1682</v>
          </cell>
          <cell r="E3825">
            <v>62131.33</v>
          </cell>
          <cell r="F3825">
            <v>41.741024316290101</v>
          </cell>
        </row>
        <row r="3826">
          <cell r="B3826" t="str">
            <v>70082770</v>
          </cell>
          <cell r="C3826" t="str">
            <v>香满园 特选长粒香(原特等长粒香) 5KG</v>
          </cell>
          <cell r="D3826">
            <v>174</v>
          </cell>
          <cell r="E3826">
            <v>6704.83</v>
          </cell>
          <cell r="F3826">
            <v>43.542861494252897</v>
          </cell>
        </row>
        <row r="3827">
          <cell r="B3827" t="str">
            <v>70082777</v>
          </cell>
          <cell r="C3827" t="str">
            <v>金元宝 优选珍珠米(原特等珍珠米) 25KG</v>
          </cell>
          <cell r="D3827">
            <v>30</v>
          </cell>
          <cell r="E3827">
            <v>3495.41</v>
          </cell>
          <cell r="F3827">
            <v>131.66044333333301</v>
          </cell>
        </row>
        <row r="3828">
          <cell r="B3828" t="str">
            <v>70084349</v>
          </cell>
          <cell r="C3828" t="str">
            <v>李锦记 李锦记财神蚝油 255G</v>
          </cell>
          <cell r="D3828">
            <v>214</v>
          </cell>
          <cell r="E3828">
            <v>1525.17</v>
          </cell>
          <cell r="F3828">
            <v>8.0534677570093507</v>
          </cell>
        </row>
        <row r="3829">
          <cell r="B3829" t="str">
            <v>70091015</v>
          </cell>
          <cell r="C3829" t="str">
            <v>鹰金钱 午餐肉 340克</v>
          </cell>
          <cell r="D3829">
            <v>1615</v>
          </cell>
          <cell r="E3829">
            <v>25032.97</v>
          </cell>
          <cell r="F3829">
            <v>17.515328854489201</v>
          </cell>
        </row>
        <row r="3830">
          <cell r="B3830" t="str">
            <v>70098611</v>
          </cell>
          <cell r="C3830" t="str">
            <v>福临门 AE非转基因菜籽油（低芥酸） 5L</v>
          </cell>
          <cell r="D3830">
            <v>191</v>
          </cell>
          <cell r="E3830">
            <v>13121.02</v>
          </cell>
          <cell r="F3830">
            <v>77.626976963350799</v>
          </cell>
        </row>
        <row r="3831">
          <cell r="B3831" t="str">
            <v>70101546</v>
          </cell>
          <cell r="C3831" t="str">
            <v>北戴河 午餐肉 340G</v>
          </cell>
          <cell r="D3831">
            <v>22</v>
          </cell>
          <cell r="E3831">
            <v>282.33999999999997</v>
          </cell>
          <cell r="F3831">
            <v>14.5020090909091</v>
          </cell>
        </row>
        <row r="3832">
          <cell r="B3832" t="str">
            <v>70102782</v>
          </cell>
          <cell r="C3832" t="str">
            <v>红烧猪肉 罐头 500G</v>
          </cell>
          <cell r="D3832">
            <v>13</v>
          </cell>
          <cell r="E3832">
            <v>333.63</v>
          </cell>
          <cell r="F3832">
            <v>29.000146153846199</v>
          </cell>
        </row>
        <row r="3833">
          <cell r="B3833" t="str">
            <v>70103545</v>
          </cell>
          <cell r="C3833" t="str">
            <v>金龙鱼 原香稻 2.5KG</v>
          </cell>
          <cell r="D3833">
            <v>34</v>
          </cell>
          <cell r="E3833">
            <v>1272.6600000000001</v>
          </cell>
          <cell r="F3833">
            <v>42.297229411764697</v>
          </cell>
        </row>
        <row r="3834">
          <cell r="B3834" t="str">
            <v>70108885</v>
          </cell>
          <cell r="C3834" t="str">
            <v>梅林 香辣黄花鱼罐头 227G</v>
          </cell>
          <cell r="D3834">
            <v>1341</v>
          </cell>
          <cell r="E3834">
            <v>10910.52</v>
          </cell>
          <cell r="F3834">
            <v>9.1938013422818798</v>
          </cell>
        </row>
        <row r="3835">
          <cell r="B3835" t="str">
            <v>70112325</v>
          </cell>
          <cell r="C3835" t="str">
            <v>李锦记 锦珍生抽 1750ML</v>
          </cell>
          <cell r="D3835">
            <v>4</v>
          </cell>
          <cell r="E3835">
            <v>48.29</v>
          </cell>
          <cell r="F3835">
            <v>13.641925000000001</v>
          </cell>
        </row>
        <row r="3836">
          <cell r="B3836" t="str">
            <v>70112386</v>
          </cell>
          <cell r="C3836" t="str">
            <v>永健 泡山椒鲜笋 80G</v>
          </cell>
          <cell r="D3836">
            <v>1304</v>
          </cell>
          <cell r="E3836">
            <v>3451.57</v>
          </cell>
          <cell r="F3836">
            <v>2.99100774539877</v>
          </cell>
        </row>
        <row r="3837">
          <cell r="B3837" t="str">
            <v>70114903</v>
          </cell>
          <cell r="C3837" t="str">
            <v>金健 东北大米 5KG</v>
          </cell>
          <cell r="D3837">
            <v>2076</v>
          </cell>
          <cell r="E3837">
            <v>69954.97</v>
          </cell>
          <cell r="F3837">
            <v>38.077608911368003</v>
          </cell>
        </row>
        <row r="3838">
          <cell r="B3838" t="str">
            <v>70115153</v>
          </cell>
          <cell r="C3838" t="str">
            <v>庄子 葵花油、高烹油 5L</v>
          </cell>
          <cell r="D3838">
            <v>218</v>
          </cell>
          <cell r="E3838">
            <v>12983.68</v>
          </cell>
          <cell r="F3838">
            <v>67.300726605504593</v>
          </cell>
        </row>
        <row r="3839">
          <cell r="B3839" t="str">
            <v>70115157</v>
          </cell>
          <cell r="C3839" t="str">
            <v>庄子 红花油 1*6</v>
          </cell>
          <cell r="D3839">
            <v>2</v>
          </cell>
          <cell r="E3839">
            <v>125.88</v>
          </cell>
          <cell r="F3839">
            <v>71.122200000000007</v>
          </cell>
        </row>
        <row r="3840">
          <cell r="B3840" t="str">
            <v>70115236</v>
          </cell>
          <cell r="C3840" t="str">
            <v>笑厨 鸡精 100G</v>
          </cell>
          <cell r="D3840">
            <v>918</v>
          </cell>
          <cell r="E3840">
            <v>3133.63</v>
          </cell>
          <cell r="F3840">
            <v>3.8573005446623099</v>
          </cell>
        </row>
        <row r="3841">
          <cell r="B3841" t="str">
            <v>70117602</v>
          </cell>
          <cell r="C3841" t="str">
            <v>福之泉 葵花油 5L</v>
          </cell>
          <cell r="D3841">
            <v>19</v>
          </cell>
          <cell r="E3841">
            <v>1106.94</v>
          </cell>
          <cell r="F3841">
            <v>65.833799999999997</v>
          </cell>
        </row>
        <row r="3842">
          <cell r="B3842" t="str">
            <v>70119242</v>
          </cell>
          <cell r="C3842" t="str">
            <v>庄子 开拓 红花酱油 1*6</v>
          </cell>
          <cell r="D3842">
            <v>1</v>
          </cell>
          <cell r="E3842">
            <v>31.86</v>
          </cell>
          <cell r="F3842">
            <v>36.001800000000003</v>
          </cell>
        </row>
        <row r="3843">
          <cell r="B3843" t="str">
            <v>70123477</v>
          </cell>
          <cell r="C3843" t="str">
            <v>天山 面粉 10KG</v>
          </cell>
          <cell r="D3843">
            <v>16</v>
          </cell>
          <cell r="E3843">
            <v>616.52</v>
          </cell>
          <cell r="F3843">
            <v>43.541725</v>
          </cell>
        </row>
        <row r="3844">
          <cell r="B3844" t="str">
            <v>70126074</v>
          </cell>
          <cell r="C3844" t="str">
            <v>香满园 香满园御品国珍(五常香米) 10KG</v>
          </cell>
          <cell r="D3844">
            <v>13</v>
          </cell>
          <cell r="E3844">
            <v>1073.4100000000001</v>
          </cell>
          <cell r="F3844">
            <v>93.304100000000005</v>
          </cell>
        </row>
        <row r="3845">
          <cell r="B3845" t="str">
            <v>70127242</v>
          </cell>
          <cell r="C3845" t="str">
            <v>梅林 烟熏午餐肉 340G</v>
          </cell>
          <cell r="D3845">
            <v>309</v>
          </cell>
          <cell r="E3845">
            <v>4165.1000000000004</v>
          </cell>
          <cell r="F3845">
            <v>15.2315954692557</v>
          </cell>
        </row>
        <row r="3846">
          <cell r="B3846" t="str">
            <v>70129580</v>
          </cell>
          <cell r="C3846" t="str">
            <v>涵香 奶酪 85G</v>
          </cell>
          <cell r="D3846">
            <v>18</v>
          </cell>
          <cell r="E3846">
            <v>199.17</v>
          </cell>
          <cell r="F3846">
            <v>12.503450000000001</v>
          </cell>
        </row>
        <row r="3847">
          <cell r="B3847" t="str">
            <v>70131149</v>
          </cell>
          <cell r="C3847" t="str">
            <v>盛康 特一粉 25KG</v>
          </cell>
          <cell r="D3847">
            <v>26</v>
          </cell>
          <cell r="E3847">
            <v>2218.35</v>
          </cell>
          <cell r="F3847">
            <v>96.412903846153796</v>
          </cell>
        </row>
        <row r="3848">
          <cell r="B3848" t="str">
            <v>70131787</v>
          </cell>
          <cell r="C3848" t="str">
            <v>白开提 袋装方便面 1*1</v>
          </cell>
          <cell r="D3848">
            <v>5017</v>
          </cell>
          <cell r="E3848">
            <v>8916.18</v>
          </cell>
          <cell r="F3848">
            <v>2.0082287024118002</v>
          </cell>
        </row>
        <row r="3849">
          <cell r="B3849" t="str">
            <v>70133898</v>
          </cell>
          <cell r="C3849" t="str">
            <v>李锦记 蒸鱼豉油 207ml</v>
          </cell>
          <cell r="D3849">
            <v>12</v>
          </cell>
          <cell r="E3849">
            <v>98.59</v>
          </cell>
          <cell r="F3849">
            <v>9.2838916666666709</v>
          </cell>
        </row>
        <row r="3850">
          <cell r="B3850" t="str">
            <v>70144382</v>
          </cell>
          <cell r="C3850" t="str">
            <v>正大 鸡肉午餐肉清真 198G</v>
          </cell>
          <cell r="D3850">
            <v>18</v>
          </cell>
          <cell r="E3850">
            <v>149.76</v>
          </cell>
          <cell r="F3850">
            <v>9.4016000000000002</v>
          </cell>
        </row>
        <row r="3851">
          <cell r="B3851" t="str">
            <v>70145028</v>
          </cell>
          <cell r="C3851" t="str">
            <v>金龙鱼黄金比例食用调和油（非转基因）5L</v>
          </cell>
          <cell r="D3851">
            <v>56</v>
          </cell>
          <cell r="E3851">
            <v>4078.15</v>
          </cell>
          <cell r="F3851">
            <v>82.291241071428601</v>
          </cell>
        </row>
        <row r="3852">
          <cell r="B3852" t="str">
            <v>70151855</v>
          </cell>
          <cell r="C3852" t="str">
            <v>笑厨 老抽王 500ML</v>
          </cell>
          <cell r="D3852">
            <v>1345</v>
          </cell>
          <cell r="E3852">
            <v>5932.84</v>
          </cell>
          <cell r="F3852">
            <v>4.9844678066914501</v>
          </cell>
        </row>
        <row r="3853">
          <cell r="B3853" t="str">
            <v>70158866</v>
          </cell>
          <cell r="C3853" t="str">
            <v>李锦记XO酱80G</v>
          </cell>
          <cell r="D3853">
            <v>24</v>
          </cell>
          <cell r="E3853">
            <v>686.44</v>
          </cell>
          <cell r="F3853">
            <v>32.319883333333301</v>
          </cell>
        </row>
        <row r="3854">
          <cell r="B3854" t="str">
            <v>70170836</v>
          </cell>
          <cell r="C3854" t="str">
            <v>清伊坊午餐牛肉罐头（清真）340克</v>
          </cell>
          <cell r="D3854">
            <v>0</v>
          </cell>
          <cell r="E3854">
            <v>0</v>
          </cell>
          <cell r="F3854" t="e">
            <v>#DIV/0!</v>
          </cell>
        </row>
        <row r="3855">
          <cell r="B3855" t="str">
            <v>70174695</v>
          </cell>
          <cell r="C3855" t="str">
            <v>金龙鱼 优质东北大米 5KG</v>
          </cell>
          <cell r="D3855">
            <v>2655</v>
          </cell>
          <cell r="E3855">
            <v>82223.710000000006</v>
          </cell>
          <cell r="F3855">
            <v>34.995401996233497</v>
          </cell>
        </row>
        <row r="3856">
          <cell r="B3856" t="str">
            <v>70174696</v>
          </cell>
          <cell r="C3856" t="str">
            <v>金龙鱼 优质东北大米 10KG</v>
          </cell>
          <cell r="D3856">
            <v>141</v>
          </cell>
          <cell r="E3856">
            <v>8548.4</v>
          </cell>
          <cell r="F3856">
            <v>68.508453900709199</v>
          </cell>
        </row>
        <row r="3857">
          <cell r="B3857" t="str">
            <v>70177095</v>
          </cell>
          <cell r="C3857" t="str">
            <v>李锦记 薄盐生抽 500ML</v>
          </cell>
          <cell r="D3857">
            <v>343</v>
          </cell>
          <cell r="E3857">
            <v>2833.12</v>
          </cell>
          <cell r="F3857">
            <v>9.3336023323615205</v>
          </cell>
        </row>
        <row r="3858">
          <cell r="B3858" t="str">
            <v>70177097</v>
          </cell>
          <cell r="C3858" t="str">
            <v>李锦记 天成一味酱油 500ML</v>
          </cell>
          <cell r="D3858">
            <v>70</v>
          </cell>
          <cell r="E3858">
            <v>834.52</v>
          </cell>
          <cell r="F3858">
            <v>13.4715371428571</v>
          </cell>
        </row>
        <row r="3859">
          <cell r="B3859" t="str">
            <v>70177098</v>
          </cell>
          <cell r="C3859" t="str">
            <v>李锦记 一品鲜特级酱油 500ML</v>
          </cell>
          <cell r="D3859">
            <v>217</v>
          </cell>
          <cell r="E3859">
            <v>1445.68</v>
          </cell>
          <cell r="F3859">
            <v>7.5281953917050703</v>
          </cell>
        </row>
        <row r="3860">
          <cell r="B3860" t="str">
            <v>70178153</v>
          </cell>
          <cell r="C3860" t="str">
            <v>百山祖 有机姬松茸 120G</v>
          </cell>
          <cell r="D3860">
            <v>22</v>
          </cell>
          <cell r="E3860">
            <v>1537.8</v>
          </cell>
          <cell r="F3860">
            <v>78.986999999999995</v>
          </cell>
        </row>
        <row r="3861">
          <cell r="B3861" t="str">
            <v>70179322</v>
          </cell>
          <cell r="C3861" t="str">
            <v>金健 顶佳泰国香米 2.5KG</v>
          </cell>
          <cell r="D3861">
            <v>0</v>
          </cell>
          <cell r="E3861">
            <v>0</v>
          </cell>
          <cell r="F3861" t="e">
            <v>#DIV/0!</v>
          </cell>
        </row>
        <row r="3862">
          <cell r="B3862" t="str">
            <v>70180686</v>
          </cell>
          <cell r="C3862" t="str">
            <v>福临门 纯正红糖 300g</v>
          </cell>
          <cell r="D3862">
            <v>492</v>
          </cell>
          <cell r="E3862">
            <v>2487.09</v>
          </cell>
          <cell r="F3862">
            <v>5.7122189024390204</v>
          </cell>
        </row>
        <row r="3863">
          <cell r="B3863" t="str">
            <v>70181899</v>
          </cell>
          <cell r="C3863" t="str">
            <v>香飘飘 红豆奶茶 64G</v>
          </cell>
          <cell r="D3863">
            <v>143</v>
          </cell>
          <cell r="E3863">
            <v>514.78</v>
          </cell>
          <cell r="F3863">
            <v>4.06784195804196</v>
          </cell>
        </row>
        <row r="3864">
          <cell r="B3864" t="str">
            <v>70182244</v>
          </cell>
          <cell r="C3864" t="str">
            <v>西尔丹 雪莲辣椒丝 220G</v>
          </cell>
          <cell r="D3864">
            <v>35</v>
          </cell>
          <cell r="E3864">
            <v>282.95</v>
          </cell>
          <cell r="F3864">
            <v>9.1352428571428597</v>
          </cell>
        </row>
        <row r="3865">
          <cell r="B3865" t="str">
            <v>70183207</v>
          </cell>
          <cell r="C3865" t="str">
            <v>李锦记 幼滑虾酱 227G</v>
          </cell>
          <cell r="D3865">
            <v>22</v>
          </cell>
          <cell r="E3865">
            <v>432.64</v>
          </cell>
          <cell r="F3865">
            <v>22.221963636363601</v>
          </cell>
        </row>
        <row r="3866">
          <cell r="B3866" t="str">
            <v>70185589</v>
          </cell>
          <cell r="C3866" t="str">
            <v>福临门 压榨一级葵花籽油 4L</v>
          </cell>
          <cell r="D3866">
            <v>760</v>
          </cell>
          <cell r="E3866">
            <v>36645.769999999997</v>
          </cell>
          <cell r="F3866">
            <v>54.486473815789502</v>
          </cell>
        </row>
        <row r="3867">
          <cell r="B3867" t="str">
            <v>70186365</v>
          </cell>
          <cell r="C3867" t="str">
            <v>庄子开拓 5升纯红花籽油(特殊营养) 1×1</v>
          </cell>
          <cell r="D3867">
            <v>29</v>
          </cell>
          <cell r="E3867">
            <v>3405.64</v>
          </cell>
          <cell r="F3867">
            <v>132.70252413793099</v>
          </cell>
        </row>
        <row r="3868">
          <cell r="B3868" t="str">
            <v>70187005</v>
          </cell>
          <cell r="C3868" t="str">
            <v>香之派盐焗鸡腿80g</v>
          </cell>
          <cell r="D3868">
            <v>2381</v>
          </cell>
          <cell r="E3868">
            <v>8061.78</v>
          </cell>
          <cell r="F3868">
            <v>3.8260442671146602</v>
          </cell>
        </row>
        <row r="3869">
          <cell r="B3869" t="str">
            <v>70193071</v>
          </cell>
          <cell r="C3869" t="str">
            <v>沙吾尔 天然蜂蜜 500G</v>
          </cell>
          <cell r="D3869">
            <v>1054</v>
          </cell>
          <cell r="E3869">
            <v>20314.59</v>
          </cell>
          <cell r="F3869">
            <v>21.779399146110102</v>
          </cell>
        </row>
        <row r="3870">
          <cell r="B3870" t="str">
            <v>70193072</v>
          </cell>
          <cell r="C3870" t="str">
            <v>沙吾尔 野花蜂蜜 500G</v>
          </cell>
          <cell r="D3870">
            <v>401</v>
          </cell>
          <cell r="E3870">
            <v>7717.98</v>
          </cell>
          <cell r="F3870">
            <v>21.748921197007501</v>
          </cell>
        </row>
        <row r="3871">
          <cell r="B3871" t="str">
            <v>70193074</v>
          </cell>
          <cell r="C3871" t="str">
            <v>沙吾尔 红枣蜂蜜 500G</v>
          </cell>
          <cell r="D3871">
            <v>299</v>
          </cell>
          <cell r="E3871">
            <v>5800.65</v>
          </cell>
          <cell r="F3871">
            <v>21.922188963210701</v>
          </cell>
        </row>
        <row r="3872">
          <cell r="B3872" t="str">
            <v>70197801</v>
          </cell>
          <cell r="C3872" t="str">
            <v>诺干 奶酪甜酸味 80G</v>
          </cell>
          <cell r="D3872">
            <v>5</v>
          </cell>
          <cell r="E3872">
            <v>79.650000000000006</v>
          </cell>
          <cell r="F3872">
            <v>18.000900000000001</v>
          </cell>
        </row>
        <row r="3873">
          <cell r="B3873" t="str">
            <v>70198182</v>
          </cell>
          <cell r="C3873" t="str">
            <v>味聚特 下饭酱 270G</v>
          </cell>
          <cell r="D3873">
            <v>39</v>
          </cell>
          <cell r="E3873">
            <v>451.46</v>
          </cell>
          <cell r="F3873">
            <v>13.0807641025641</v>
          </cell>
        </row>
        <row r="3874">
          <cell r="B3874" t="str">
            <v>70198569</v>
          </cell>
          <cell r="C3874" t="str">
            <v>福临门 优选单晶体冰糖 350g</v>
          </cell>
          <cell r="D3874">
            <v>371</v>
          </cell>
          <cell r="E3874">
            <v>2334.2199999999998</v>
          </cell>
          <cell r="F3874">
            <v>7.1096188679245298</v>
          </cell>
        </row>
        <row r="3875">
          <cell r="B3875" t="str">
            <v>70201471</v>
          </cell>
          <cell r="C3875" t="str">
            <v>欧丽薇兰 特级初榨橄榄油(礼盒) 750ML</v>
          </cell>
          <cell r="D3875">
            <v>8</v>
          </cell>
          <cell r="E3875">
            <v>1330.22</v>
          </cell>
          <cell r="F3875">
            <v>187.893575</v>
          </cell>
        </row>
        <row r="3876">
          <cell r="B3876" t="str">
            <v>70207531</v>
          </cell>
          <cell r="C3876" t="str">
            <v>林家铺子 桔子 238克</v>
          </cell>
          <cell r="D3876">
            <v>90</v>
          </cell>
          <cell r="E3876">
            <v>429.65</v>
          </cell>
          <cell r="F3876">
            <v>5.3944944444444403</v>
          </cell>
        </row>
        <row r="3877">
          <cell r="B3877" t="str">
            <v>70207533</v>
          </cell>
          <cell r="C3877" t="str">
            <v>林家铺子 黄桃 238克</v>
          </cell>
          <cell r="D3877">
            <v>135</v>
          </cell>
          <cell r="E3877">
            <v>634.64</v>
          </cell>
          <cell r="F3877">
            <v>5.3121718518518497</v>
          </cell>
        </row>
        <row r="3878">
          <cell r="B3878" t="str">
            <v>70207605</v>
          </cell>
          <cell r="C3878" t="str">
            <v>吉香居 青滋味青椒牛肉 240G</v>
          </cell>
          <cell r="D3878">
            <v>8</v>
          </cell>
          <cell r="E3878">
            <v>75.760000000000005</v>
          </cell>
          <cell r="F3878">
            <v>10.7011</v>
          </cell>
        </row>
        <row r="3879">
          <cell r="B3879" t="str">
            <v>70210979</v>
          </cell>
          <cell r="C3879" t="str">
            <v>庄子 1*6精醋 488ML</v>
          </cell>
          <cell r="D3879">
            <v>1222</v>
          </cell>
          <cell r="E3879">
            <v>38776.239999999998</v>
          </cell>
          <cell r="F3879">
            <v>35.856915875613701</v>
          </cell>
        </row>
        <row r="3880">
          <cell r="B3880" t="str">
            <v>70210980</v>
          </cell>
          <cell r="C3880" t="str">
            <v>庄子 5升菜籽油 5L</v>
          </cell>
          <cell r="D3880">
            <v>12</v>
          </cell>
          <cell r="E3880">
            <v>773.73</v>
          </cell>
          <cell r="F3880">
            <v>72.859575000000007</v>
          </cell>
        </row>
        <row r="3881">
          <cell r="B3881" t="str">
            <v>70213175</v>
          </cell>
          <cell r="C3881" t="str">
            <v>天山 特一粉 25KG</v>
          </cell>
          <cell r="D3881">
            <v>58</v>
          </cell>
          <cell r="E3881">
            <v>5055.0600000000004</v>
          </cell>
          <cell r="F3881">
            <v>98.486513793103498</v>
          </cell>
        </row>
        <row r="3882">
          <cell r="B3882" t="str">
            <v>70213263</v>
          </cell>
          <cell r="C3882" t="str">
            <v>金龙鱼 杂粮精品礼盒 400G</v>
          </cell>
          <cell r="D3882">
            <v>3</v>
          </cell>
          <cell r="E3882">
            <v>220.19</v>
          </cell>
          <cell r="F3882">
            <v>82.938233333333301</v>
          </cell>
        </row>
        <row r="3883">
          <cell r="B3883" t="str">
            <v>70215629</v>
          </cell>
          <cell r="C3883" t="str">
            <v>李锦记 耗油 680G</v>
          </cell>
          <cell r="D3883">
            <v>552</v>
          </cell>
          <cell r="E3883">
            <v>3130.34</v>
          </cell>
          <cell r="F3883">
            <v>6.4081235507246399</v>
          </cell>
        </row>
        <row r="3884">
          <cell r="B3884" t="str">
            <v>70221982</v>
          </cell>
          <cell r="C3884" t="str">
            <v>乡妹子 香辣鸭翅 100g</v>
          </cell>
          <cell r="D3884">
            <v>169</v>
          </cell>
          <cell r="E3884">
            <v>801</v>
          </cell>
          <cell r="F3884">
            <v>5.3557988165680497</v>
          </cell>
        </row>
        <row r="3885">
          <cell r="B3885" t="str">
            <v>70222105</v>
          </cell>
          <cell r="C3885" t="str">
            <v>梅林 糖水黄桃罐头瓶装 650G</v>
          </cell>
          <cell r="D3885">
            <v>56</v>
          </cell>
          <cell r="E3885">
            <v>555.21</v>
          </cell>
          <cell r="F3885">
            <v>11.2033446428571</v>
          </cell>
        </row>
        <row r="3886">
          <cell r="B3886" t="str">
            <v>70224315</v>
          </cell>
          <cell r="C3886" t="str">
            <v>福临门 一级小磨香油 250ML</v>
          </cell>
          <cell r="D3886">
            <v>298</v>
          </cell>
          <cell r="E3886">
            <v>4716.3599999999997</v>
          </cell>
          <cell r="F3886">
            <v>17.884183892617401</v>
          </cell>
        </row>
        <row r="3887">
          <cell r="B3887" t="str">
            <v>70224588</v>
          </cell>
          <cell r="C3887" t="str">
            <v>精河枸杞 黄色礼品经典枸杞 25G*2</v>
          </cell>
          <cell r="D3887">
            <v>5</v>
          </cell>
          <cell r="E3887">
            <v>369.27</v>
          </cell>
          <cell r="F3887">
            <v>83.455020000000005</v>
          </cell>
        </row>
        <row r="3888">
          <cell r="B3888" t="str">
            <v>70228832</v>
          </cell>
          <cell r="C3888" t="str">
            <v>天齐 有机金钱菇 170G</v>
          </cell>
          <cell r="D3888">
            <v>17</v>
          </cell>
          <cell r="E3888">
            <v>967.3</v>
          </cell>
          <cell r="F3888">
            <v>64.296999999999997</v>
          </cell>
        </row>
        <row r="3889">
          <cell r="B3889" t="str">
            <v>70231913</v>
          </cell>
          <cell r="C3889" t="str">
            <v>福临门 非转基因一级菜籽油 5L</v>
          </cell>
          <cell r="D3889">
            <v>9750</v>
          </cell>
          <cell r="E3889">
            <v>603638.94999999995</v>
          </cell>
          <cell r="F3889">
            <v>69.960206512820506</v>
          </cell>
        </row>
        <row r="3890">
          <cell r="B3890" t="str">
            <v>70235617</v>
          </cell>
          <cell r="C3890" t="str">
            <v>昆觅 赣南脐橙 A款</v>
          </cell>
          <cell r="D3890">
            <v>362</v>
          </cell>
          <cell r="E3890">
            <v>8833.6299999999992</v>
          </cell>
          <cell r="F3890">
            <v>27.574590883977901</v>
          </cell>
        </row>
        <row r="3891">
          <cell r="B3891" t="str">
            <v>70239918</v>
          </cell>
          <cell r="C3891" t="str">
            <v>香满园 非转基因压榨菜籽油 5L</v>
          </cell>
          <cell r="D3891">
            <v>150</v>
          </cell>
          <cell r="E3891">
            <v>8977.56</v>
          </cell>
          <cell r="F3891">
            <v>67.630951999999994</v>
          </cell>
        </row>
        <row r="3892">
          <cell r="B3892" t="str">
            <v>70240928</v>
          </cell>
          <cell r="C3892" t="str">
            <v>雀巢咖啡1＋2原味105G</v>
          </cell>
          <cell r="D3892">
            <v>58</v>
          </cell>
          <cell r="E3892">
            <v>595.54</v>
          </cell>
          <cell r="F3892">
            <v>11.6027620689655</v>
          </cell>
        </row>
        <row r="3893">
          <cell r="B3893" t="str">
            <v>70240929</v>
          </cell>
          <cell r="C3893" t="str">
            <v>雀巢咖啡1＋2特浓91G</v>
          </cell>
          <cell r="D3893">
            <v>137</v>
          </cell>
          <cell r="E3893">
            <v>1406.57</v>
          </cell>
          <cell r="F3893">
            <v>11.601635766423399</v>
          </cell>
        </row>
        <row r="3894">
          <cell r="B3894" t="str">
            <v>70241708</v>
          </cell>
          <cell r="C3894" t="str">
            <v>李锦记 鲜香红烧酿造酱油 500ml</v>
          </cell>
          <cell r="D3894">
            <v>94</v>
          </cell>
          <cell r="E3894">
            <v>850.65</v>
          </cell>
          <cell r="F3894">
            <v>10.2258989361702</v>
          </cell>
        </row>
        <row r="3895">
          <cell r="B3895" t="str">
            <v>70242608</v>
          </cell>
          <cell r="C3895" t="str">
            <v>贝蒂斯 特级初榨橄榄油礼盒装 500ml*2</v>
          </cell>
          <cell r="D3895">
            <v>7</v>
          </cell>
          <cell r="E3895">
            <v>1683.85</v>
          </cell>
          <cell r="F3895">
            <v>271.82150000000001</v>
          </cell>
        </row>
        <row r="3896">
          <cell r="B3896" t="str">
            <v>70248680</v>
          </cell>
          <cell r="C3896" t="str">
            <v>金龙鱼 金龙鱼外婆乡小榨菜籽油（非转压榨） 4L</v>
          </cell>
          <cell r="D3896">
            <v>935</v>
          </cell>
          <cell r="E3896">
            <v>61657.27</v>
          </cell>
          <cell r="F3896">
            <v>74.516272834224594</v>
          </cell>
        </row>
        <row r="3897">
          <cell r="B3897" t="str">
            <v>70248969</v>
          </cell>
          <cell r="C3897" t="str">
            <v>福临门 寒香米 5KG</v>
          </cell>
          <cell r="D3897">
            <v>1310</v>
          </cell>
          <cell r="E3897">
            <v>46574.32</v>
          </cell>
          <cell r="F3897">
            <v>40.174795114503802</v>
          </cell>
        </row>
        <row r="3898">
          <cell r="B3898" t="str">
            <v>70250033</v>
          </cell>
          <cell r="C3898" t="str">
            <v>正大 午餐肉罐头（猪肉） 340G</v>
          </cell>
          <cell r="D3898">
            <v>109</v>
          </cell>
          <cell r="E3898">
            <v>1299.0899999999999</v>
          </cell>
          <cell r="F3898">
            <v>13.4676302752294</v>
          </cell>
        </row>
        <row r="3899">
          <cell r="B3899" t="str">
            <v>70251356</v>
          </cell>
          <cell r="C3899" t="str">
            <v>金龙鱼稻花香 5KG</v>
          </cell>
          <cell r="D3899">
            <v>254</v>
          </cell>
          <cell r="E3899">
            <v>12229.6</v>
          </cell>
          <cell r="F3899">
            <v>54.407275590551201</v>
          </cell>
        </row>
        <row r="3900">
          <cell r="B3900" t="str">
            <v>70253914</v>
          </cell>
          <cell r="C3900" t="str">
            <v>唐布拉 熏马肉 208G</v>
          </cell>
          <cell r="D3900">
            <v>4</v>
          </cell>
          <cell r="E3900">
            <v>83.36</v>
          </cell>
          <cell r="F3900">
            <v>23.549199999999999</v>
          </cell>
        </row>
        <row r="3901">
          <cell r="B3901" t="str">
            <v>70253915</v>
          </cell>
          <cell r="C3901" t="str">
            <v>唐布拉 马肠 488G</v>
          </cell>
          <cell r="D3901">
            <v>0</v>
          </cell>
          <cell r="E3901">
            <v>0</v>
          </cell>
          <cell r="F3901" t="e">
            <v>#DIV/0!</v>
          </cell>
        </row>
        <row r="3902">
          <cell r="B3902" t="str">
            <v>70254216</v>
          </cell>
          <cell r="C3902" t="str">
            <v>千禾 头道原香180天本酿酱油 500ML</v>
          </cell>
          <cell r="D3902">
            <v>401</v>
          </cell>
          <cell r="E3902">
            <v>3979.41</v>
          </cell>
          <cell r="F3902">
            <v>11.213798753117199</v>
          </cell>
        </row>
        <row r="3903">
          <cell r="B3903" t="str">
            <v>70254446</v>
          </cell>
          <cell r="C3903" t="str">
            <v>福临门 非转基因纯香菜籽油 5L（压榨）</v>
          </cell>
          <cell r="D3903">
            <v>2412</v>
          </cell>
          <cell r="E3903">
            <v>157606.59</v>
          </cell>
          <cell r="F3903">
            <v>73.837249875621893</v>
          </cell>
        </row>
        <row r="3904">
          <cell r="B3904" t="str">
            <v>70256071</v>
          </cell>
          <cell r="C3904" t="str">
            <v>金龙鱼 纯胡麻油 5L</v>
          </cell>
          <cell r="D3904">
            <v>63</v>
          </cell>
          <cell r="E3904">
            <v>6115.21</v>
          </cell>
          <cell r="F3904">
            <v>109.68551269841301</v>
          </cell>
        </row>
        <row r="3905">
          <cell r="B3905" t="str">
            <v>70256516</v>
          </cell>
          <cell r="C3905" t="str">
            <v>千禾 糯米香醋 500ml</v>
          </cell>
          <cell r="D3905">
            <v>946</v>
          </cell>
          <cell r="E3905">
            <v>5446.29</v>
          </cell>
          <cell r="F3905">
            <v>6.5056106765327701</v>
          </cell>
        </row>
        <row r="3906">
          <cell r="B3906" t="str">
            <v>70257631</v>
          </cell>
          <cell r="C3906" t="str">
            <v>金龙鱼 稻花香大米 10KG</v>
          </cell>
          <cell r="D3906">
            <v>66</v>
          </cell>
          <cell r="E3906">
            <v>5752.36</v>
          </cell>
          <cell r="F3906">
            <v>98.487375757575705</v>
          </cell>
        </row>
        <row r="3907">
          <cell r="B3907" t="str">
            <v>70258036</v>
          </cell>
          <cell r="C3907" t="str">
            <v>昆觅 赣南脐橙 B款</v>
          </cell>
          <cell r="D3907">
            <v>193</v>
          </cell>
          <cell r="E3907">
            <v>10031.24</v>
          </cell>
          <cell r="F3907">
            <v>58.732130569948197</v>
          </cell>
        </row>
        <row r="3908">
          <cell r="B3908" t="str">
            <v>70258816</v>
          </cell>
          <cell r="C3908" t="str">
            <v>福临门 五常长粒香 5kg</v>
          </cell>
          <cell r="D3908">
            <v>13</v>
          </cell>
          <cell r="E3908">
            <v>586.44000000000005</v>
          </cell>
          <cell r="F3908">
            <v>50.975169230769197</v>
          </cell>
        </row>
        <row r="3909">
          <cell r="B3909" t="str">
            <v>70258890</v>
          </cell>
          <cell r="C3909" t="str">
            <v>福临门 稻花香 10KG</v>
          </cell>
          <cell r="D3909">
            <v>4</v>
          </cell>
          <cell r="E3909">
            <v>561.47</v>
          </cell>
          <cell r="F3909">
            <v>158.615275</v>
          </cell>
        </row>
        <row r="3910">
          <cell r="B3910" t="str">
            <v>70259094</v>
          </cell>
          <cell r="C3910" t="str">
            <v>古龙 原味黄花鱼 120G</v>
          </cell>
          <cell r="D3910">
            <v>1</v>
          </cell>
          <cell r="E3910">
            <v>8.23</v>
          </cell>
          <cell r="F3910">
            <v>9.2998999999999992</v>
          </cell>
        </row>
        <row r="3911">
          <cell r="B3911" t="str">
            <v>70259098</v>
          </cell>
          <cell r="C3911" t="str">
            <v>秦皇岛 炸酱肉丁 160G</v>
          </cell>
          <cell r="D3911">
            <v>147</v>
          </cell>
          <cell r="E3911">
            <v>1105.9100000000001</v>
          </cell>
          <cell r="F3911">
            <v>8.5012129251700692</v>
          </cell>
        </row>
        <row r="3912">
          <cell r="B3912" t="str">
            <v>70259102</v>
          </cell>
          <cell r="C3912" t="str">
            <v>秦皇岛 红烧扣肉 340G</v>
          </cell>
          <cell r="D3912">
            <v>26</v>
          </cell>
          <cell r="E3912">
            <v>483.22</v>
          </cell>
          <cell r="F3912">
            <v>21.001484615384602</v>
          </cell>
        </row>
        <row r="3913">
          <cell r="B3913" t="str">
            <v>70259103</v>
          </cell>
          <cell r="C3913" t="str">
            <v>秦皇岛 油浸金枪鱼 175G</v>
          </cell>
          <cell r="D3913">
            <v>111</v>
          </cell>
          <cell r="E3913">
            <v>1178.82</v>
          </cell>
          <cell r="F3913">
            <v>12.0006</v>
          </cell>
        </row>
        <row r="3914">
          <cell r="B3914" t="str">
            <v>70259173</v>
          </cell>
          <cell r="C3914" t="str">
            <v>味聚特 学生榨菜经典款 53g</v>
          </cell>
          <cell r="D3914">
            <v>297</v>
          </cell>
          <cell r="E3914">
            <v>316.27</v>
          </cell>
          <cell r="F3914">
            <v>1.20331683501683</v>
          </cell>
        </row>
        <row r="3915">
          <cell r="B3915" t="str">
            <v>70259684</v>
          </cell>
          <cell r="C3915" t="str">
            <v>福临门 非转基因纯正菜籽油 5L（压榨）</v>
          </cell>
          <cell r="D3915">
            <v>2237</v>
          </cell>
          <cell r="E3915">
            <v>149802.6</v>
          </cell>
          <cell r="F3915">
            <v>75.671407241841706</v>
          </cell>
        </row>
        <row r="3916">
          <cell r="B3916" t="str">
            <v>70259685</v>
          </cell>
          <cell r="C3916" t="str">
            <v>福临门 非转基因一级菜籽油（浸出） 5L</v>
          </cell>
          <cell r="D3916">
            <v>3398</v>
          </cell>
          <cell r="E3916">
            <v>215012.73</v>
          </cell>
          <cell r="F3916">
            <v>71.502173307828102</v>
          </cell>
        </row>
        <row r="3917">
          <cell r="B3917" t="str">
            <v>70259781</v>
          </cell>
          <cell r="C3917" t="str">
            <v>福临门 三江家宴 10KG</v>
          </cell>
          <cell r="D3917">
            <v>29</v>
          </cell>
          <cell r="E3917">
            <v>1942.25</v>
          </cell>
          <cell r="F3917">
            <v>75.680775862068998</v>
          </cell>
        </row>
        <row r="3918">
          <cell r="B3918" t="str">
            <v>70261565</v>
          </cell>
          <cell r="C3918" t="str">
            <v>福临门 寒香米 10KG</v>
          </cell>
          <cell r="D3918">
            <v>468</v>
          </cell>
          <cell r="E3918">
            <v>31262.33</v>
          </cell>
          <cell r="F3918">
            <v>75.483830982905999</v>
          </cell>
        </row>
        <row r="3919">
          <cell r="B3919" t="str">
            <v>70262945</v>
          </cell>
          <cell r="C3919" t="str">
            <v>真心 什锦罐头 248G</v>
          </cell>
          <cell r="D3919">
            <v>11</v>
          </cell>
          <cell r="E3919">
            <v>63.28</v>
          </cell>
          <cell r="F3919">
            <v>6.5005818181818196</v>
          </cell>
        </row>
        <row r="3920">
          <cell r="B3920" t="str">
            <v>70265498</v>
          </cell>
          <cell r="C3920" t="str">
            <v>新宜兴 辣味烧鳗鱼罐头 100G</v>
          </cell>
          <cell r="D3920">
            <v>1</v>
          </cell>
          <cell r="E3920">
            <v>10.75</v>
          </cell>
          <cell r="F3920">
            <v>12.147500000000001</v>
          </cell>
        </row>
        <row r="3921">
          <cell r="B3921" t="str">
            <v>70265795</v>
          </cell>
          <cell r="C3921" t="str">
            <v>李锦记 黄豆酱 240ML</v>
          </cell>
          <cell r="D3921">
            <v>208</v>
          </cell>
          <cell r="E3921">
            <v>933.14</v>
          </cell>
          <cell r="F3921">
            <v>5.0694625000000002</v>
          </cell>
        </row>
        <row r="3922">
          <cell r="B3922" t="str">
            <v>70266760</v>
          </cell>
          <cell r="C3922" t="str">
            <v>林家铺子 糖水长寿黄桃 425G</v>
          </cell>
          <cell r="D3922">
            <v>754</v>
          </cell>
          <cell r="E3922">
            <v>5660.17</v>
          </cell>
          <cell r="F3922">
            <v>8.4827481432360692</v>
          </cell>
        </row>
        <row r="3923">
          <cell r="B3923" t="str">
            <v>70266763</v>
          </cell>
          <cell r="C3923" t="str">
            <v>林家铺子 糖水精品桔子 425G</v>
          </cell>
          <cell r="D3923">
            <v>845</v>
          </cell>
          <cell r="E3923">
            <v>6351.74</v>
          </cell>
          <cell r="F3923">
            <v>8.4940428402366894</v>
          </cell>
        </row>
        <row r="3924">
          <cell r="B3924" t="str">
            <v>70267458</v>
          </cell>
          <cell r="C3924" t="str">
            <v>福临门 优质白砂糖 360g</v>
          </cell>
          <cell r="D3924">
            <v>503</v>
          </cell>
          <cell r="E3924">
            <v>2612.4499999999998</v>
          </cell>
          <cell r="F3924">
            <v>5.8689234592445301</v>
          </cell>
        </row>
        <row r="3925">
          <cell r="B3925" t="str">
            <v>70267766</v>
          </cell>
          <cell r="C3925" t="str">
            <v>白家 麻辣小面 105g</v>
          </cell>
          <cell r="D3925">
            <v>413</v>
          </cell>
          <cell r="E3925">
            <v>2322.48</v>
          </cell>
          <cell r="F3925">
            <v>6.3544852300242098</v>
          </cell>
        </row>
        <row r="3926">
          <cell r="B3926" t="str">
            <v>70268447</v>
          </cell>
          <cell r="C3926" t="str">
            <v>福临门 黄金产地玉米油 4L</v>
          </cell>
          <cell r="D3926">
            <v>68</v>
          </cell>
          <cell r="E3926">
            <v>3950.38</v>
          </cell>
          <cell r="F3926">
            <v>65.646020588235302</v>
          </cell>
        </row>
        <row r="3927">
          <cell r="B3927" t="str">
            <v>70270231</v>
          </cell>
          <cell r="C3927" t="str">
            <v>坤牧 牛肉辣椒酱 210G</v>
          </cell>
          <cell r="D3927">
            <v>42</v>
          </cell>
          <cell r="E3927">
            <v>409.77</v>
          </cell>
          <cell r="F3927">
            <v>11.0247642857143</v>
          </cell>
        </row>
        <row r="3928">
          <cell r="B3928" t="str">
            <v>70271582</v>
          </cell>
          <cell r="C3928" t="str">
            <v>龙大 原浆压榨花生油 5L</v>
          </cell>
          <cell r="D3928">
            <v>9</v>
          </cell>
          <cell r="E3928">
            <v>1296.3499999999999</v>
          </cell>
          <cell r="F3928">
            <v>162.76394444444401</v>
          </cell>
        </row>
        <row r="3929">
          <cell r="B3929" t="str">
            <v>70273357</v>
          </cell>
          <cell r="C3929" t="str">
            <v>时时养  小麦胚芽 480G</v>
          </cell>
          <cell r="D3929">
            <v>11</v>
          </cell>
          <cell r="E3929">
            <v>529.11</v>
          </cell>
          <cell r="F3929">
            <v>54.354027272727301</v>
          </cell>
        </row>
        <row r="3930">
          <cell r="B3930" t="str">
            <v>70273592</v>
          </cell>
          <cell r="C3930" t="str">
            <v>金龙鱼 纯香菜籽油(非转) 5L</v>
          </cell>
          <cell r="D3930">
            <v>149</v>
          </cell>
          <cell r="E3930">
            <v>9162.68</v>
          </cell>
          <cell r="F3930">
            <v>69.488781208053695</v>
          </cell>
        </row>
        <row r="3931">
          <cell r="B3931" t="str">
            <v>70273788</v>
          </cell>
          <cell r="C3931" t="str">
            <v>天福茗茶 烟盒普洱茶 36G</v>
          </cell>
          <cell r="D3931">
            <v>13</v>
          </cell>
          <cell r="E3931">
            <v>311.14</v>
          </cell>
          <cell r="F3931">
            <v>27.0452461538462</v>
          </cell>
        </row>
        <row r="3932">
          <cell r="B3932" t="str">
            <v>70273996</v>
          </cell>
          <cell r="C3932" t="str">
            <v>金龙鱼 压榨菜籽油 5L</v>
          </cell>
          <cell r="D3932">
            <v>396</v>
          </cell>
          <cell r="E3932">
            <v>24407.43</v>
          </cell>
          <cell r="F3932">
            <v>69.647464393939401</v>
          </cell>
        </row>
        <row r="3933">
          <cell r="B3933" t="str">
            <v>70275797</v>
          </cell>
          <cell r="C3933" t="str">
            <v>李锦记 醇味鲜薄盐 500ML</v>
          </cell>
          <cell r="D3933">
            <v>55</v>
          </cell>
          <cell r="E3933">
            <v>673.79</v>
          </cell>
          <cell r="F3933">
            <v>13.843321818181799</v>
          </cell>
        </row>
        <row r="3934">
          <cell r="B3934" t="str">
            <v>70275798</v>
          </cell>
          <cell r="C3934" t="str">
            <v>李锦记 番茄沙司 320G</v>
          </cell>
          <cell r="D3934">
            <v>111</v>
          </cell>
          <cell r="E3934">
            <v>645.44000000000005</v>
          </cell>
          <cell r="F3934">
            <v>6.5706954954955004</v>
          </cell>
        </row>
        <row r="3935">
          <cell r="B3935" t="str">
            <v>70276100</v>
          </cell>
          <cell r="C3935" t="str">
            <v>好客雲品 邂逅.春晖 357G（生茶）</v>
          </cell>
          <cell r="D3935">
            <v>3</v>
          </cell>
          <cell r="E3935">
            <v>449.53</v>
          </cell>
          <cell r="F3935">
            <v>169.32296666666701</v>
          </cell>
        </row>
        <row r="3936">
          <cell r="B3936" t="str">
            <v>70276101</v>
          </cell>
          <cell r="C3936" t="str">
            <v>好客雲品 邂逅.春晖 357G（熟茶）</v>
          </cell>
          <cell r="D3936">
            <v>2</v>
          </cell>
          <cell r="E3936">
            <v>299.69</v>
          </cell>
          <cell r="F3936">
            <v>169.32485</v>
          </cell>
        </row>
        <row r="3937">
          <cell r="B3937" t="str">
            <v>70277292</v>
          </cell>
          <cell r="C3937" t="str">
            <v>OZECHOC 可可粉 250G</v>
          </cell>
          <cell r="D3937">
            <v>10</v>
          </cell>
          <cell r="E3937">
            <v>699</v>
          </cell>
          <cell r="F3937">
            <v>78.986999999999995</v>
          </cell>
        </row>
        <row r="3938">
          <cell r="B3938" t="str">
            <v>70277939</v>
          </cell>
          <cell r="C3938" t="str">
            <v>福临门 家香味老家土榨菜籽油 5L</v>
          </cell>
          <cell r="D3938">
            <v>92</v>
          </cell>
          <cell r="E3938">
            <v>7744.66</v>
          </cell>
          <cell r="F3938">
            <v>95.124628260869599</v>
          </cell>
        </row>
        <row r="3939">
          <cell r="B3939" t="str">
            <v>70278268</v>
          </cell>
          <cell r="C3939" t="str">
            <v>新宜兴 三明治金枪鱼罐头 100G</v>
          </cell>
          <cell r="D3939">
            <v>2</v>
          </cell>
          <cell r="E3939">
            <v>21.51</v>
          </cell>
          <cell r="F3939">
            <v>12.15315</v>
          </cell>
        </row>
        <row r="3940">
          <cell r="B3940" t="str">
            <v>70278269</v>
          </cell>
          <cell r="C3940" t="str">
            <v>新宜兴 油浸金枪鱼罐头 100G</v>
          </cell>
          <cell r="D3940">
            <v>2</v>
          </cell>
          <cell r="E3940">
            <v>21.51</v>
          </cell>
          <cell r="F3940">
            <v>12.15315</v>
          </cell>
        </row>
        <row r="3941">
          <cell r="B3941" t="str">
            <v>70279368</v>
          </cell>
          <cell r="C3941" t="str">
            <v>江中 猴菇养胃米稀杯装 40G</v>
          </cell>
          <cell r="D3941">
            <v>86</v>
          </cell>
          <cell r="E3941">
            <v>570.91999999999996</v>
          </cell>
          <cell r="F3941">
            <v>7.50162325581395</v>
          </cell>
        </row>
        <row r="3942">
          <cell r="B3942" t="str">
            <v>70280233</v>
          </cell>
          <cell r="C3942" t="str">
            <v>仓麦园 特制一等粉 10KG</v>
          </cell>
          <cell r="D3942">
            <v>28</v>
          </cell>
          <cell r="E3942">
            <v>1022.76</v>
          </cell>
          <cell r="F3942">
            <v>41.2756714285714</v>
          </cell>
        </row>
        <row r="3943">
          <cell r="B3943" t="str">
            <v>70280738</v>
          </cell>
          <cell r="C3943" t="str">
            <v>江中 猴姑早餐米稀 40G</v>
          </cell>
          <cell r="D3943">
            <v>4</v>
          </cell>
          <cell r="E3943">
            <v>175.24</v>
          </cell>
          <cell r="F3943">
            <v>49.505299999999998</v>
          </cell>
        </row>
        <row r="3944">
          <cell r="B3944" t="str">
            <v>70280784</v>
          </cell>
          <cell r="C3944" t="str">
            <v>吉密德 哈宁乌兹根蜂蜜蓝 250G</v>
          </cell>
          <cell r="D3944">
            <v>570</v>
          </cell>
          <cell r="E3944">
            <v>15774.66</v>
          </cell>
          <cell r="F3944">
            <v>31.272571578947399</v>
          </cell>
        </row>
        <row r="3945">
          <cell r="B3945" t="str">
            <v>70281617</v>
          </cell>
          <cell r="C3945" t="str">
            <v>好客雲品 邂逅龙珠（熟茶） 56g</v>
          </cell>
          <cell r="D3945">
            <v>245</v>
          </cell>
          <cell r="E3945">
            <v>5477.32</v>
          </cell>
          <cell r="F3945">
            <v>25.262741224489801</v>
          </cell>
        </row>
        <row r="3946">
          <cell r="B3946" t="str">
            <v>70283300</v>
          </cell>
          <cell r="C3946" t="str">
            <v>好客雲品 邂逅龙珠（生茶） 56G</v>
          </cell>
          <cell r="D3946">
            <v>299</v>
          </cell>
          <cell r="E3946">
            <v>6699.42</v>
          </cell>
          <cell r="F3946">
            <v>25.318878260869599</v>
          </cell>
        </row>
        <row r="3947">
          <cell r="B3947" t="str">
            <v>70284046</v>
          </cell>
          <cell r="C3947" t="str">
            <v>香满园 物理压榨菜籽油(非转基因) 5L</v>
          </cell>
          <cell r="D3947">
            <v>86</v>
          </cell>
          <cell r="E3947">
            <v>5128.51</v>
          </cell>
          <cell r="F3947">
            <v>67.386236046511598</v>
          </cell>
        </row>
        <row r="3948">
          <cell r="B3948" t="str">
            <v>70284084</v>
          </cell>
          <cell r="C3948" t="str">
            <v>雅芳今日香体乳200克</v>
          </cell>
          <cell r="D3948">
            <v>9</v>
          </cell>
          <cell r="E3948">
            <v>302.67</v>
          </cell>
          <cell r="F3948">
            <v>38.001899999999999</v>
          </cell>
        </row>
        <row r="3949">
          <cell r="B3949" t="str">
            <v>70286797</v>
          </cell>
          <cell r="C3949" t="str">
            <v>江中 猴菇营养米稀 450G</v>
          </cell>
          <cell r="D3949">
            <v>2</v>
          </cell>
          <cell r="E3949">
            <v>145.13999999999999</v>
          </cell>
          <cell r="F3949">
            <v>82.004099999999994</v>
          </cell>
        </row>
        <row r="3950">
          <cell r="B3950" t="str">
            <v>70288230</v>
          </cell>
          <cell r="C3950" t="str">
            <v>金健 清香菜籽油 4L</v>
          </cell>
          <cell r="D3950">
            <v>21</v>
          </cell>
          <cell r="E3950">
            <v>1324.78</v>
          </cell>
          <cell r="F3950">
            <v>71.285780952380904</v>
          </cell>
        </row>
        <row r="3951">
          <cell r="B3951" t="str">
            <v>70289670</v>
          </cell>
          <cell r="C3951" t="str">
            <v>昆仑好客 宁夏枸杞袋装 250G</v>
          </cell>
          <cell r="D3951">
            <v>296</v>
          </cell>
          <cell r="E3951">
            <v>7187.53</v>
          </cell>
          <cell r="F3951">
            <v>27.4388814189189</v>
          </cell>
        </row>
        <row r="3952">
          <cell r="B3952" t="str">
            <v>70290218</v>
          </cell>
          <cell r="C3952" t="str">
            <v>昆享 奶茶 400G</v>
          </cell>
          <cell r="D3952">
            <v>109</v>
          </cell>
          <cell r="E3952">
            <v>1753.76</v>
          </cell>
          <cell r="F3952">
            <v>18.1811816513761</v>
          </cell>
        </row>
        <row r="3953">
          <cell r="B3953" t="str">
            <v>70290374</v>
          </cell>
          <cell r="C3953" t="str">
            <v>香满园 农家土榨风味菜籽油 5L</v>
          </cell>
          <cell r="D3953">
            <v>20</v>
          </cell>
          <cell r="E3953">
            <v>1624.68</v>
          </cell>
          <cell r="F3953">
            <v>91.794420000000002</v>
          </cell>
        </row>
        <row r="3954">
          <cell r="B3954" t="str">
            <v>70290638</v>
          </cell>
          <cell r="C3954" t="str">
            <v>甘肃 金鲳鱼 盒</v>
          </cell>
          <cell r="D3954">
            <v>7</v>
          </cell>
          <cell r="E3954">
            <v>147.69999999999999</v>
          </cell>
          <cell r="F3954">
            <v>23.843</v>
          </cell>
        </row>
        <row r="3955">
          <cell r="B3955" t="str">
            <v>70290645</v>
          </cell>
          <cell r="C3955" t="str">
            <v>甘肃 鲈鱼 盒</v>
          </cell>
          <cell r="D3955">
            <v>9</v>
          </cell>
          <cell r="E3955">
            <v>206.44</v>
          </cell>
          <cell r="F3955">
            <v>25.919688888888899</v>
          </cell>
        </row>
        <row r="3956">
          <cell r="B3956" t="str">
            <v>70291201</v>
          </cell>
          <cell r="C3956" t="str">
            <v>溢田 珍珠米 5kg</v>
          </cell>
          <cell r="D3956">
            <v>8</v>
          </cell>
          <cell r="E3956">
            <v>247.05</v>
          </cell>
          <cell r="F3956">
            <v>34.895812499999998</v>
          </cell>
        </row>
        <row r="3957">
          <cell r="B3957" t="str">
            <v>70291448</v>
          </cell>
          <cell r="C3957" t="str">
            <v>千禾 窖醋3年 500ML</v>
          </cell>
          <cell r="D3957">
            <v>10</v>
          </cell>
          <cell r="E3957">
            <v>97.38</v>
          </cell>
          <cell r="F3957">
            <v>11.00394</v>
          </cell>
        </row>
        <row r="3958">
          <cell r="B3958" t="str">
            <v>70291828</v>
          </cell>
          <cell r="C3958" t="str">
            <v>昆仑好客味道农垦 长粒香米 2.5KG</v>
          </cell>
          <cell r="D3958">
            <v>86</v>
          </cell>
          <cell r="E3958">
            <v>2154.09</v>
          </cell>
          <cell r="F3958">
            <v>28.303740697674399</v>
          </cell>
        </row>
        <row r="3959">
          <cell r="B3959" t="str">
            <v>70291829</v>
          </cell>
          <cell r="C3959" t="str">
            <v>昆仑好客味道农垦 长粒香米 5KG</v>
          </cell>
          <cell r="D3959">
            <v>129</v>
          </cell>
          <cell r="E3959">
            <v>4823.21</v>
          </cell>
          <cell r="F3959">
            <v>42.249824031007797</v>
          </cell>
        </row>
        <row r="3960">
          <cell r="B3960" t="str">
            <v>70292895</v>
          </cell>
          <cell r="C3960" t="str">
            <v>昆仑好客优选 鲶鱼沟碱地长粒香米（绿色）500g</v>
          </cell>
          <cell r="D3960">
            <v>1</v>
          </cell>
          <cell r="E3960">
            <v>3.62</v>
          </cell>
          <cell r="F3960">
            <v>4.0906000000000002</v>
          </cell>
        </row>
        <row r="3961">
          <cell r="B3961" t="str">
            <v>70292896</v>
          </cell>
          <cell r="C3961" t="str">
            <v>昆仑好客优选 鲶鱼沟碱地长粒香米（绿色）2.5kg</v>
          </cell>
          <cell r="D3961">
            <v>5</v>
          </cell>
          <cell r="E3961">
            <v>85.18</v>
          </cell>
          <cell r="F3961">
            <v>19.250679999999999</v>
          </cell>
        </row>
        <row r="3962">
          <cell r="B3962" t="str">
            <v>70292897</v>
          </cell>
          <cell r="C3962" t="str">
            <v>昆仑好客优选 鲶鱼沟长粒香米 5KG</v>
          </cell>
          <cell r="D3962">
            <v>87</v>
          </cell>
          <cell r="E3962">
            <v>2783.71</v>
          </cell>
          <cell r="F3962">
            <v>36.156233333333297</v>
          </cell>
        </row>
        <row r="3963">
          <cell r="B3963" t="str">
            <v>70292902</v>
          </cell>
          <cell r="C3963" t="str">
            <v>昆仑好客优选 鲶鱼沟碱地大米（普米） 5kg</v>
          </cell>
          <cell r="D3963">
            <v>25</v>
          </cell>
          <cell r="E3963">
            <v>775.48</v>
          </cell>
          <cell r="F3963">
            <v>35.051696</v>
          </cell>
        </row>
        <row r="3964">
          <cell r="B3964" t="str">
            <v>70294153</v>
          </cell>
          <cell r="C3964" t="str">
            <v>优斯麦尔 (新疆黑蜂)蜂蜜 250G</v>
          </cell>
          <cell r="D3964">
            <v>800</v>
          </cell>
          <cell r="E3964">
            <v>6384.31</v>
          </cell>
          <cell r="F3964">
            <v>9.0178378749999997</v>
          </cell>
        </row>
        <row r="3965">
          <cell r="B3965" t="str">
            <v>70294154</v>
          </cell>
          <cell r="C3965" t="str">
            <v>优斯麦尔 红枣花蜜 250G</v>
          </cell>
          <cell r="D3965">
            <v>899</v>
          </cell>
          <cell r="E3965">
            <v>13096.77</v>
          </cell>
          <cell r="F3965">
            <v>16.462013459399301</v>
          </cell>
        </row>
        <row r="3966">
          <cell r="B3966" t="str">
            <v>70294155</v>
          </cell>
          <cell r="C3966" t="str">
            <v>优斯麦尔 百花蜜 250G</v>
          </cell>
          <cell r="D3966">
            <v>802</v>
          </cell>
          <cell r="E3966">
            <v>16340.46</v>
          </cell>
          <cell r="F3966">
            <v>23.023341396508702</v>
          </cell>
        </row>
        <row r="3967">
          <cell r="B3967" t="str">
            <v>70294156</v>
          </cell>
          <cell r="C3967" t="str">
            <v>优斯麦尔 (新疆黑蜂)蜂蜜 500G</v>
          </cell>
          <cell r="D3967">
            <v>992</v>
          </cell>
          <cell r="E3967">
            <v>15923.5</v>
          </cell>
          <cell r="F3967">
            <v>18.138664314516099</v>
          </cell>
        </row>
        <row r="3968">
          <cell r="B3968" t="str">
            <v>70298822</v>
          </cell>
          <cell r="C3968" t="str">
            <v>水果 新鲜 箱</v>
          </cell>
          <cell r="D3968">
            <v>3395</v>
          </cell>
          <cell r="E3968">
            <v>2713.16</v>
          </cell>
          <cell r="F3968">
            <v>0.90305472754050098</v>
          </cell>
        </row>
        <row r="3969">
          <cell r="B3969" t="str">
            <v>70301296</v>
          </cell>
          <cell r="C3969" t="str">
            <v>伊利 伊犁奶茶粉 400G</v>
          </cell>
          <cell r="D3969">
            <v>138</v>
          </cell>
          <cell r="E3969">
            <v>2076.36</v>
          </cell>
          <cell r="F3969">
            <v>17.002078260869599</v>
          </cell>
        </row>
        <row r="3970">
          <cell r="B3970" t="str">
            <v>70303061</v>
          </cell>
          <cell r="C3970" t="str">
            <v>渔夫尚选 红烧金枪鱼罐头 185G</v>
          </cell>
          <cell r="D3970">
            <v>4</v>
          </cell>
          <cell r="E3970">
            <v>37.9</v>
          </cell>
          <cell r="F3970">
            <v>10.70675</v>
          </cell>
        </row>
        <row r="3971">
          <cell r="B3971" t="str">
            <v>70303062</v>
          </cell>
          <cell r="C3971" t="str">
            <v>渔夫尚选 茄汁金枪鱼罐头 185G</v>
          </cell>
          <cell r="D3971">
            <v>6</v>
          </cell>
          <cell r="E3971">
            <v>56.57</v>
          </cell>
          <cell r="F3971">
            <v>10.654016666666701</v>
          </cell>
        </row>
        <row r="3972">
          <cell r="B3972" t="str">
            <v>70303222</v>
          </cell>
          <cell r="C3972" t="str">
            <v>昆仑好客 玫瑰枸杞八宝茶杯装 40G</v>
          </cell>
          <cell r="D3972">
            <v>44</v>
          </cell>
          <cell r="E3972">
            <v>182.65</v>
          </cell>
          <cell r="F3972">
            <v>4.6907840909090899</v>
          </cell>
        </row>
        <row r="3973">
          <cell r="B3973" t="str">
            <v>70303225</v>
          </cell>
          <cell r="C3973" t="str">
            <v>昆仑好客 陈皮桂圆八宝茶杯装 40G</v>
          </cell>
          <cell r="D3973">
            <v>48</v>
          </cell>
          <cell r="E3973">
            <v>199.16</v>
          </cell>
          <cell r="F3973">
            <v>4.6885583333333303</v>
          </cell>
        </row>
        <row r="3974">
          <cell r="B3974" t="str">
            <v>70303517</v>
          </cell>
          <cell r="C3974" t="str">
            <v>海龙泉 安康鱼 500G/袋</v>
          </cell>
          <cell r="D3974">
            <v>2</v>
          </cell>
          <cell r="E3974">
            <v>58.72</v>
          </cell>
          <cell r="F3974">
            <v>33.1768</v>
          </cell>
        </row>
        <row r="3975">
          <cell r="B3975" t="str">
            <v>70304551</v>
          </cell>
          <cell r="C3975" t="str">
            <v>沙吾尔 沙吾尔山花蜂蜜 500G</v>
          </cell>
          <cell r="D3975">
            <v>1295</v>
          </cell>
          <cell r="E3975">
            <v>35264.32</v>
          </cell>
          <cell r="F3975">
            <v>30.771182702702699</v>
          </cell>
        </row>
        <row r="3976">
          <cell r="B3976" t="str">
            <v>70304617</v>
          </cell>
          <cell r="C3976" t="str">
            <v>益康 有机儿童面 280G</v>
          </cell>
          <cell r="D3976">
            <v>28</v>
          </cell>
          <cell r="E3976">
            <v>257.75</v>
          </cell>
          <cell r="F3976">
            <v>10.402053571428601</v>
          </cell>
        </row>
        <row r="3977">
          <cell r="B3977" t="str">
            <v>70304618</v>
          </cell>
          <cell r="C3977" t="str">
            <v>益康 有机长寿面 390G</v>
          </cell>
          <cell r="D3977">
            <v>276</v>
          </cell>
          <cell r="E3977">
            <v>1333.66</v>
          </cell>
          <cell r="F3977">
            <v>5.4602746376811604</v>
          </cell>
        </row>
        <row r="3978">
          <cell r="B3978" t="str">
            <v>70304619</v>
          </cell>
          <cell r="C3978" t="str">
            <v>益康 有机宽心面 390G</v>
          </cell>
          <cell r="D3978">
            <v>398</v>
          </cell>
          <cell r="E3978">
            <v>1932.5</v>
          </cell>
          <cell r="F3978">
            <v>5.48674623115578</v>
          </cell>
        </row>
        <row r="3979">
          <cell r="B3979" t="str">
            <v>70304620</v>
          </cell>
          <cell r="C3979" t="str">
            <v>益康 有机龙须面 390G</v>
          </cell>
          <cell r="D3979">
            <v>444</v>
          </cell>
          <cell r="E3979">
            <v>2217.86</v>
          </cell>
          <cell r="F3979">
            <v>5.6445536036036001</v>
          </cell>
        </row>
        <row r="3980">
          <cell r="B3980" t="str">
            <v>70304621</v>
          </cell>
          <cell r="C3980" t="str">
            <v>益康 有机手擀面 390G</v>
          </cell>
          <cell r="D3980">
            <v>467</v>
          </cell>
          <cell r="E3980">
            <v>2448.75</v>
          </cell>
          <cell r="F3980">
            <v>5.9252408993575996</v>
          </cell>
        </row>
        <row r="3981">
          <cell r="B3981" t="str">
            <v>70305716</v>
          </cell>
          <cell r="C3981" t="str">
            <v>金龙鱼 乳玉皇妃五常稻花香 5KG</v>
          </cell>
          <cell r="D3981">
            <v>32</v>
          </cell>
          <cell r="E3981">
            <v>3882.88</v>
          </cell>
          <cell r="F3981">
            <v>137.11420000000001</v>
          </cell>
        </row>
        <row r="3982">
          <cell r="B3982" t="str">
            <v>70306113</v>
          </cell>
          <cell r="C3982" t="str">
            <v>千禾 糯米料酒 500ML</v>
          </cell>
          <cell r="D3982">
            <v>684</v>
          </cell>
          <cell r="E3982">
            <v>3967.8</v>
          </cell>
          <cell r="F3982">
            <v>6.5549912280701799</v>
          </cell>
        </row>
        <row r="3983">
          <cell r="B3983" t="str">
            <v>70306554</v>
          </cell>
          <cell r="C3983" t="str">
            <v>伊香优 纯香菜籽油 5L</v>
          </cell>
          <cell r="D3983">
            <v>519</v>
          </cell>
          <cell r="E3983">
            <v>29521.33</v>
          </cell>
          <cell r="F3983">
            <v>64.275728131021197</v>
          </cell>
        </row>
        <row r="3984">
          <cell r="B3984" t="str">
            <v>70306556</v>
          </cell>
          <cell r="C3984" t="str">
            <v>伊香优 压榨AE菜籽油 5L</v>
          </cell>
          <cell r="D3984">
            <v>40</v>
          </cell>
          <cell r="E3984">
            <v>2752.31</v>
          </cell>
          <cell r="F3984">
            <v>77.752757500000001</v>
          </cell>
        </row>
        <row r="3985">
          <cell r="B3985" t="str">
            <v>70306558</v>
          </cell>
          <cell r="C3985" t="str">
            <v>察香优 碱地长粒香米  10KG</v>
          </cell>
          <cell r="D3985">
            <v>220</v>
          </cell>
          <cell r="E3985">
            <v>13725</v>
          </cell>
          <cell r="F3985">
            <v>70.496590909090898</v>
          </cell>
        </row>
        <row r="3986">
          <cell r="B3986" t="str">
            <v>70306561</v>
          </cell>
          <cell r="C3986" t="str">
            <v>察香优 稻谷香(真空) 5KG</v>
          </cell>
          <cell r="D3986">
            <v>29</v>
          </cell>
          <cell r="E3986">
            <v>931.19</v>
          </cell>
          <cell r="F3986">
            <v>36.284300000000002</v>
          </cell>
        </row>
        <row r="3987">
          <cell r="B3987" t="str">
            <v>70306562</v>
          </cell>
          <cell r="C3987" t="str">
            <v>察香优 稻谷香(真空)   10KG</v>
          </cell>
          <cell r="D3987">
            <v>151</v>
          </cell>
          <cell r="E3987">
            <v>8589.0300000000007</v>
          </cell>
          <cell r="F3987">
            <v>64.275522516556293</v>
          </cell>
        </row>
        <row r="3988">
          <cell r="B3988" t="str">
            <v>70306636</v>
          </cell>
          <cell r="C3988" t="str">
            <v>大道普洱 小坨茶熟饼(带 杯) 84G</v>
          </cell>
          <cell r="D3988">
            <v>14</v>
          </cell>
          <cell r="E3988">
            <v>1314.25</v>
          </cell>
          <cell r="F3988">
            <v>106.07875</v>
          </cell>
        </row>
        <row r="3989">
          <cell r="B3989" t="str">
            <v>70306638</v>
          </cell>
          <cell r="C3989" t="str">
            <v>大道普洱 龙珠生茶(带杯) 140G</v>
          </cell>
          <cell r="D3989">
            <v>9</v>
          </cell>
          <cell r="E3989">
            <v>958.81</v>
          </cell>
          <cell r="F3989">
            <v>120.383922222222</v>
          </cell>
        </row>
        <row r="3990">
          <cell r="B3990" t="str">
            <v>70306639</v>
          </cell>
          <cell r="C3990" t="str">
            <v>大道普洱 巧克力熟砖(不带杯) 125G</v>
          </cell>
          <cell r="D3990">
            <v>6</v>
          </cell>
          <cell r="E3990">
            <v>244.07</v>
          </cell>
          <cell r="F3990">
            <v>45.966516666666699</v>
          </cell>
        </row>
        <row r="3991">
          <cell r="B3991" t="str">
            <v>70306640</v>
          </cell>
          <cell r="C3991" t="str">
            <v>大道普洱 龙珠生茶(不带杯) 84G</v>
          </cell>
          <cell r="D3991">
            <v>2</v>
          </cell>
          <cell r="E3991">
            <v>81.239999999999995</v>
          </cell>
          <cell r="F3991">
            <v>45.900599999999997</v>
          </cell>
        </row>
        <row r="3992">
          <cell r="B3992" t="str">
            <v>70306698</v>
          </cell>
          <cell r="C3992" t="str">
            <v>大道普洱 巧克力熟砖(带杯) 250G</v>
          </cell>
          <cell r="D3992">
            <v>7</v>
          </cell>
          <cell r="E3992">
            <v>745.6</v>
          </cell>
          <cell r="F3992">
            <v>120.36114285714299</v>
          </cell>
        </row>
        <row r="3993">
          <cell r="B3993" t="str">
            <v>70306699</v>
          </cell>
          <cell r="C3993" t="str">
            <v>大道普洱 小坨茶生饼(不带杯) 84G</v>
          </cell>
          <cell r="D3993">
            <v>14</v>
          </cell>
          <cell r="E3993">
            <v>404.39</v>
          </cell>
          <cell r="F3993">
            <v>32.640050000000002</v>
          </cell>
        </row>
        <row r="3994">
          <cell r="B3994" t="str">
            <v>70306700</v>
          </cell>
          <cell r="C3994" t="str">
            <v>大道普洱 小坨茶生饼(带 杯) 84G</v>
          </cell>
          <cell r="D3994">
            <v>13</v>
          </cell>
          <cell r="E3994">
            <v>1256.04</v>
          </cell>
          <cell r="F3994">
            <v>109.178861538462</v>
          </cell>
        </row>
        <row r="3995">
          <cell r="B3995" t="str">
            <v>70307751</v>
          </cell>
          <cell r="C3995" t="str">
            <v>川南 油辣子 280G</v>
          </cell>
          <cell r="D3995">
            <v>66</v>
          </cell>
          <cell r="E3995">
            <v>786.64</v>
          </cell>
          <cell r="F3995">
            <v>13.4682303030303</v>
          </cell>
        </row>
        <row r="3996">
          <cell r="B3996" t="str">
            <v>70308006</v>
          </cell>
          <cell r="C3996" t="str">
            <v>无品牌 辣皮子 250G</v>
          </cell>
          <cell r="D3996">
            <v>8</v>
          </cell>
          <cell r="E3996">
            <v>168.82</v>
          </cell>
          <cell r="F3996">
            <v>23.845825000000001</v>
          </cell>
        </row>
        <row r="3997">
          <cell r="B3997" t="str">
            <v>70309550</v>
          </cell>
          <cell r="C3997" t="str">
            <v>天骏 特一面粉 10KG</v>
          </cell>
          <cell r="D3997">
            <v>11</v>
          </cell>
          <cell r="E3997">
            <v>464.31</v>
          </cell>
          <cell r="F3997">
            <v>47.697299999999998</v>
          </cell>
        </row>
        <row r="3998">
          <cell r="B3998" t="str">
            <v>70309567</v>
          </cell>
          <cell r="C3998" t="str">
            <v>疆粮 精选长粒香 25KG</v>
          </cell>
          <cell r="D3998">
            <v>9</v>
          </cell>
          <cell r="E3998">
            <v>1304.6400000000001</v>
          </cell>
          <cell r="F3998">
            <v>163.8048</v>
          </cell>
        </row>
        <row r="3999">
          <cell r="B3999" t="str">
            <v>70311939</v>
          </cell>
          <cell r="C3999" t="str">
            <v>察布查尔 有机大米 5KG</v>
          </cell>
          <cell r="D3999">
            <v>6</v>
          </cell>
          <cell r="E3999">
            <v>649.53</v>
          </cell>
          <cell r="F3999">
            <v>122.32814999999999</v>
          </cell>
        </row>
        <row r="4000">
          <cell r="B4000" t="str">
            <v>70312921</v>
          </cell>
          <cell r="C4000" t="str">
            <v>金健 压榨玉米油 5L</v>
          </cell>
          <cell r="D4000">
            <v>7</v>
          </cell>
          <cell r="E4000">
            <v>521.07000000000005</v>
          </cell>
          <cell r="F4000">
            <v>84.1155857142857</v>
          </cell>
        </row>
        <row r="4001">
          <cell r="B4001" t="str">
            <v>70312922</v>
          </cell>
          <cell r="C4001" t="str">
            <v>金健 压榨葵花籽油 5L</v>
          </cell>
          <cell r="D4001">
            <v>73</v>
          </cell>
          <cell r="E4001">
            <v>5373.21</v>
          </cell>
          <cell r="F4001">
            <v>83.174346575342497</v>
          </cell>
        </row>
        <row r="4002">
          <cell r="B4002" t="str">
            <v>70312924</v>
          </cell>
          <cell r="C4002" t="str">
            <v>金健 东北龙江寒香米 5kg</v>
          </cell>
          <cell r="D4002">
            <v>29</v>
          </cell>
          <cell r="E4002">
            <v>1434.22</v>
          </cell>
          <cell r="F4002">
            <v>55.885124137931001</v>
          </cell>
        </row>
        <row r="4003">
          <cell r="B4003" t="str">
            <v>70312957</v>
          </cell>
          <cell r="C4003" t="str">
            <v>香飘飘 芝士Q麦奶茶 70g</v>
          </cell>
          <cell r="D4003">
            <v>0</v>
          </cell>
          <cell r="E4003">
            <v>0</v>
          </cell>
          <cell r="F4003" t="e">
            <v>#DIV/0!</v>
          </cell>
        </row>
        <row r="4004">
          <cell r="B4004" t="str">
            <v>70312975</v>
          </cell>
          <cell r="C4004" t="str">
            <v>金龙鱼 阳光鲜榨原香葵花仁油 5L*4</v>
          </cell>
          <cell r="D4004">
            <v>4</v>
          </cell>
          <cell r="E4004">
            <v>344.4</v>
          </cell>
          <cell r="F4004">
            <v>97.293000000000006</v>
          </cell>
        </row>
        <row r="4005">
          <cell r="B4005" t="str">
            <v>70313095</v>
          </cell>
          <cell r="C4005" t="str">
            <v>李锦记 味极鲜特级酱油 1.75L</v>
          </cell>
          <cell r="D4005">
            <v>60</v>
          </cell>
          <cell r="E4005">
            <v>1154.54</v>
          </cell>
          <cell r="F4005">
            <v>21.743836666666699</v>
          </cell>
        </row>
        <row r="4006">
          <cell r="B4006" t="str">
            <v>70315805</v>
          </cell>
          <cell r="C4006" t="str">
            <v>天福茗茶 普洱小沱茶 60G</v>
          </cell>
          <cell r="D4006">
            <v>611</v>
          </cell>
          <cell r="E4006">
            <v>18240.03</v>
          </cell>
          <cell r="F4006">
            <v>33.733607037643203</v>
          </cell>
        </row>
        <row r="4007">
          <cell r="B4007" t="str">
            <v>70317341</v>
          </cell>
          <cell r="C4007" t="str">
            <v>罗哥 黑小麦面粉 1个</v>
          </cell>
          <cell r="D4007">
            <v>10</v>
          </cell>
          <cell r="E4007">
            <v>100.93</v>
          </cell>
          <cell r="F4007">
            <v>11.40509</v>
          </cell>
        </row>
        <row r="4008">
          <cell r="B4008" t="str">
            <v>70317608</v>
          </cell>
          <cell r="C4008" t="str">
            <v>福临门 新疆多用途高筋小麦粉 5kg</v>
          </cell>
          <cell r="D4008">
            <v>2</v>
          </cell>
          <cell r="E4008">
            <v>60.02</v>
          </cell>
          <cell r="F4008">
            <v>33.911299999999997</v>
          </cell>
        </row>
        <row r="4009">
          <cell r="B4009" t="str">
            <v>70317982</v>
          </cell>
          <cell r="C4009" t="str">
            <v>慧华圣果 沙棘茶 1*100G</v>
          </cell>
          <cell r="D4009">
            <v>13</v>
          </cell>
          <cell r="E4009">
            <v>517.73</v>
          </cell>
          <cell r="F4009">
            <v>45.002684615384602</v>
          </cell>
        </row>
        <row r="4010">
          <cell r="B4010" t="str">
            <v>70317986</v>
          </cell>
          <cell r="C4010" t="str">
            <v>慧华圣果 沙棘纯果粉 150g</v>
          </cell>
          <cell r="D4010">
            <v>5</v>
          </cell>
          <cell r="E4010">
            <v>641.59</v>
          </cell>
          <cell r="F4010">
            <v>144.99933999999999</v>
          </cell>
        </row>
        <row r="4011">
          <cell r="B4011" t="str">
            <v>70321704</v>
          </cell>
          <cell r="C4011" t="str">
            <v>察布查尔大米 西域贡米 5KG/袋</v>
          </cell>
          <cell r="D4011">
            <v>1584</v>
          </cell>
          <cell r="E4011">
            <v>64394.720000000001</v>
          </cell>
          <cell r="F4011">
            <v>45.938152525252498</v>
          </cell>
        </row>
        <row r="4012">
          <cell r="B4012" t="str">
            <v>70322226</v>
          </cell>
          <cell r="C4012" t="str">
            <v>金龙鱼 纯香花生油 5L</v>
          </cell>
          <cell r="D4012">
            <v>6</v>
          </cell>
          <cell r="E4012">
            <v>582.46</v>
          </cell>
          <cell r="F4012">
            <v>109.696633333333</v>
          </cell>
        </row>
        <row r="4013">
          <cell r="B4013" t="str">
            <v>70322569</v>
          </cell>
          <cell r="C4013" t="str">
            <v>天山 麦心特一粉 25KG</v>
          </cell>
          <cell r="D4013">
            <v>8</v>
          </cell>
          <cell r="E4013">
            <v>205.51</v>
          </cell>
          <cell r="F4013">
            <v>29.028287500000001</v>
          </cell>
        </row>
        <row r="4014">
          <cell r="B4014" t="str">
            <v>70322575</v>
          </cell>
          <cell r="C4014" t="str">
            <v>金麦源 特一粉 25KG</v>
          </cell>
          <cell r="D4014">
            <v>1</v>
          </cell>
          <cell r="E4014">
            <v>84.41</v>
          </cell>
          <cell r="F4014">
            <v>95.383300000000006</v>
          </cell>
        </row>
        <row r="4015">
          <cell r="B4015" t="str">
            <v>70322803</v>
          </cell>
          <cell r="C4015" t="str">
            <v>胡姬花 古法花生油 4L</v>
          </cell>
          <cell r="D4015">
            <v>26</v>
          </cell>
          <cell r="E4015">
            <v>2385.09</v>
          </cell>
          <cell r="F4015">
            <v>103.659680769231</v>
          </cell>
        </row>
        <row r="4016">
          <cell r="B4016" t="str">
            <v>70323156</v>
          </cell>
          <cell r="C4016" t="str">
            <v>昆仑好客 枸杞大麦八宝茶 600G</v>
          </cell>
          <cell r="D4016">
            <v>12</v>
          </cell>
          <cell r="E4016">
            <v>203.82</v>
          </cell>
          <cell r="F4016">
            <v>19.193049999999999</v>
          </cell>
        </row>
        <row r="4017">
          <cell r="B4017" t="str">
            <v>70323675</v>
          </cell>
          <cell r="C4017" t="str">
            <v>笑厨 红花醋 500ML</v>
          </cell>
          <cell r="D4017">
            <v>1060</v>
          </cell>
          <cell r="E4017">
            <v>8023.05</v>
          </cell>
          <cell r="F4017">
            <v>8.5528740566037698</v>
          </cell>
        </row>
        <row r="4018">
          <cell r="B4018" t="str">
            <v>70323683</v>
          </cell>
          <cell r="C4018" t="str">
            <v>笑厨 油泼辣子 285ML 285ML</v>
          </cell>
          <cell r="D4018">
            <v>934</v>
          </cell>
          <cell r="E4018">
            <v>7377.73</v>
          </cell>
          <cell r="F4018">
            <v>8.9259474304068505</v>
          </cell>
        </row>
        <row r="4019">
          <cell r="B4019" t="str">
            <v>70323686</v>
          </cell>
          <cell r="C4019" t="str">
            <v>笑厨 大盘鸡 120G</v>
          </cell>
          <cell r="D4019">
            <v>699</v>
          </cell>
          <cell r="E4019">
            <v>2717.33</v>
          </cell>
          <cell r="F4019">
            <v>4.3928224606580804</v>
          </cell>
        </row>
        <row r="4020">
          <cell r="B4020" t="str">
            <v>70323687</v>
          </cell>
          <cell r="C4020" t="str">
            <v>笑厨 麻婆豆腐调料 75G</v>
          </cell>
          <cell r="D4020">
            <v>626</v>
          </cell>
          <cell r="E4020">
            <v>1519.99</v>
          </cell>
          <cell r="F4020">
            <v>2.7437519169329101</v>
          </cell>
        </row>
        <row r="4021">
          <cell r="B4021" t="str">
            <v>70323690</v>
          </cell>
          <cell r="C4021" t="str">
            <v>笑厨 雪莲辣椒丝 350g</v>
          </cell>
          <cell r="D4021">
            <v>169</v>
          </cell>
          <cell r="E4021">
            <v>1506.3</v>
          </cell>
          <cell r="F4021">
            <v>10.0717100591716</v>
          </cell>
        </row>
        <row r="4022">
          <cell r="B4022" t="str">
            <v>70323691</v>
          </cell>
          <cell r="C4022" t="str">
            <v>笑厨 凉拌汁 235ML</v>
          </cell>
          <cell r="D4022">
            <v>1028</v>
          </cell>
          <cell r="E4022">
            <v>4467.3999999999996</v>
          </cell>
          <cell r="F4022">
            <v>4.9106634241245102</v>
          </cell>
        </row>
        <row r="4023">
          <cell r="B4023" t="str">
            <v>70323693</v>
          </cell>
          <cell r="C4023" t="str">
            <v>笑厨 米粉酱 150G</v>
          </cell>
          <cell r="D4023">
            <v>36</v>
          </cell>
          <cell r="E4023">
            <v>140.55000000000001</v>
          </cell>
          <cell r="F4023">
            <v>4.4117083333333298</v>
          </cell>
        </row>
        <row r="4024">
          <cell r="B4024" t="str">
            <v>70323694</v>
          </cell>
          <cell r="C4024" t="str">
            <v>笑厨 椒麻鸡料 150G</v>
          </cell>
          <cell r="D4024">
            <v>364</v>
          </cell>
          <cell r="E4024">
            <v>1783.25</v>
          </cell>
          <cell r="F4024">
            <v>5.5359134615384598</v>
          </cell>
        </row>
        <row r="4025">
          <cell r="B4025" t="str">
            <v>70324160</v>
          </cell>
          <cell r="C4025" t="str">
            <v>慧华圣果 沙棘果酱 450g/盒</v>
          </cell>
          <cell r="D4025">
            <v>16</v>
          </cell>
          <cell r="E4025">
            <v>637.20000000000005</v>
          </cell>
          <cell r="F4025">
            <v>45.002249999999997</v>
          </cell>
        </row>
        <row r="4026">
          <cell r="B4026" t="str">
            <v>70324210</v>
          </cell>
          <cell r="C4026" t="str">
            <v>罗哥 黑小麦面 1*5KG</v>
          </cell>
          <cell r="D4026">
            <v>57</v>
          </cell>
          <cell r="E4026">
            <v>2027.73</v>
          </cell>
          <cell r="F4026">
            <v>40.198857894736797</v>
          </cell>
        </row>
        <row r="4027">
          <cell r="B4027" t="str">
            <v>70324358</v>
          </cell>
          <cell r="C4027" t="str">
            <v>千禾香油 千禾芝麻香油 405ML</v>
          </cell>
          <cell r="D4027">
            <v>17</v>
          </cell>
          <cell r="E4027">
            <v>341.3</v>
          </cell>
          <cell r="F4027">
            <v>22.686411764705898</v>
          </cell>
        </row>
        <row r="4028">
          <cell r="B4028" t="str">
            <v>70326697</v>
          </cell>
          <cell r="C4028" t="str">
            <v>益康 有机高筋粉 5KG</v>
          </cell>
          <cell r="D4028">
            <v>46</v>
          </cell>
          <cell r="E4028">
            <v>2743.21</v>
          </cell>
          <cell r="F4028">
            <v>67.387550000000005</v>
          </cell>
        </row>
        <row r="4029">
          <cell r="B4029" t="str">
            <v>70326699</v>
          </cell>
          <cell r="C4029" t="str">
            <v>察布查尔 团结香米 1袋</v>
          </cell>
          <cell r="D4029">
            <v>54</v>
          </cell>
          <cell r="E4029">
            <v>2625.76</v>
          </cell>
          <cell r="F4029">
            <v>54.946459259259299</v>
          </cell>
        </row>
        <row r="4030">
          <cell r="B4030" t="str">
            <v>70326718</v>
          </cell>
          <cell r="C4030" t="str">
            <v>昆仑缘 黑枸杞 48G</v>
          </cell>
          <cell r="D4030">
            <v>385</v>
          </cell>
          <cell r="E4030">
            <v>13556.24</v>
          </cell>
          <cell r="F4030">
            <v>39.788444675324698</v>
          </cell>
        </row>
        <row r="4031">
          <cell r="B4031" t="str">
            <v>70326719</v>
          </cell>
          <cell r="C4031" t="str">
            <v>昆仑缘 黑枸杞 80G</v>
          </cell>
          <cell r="D4031">
            <v>8</v>
          </cell>
          <cell r="E4031">
            <v>763.6</v>
          </cell>
          <cell r="F4031">
            <v>107.85850000000001</v>
          </cell>
        </row>
        <row r="4032">
          <cell r="B4032" t="str">
            <v>70328460</v>
          </cell>
          <cell r="C4032" t="str">
            <v>梅林 茄汁沙丁鱼 425G</v>
          </cell>
          <cell r="D4032">
            <v>16</v>
          </cell>
          <cell r="E4032">
            <v>138.86000000000001</v>
          </cell>
          <cell r="F4032">
            <v>9.8069875</v>
          </cell>
        </row>
        <row r="4033">
          <cell r="B4033" t="str">
            <v>70329928</v>
          </cell>
          <cell r="C4033" t="str">
            <v>海优宝海鲜 野生带鱼 1.45-1.55公斤</v>
          </cell>
          <cell r="D4033">
            <v>1</v>
          </cell>
          <cell r="E4033">
            <v>63.31</v>
          </cell>
          <cell r="F4033">
            <v>71.540300000000002</v>
          </cell>
        </row>
        <row r="4034">
          <cell r="B4034" t="str">
            <v>70331181</v>
          </cell>
          <cell r="C4034" t="str">
            <v>精杞神 枸杞原浆 30ML*10瓶/盒</v>
          </cell>
          <cell r="D4034">
            <v>1</v>
          </cell>
          <cell r="E4034">
            <v>8.14</v>
          </cell>
          <cell r="F4034">
            <v>9.1981999999999999</v>
          </cell>
        </row>
        <row r="4035">
          <cell r="B4035" t="str">
            <v>70334039</v>
          </cell>
          <cell r="C4035" t="str">
            <v>李锦记 零添加醇酿陈醋 500ML</v>
          </cell>
          <cell r="D4035">
            <v>355</v>
          </cell>
          <cell r="E4035">
            <v>1982.78</v>
          </cell>
          <cell r="F4035">
            <v>6.3113842253521097</v>
          </cell>
        </row>
        <row r="4036">
          <cell r="B4036" t="str">
            <v>70334041</v>
          </cell>
          <cell r="C4036" t="str">
            <v>李锦记 薄盐味极鲜酱油 500ML</v>
          </cell>
          <cell r="D4036">
            <v>2</v>
          </cell>
          <cell r="E4036">
            <v>21.32</v>
          </cell>
          <cell r="F4036">
            <v>12.0458</v>
          </cell>
        </row>
        <row r="4037">
          <cell r="B4037" t="str">
            <v>70337851</v>
          </cell>
          <cell r="C4037" t="str">
            <v>开心熊猫 原味瓜子礼盒 206G</v>
          </cell>
          <cell r="D4037">
            <v>9</v>
          </cell>
          <cell r="E4037">
            <v>955.78</v>
          </cell>
          <cell r="F4037">
            <v>120.003488888889</v>
          </cell>
        </row>
        <row r="4038">
          <cell r="B4038" t="str">
            <v>70340208</v>
          </cell>
          <cell r="C4038" t="str">
            <v>无品牌 耙耙柑 5KG</v>
          </cell>
          <cell r="D4038">
            <v>4</v>
          </cell>
          <cell r="E4038">
            <v>194.51</v>
          </cell>
          <cell r="F4038">
            <v>54.949075000000001</v>
          </cell>
        </row>
        <row r="4039">
          <cell r="B4039" t="str">
            <v>70343010</v>
          </cell>
          <cell r="C4039" t="str">
            <v>察布查尔 生态米 5KG</v>
          </cell>
          <cell r="D4039">
            <v>145</v>
          </cell>
          <cell r="E4039">
            <v>6031.23</v>
          </cell>
          <cell r="F4039">
            <v>47.0019993103448</v>
          </cell>
        </row>
        <row r="4040">
          <cell r="B4040" t="str">
            <v>70343011</v>
          </cell>
          <cell r="C4040" t="str">
            <v>察布查尔 生态米 1KG</v>
          </cell>
          <cell r="D4040">
            <v>40</v>
          </cell>
          <cell r="E4040">
            <v>176.33</v>
          </cell>
          <cell r="F4040">
            <v>4.9813225000000001</v>
          </cell>
        </row>
        <row r="4041">
          <cell r="B4041" t="str">
            <v>70348730</v>
          </cell>
          <cell r="C4041" t="str">
            <v>李锦记 醇酿香醋 500ML</v>
          </cell>
          <cell r="D4041">
            <v>312</v>
          </cell>
          <cell r="E4041">
            <v>1704.94</v>
          </cell>
          <cell r="F4041">
            <v>6.1749429487179501</v>
          </cell>
        </row>
        <row r="4042">
          <cell r="B4042" t="str">
            <v>70349445</v>
          </cell>
          <cell r="C4042" t="str">
            <v>庄子 苦荞醋 488ML/瓶</v>
          </cell>
          <cell r="D4042">
            <v>8</v>
          </cell>
          <cell r="E4042">
            <v>46.73</v>
          </cell>
          <cell r="F4042">
            <v>6.6006125000000004</v>
          </cell>
        </row>
        <row r="4043">
          <cell r="B4043" t="str">
            <v>70349450</v>
          </cell>
          <cell r="C4043" t="str">
            <v>庄子 5年陈酿醋 488ML/瓶</v>
          </cell>
          <cell r="D4043">
            <v>17</v>
          </cell>
          <cell r="E4043">
            <v>189.56</v>
          </cell>
          <cell r="F4043">
            <v>12.600164705882399</v>
          </cell>
        </row>
        <row r="4044">
          <cell r="B4044" t="str">
            <v>70349452</v>
          </cell>
          <cell r="C4044" t="str">
            <v>笑厨 生抽王 500ML/瓶</v>
          </cell>
          <cell r="D4044">
            <v>1175</v>
          </cell>
          <cell r="E4044">
            <v>4663.83</v>
          </cell>
          <cell r="F4044">
            <v>4.48521523404255</v>
          </cell>
        </row>
        <row r="4045">
          <cell r="B4045" t="str">
            <v>70349453</v>
          </cell>
          <cell r="C4045" t="str">
            <v>笑厨 酿造白醋 500ML/瓶</v>
          </cell>
          <cell r="D4045">
            <v>224</v>
          </cell>
          <cell r="E4045">
            <v>1264.76</v>
          </cell>
          <cell r="F4045">
            <v>6.3802624999999997</v>
          </cell>
        </row>
        <row r="4046">
          <cell r="B4046" t="str">
            <v>70349457</v>
          </cell>
          <cell r="C4046" t="str">
            <v>笑厨 姜蒜料酒 500ML/瓶</v>
          </cell>
          <cell r="D4046">
            <v>569</v>
          </cell>
          <cell r="E4046">
            <v>2679.74</v>
          </cell>
          <cell r="F4046">
            <v>5.3218035149384901</v>
          </cell>
        </row>
        <row r="4047">
          <cell r="B4047" t="str">
            <v>70349466</v>
          </cell>
          <cell r="C4047" t="str">
            <v>笑厨 孜然粉 30G/袋</v>
          </cell>
          <cell r="D4047">
            <v>1081</v>
          </cell>
          <cell r="E4047">
            <v>2349.56</v>
          </cell>
          <cell r="F4047">
            <v>2.4560617946345999</v>
          </cell>
        </row>
        <row r="4048">
          <cell r="B4048" t="str">
            <v>70349467</v>
          </cell>
          <cell r="C4048" t="str">
            <v>笑厨 花椒粉 30G/袋</v>
          </cell>
          <cell r="D4048">
            <v>959</v>
          </cell>
          <cell r="E4048">
            <v>3406.65</v>
          </cell>
          <cell r="F4048">
            <v>4.0140922836287798</v>
          </cell>
        </row>
        <row r="4049">
          <cell r="B4049" t="str">
            <v>70349468</v>
          </cell>
          <cell r="C4049" t="str">
            <v>笑厨 生姜粉 30G/袋</v>
          </cell>
          <cell r="D4049">
            <v>776</v>
          </cell>
          <cell r="E4049">
            <v>1686.3</v>
          </cell>
          <cell r="F4049">
            <v>2.4555657216494802</v>
          </cell>
        </row>
        <row r="4050">
          <cell r="B4050" t="str">
            <v>70349469</v>
          </cell>
          <cell r="C4050" t="str">
            <v>笑厨 辣椒粉 30G/袋</v>
          </cell>
          <cell r="D4050">
            <v>1056</v>
          </cell>
          <cell r="E4050">
            <v>2292.9699999999998</v>
          </cell>
          <cell r="F4050">
            <v>2.45365160984848</v>
          </cell>
        </row>
        <row r="4051">
          <cell r="B4051" t="str">
            <v>70349473</v>
          </cell>
          <cell r="C4051" t="str">
            <v>笑厨 五香粉 30G/袋</v>
          </cell>
          <cell r="D4051">
            <v>727</v>
          </cell>
          <cell r="E4051">
            <v>1580.45</v>
          </cell>
          <cell r="F4051">
            <v>2.4565453920220102</v>
          </cell>
        </row>
        <row r="4052">
          <cell r="B4052" t="str">
            <v>70349474</v>
          </cell>
          <cell r="C4052" t="str">
            <v>笑厨 胡椒粉 30G/袋</v>
          </cell>
          <cell r="D4052">
            <v>908</v>
          </cell>
          <cell r="E4052">
            <v>2735.97</v>
          </cell>
          <cell r="F4052">
            <v>3.4048965859030802</v>
          </cell>
        </row>
        <row r="4053">
          <cell r="B4053" t="str">
            <v>70353448</v>
          </cell>
          <cell r="C4053" t="str">
            <v>壮乡桂品 海鸭蛋 65G*10枚装</v>
          </cell>
          <cell r="D4053">
            <v>46</v>
          </cell>
          <cell r="E4053">
            <v>986.84</v>
          </cell>
          <cell r="F4053">
            <v>24.241939130434801</v>
          </cell>
        </row>
        <row r="4054">
          <cell r="B4054" t="str">
            <v>70353449</v>
          </cell>
          <cell r="C4054" t="str">
            <v>壮乡桂品 海鸭蛋 65g*16枚装</v>
          </cell>
          <cell r="D4054">
            <v>5</v>
          </cell>
          <cell r="E4054">
            <v>176.54</v>
          </cell>
          <cell r="F4054">
            <v>39.898040000000002</v>
          </cell>
        </row>
        <row r="4055">
          <cell r="B4055" t="str">
            <v>70357717</v>
          </cell>
          <cell r="C4055" t="str">
            <v>味尔佳 黄花鱼 条</v>
          </cell>
          <cell r="D4055">
            <v>1</v>
          </cell>
          <cell r="E4055">
            <v>22.94</v>
          </cell>
          <cell r="F4055">
            <v>25.9222</v>
          </cell>
        </row>
        <row r="4056">
          <cell r="B4056" t="str">
            <v>70359387</v>
          </cell>
          <cell r="C4056" t="str">
            <v>天山小哥 鹰嘴豆经典豆浆粉 420G</v>
          </cell>
          <cell r="D4056">
            <v>99</v>
          </cell>
          <cell r="E4056">
            <v>1226.5999999999999</v>
          </cell>
          <cell r="F4056">
            <v>14.0005858585859</v>
          </cell>
        </row>
        <row r="4057">
          <cell r="B4057" t="str">
            <v>70359405</v>
          </cell>
          <cell r="C4057" t="str">
            <v>天山小哥 鹰嘴豆原味豆浆粉 420G</v>
          </cell>
          <cell r="D4057">
            <v>136</v>
          </cell>
          <cell r="E4057">
            <v>1201.81</v>
          </cell>
          <cell r="F4057">
            <v>9.9856272058823503</v>
          </cell>
        </row>
        <row r="4058">
          <cell r="B4058" t="str">
            <v>70359418</v>
          </cell>
          <cell r="C4058" t="str">
            <v>天山小哥 鹰嘴豆南瓜豆浆粉 420G</v>
          </cell>
          <cell r="D4058">
            <v>122</v>
          </cell>
          <cell r="E4058">
            <v>318.35000000000002</v>
          </cell>
          <cell r="F4058">
            <v>2.9486516393442601</v>
          </cell>
        </row>
        <row r="4059">
          <cell r="B4059" t="str">
            <v>70360371</v>
          </cell>
          <cell r="C4059" t="str">
            <v>福临门 营养家黄金小黑葵葵花仁油 5L</v>
          </cell>
          <cell r="D4059">
            <v>358</v>
          </cell>
          <cell r="E4059">
            <v>29424.78</v>
          </cell>
          <cell r="F4059">
            <v>92.877098882681594</v>
          </cell>
        </row>
        <row r="4060">
          <cell r="B4060" t="str">
            <v>70360372</v>
          </cell>
          <cell r="C4060" t="str">
            <v>福临门 营养家活粒鲜胚玉米胚芽油 5L</v>
          </cell>
          <cell r="D4060">
            <v>3018</v>
          </cell>
          <cell r="E4060">
            <v>241325.83</v>
          </cell>
          <cell r="F4060">
            <v>90.357252451954906</v>
          </cell>
        </row>
        <row r="4061">
          <cell r="B4061" t="str">
            <v>70361124</v>
          </cell>
          <cell r="C4061" t="str">
            <v>秋然 清香稻米 5KG</v>
          </cell>
          <cell r="D4061">
            <v>57</v>
          </cell>
          <cell r="E4061">
            <v>2433.6999999999998</v>
          </cell>
          <cell r="F4061">
            <v>48.247035087719297</v>
          </cell>
        </row>
        <row r="4062">
          <cell r="B4062" t="str">
            <v>70362827</v>
          </cell>
          <cell r="C4062" t="str">
            <v>味聚特 香辣牛肉酱 210G</v>
          </cell>
          <cell r="D4062">
            <v>95</v>
          </cell>
          <cell r="E4062">
            <v>1161.8499999999999</v>
          </cell>
          <cell r="F4062">
            <v>13.819900000000001</v>
          </cell>
        </row>
        <row r="4063">
          <cell r="B4063" t="str">
            <v>70362828</v>
          </cell>
          <cell r="C4063" t="str">
            <v>味聚特 香菇牛肉酱 210G</v>
          </cell>
          <cell r="D4063">
            <v>59</v>
          </cell>
          <cell r="E4063">
            <v>721.57</v>
          </cell>
          <cell r="F4063">
            <v>13.819900000000001</v>
          </cell>
        </row>
        <row r="4064">
          <cell r="B4064" t="str">
            <v>70365218</v>
          </cell>
          <cell r="C4064" t="str">
            <v>金龙鱼 御品珍珠米 5KG</v>
          </cell>
          <cell r="D4064">
            <v>1691</v>
          </cell>
          <cell r="E4064">
            <v>61904.11</v>
          </cell>
          <cell r="F4064">
            <v>41.367027971614398</v>
          </cell>
        </row>
        <row r="4065">
          <cell r="B4065" t="str">
            <v>70365221</v>
          </cell>
          <cell r="C4065" t="str">
            <v>金龙鱼 御品稻花香 5KG</v>
          </cell>
          <cell r="D4065">
            <v>27</v>
          </cell>
          <cell r="E4065">
            <v>1595.57</v>
          </cell>
          <cell r="F4065">
            <v>66.777559259259206</v>
          </cell>
        </row>
        <row r="4066">
          <cell r="B4066" t="str">
            <v>70365610</v>
          </cell>
          <cell r="C4066" t="str">
            <v>苏弥山 特优红枸杞一袋 100G</v>
          </cell>
          <cell r="D4066">
            <v>11</v>
          </cell>
          <cell r="E4066">
            <v>80.739999999999995</v>
          </cell>
          <cell r="F4066">
            <v>8.2942</v>
          </cell>
        </row>
        <row r="4067">
          <cell r="B4067" t="str">
            <v>70365612</v>
          </cell>
          <cell r="C4067" t="str">
            <v>苏弥山 特优红枸杞（8G*16) 128G</v>
          </cell>
          <cell r="D4067">
            <v>278</v>
          </cell>
          <cell r="E4067">
            <v>5866.12</v>
          </cell>
          <cell r="F4067">
            <v>23.844300719424499</v>
          </cell>
        </row>
        <row r="4068">
          <cell r="B4068" t="str">
            <v>70367250</v>
          </cell>
          <cell r="C4068" t="str">
            <v>金龙鱼财运亨通调味礼盒</v>
          </cell>
          <cell r="D4068">
            <v>7</v>
          </cell>
          <cell r="E4068">
            <v>279.82</v>
          </cell>
          <cell r="F4068">
            <v>45.170942857142897</v>
          </cell>
        </row>
        <row r="4069">
          <cell r="B4069" t="str">
            <v>70367806</v>
          </cell>
          <cell r="C4069" t="str">
            <v>宏天鼎 葵花籽油 5L</v>
          </cell>
          <cell r="D4069">
            <v>46</v>
          </cell>
          <cell r="E4069">
            <v>0</v>
          </cell>
          <cell r="F4069">
            <v>0</v>
          </cell>
        </row>
        <row r="4070">
          <cell r="B4070" t="str">
            <v>70368822</v>
          </cell>
          <cell r="C4070" t="str">
            <v>庄子 5升红花醋 5L/桶</v>
          </cell>
          <cell r="D4070">
            <v>1299</v>
          </cell>
          <cell r="E4070">
            <v>13827.1</v>
          </cell>
          <cell r="F4070">
            <v>12.0281932255581</v>
          </cell>
        </row>
        <row r="4071">
          <cell r="B4071" t="str">
            <v>70368848</v>
          </cell>
          <cell r="C4071" t="str">
            <v>洽洽 早餐酸奶水果燕麦片 350G/袋</v>
          </cell>
          <cell r="D4071">
            <v>47</v>
          </cell>
          <cell r="E4071">
            <v>1164.5899999999999</v>
          </cell>
          <cell r="F4071">
            <v>27.999717021276599</v>
          </cell>
        </row>
        <row r="4072">
          <cell r="B4072" t="str">
            <v>70369790</v>
          </cell>
          <cell r="C4072" t="str">
            <v>慧华圣果 沙棘油礼盒 100ML</v>
          </cell>
          <cell r="D4072">
            <v>7</v>
          </cell>
          <cell r="E4072">
            <v>3469.03</v>
          </cell>
          <cell r="F4072">
            <v>560.00055714285702</v>
          </cell>
        </row>
        <row r="4073">
          <cell r="B4073" t="str">
            <v>70371011</v>
          </cell>
          <cell r="C4073" t="str">
            <v>渔夫尚选 茄汁金枪鱼罐头 100G</v>
          </cell>
          <cell r="D4073">
            <v>23</v>
          </cell>
          <cell r="E4073">
            <v>130.88</v>
          </cell>
          <cell r="F4073">
            <v>6.4301913043478303</v>
          </cell>
        </row>
        <row r="4074">
          <cell r="B4074" t="str">
            <v>70371013</v>
          </cell>
          <cell r="C4074" t="str">
            <v>渔夫尚选 辣味金枪鱼罐头 100G</v>
          </cell>
          <cell r="D4074">
            <v>17</v>
          </cell>
          <cell r="E4074">
            <v>96.73</v>
          </cell>
          <cell r="F4074">
            <v>6.4297000000000004</v>
          </cell>
        </row>
        <row r="4075">
          <cell r="B4075" t="str">
            <v>70371818</v>
          </cell>
          <cell r="C4075" t="str">
            <v>昆仑好客优选福临门 吉林Q弹小町 5KG</v>
          </cell>
          <cell r="D4075">
            <v>74</v>
          </cell>
          <cell r="E4075">
            <v>2211.4499999999998</v>
          </cell>
          <cell r="F4075">
            <v>33.7694391891892</v>
          </cell>
        </row>
        <row r="4076">
          <cell r="B4076" t="str">
            <v>70373563</v>
          </cell>
          <cell r="C4076" t="str">
            <v>鹰金钱 拉盖火腿午餐肉 340G</v>
          </cell>
          <cell r="D4076">
            <v>1506</v>
          </cell>
          <cell r="E4076">
            <v>20005.78</v>
          </cell>
          <cell r="F4076">
            <v>15.0109770252324</v>
          </cell>
        </row>
        <row r="4077">
          <cell r="B4077" t="str">
            <v>70373580</v>
          </cell>
          <cell r="C4077" t="str">
            <v>坤牧 椒蒿辣椒酱 210G</v>
          </cell>
          <cell r="D4077">
            <v>48</v>
          </cell>
          <cell r="E4077">
            <v>467.76</v>
          </cell>
          <cell r="F4077">
            <v>11.011850000000001</v>
          </cell>
        </row>
        <row r="4078">
          <cell r="B4078" t="str">
            <v>70373581</v>
          </cell>
          <cell r="C4078" t="str">
            <v>坤牧 蒜蓉辣椒酱 210G</v>
          </cell>
          <cell r="D4078">
            <v>63</v>
          </cell>
          <cell r="E4078">
            <v>594.13</v>
          </cell>
          <cell r="F4078">
            <v>10.6566174603175</v>
          </cell>
        </row>
        <row r="4079">
          <cell r="B4079" t="str">
            <v>70373620</v>
          </cell>
          <cell r="C4079" t="str">
            <v>优斯麦尔 有机原麦面粉 1.25KG</v>
          </cell>
          <cell r="D4079">
            <v>92</v>
          </cell>
          <cell r="E4079">
            <v>1293.18</v>
          </cell>
          <cell r="F4079">
            <v>15.8836239130435</v>
          </cell>
        </row>
        <row r="4080">
          <cell r="B4080" t="str">
            <v>70373801</v>
          </cell>
          <cell r="C4080" t="str">
            <v>雅其娜 纯正葵花籽油 5L</v>
          </cell>
          <cell r="D4080">
            <v>82</v>
          </cell>
          <cell r="E4080">
            <v>6016.54</v>
          </cell>
          <cell r="F4080">
            <v>82.910856097560995</v>
          </cell>
        </row>
        <row r="4081">
          <cell r="B4081" t="str">
            <v>70375114</v>
          </cell>
          <cell r="C4081" t="str">
            <v>察布查尔大米 爱信巴纳长粒香 5KG</v>
          </cell>
          <cell r="D4081">
            <v>38</v>
          </cell>
          <cell r="E4081">
            <v>1680.81</v>
          </cell>
          <cell r="F4081">
            <v>49.981981578947398</v>
          </cell>
        </row>
        <row r="4082">
          <cell r="B4082" t="str">
            <v>70376016</v>
          </cell>
          <cell r="C4082" t="str">
            <v>伊香优 旱田面粉 5公斤</v>
          </cell>
          <cell r="D4082">
            <v>108</v>
          </cell>
          <cell r="E4082">
            <v>2279.02</v>
          </cell>
          <cell r="F4082">
            <v>23.845301851851801</v>
          </cell>
        </row>
        <row r="4083">
          <cell r="B4083" t="str">
            <v>70377910</v>
          </cell>
          <cell r="C4083" t="str">
            <v>无品牌 黄花鱼 1</v>
          </cell>
          <cell r="D4083">
            <v>2</v>
          </cell>
          <cell r="E4083">
            <v>73.39</v>
          </cell>
          <cell r="F4083">
            <v>41.465350000000001</v>
          </cell>
        </row>
        <row r="4084">
          <cell r="B4084" t="str">
            <v>70378030</v>
          </cell>
          <cell r="C4084" t="str">
            <v>金龙鱼三餐四季调味礼盒</v>
          </cell>
          <cell r="D4084">
            <v>5</v>
          </cell>
          <cell r="E4084">
            <v>229.36</v>
          </cell>
          <cell r="F4084">
            <v>51.835360000000001</v>
          </cell>
        </row>
        <row r="4085">
          <cell r="B4085" t="str">
            <v>70378171</v>
          </cell>
          <cell r="C4085" t="str">
            <v>无品牌 大青虾 1</v>
          </cell>
          <cell r="D4085">
            <v>3</v>
          </cell>
          <cell r="E4085">
            <v>275.38</v>
          </cell>
          <cell r="F4085">
            <v>103.72646666666699</v>
          </cell>
        </row>
        <row r="4086">
          <cell r="B4086" t="str">
            <v>70378178</v>
          </cell>
          <cell r="C4086" t="str">
            <v>无品牌 带鱼 1</v>
          </cell>
          <cell r="D4086">
            <v>24</v>
          </cell>
          <cell r="E4086">
            <v>1867.94</v>
          </cell>
          <cell r="F4086">
            <v>87.948841666666695</v>
          </cell>
        </row>
        <row r="4087">
          <cell r="B4087" t="str">
            <v>70378379</v>
          </cell>
          <cell r="C4087" t="str">
            <v>无品牌 青虾仁 1</v>
          </cell>
          <cell r="D4087">
            <v>2</v>
          </cell>
          <cell r="E4087">
            <v>201.84</v>
          </cell>
          <cell r="F4087">
            <v>114.03959999999999</v>
          </cell>
        </row>
        <row r="4088">
          <cell r="B4088" t="str">
            <v>70378594</v>
          </cell>
          <cell r="C4088" t="str">
            <v>罗哥 黑麦挂面 500G</v>
          </cell>
          <cell r="D4088">
            <v>56</v>
          </cell>
          <cell r="E4088">
            <v>429.42</v>
          </cell>
          <cell r="F4088">
            <v>8.6650821428571394</v>
          </cell>
        </row>
        <row r="4089">
          <cell r="B4089" t="str">
            <v>70378596</v>
          </cell>
          <cell r="C4089" t="str">
            <v>罗哥 杂粮包 600G</v>
          </cell>
          <cell r="D4089">
            <v>9</v>
          </cell>
          <cell r="E4089">
            <v>132.12</v>
          </cell>
          <cell r="F4089">
            <v>16.5884</v>
          </cell>
        </row>
        <row r="4090">
          <cell r="B4090" t="str">
            <v>70378598</v>
          </cell>
          <cell r="C4090" t="str">
            <v>罗哥 小麦胚芽 300G</v>
          </cell>
          <cell r="D4090">
            <v>70</v>
          </cell>
          <cell r="E4090">
            <v>2247.6999999999998</v>
          </cell>
          <cell r="F4090">
            <v>36.284300000000002</v>
          </cell>
        </row>
        <row r="4091">
          <cell r="B4091" t="str">
            <v>70378602</v>
          </cell>
          <cell r="C4091" t="str">
            <v>罗哥 黑麦面旗子 800G</v>
          </cell>
          <cell r="D4091">
            <v>6</v>
          </cell>
          <cell r="E4091">
            <v>71.58</v>
          </cell>
          <cell r="F4091">
            <v>13.4809</v>
          </cell>
        </row>
        <row r="4092">
          <cell r="B4092" t="str">
            <v>70378604</v>
          </cell>
          <cell r="C4092" t="str">
            <v>罗哥 农家礼物盒 5KG</v>
          </cell>
          <cell r="D4092">
            <v>1</v>
          </cell>
          <cell r="E4092">
            <v>123.9</v>
          </cell>
          <cell r="F4092">
            <v>140.00700000000001</v>
          </cell>
        </row>
        <row r="4093">
          <cell r="B4093" t="str">
            <v>70379736</v>
          </cell>
          <cell r="C4093" t="str">
            <v>天山 (昌吉)特一粉 5KG</v>
          </cell>
          <cell r="D4093">
            <v>0</v>
          </cell>
          <cell r="E4093">
            <v>0</v>
          </cell>
          <cell r="F4093" t="e">
            <v>#DIV/0!</v>
          </cell>
        </row>
        <row r="4094">
          <cell r="B4094" t="str">
            <v>70379800</v>
          </cell>
          <cell r="C4094" t="str">
            <v>天山 普通特一粉 25KG</v>
          </cell>
          <cell r="D4094">
            <v>34</v>
          </cell>
          <cell r="E4094">
            <v>2434.71</v>
          </cell>
          <cell r="F4094">
            <v>80.918302941176506</v>
          </cell>
        </row>
        <row r="4095">
          <cell r="B4095" t="str">
            <v>70381819</v>
          </cell>
          <cell r="C4095" t="str">
            <v>鲁花 压榨特香玉米胚芽油 5L</v>
          </cell>
          <cell r="D4095">
            <v>7</v>
          </cell>
          <cell r="E4095">
            <v>527.30999999999995</v>
          </cell>
          <cell r="F4095">
            <v>85.122900000000001</v>
          </cell>
        </row>
        <row r="4096">
          <cell r="B4096" t="str">
            <v>70381829</v>
          </cell>
          <cell r="C4096" t="str">
            <v>金健 五常香米 5KG</v>
          </cell>
          <cell r="D4096">
            <v>621</v>
          </cell>
          <cell r="E4096">
            <v>30583.82</v>
          </cell>
          <cell r="F4096">
            <v>55.651717552334901</v>
          </cell>
        </row>
        <row r="4097">
          <cell r="B4097" t="str">
            <v>70381845</v>
          </cell>
          <cell r="C4097" t="str">
            <v>福临门 寒香米 2.5KG</v>
          </cell>
          <cell r="D4097">
            <v>234</v>
          </cell>
          <cell r="E4097">
            <v>4188.82</v>
          </cell>
          <cell r="F4097">
            <v>20.2280623931624</v>
          </cell>
        </row>
        <row r="4098">
          <cell r="B4098" t="str">
            <v>70381860</v>
          </cell>
          <cell r="C4098" t="str">
            <v>福临门 自然香五常大米（稻花香2号） 5KG</v>
          </cell>
          <cell r="D4098">
            <v>12</v>
          </cell>
          <cell r="E4098">
            <v>1291.3900000000001</v>
          </cell>
          <cell r="F4098">
            <v>121.60589166666701</v>
          </cell>
        </row>
        <row r="4099">
          <cell r="B4099" t="str">
            <v>70381863</v>
          </cell>
          <cell r="C4099" t="str">
            <v>福临门 自然香五常香米 5KG</v>
          </cell>
          <cell r="D4099">
            <v>1088</v>
          </cell>
          <cell r="E4099">
            <v>59651.65</v>
          </cell>
          <cell r="F4099">
            <v>61.954379136029402</v>
          </cell>
        </row>
        <row r="4100">
          <cell r="B4100" t="str">
            <v>70381881</v>
          </cell>
          <cell r="C4100" t="str">
            <v>金龙鱼 压榨本香菜籽油（非转基因） 5L</v>
          </cell>
          <cell r="D4100">
            <v>1064</v>
          </cell>
          <cell r="E4100">
            <v>85850.880000000005</v>
          </cell>
          <cell r="F4100">
            <v>91.176216541353398</v>
          </cell>
        </row>
        <row r="4101">
          <cell r="B4101" t="str">
            <v>70381883</v>
          </cell>
          <cell r="C4101" t="str">
            <v>金龙鱼 精粹稻米油 5L</v>
          </cell>
          <cell r="D4101">
            <v>337</v>
          </cell>
          <cell r="E4101">
            <v>23089.34</v>
          </cell>
          <cell r="F4101">
            <v>77.421229080118707</v>
          </cell>
        </row>
        <row r="4102">
          <cell r="B4102" t="str">
            <v>70381890</v>
          </cell>
          <cell r="C4102" t="str">
            <v>鲁花 亚麻籽油 1.6L</v>
          </cell>
          <cell r="D4102">
            <v>4</v>
          </cell>
          <cell r="E4102">
            <v>336.88</v>
          </cell>
          <cell r="F4102">
            <v>95.168599999999998</v>
          </cell>
        </row>
        <row r="4103">
          <cell r="B4103" t="str">
            <v>70383369</v>
          </cell>
          <cell r="C4103" t="str">
            <v>上海梅林 梅林原味午餐肉罐 170G*24</v>
          </cell>
          <cell r="D4103">
            <v>18</v>
          </cell>
          <cell r="E4103">
            <v>124.33</v>
          </cell>
          <cell r="F4103">
            <v>7.8051611111111097</v>
          </cell>
        </row>
        <row r="4104">
          <cell r="B4104" t="str">
            <v>70384641</v>
          </cell>
          <cell r="C4104" t="str">
            <v>罗哥 旱田面粉 5KG</v>
          </cell>
          <cell r="D4104">
            <v>174</v>
          </cell>
          <cell r="E4104">
            <v>7946.91</v>
          </cell>
          <cell r="F4104">
            <v>51.6092431034483</v>
          </cell>
        </row>
        <row r="4105">
          <cell r="B4105" t="str">
            <v>70384672</v>
          </cell>
          <cell r="C4105" t="str">
            <v>安井 鱼籽包 240G</v>
          </cell>
          <cell r="D4105">
            <v>0</v>
          </cell>
          <cell r="E4105">
            <v>0</v>
          </cell>
          <cell r="F4105" t="e">
            <v>#DIV/0!</v>
          </cell>
        </row>
        <row r="4106">
          <cell r="B4106" t="str">
            <v>70390086</v>
          </cell>
          <cell r="C4106" t="str">
            <v>昆仑好客福临门 家香味老家土榨菜籽油 4L</v>
          </cell>
          <cell r="D4106">
            <v>154</v>
          </cell>
          <cell r="E4106">
            <v>9974.89</v>
          </cell>
          <cell r="F4106">
            <v>73.1923746753247</v>
          </cell>
        </row>
        <row r="4107">
          <cell r="B4107" t="str">
            <v>70392169</v>
          </cell>
          <cell r="C4107" t="str">
            <v>中粮 食品礼盒 298型</v>
          </cell>
          <cell r="D4107">
            <v>2</v>
          </cell>
          <cell r="E4107">
            <v>300.73</v>
          </cell>
          <cell r="F4107">
            <v>169.91245000000001</v>
          </cell>
        </row>
        <row r="4108">
          <cell r="B4108" t="str">
            <v>70393929</v>
          </cell>
          <cell r="C4108" t="str">
            <v>金龙鱼 红花籽油 5L</v>
          </cell>
          <cell r="D4108">
            <v>32</v>
          </cell>
          <cell r="E4108">
            <v>3171.28</v>
          </cell>
          <cell r="F4108">
            <v>111.98582500000001</v>
          </cell>
        </row>
        <row r="4109">
          <cell r="B4109" t="str">
            <v>70394650</v>
          </cell>
          <cell r="C4109" t="str">
            <v>秦妈 老火锅底料 500G/袋</v>
          </cell>
          <cell r="D4109">
            <v>1</v>
          </cell>
          <cell r="E4109">
            <v>22.13</v>
          </cell>
          <cell r="F4109">
            <v>25.006900000000002</v>
          </cell>
        </row>
        <row r="4110">
          <cell r="B4110" t="str">
            <v>70395485</v>
          </cell>
          <cell r="C4110" t="str">
            <v>福临门 优级白砂糖 405G</v>
          </cell>
          <cell r="D4110">
            <v>10</v>
          </cell>
          <cell r="E4110">
            <v>57.08</v>
          </cell>
          <cell r="F4110">
            <v>6.4500400000000004</v>
          </cell>
        </row>
        <row r="4111">
          <cell r="B4111" t="str">
            <v>70395691</v>
          </cell>
          <cell r="C4111" t="str">
            <v>鲜花 一元码 1</v>
          </cell>
          <cell r="D4111">
            <v>6312</v>
          </cell>
          <cell r="E4111">
            <v>5483.71</v>
          </cell>
          <cell r="F4111">
            <v>0.98171614385297801</v>
          </cell>
        </row>
        <row r="4112">
          <cell r="B4112" t="str">
            <v>70396739</v>
          </cell>
          <cell r="C4112" t="str">
            <v>好客稻香 五常大米 0.5KG</v>
          </cell>
          <cell r="D4112">
            <v>2401</v>
          </cell>
          <cell r="E4112">
            <v>21166.31</v>
          </cell>
          <cell r="F4112">
            <v>9.9616536026655496</v>
          </cell>
        </row>
        <row r="4113">
          <cell r="B4113" t="str">
            <v>70396896</v>
          </cell>
          <cell r="C4113" t="str">
            <v>乾清门 海鸭蛋礼盒 1400G</v>
          </cell>
          <cell r="D4113">
            <v>203</v>
          </cell>
          <cell r="E4113">
            <v>12395.58</v>
          </cell>
          <cell r="F4113">
            <v>69.000026600985194</v>
          </cell>
        </row>
        <row r="4114">
          <cell r="B4114" t="str">
            <v>70397958</v>
          </cell>
          <cell r="C4114" t="str">
            <v>察布查尔大米 爱新巴纳生态米 5KG</v>
          </cell>
          <cell r="D4114">
            <v>69</v>
          </cell>
          <cell r="E4114">
            <v>2734.19</v>
          </cell>
          <cell r="F4114">
            <v>44.777314492753597</v>
          </cell>
        </row>
        <row r="4115">
          <cell r="B4115" t="str">
            <v>70397960</v>
          </cell>
          <cell r="C4115" t="str">
            <v>察布查尔大米 爱新巴纳稻花香 5KG</v>
          </cell>
          <cell r="D4115">
            <v>47</v>
          </cell>
          <cell r="E4115">
            <v>2300.54</v>
          </cell>
          <cell r="F4115">
            <v>55.310855319148899</v>
          </cell>
        </row>
        <row r="4116">
          <cell r="B4116" t="str">
            <v>70403840</v>
          </cell>
          <cell r="C4116" t="str">
            <v>庄子 红花醋 488ML/瓶</v>
          </cell>
          <cell r="D4116">
            <v>10</v>
          </cell>
          <cell r="E4116">
            <v>0</v>
          </cell>
          <cell r="F4116">
            <v>0</v>
          </cell>
        </row>
        <row r="4117">
          <cell r="B4117" t="str">
            <v>70407687</v>
          </cell>
          <cell r="C4117" t="str">
            <v>水果 阿克苏苹果 箱</v>
          </cell>
          <cell r="D4117">
            <v>2</v>
          </cell>
          <cell r="E4117">
            <v>66.06</v>
          </cell>
          <cell r="F4117">
            <v>37.323900000000002</v>
          </cell>
        </row>
        <row r="4118">
          <cell r="B4118" t="str">
            <v>70407775</v>
          </cell>
          <cell r="C4118" t="str">
            <v>罗哥 菜籽油 5L</v>
          </cell>
          <cell r="D4118">
            <v>47</v>
          </cell>
          <cell r="E4118">
            <v>1886.24</v>
          </cell>
          <cell r="F4118">
            <v>45.350025531914902</v>
          </cell>
        </row>
        <row r="4119">
          <cell r="B4119" t="str">
            <v>70407777</v>
          </cell>
          <cell r="C4119" t="str">
            <v>罗哥 菜籽油 1L</v>
          </cell>
          <cell r="D4119">
            <v>3</v>
          </cell>
          <cell r="E4119">
            <v>77.069999999999993</v>
          </cell>
          <cell r="F4119">
            <v>29.029699999999998</v>
          </cell>
        </row>
        <row r="4120">
          <cell r="B4120" t="str">
            <v>70408325</v>
          </cell>
          <cell r="C4120" t="str">
            <v>大类 家庭食品 0.1元/个</v>
          </cell>
          <cell r="D4120">
            <v>192042</v>
          </cell>
          <cell r="E4120">
            <v>15409.74</v>
          </cell>
          <cell r="F4120">
            <v>9.0672905926828501E-2</v>
          </cell>
        </row>
        <row r="4121">
          <cell r="B4121" t="str">
            <v>70408492</v>
          </cell>
          <cell r="C4121" t="str">
            <v>罗哥 旱田面粉 25KG</v>
          </cell>
          <cell r="D4121">
            <v>1</v>
          </cell>
          <cell r="E4121">
            <v>119.27</v>
          </cell>
          <cell r="F4121">
            <v>134.77510000000001</v>
          </cell>
        </row>
        <row r="4122">
          <cell r="B4122" t="str">
            <v>70409380</v>
          </cell>
          <cell r="C4122" t="str">
            <v>眉县猕猴桃 板盒 1盒</v>
          </cell>
          <cell r="D4122">
            <v>4</v>
          </cell>
          <cell r="E4122">
            <v>141.29</v>
          </cell>
          <cell r="F4122">
            <v>39.914425000000001</v>
          </cell>
        </row>
        <row r="4123">
          <cell r="B4123" t="str">
            <v>70414525</v>
          </cell>
          <cell r="C4123" t="str">
            <v>中粮 福临门东北长粒香大米（两面真空） 5KG</v>
          </cell>
          <cell r="D4123">
            <v>996</v>
          </cell>
          <cell r="E4123">
            <v>43503.58</v>
          </cell>
          <cell r="F4123">
            <v>49.3564712851406</v>
          </cell>
        </row>
        <row r="4124">
          <cell r="B4124" t="str">
            <v>70414603</v>
          </cell>
          <cell r="C4124" t="str">
            <v>中粮 福临门甄选东北长粒香米（两面真空） 5KG</v>
          </cell>
          <cell r="D4124">
            <v>1031</v>
          </cell>
          <cell r="E4124">
            <v>36848.35</v>
          </cell>
          <cell r="F4124">
            <v>40.386649369544102</v>
          </cell>
        </row>
        <row r="4125">
          <cell r="B4125" t="str">
            <v>70414615</v>
          </cell>
          <cell r="C4125" t="str">
            <v>中粮 福临门寒地东北大米（两面真空） 5KG</v>
          </cell>
          <cell r="D4125">
            <v>2271</v>
          </cell>
          <cell r="E4125">
            <v>66355.09</v>
          </cell>
          <cell r="F4125">
            <v>33.016843549097302</v>
          </cell>
        </row>
        <row r="4126">
          <cell r="B4126" t="str">
            <v>70414617</v>
          </cell>
          <cell r="C4126" t="str">
            <v>中粮 福临门寒地东北大米（两面真空） 10KG</v>
          </cell>
          <cell r="D4126">
            <v>871</v>
          </cell>
          <cell r="E4126">
            <v>49351.29</v>
          </cell>
          <cell r="F4126">
            <v>64.026357864523504</v>
          </cell>
        </row>
        <row r="4127">
          <cell r="B4127" t="str">
            <v>70416509</v>
          </cell>
          <cell r="C4127" t="str">
            <v>昆享 燕麦轻餐（经典牛奶口味） 50G</v>
          </cell>
          <cell r="D4127">
            <v>16</v>
          </cell>
          <cell r="E4127">
            <v>68</v>
          </cell>
          <cell r="F4127">
            <v>4.8025000000000002</v>
          </cell>
        </row>
        <row r="4128">
          <cell r="B4128" t="str">
            <v>70417106</v>
          </cell>
          <cell r="C4128" t="str">
            <v>喜之郎 优乐咖啡卡布奇诺风味 20G</v>
          </cell>
          <cell r="D4128">
            <v>0</v>
          </cell>
          <cell r="E4128">
            <v>0</v>
          </cell>
          <cell r="F4128" t="e">
            <v>#DIV/0!</v>
          </cell>
        </row>
        <row r="4129">
          <cell r="B4129" t="str">
            <v>70417108</v>
          </cell>
          <cell r="C4129" t="str">
            <v>喜之郎 优乐咖啡摩卡风味 22G</v>
          </cell>
          <cell r="D4129">
            <v>0</v>
          </cell>
          <cell r="E4129">
            <v>0</v>
          </cell>
          <cell r="F4129" t="e">
            <v>#DIV/0!</v>
          </cell>
        </row>
        <row r="4130">
          <cell r="B4130" t="str">
            <v>70417138</v>
          </cell>
          <cell r="C4130" t="str">
            <v>伊卡孜 熏马肠 1000G</v>
          </cell>
          <cell r="D4130">
            <v>1</v>
          </cell>
          <cell r="E4130">
            <v>68.81</v>
          </cell>
          <cell r="F4130">
            <v>77.755300000000005</v>
          </cell>
        </row>
        <row r="4131">
          <cell r="B4131" t="str">
            <v>70417263</v>
          </cell>
          <cell r="C4131" t="str">
            <v>北戴河 午餐肉罐头198G 罐</v>
          </cell>
          <cell r="D4131">
            <v>97</v>
          </cell>
          <cell r="E4131">
            <v>901.41</v>
          </cell>
          <cell r="F4131">
            <v>10.5009618556701</v>
          </cell>
        </row>
        <row r="4132">
          <cell r="B4132" t="str">
            <v>70419228</v>
          </cell>
          <cell r="C4132" t="str">
            <v>八点半 中石油-海诚和国联龙霸巴沙鱼柳 200G</v>
          </cell>
          <cell r="D4132">
            <v>2</v>
          </cell>
          <cell r="E4132">
            <v>18.32</v>
          </cell>
          <cell r="F4132">
            <v>10.3508</v>
          </cell>
        </row>
        <row r="4133">
          <cell r="B4133" t="str">
            <v>70419582</v>
          </cell>
          <cell r="C4133" t="str">
            <v>八点半 中石油-正大富硒蛋 12枚</v>
          </cell>
          <cell r="D4133">
            <v>24454</v>
          </cell>
          <cell r="E4133">
            <v>357028.4</v>
          </cell>
          <cell r="F4133">
            <v>16.498000000000001</v>
          </cell>
        </row>
        <row r="4134">
          <cell r="B4134" t="str">
            <v>70421332</v>
          </cell>
          <cell r="C4134" t="str">
            <v>北戴河 红烧牛肉罐头 340G*12</v>
          </cell>
          <cell r="D4134">
            <v>11</v>
          </cell>
          <cell r="E4134">
            <v>316.39999999999998</v>
          </cell>
          <cell r="F4134">
            <v>32.5029090909091</v>
          </cell>
        </row>
        <row r="4135">
          <cell r="B4135" t="str">
            <v>70421391</v>
          </cell>
          <cell r="C4135" t="str">
            <v>北戴河 火腿猪肉罐头 198G*24</v>
          </cell>
          <cell r="D4135">
            <v>65</v>
          </cell>
          <cell r="E4135">
            <v>690.3</v>
          </cell>
          <cell r="F4135">
            <v>12.0006</v>
          </cell>
        </row>
        <row r="4136">
          <cell r="B4136" t="str">
            <v>70424895</v>
          </cell>
          <cell r="C4136" t="str">
            <v>李锦记 薄盐耗油 500G</v>
          </cell>
          <cell r="D4136">
            <v>7</v>
          </cell>
          <cell r="E4136">
            <v>75.84</v>
          </cell>
          <cell r="F4136">
            <v>12.2427428571429</v>
          </cell>
        </row>
        <row r="4137">
          <cell r="B4137" t="str">
            <v>70425147</v>
          </cell>
          <cell r="C4137" t="str">
            <v>笑厨 味极鲜 380ML</v>
          </cell>
          <cell r="D4137">
            <v>1237</v>
          </cell>
          <cell r="E4137">
            <v>6751.01</v>
          </cell>
          <cell r="F4137">
            <v>6.1670503637833498</v>
          </cell>
        </row>
        <row r="4138">
          <cell r="B4138" t="str">
            <v>70426567</v>
          </cell>
          <cell r="C4138" t="str">
            <v>禧安 骄鲜辣椒牛肉酱 220G</v>
          </cell>
          <cell r="D4138">
            <v>479</v>
          </cell>
          <cell r="E4138">
            <v>6575.87</v>
          </cell>
          <cell r="F4138">
            <v>15.513012734864301</v>
          </cell>
        </row>
        <row r="4139">
          <cell r="B4139" t="str">
            <v>70430811</v>
          </cell>
          <cell r="C4139" t="str">
            <v>元溢慷 有机龙须面 280G</v>
          </cell>
          <cell r="D4139">
            <v>125</v>
          </cell>
          <cell r="E4139">
            <v>789.96</v>
          </cell>
          <cell r="F4139">
            <v>7.1412383999999998</v>
          </cell>
        </row>
        <row r="4140">
          <cell r="B4140" t="str">
            <v>70430814</v>
          </cell>
          <cell r="C4140" t="str">
            <v>元溢慷 有机宽心面 280G</v>
          </cell>
          <cell r="D4140">
            <v>168</v>
          </cell>
          <cell r="E4140">
            <v>1075.33</v>
          </cell>
          <cell r="F4140">
            <v>7.2328744047619002</v>
          </cell>
        </row>
        <row r="4141">
          <cell r="B4141" t="str">
            <v>70430816</v>
          </cell>
          <cell r="C4141" t="str">
            <v>元溢慷 有机长寿面 280G</v>
          </cell>
          <cell r="D4141">
            <v>213</v>
          </cell>
          <cell r="E4141">
            <v>1462.28</v>
          </cell>
          <cell r="F4141">
            <v>7.7576356807511697</v>
          </cell>
        </row>
        <row r="4142">
          <cell r="B4142" t="str">
            <v>70430818</v>
          </cell>
          <cell r="C4142" t="str">
            <v>元溢慷 有机手擀面 280G</v>
          </cell>
          <cell r="D4142">
            <v>114</v>
          </cell>
          <cell r="E4142">
            <v>829.08</v>
          </cell>
          <cell r="F4142">
            <v>8.2180736842105304</v>
          </cell>
        </row>
        <row r="4143">
          <cell r="B4143" t="str">
            <v>70430824</v>
          </cell>
          <cell r="C4143" t="str">
            <v>元溢慷 有机原味小面条 200g</v>
          </cell>
          <cell r="D4143">
            <v>249</v>
          </cell>
          <cell r="E4143">
            <v>1492.65</v>
          </cell>
          <cell r="F4143">
            <v>6.7738734939759002</v>
          </cell>
        </row>
        <row r="4144">
          <cell r="B4144" t="str">
            <v>70431542</v>
          </cell>
          <cell r="C4144" t="str">
            <v>天蕴 烟熏三文鱼 100G</v>
          </cell>
          <cell r="D4144">
            <v>39</v>
          </cell>
          <cell r="E4144">
            <v>1256.19</v>
          </cell>
          <cell r="F4144">
            <v>36.397300000000001</v>
          </cell>
        </row>
        <row r="4145">
          <cell r="B4145" t="str">
            <v>70431543</v>
          </cell>
          <cell r="C4145" t="str">
            <v>天蕴 三文鱼刺身 200G</v>
          </cell>
          <cell r="D4145">
            <v>29</v>
          </cell>
          <cell r="E4145">
            <v>1423.6</v>
          </cell>
          <cell r="F4145">
            <v>55.4713103448276</v>
          </cell>
        </row>
        <row r="4146">
          <cell r="B4146" t="str">
            <v>70431556</v>
          </cell>
          <cell r="C4146" t="str">
            <v>罗哥 野酸梅蜂蜜果酱 165G</v>
          </cell>
          <cell r="D4146">
            <v>10</v>
          </cell>
          <cell r="E4146">
            <v>87.62</v>
          </cell>
          <cell r="F4146">
            <v>9.9010599999999993</v>
          </cell>
        </row>
        <row r="4147">
          <cell r="B4147" t="str">
            <v>70431557</v>
          </cell>
          <cell r="C4147" t="str">
            <v>罗哥 纯正亚麻籽油 5L</v>
          </cell>
          <cell r="D4147">
            <v>1</v>
          </cell>
          <cell r="E4147">
            <v>0</v>
          </cell>
          <cell r="F4147">
            <v>0</v>
          </cell>
        </row>
        <row r="4148">
          <cell r="B4148" t="str">
            <v>70431599</v>
          </cell>
          <cell r="C4148" t="str">
            <v>坤牧 鸡肉辣椒酱 210G</v>
          </cell>
          <cell r="D4148">
            <v>91</v>
          </cell>
          <cell r="E4148">
            <v>837.59</v>
          </cell>
          <cell r="F4148">
            <v>10.4008428571429</v>
          </cell>
        </row>
        <row r="4149">
          <cell r="B4149" t="str">
            <v>70431609</v>
          </cell>
          <cell r="C4149" t="str">
            <v>独库情 高原旱田面粉 5KG</v>
          </cell>
          <cell r="D4149">
            <v>1666</v>
          </cell>
          <cell r="E4149">
            <v>57037.07</v>
          </cell>
          <cell r="F4149">
            <v>38.686608103241298</v>
          </cell>
        </row>
        <row r="4150">
          <cell r="B4150" t="str">
            <v>70431612</v>
          </cell>
          <cell r="C4150" t="str">
            <v>独库情 高原旱田面粉 25KG</v>
          </cell>
          <cell r="D4150">
            <v>8</v>
          </cell>
          <cell r="E4150">
            <v>1247.72</v>
          </cell>
          <cell r="F4150">
            <v>176.24045000000001</v>
          </cell>
        </row>
        <row r="4151">
          <cell r="B4151" t="str">
            <v>70431613</v>
          </cell>
          <cell r="C4151" t="str">
            <v>独库情 红花籽油 5L</v>
          </cell>
          <cell r="D4151">
            <v>3</v>
          </cell>
          <cell r="E4151">
            <v>437.64</v>
          </cell>
          <cell r="F4151">
            <v>164.84440000000001</v>
          </cell>
        </row>
        <row r="4152">
          <cell r="B4152" t="str">
            <v>70431615</v>
          </cell>
          <cell r="C4152" t="str">
            <v>独库情 葵花籽油 5L</v>
          </cell>
          <cell r="D4152">
            <v>70</v>
          </cell>
          <cell r="E4152">
            <v>244.98</v>
          </cell>
          <cell r="F4152">
            <v>3.9546771428571401</v>
          </cell>
        </row>
        <row r="4153">
          <cell r="B4153" t="str">
            <v>70431617</v>
          </cell>
          <cell r="C4153" t="str">
            <v>独库情 葵花籽油 20L</v>
          </cell>
          <cell r="D4153">
            <v>1</v>
          </cell>
          <cell r="E4153">
            <v>302.75</v>
          </cell>
          <cell r="F4153">
            <v>342.10750000000002</v>
          </cell>
        </row>
        <row r="4154">
          <cell r="B4154" t="str">
            <v>70431618</v>
          </cell>
          <cell r="C4154" t="str">
            <v>独库情 胡麻籽油 5L</v>
          </cell>
          <cell r="D4154">
            <v>4</v>
          </cell>
          <cell r="E4154">
            <v>546.83000000000004</v>
          </cell>
          <cell r="F4154">
            <v>154.47947500000001</v>
          </cell>
        </row>
        <row r="4155">
          <cell r="B4155" t="str">
            <v>70431619</v>
          </cell>
          <cell r="C4155" t="str">
            <v>独库情 菜籽油 5L</v>
          </cell>
          <cell r="D4155">
            <v>19</v>
          </cell>
          <cell r="E4155">
            <v>1830.28</v>
          </cell>
          <cell r="F4155">
            <v>108.85349473684199</v>
          </cell>
        </row>
        <row r="4156">
          <cell r="B4156" t="str">
            <v>70431620</v>
          </cell>
          <cell r="C4156" t="str">
            <v>独库情 葵花籽调和油 5L</v>
          </cell>
          <cell r="D4156">
            <v>35</v>
          </cell>
          <cell r="E4156">
            <v>1158.82</v>
          </cell>
          <cell r="F4156">
            <v>37.413331428571396</v>
          </cell>
        </row>
        <row r="4157">
          <cell r="B4157" t="str">
            <v>70431621</v>
          </cell>
          <cell r="C4157" t="str">
            <v>独库情 尼勒克黑蜂蜜勺蜜 15G*10</v>
          </cell>
          <cell r="D4157">
            <v>45</v>
          </cell>
          <cell r="E4157">
            <v>492.88</v>
          </cell>
          <cell r="F4157">
            <v>12.376764444444399</v>
          </cell>
        </row>
        <row r="4158">
          <cell r="B4158" t="str">
            <v>70431622</v>
          </cell>
          <cell r="C4158" t="str">
            <v>独库情 高山雪蜜 500G</v>
          </cell>
          <cell r="D4158">
            <v>78</v>
          </cell>
          <cell r="E4158">
            <v>3796.55</v>
          </cell>
          <cell r="F4158">
            <v>55.001301282051301</v>
          </cell>
        </row>
        <row r="4159">
          <cell r="B4159" t="str">
            <v>70431623</v>
          </cell>
          <cell r="C4159" t="str">
            <v>独库情 高原旱田面粉 10KG</v>
          </cell>
          <cell r="D4159">
            <v>21</v>
          </cell>
          <cell r="E4159">
            <v>1321.11</v>
          </cell>
          <cell r="F4159">
            <v>71.088300000000004</v>
          </cell>
        </row>
        <row r="4160">
          <cell r="B4160" t="str">
            <v>70431624</v>
          </cell>
          <cell r="C4160" t="str">
            <v>独库情 黑小麦面粉 2.5KG</v>
          </cell>
          <cell r="D4160">
            <v>35</v>
          </cell>
          <cell r="E4160">
            <v>995.41</v>
          </cell>
          <cell r="F4160">
            <v>32.137522857142898</v>
          </cell>
        </row>
        <row r="4161">
          <cell r="B4161" t="str">
            <v>70431625</v>
          </cell>
          <cell r="C4161" t="str">
            <v>独库情 羊脂蜜 500G</v>
          </cell>
          <cell r="D4161">
            <v>98</v>
          </cell>
          <cell r="E4161">
            <v>6504.46</v>
          </cell>
          <cell r="F4161">
            <v>75.000406122448993</v>
          </cell>
        </row>
        <row r="4162">
          <cell r="B4162" t="str">
            <v>70432677</v>
          </cell>
          <cell r="C4162" t="str">
            <v>昆仑缘 三色藜麦米 450G</v>
          </cell>
          <cell r="D4162">
            <v>128</v>
          </cell>
          <cell r="E4162">
            <v>2490.81</v>
          </cell>
          <cell r="F4162">
            <v>21.989182031249999</v>
          </cell>
        </row>
        <row r="4163">
          <cell r="B4163" t="str">
            <v>70433239</v>
          </cell>
          <cell r="C4163" t="str">
            <v>无品牌 烤肠 个</v>
          </cell>
          <cell r="D4163">
            <v>2163</v>
          </cell>
          <cell r="E4163">
            <v>2525.66</v>
          </cell>
          <cell r="F4163">
            <v>1.31946176606565</v>
          </cell>
        </row>
        <row r="4164">
          <cell r="B4164" t="str">
            <v>70434038</v>
          </cell>
          <cell r="C4164" t="str">
            <v>林家铺子 黄桃罐头 312G</v>
          </cell>
          <cell r="D4164">
            <v>377</v>
          </cell>
          <cell r="E4164">
            <v>2263.54</v>
          </cell>
          <cell r="F4164">
            <v>6.7846159151193604</v>
          </cell>
        </row>
        <row r="4165">
          <cell r="B4165" t="str">
            <v>70434388</v>
          </cell>
          <cell r="C4165" t="str">
            <v>慧华圣果 沙棘果酱瓶装 258G*6</v>
          </cell>
          <cell r="D4165">
            <v>1</v>
          </cell>
          <cell r="E4165">
            <v>92.92</v>
          </cell>
          <cell r="F4165">
            <v>104.9996</v>
          </cell>
        </row>
        <row r="4166">
          <cell r="B4166" t="str">
            <v>70434421</v>
          </cell>
          <cell r="C4166" t="str">
            <v>罗哥 旱田面旗子 600G</v>
          </cell>
          <cell r="D4166">
            <v>67</v>
          </cell>
          <cell r="E4166">
            <v>675.39</v>
          </cell>
          <cell r="F4166">
            <v>11.3909059701493</v>
          </cell>
        </row>
        <row r="4167">
          <cell r="B4167" t="str">
            <v>70434433</v>
          </cell>
          <cell r="C4167" t="str">
            <v>伊香优 旱田粉 10KG</v>
          </cell>
          <cell r="D4167">
            <v>504</v>
          </cell>
          <cell r="E4167">
            <v>20808.13</v>
          </cell>
          <cell r="F4167">
            <v>46.653148611111099</v>
          </cell>
        </row>
        <row r="4168">
          <cell r="B4168" t="str">
            <v>70436221</v>
          </cell>
          <cell r="C4168" t="str">
            <v>李锦记 麻辣香锅酱 100G</v>
          </cell>
          <cell r="D4168">
            <v>55</v>
          </cell>
          <cell r="E4168">
            <v>321.23</v>
          </cell>
          <cell r="F4168">
            <v>6.5998163636363598</v>
          </cell>
        </row>
        <row r="4169">
          <cell r="B4169" t="str">
            <v>70438266</v>
          </cell>
          <cell r="C4169" t="str">
            <v>壹世健 尼勒克黑蜂蜜 305G</v>
          </cell>
          <cell r="D4169">
            <v>15</v>
          </cell>
          <cell r="E4169">
            <v>1151.3800000000001</v>
          </cell>
          <cell r="F4169">
            <v>86.737293333333298</v>
          </cell>
        </row>
        <row r="4170">
          <cell r="B4170" t="str">
            <v>70439429</v>
          </cell>
          <cell r="C4170" t="str">
            <v>笑厨 蒜蓉辣酱 320G</v>
          </cell>
          <cell r="D4170">
            <v>544</v>
          </cell>
          <cell r="E4170">
            <v>2362.37</v>
          </cell>
          <cell r="F4170">
            <v>4.9071288602941197</v>
          </cell>
        </row>
        <row r="4171">
          <cell r="B4171" t="str">
            <v>70439433</v>
          </cell>
          <cell r="C4171" t="str">
            <v>笑厨 番茄火锅 230G</v>
          </cell>
          <cell r="D4171">
            <v>219</v>
          </cell>
          <cell r="E4171">
            <v>1383.15</v>
          </cell>
          <cell r="F4171">
            <v>7.1368013698630097</v>
          </cell>
        </row>
        <row r="4172">
          <cell r="B4172" t="str">
            <v>70439434</v>
          </cell>
          <cell r="C4172" t="str">
            <v>笑厨 麻辣小龙虾调料 200G</v>
          </cell>
          <cell r="D4172">
            <v>14</v>
          </cell>
          <cell r="E4172">
            <v>115.63</v>
          </cell>
          <cell r="F4172">
            <v>9.3329928571428606</v>
          </cell>
        </row>
        <row r="4173">
          <cell r="B4173" t="str">
            <v>70439626</v>
          </cell>
          <cell r="C4173" t="str">
            <v>阿尔曼 酥油奶茶 360G</v>
          </cell>
          <cell r="D4173">
            <v>315</v>
          </cell>
          <cell r="E4173">
            <v>3464.23</v>
          </cell>
          <cell r="F4173">
            <v>12.427237777777799</v>
          </cell>
        </row>
        <row r="4174">
          <cell r="B4174" t="str">
            <v>70440828</v>
          </cell>
          <cell r="C4174" t="str">
            <v>绿洲果实 葵花籽油 1.5L</v>
          </cell>
          <cell r="D4174">
            <v>20</v>
          </cell>
          <cell r="E4174">
            <v>466.07</v>
          </cell>
          <cell r="F4174">
            <v>26.332954999999998</v>
          </cell>
        </row>
        <row r="4175">
          <cell r="B4175" t="str">
            <v>70440830</v>
          </cell>
          <cell r="C4175" t="str">
            <v>绿洲果实 葵花籽油 5L</v>
          </cell>
          <cell r="D4175">
            <v>1150</v>
          </cell>
          <cell r="E4175">
            <v>74182.789999999994</v>
          </cell>
          <cell r="F4175">
            <v>72.892654521739104</v>
          </cell>
        </row>
        <row r="4176">
          <cell r="B4176" t="str">
            <v>70440832</v>
          </cell>
          <cell r="C4176" t="str">
            <v>绿洲果实 玉米胚芽油 1.5L</v>
          </cell>
          <cell r="D4176">
            <v>6</v>
          </cell>
          <cell r="E4176">
            <v>137.61000000000001</v>
          </cell>
          <cell r="F4176">
            <v>25.916550000000001</v>
          </cell>
        </row>
        <row r="4177">
          <cell r="B4177" t="str">
            <v>70440834</v>
          </cell>
          <cell r="C4177" t="str">
            <v>绿洲果实 玉米胚芽油 5L</v>
          </cell>
          <cell r="D4177">
            <v>494</v>
          </cell>
          <cell r="E4177">
            <v>32771.47</v>
          </cell>
          <cell r="F4177">
            <v>74.963079149797593</v>
          </cell>
        </row>
        <row r="4178">
          <cell r="B4178" t="str">
            <v>70440836</v>
          </cell>
          <cell r="C4178" t="str">
            <v>绿洲果实 红花籽油 5L</v>
          </cell>
          <cell r="D4178">
            <v>115</v>
          </cell>
          <cell r="E4178">
            <v>14209.03</v>
          </cell>
          <cell r="F4178">
            <v>139.619164347826</v>
          </cell>
        </row>
        <row r="4179">
          <cell r="B4179" t="str">
            <v>70440838</v>
          </cell>
          <cell r="C4179" t="str">
            <v>绿洲果实 冷榨亚麻籽油 5L</v>
          </cell>
          <cell r="D4179">
            <v>47</v>
          </cell>
          <cell r="E4179">
            <v>4873.3999999999996</v>
          </cell>
          <cell r="F4179">
            <v>117.168978723404</v>
          </cell>
        </row>
        <row r="4180">
          <cell r="B4180" t="str">
            <v>70440840</v>
          </cell>
          <cell r="C4180" t="str">
            <v>绿洲果实 有机葵花籽油 1.5L</v>
          </cell>
          <cell r="D4180">
            <v>36</v>
          </cell>
          <cell r="E4180">
            <v>1387.22</v>
          </cell>
          <cell r="F4180">
            <v>43.543294444444399</v>
          </cell>
        </row>
        <row r="4181">
          <cell r="B4181" t="str">
            <v>70440842</v>
          </cell>
          <cell r="C4181" t="str">
            <v>绿洲果实 有机葵花籽油 5L</v>
          </cell>
          <cell r="D4181">
            <v>17</v>
          </cell>
          <cell r="E4181">
            <v>1892.7</v>
          </cell>
          <cell r="F4181">
            <v>125.808882352941</v>
          </cell>
        </row>
        <row r="4182">
          <cell r="B4182" t="str">
            <v>70440852</v>
          </cell>
          <cell r="C4182" t="str">
            <v>绿洲果实 浓香小榨菜籽油 5L</v>
          </cell>
          <cell r="D4182">
            <v>473</v>
          </cell>
          <cell r="E4182">
            <v>37860.629999999997</v>
          </cell>
          <cell r="F4182">
            <v>90.449285200845694</v>
          </cell>
        </row>
        <row r="4183">
          <cell r="B4183" t="str">
            <v>70441089</v>
          </cell>
          <cell r="C4183" t="str">
            <v>无品牌 生鲜鸡蛋 1公斤</v>
          </cell>
          <cell r="D4183">
            <v>27</v>
          </cell>
          <cell r="E4183">
            <v>548.66999999999996</v>
          </cell>
          <cell r="F4183">
            <v>22.9628555555555</v>
          </cell>
        </row>
        <row r="4184">
          <cell r="B4184" t="str">
            <v>70441138</v>
          </cell>
          <cell r="C4184" t="str">
            <v>无品牌 水果果冻橙 公斤</v>
          </cell>
          <cell r="D4184">
            <v>2</v>
          </cell>
          <cell r="E4184">
            <v>106.43</v>
          </cell>
          <cell r="F4184">
            <v>60.132950000000001</v>
          </cell>
        </row>
        <row r="4185">
          <cell r="B4185" t="str">
            <v>70441147</v>
          </cell>
          <cell r="C4185" t="str">
            <v>无品牌 水果耙耙柑 公斤</v>
          </cell>
          <cell r="D4185">
            <v>1</v>
          </cell>
          <cell r="E4185">
            <v>55.05</v>
          </cell>
          <cell r="F4185">
            <v>62.206499999999998</v>
          </cell>
        </row>
        <row r="4186">
          <cell r="B4186" t="str">
            <v>70441336</v>
          </cell>
          <cell r="C4186" t="str">
            <v>西麦 奇亚籽混合谷物燕麦片 630G</v>
          </cell>
          <cell r="D4186">
            <v>31</v>
          </cell>
          <cell r="E4186">
            <v>658.4</v>
          </cell>
          <cell r="F4186">
            <v>23.9997419354839</v>
          </cell>
        </row>
        <row r="4187">
          <cell r="B4187" t="str">
            <v>70442377</v>
          </cell>
          <cell r="C4187" t="str">
            <v>绿洲果实 有机红花籽油 5L</v>
          </cell>
          <cell r="D4187">
            <v>80</v>
          </cell>
          <cell r="E4187">
            <v>10891.33</v>
          </cell>
          <cell r="F4187">
            <v>153.84003625</v>
          </cell>
        </row>
        <row r="4188">
          <cell r="B4188" t="str">
            <v>70442380</v>
          </cell>
          <cell r="C4188" t="str">
            <v>绿洲果实 有机亚麻籽油 0.5L</v>
          </cell>
          <cell r="D4188">
            <v>75</v>
          </cell>
          <cell r="E4188">
            <v>3784.47</v>
          </cell>
          <cell r="F4188">
            <v>57.019348000000001</v>
          </cell>
        </row>
        <row r="4189">
          <cell r="B4189" t="str">
            <v>70442386</v>
          </cell>
          <cell r="C4189" t="str">
            <v>绿洲果实 有机亚麻籽油 5L</v>
          </cell>
          <cell r="D4189">
            <v>55</v>
          </cell>
          <cell r="E4189">
            <v>7217.45</v>
          </cell>
          <cell r="F4189">
            <v>148.28579090909099</v>
          </cell>
        </row>
        <row r="4190">
          <cell r="B4190" t="str">
            <v>70442402</v>
          </cell>
          <cell r="C4190" t="str">
            <v>绿洲果实 红花籽油 1.5L</v>
          </cell>
          <cell r="D4190">
            <v>173</v>
          </cell>
          <cell r="E4190">
            <v>6987.56</v>
          </cell>
          <cell r="F4190">
            <v>45.641287861271699</v>
          </cell>
        </row>
        <row r="4191">
          <cell r="B4191" t="str">
            <v>70442407</v>
          </cell>
          <cell r="C4191" t="str">
            <v>绿洲果实 冷榨亚麻籽油 1.5L</v>
          </cell>
          <cell r="D4191">
            <v>18</v>
          </cell>
          <cell r="E4191">
            <v>611.01</v>
          </cell>
          <cell r="F4191">
            <v>38.357849999999999</v>
          </cell>
        </row>
        <row r="4192">
          <cell r="B4192" t="str">
            <v>70442414</v>
          </cell>
          <cell r="C4192" t="str">
            <v>绿洲果实 浓香小榨胡麻油 5L</v>
          </cell>
          <cell r="D4192">
            <v>151</v>
          </cell>
          <cell r="E4192">
            <v>15668.76</v>
          </cell>
          <cell r="F4192">
            <v>117.25628344370899</v>
          </cell>
        </row>
        <row r="4193">
          <cell r="B4193" t="str">
            <v>70442423</v>
          </cell>
          <cell r="C4193" t="str">
            <v>绿洲果实 欧米伽双重健康有机礼盒 1.5L*2</v>
          </cell>
          <cell r="D4193">
            <v>10</v>
          </cell>
          <cell r="E4193">
            <v>764.29</v>
          </cell>
          <cell r="F4193">
            <v>86.364769999999993</v>
          </cell>
        </row>
        <row r="4194">
          <cell r="B4194" t="str">
            <v>70442426</v>
          </cell>
          <cell r="C4194" t="str">
            <v>绿洲果实 有机亚麻籽油 1.5L</v>
          </cell>
          <cell r="D4194">
            <v>4</v>
          </cell>
          <cell r="E4194">
            <v>209.18</v>
          </cell>
          <cell r="F4194">
            <v>59.093350000000001</v>
          </cell>
        </row>
        <row r="4195">
          <cell r="B4195" t="str">
            <v>70442430</v>
          </cell>
          <cell r="C4195" t="str">
            <v>绿洲果实 有机红花籽油 1.5L</v>
          </cell>
          <cell r="D4195">
            <v>190</v>
          </cell>
          <cell r="E4195">
            <v>11076.88</v>
          </cell>
          <cell r="F4195">
            <v>65.878286315789495</v>
          </cell>
        </row>
        <row r="4196">
          <cell r="B4196" t="str">
            <v>70442703</v>
          </cell>
          <cell r="C4196" t="str">
            <v>福临门 营养家黄金小黑葵葵花仁油 4L</v>
          </cell>
          <cell r="D4196">
            <v>57</v>
          </cell>
          <cell r="E4196">
            <v>2727.27</v>
          </cell>
          <cell r="F4196">
            <v>54.066931578947397</v>
          </cell>
        </row>
        <row r="4197">
          <cell r="B4197" t="str">
            <v>70443899</v>
          </cell>
          <cell r="C4197" t="str">
            <v>香满园 纯正菜籽油 20L</v>
          </cell>
          <cell r="D4197">
            <v>3</v>
          </cell>
          <cell r="E4197">
            <v>324.77999999999997</v>
          </cell>
          <cell r="F4197">
            <v>122.3338</v>
          </cell>
        </row>
        <row r="4198">
          <cell r="B4198" t="str">
            <v>70443910</v>
          </cell>
          <cell r="C4198" t="str">
            <v>金龙鱼 御品珍珠米 2.5KG</v>
          </cell>
          <cell r="D4198">
            <v>55</v>
          </cell>
          <cell r="E4198">
            <v>893</v>
          </cell>
          <cell r="F4198">
            <v>18.347090909090898</v>
          </cell>
        </row>
        <row r="4199">
          <cell r="B4199" t="str">
            <v>70443976</v>
          </cell>
          <cell r="C4199" t="str">
            <v>水果 哈密瓜 个</v>
          </cell>
          <cell r="D4199">
            <v>0</v>
          </cell>
          <cell r="E4199">
            <v>0</v>
          </cell>
          <cell r="F4199" t="e">
            <v>#DIV/0!</v>
          </cell>
        </row>
        <row r="4200">
          <cell r="B4200" t="str">
            <v>70444084</v>
          </cell>
          <cell r="C4200" t="str">
            <v>昆享 纯燕麦片 350G</v>
          </cell>
          <cell r="D4200">
            <v>300</v>
          </cell>
          <cell r="E4200">
            <v>1618.81</v>
          </cell>
          <cell r="F4200">
            <v>6.0975176666666702</v>
          </cell>
        </row>
        <row r="4201">
          <cell r="B4201" t="str">
            <v>70444085</v>
          </cell>
          <cell r="C4201" t="str">
            <v>昆享 奇亚籽5黑燕麦片 240g</v>
          </cell>
          <cell r="D4201">
            <v>69</v>
          </cell>
          <cell r="E4201">
            <v>722.23</v>
          </cell>
          <cell r="F4201">
            <v>11.8278246376812</v>
          </cell>
        </row>
        <row r="4202">
          <cell r="B4202" t="str">
            <v>70446901</v>
          </cell>
          <cell r="C4202" t="str">
            <v>独库情 西冷牛排 1KG</v>
          </cell>
          <cell r="D4202">
            <v>1</v>
          </cell>
          <cell r="E4202">
            <v>125</v>
          </cell>
          <cell r="F4202">
            <v>141.25</v>
          </cell>
        </row>
        <row r="4203">
          <cell r="B4203" t="str">
            <v>70447086</v>
          </cell>
          <cell r="C4203" t="str">
            <v>林家铺子 杨枝甘露风味水果罐头 312G</v>
          </cell>
          <cell r="D4203">
            <v>60</v>
          </cell>
          <cell r="E4203">
            <v>366.92</v>
          </cell>
          <cell r="F4203">
            <v>6.9103266666666698</v>
          </cell>
        </row>
        <row r="4204">
          <cell r="B4204" t="str">
            <v>70448938</v>
          </cell>
          <cell r="C4204" t="str">
            <v>昆仑好客＆英九庄园 99和美 64G*2</v>
          </cell>
          <cell r="D4204">
            <v>118</v>
          </cell>
          <cell r="E4204">
            <v>9175.84</v>
          </cell>
          <cell r="F4204">
            <v>87.870332203389793</v>
          </cell>
        </row>
        <row r="4205">
          <cell r="B4205" t="str">
            <v>70449266</v>
          </cell>
          <cell r="C4205" t="str">
            <v>森工 小町米 5KG</v>
          </cell>
          <cell r="D4205">
            <v>717</v>
          </cell>
          <cell r="E4205">
            <v>33180.550000000003</v>
          </cell>
          <cell r="F4205">
            <v>52.2929170153417</v>
          </cell>
        </row>
        <row r="4206">
          <cell r="B4206" t="str">
            <v>70449702</v>
          </cell>
          <cell r="C4206" t="str">
            <v>乾清门 特级海鸭蛋礼盒10枚 700G/盒</v>
          </cell>
          <cell r="D4206">
            <v>461</v>
          </cell>
          <cell r="E4206">
            <v>16321.23</v>
          </cell>
          <cell r="F4206">
            <v>40.0064856832972</v>
          </cell>
        </row>
        <row r="4207">
          <cell r="B4207" t="str">
            <v>70449706</v>
          </cell>
          <cell r="C4207" t="str">
            <v>乾清门 端午福粽 800G</v>
          </cell>
          <cell r="D4207">
            <v>149</v>
          </cell>
          <cell r="E4207">
            <v>4691.55</v>
          </cell>
          <cell r="F4207">
            <v>35.580211409396</v>
          </cell>
        </row>
        <row r="4208">
          <cell r="B4208" t="str">
            <v>70449928</v>
          </cell>
          <cell r="C4208" t="str">
            <v>壹世健 尼勒克黑蜂蜜礼盒 610G</v>
          </cell>
          <cell r="D4208">
            <v>5</v>
          </cell>
          <cell r="E4208">
            <v>963.3</v>
          </cell>
          <cell r="F4208">
            <v>217.70580000000001</v>
          </cell>
        </row>
        <row r="4209">
          <cell r="B4209" t="str">
            <v>70451654</v>
          </cell>
          <cell r="C4209" t="str">
            <v>西域吉米 吉木乃富硒大米 5KG</v>
          </cell>
          <cell r="D4209">
            <v>1625</v>
          </cell>
          <cell r="E4209">
            <v>78643.679999999993</v>
          </cell>
          <cell r="F4209">
            <v>54.6876051692308</v>
          </cell>
        </row>
        <row r="4210">
          <cell r="B4210" t="str">
            <v>70451655</v>
          </cell>
          <cell r="C4210" t="str">
            <v>西域吉米 弱碱冰川大米 5KG</v>
          </cell>
          <cell r="D4210">
            <v>48</v>
          </cell>
          <cell r="E4210">
            <v>732.22</v>
          </cell>
          <cell r="F4210">
            <v>17.237679166666702</v>
          </cell>
        </row>
        <row r="4211">
          <cell r="B4211" t="str">
            <v>70451657</v>
          </cell>
          <cell r="C4211" t="str">
            <v>西域吉米 弱碱冰川大米 2KG</v>
          </cell>
          <cell r="D4211">
            <v>14</v>
          </cell>
          <cell r="E4211">
            <v>421.15</v>
          </cell>
          <cell r="F4211">
            <v>33.992821428571403</v>
          </cell>
        </row>
        <row r="4212">
          <cell r="B4212" t="str">
            <v>70452806</v>
          </cell>
          <cell r="C4212" t="str">
            <v>察农 胚芽鲜米 2.5KG</v>
          </cell>
          <cell r="D4212">
            <v>22</v>
          </cell>
          <cell r="E4212">
            <v>963.31</v>
          </cell>
          <cell r="F4212">
            <v>49.479104545454497</v>
          </cell>
        </row>
        <row r="4213">
          <cell r="B4213" t="str">
            <v>70452834</v>
          </cell>
          <cell r="C4213" t="str">
            <v>吾自家依 混合燕麦片 500G</v>
          </cell>
          <cell r="D4213">
            <v>55</v>
          </cell>
          <cell r="E4213">
            <v>1716.88</v>
          </cell>
          <cell r="F4213">
            <v>35.274079999999998</v>
          </cell>
        </row>
        <row r="4214">
          <cell r="B4214" t="str">
            <v>70452837</v>
          </cell>
          <cell r="C4214" t="str">
            <v>吾自家依 原味燕麦片 700G</v>
          </cell>
          <cell r="D4214">
            <v>99</v>
          </cell>
          <cell r="E4214">
            <v>2453.15</v>
          </cell>
          <cell r="F4214">
            <v>28.000601010101001</v>
          </cell>
        </row>
        <row r="4215">
          <cell r="B4215" t="str">
            <v>70452840</v>
          </cell>
          <cell r="C4215" t="str">
            <v>吾自家依 水果坚果燕麦片 1000G</v>
          </cell>
          <cell r="D4215">
            <v>161</v>
          </cell>
          <cell r="E4215">
            <v>9075.23</v>
          </cell>
          <cell r="F4215">
            <v>63.695713664596298</v>
          </cell>
        </row>
        <row r="4216">
          <cell r="B4216" t="str">
            <v>70452841</v>
          </cell>
          <cell r="C4216" t="str">
            <v>吾自家依 酸奶果粒坚果烘培燕麦片 400G</v>
          </cell>
          <cell r="D4216">
            <v>76</v>
          </cell>
          <cell r="E4216">
            <v>1991.64</v>
          </cell>
          <cell r="F4216">
            <v>29.612542105263199</v>
          </cell>
        </row>
        <row r="4217">
          <cell r="B4217" t="str">
            <v>70455862</v>
          </cell>
          <cell r="C4217" t="str">
            <v>龙大 特香小榨菜籽油 5L</v>
          </cell>
          <cell r="D4217">
            <v>21</v>
          </cell>
          <cell r="E4217">
            <v>1907.38</v>
          </cell>
          <cell r="F4217">
            <v>102.63520952381</v>
          </cell>
        </row>
        <row r="4218">
          <cell r="B4218" t="str">
            <v>70457334</v>
          </cell>
          <cell r="C4218" t="str">
            <v>金龙鱼 清香亚麻籽油 5L</v>
          </cell>
          <cell r="D4218">
            <v>10</v>
          </cell>
          <cell r="E4218">
            <v>779.82</v>
          </cell>
          <cell r="F4218">
            <v>88.119659999999996</v>
          </cell>
        </row>
        <row r="4219">
          <cell r="B4219" t="str">
            <v>70461525</v>
          </cell>
          <cell r="C4219" t="str">
            <v>西域吉米 吉木乃富硒大米 500G</v>
          </cell>
          <cell r="D4219">
            <v>33255</v>
          </cell>
          <cell r="E4219">
            <v>174267.2</v>
          </cell>
          <cell r="F4219">
            <v>5.92157377837919</v>
          </cell>
        </row>
        <row r="4220">
          <cell r="B4220" t="str">
            <v>70461532</v>
          </cell>
          <cell r="C4220" t="str">
            <v>西域吉米 吉木乃县富硒大米 10KG</v>
          </cell>
          <cell r="D4220">
            <v>53</v>
          </cell>
          <cell r="E4220">
            <v>3325.26</v>
          </cell>
          <cell r="F4220">
            <v>70.897052830188699</v>
          </cell>
        </row>
        <row r="4221">
          <cell r="B4221" t="str">
            <v>70464878</v>
          </cell>
          <cell r="C4221" t="str">
            <v>水果 哈密瓜 箱</v>
          </cell>
          <cell r="D4221">
            <v>12</v>
          </cell>
          <cell r="E4221">
            <v>528.47</v>
          </cell>
          <cell r="F4221">
            <v>49.764258333333302</v>
          </cell>
        </row>
        <row r="4222">
          <cell r="B4222" t="str">
            <v>70466471</v>
          </cell>
          <cell r="C4222" t="str">
            <v>栖鸣 杂粮营养蛋高端礼盒装 30枚</v>
          </cell>
          <cell r="D4222">
            <v>6</v>
          </cell>
          <cell r="E4222">
            <v>252</v>
          </cell>
          <cell r="F4222">
            <v>47.46</v>
          </cell>
        </row>
        <row r="4223">
          <cell r="B4223" t="str">
            <v>70466741</v>
          </cell>
          <cell r="C4223" t="str">
            <v>塔宏福 压榨葵花籽油 5L/桶</v>
          </cell>
          <cell r="D4223">
            <v>27</v>
          </cell>
          <cell r="E4223">
            <v>1659.69</v>
          </cell>
          <cell r="F4223">
            <v>69.461100000000002</v>
          </cell>
        </row>
        <row r="4224">
          <cell r="B4224" t="str">
            <v>70466744</v>
          </cell>
          <cell r="C4224" t="str">
            <v>塔宏福 葵花营养油食用植物调和油 4L/桶</v>
          </cell>
          <cell r="D4224">
            <v>6</v>
          </cell>
          <cell r="E4224">
            <v>294.95999999999998</v>
          </cell>
          <cell r="F4224">
            <v>55.550800000000002</v>
          </cell>
        </row>
        <row r="4225">
          <cell r="B4225" t="str">
            <v>70466753</v>
          </cell>
          <cell r="C4225" t="str">
            <v>鱼田金稻 五常精选生态香米 5KG/袋</v>
          </cell>
          <cell r="D4225">
            <v>4</v>
          </cell>
          <cell r="E4225">
            <v>110.12</v>
          </cell>
          <cell r="F4225">
            <v>31.108899999999998</v>
          </cell>
        </row>
        <row r="4226">
          <cell r="B4226" t="str">
            <v>70468160</v>
          </cell>
          <cell r="C4226" t="str">
            <v>昆享 5红燕麦片 240G</v>
          </cell>
          <cell r="D4226">
            <v>30</v>
          </cell>
          <cell r="E4226">
            <v>316.39999999999998</v>
          </cell>
          <cell r="F4226">
            <v>11.917733333333301</v>
          </cell>
        </row>
        <row r="4227">
          <cell r="B4227" t="str">
            <v>70469962</v>
          </cell>
          <cell r="C4227" t="str">
            <v>西尔丹 香菇辣椒酱 190G</v>
          </cell>
          <cell r="D4227">
            <v>2</v>
          </cell>
          <cell r="E4227">
            <v>15.4</v>
          </cell>
          <cell r="F4227">
            <v>8.7010000000000005</v>
          </cell>
        </row>
        <row r="4228">
          <cell r="B4228" t="str">
            <v>70471913</v>
          </cell>
          <cell r="C4228" t="str">
            <v>昆仑好客 宁夏枸杞红抽盒 300G</v>
          </cell>
          <cell r="D4228">
            <v>58</v>
          </cell>
          <cell r="E4228">
            <v>2433.94</v>
          </cell>
          <cell r="F4228">
            <v>47.419865517241398</v>
          </cell>
        </row>
        <row r="4229">
          <cell r="B4229" t="str">
            <v>70478033</v>
          </cell>
          <cell r="C4229" t="str">
            <v>瑞幸咖啡 精品挂耳咖啡MIX混合装 10G*8包/盒</v>
          </cell>
          <cell r="D4229">
            <v>8</v>
          </cell>
          <cell r="E4229">
            <v>283.19</v>
          </cell>
          <cell r="F4229">
            <v>40.000587500000002</v>
          </cell>
        </row>
        <row r="4230">
          <cell r="B4230" t="str">
            <v>70478053</v>
          </cell>
          <cell r="C4230" t="str">
            <v>瑞幸咖啡 精品挂耳咖啡 10G*6袋/盒</v>
          </cell>
          <cell r="D4230">
            <v>2</v>
          </cell>
          <cell r="E4230">
            <v>47.8</v>
          </cell>
          <cell r="F4230">
            <v>27.007000000000001</v>
          </cell>
        </row>
        <row r="4231">
          <cell r="B4231" t="str">
            <v>70479598</v>
          </cell>
          <cell r="C4231" t="str">
            <v>金龙鱼 葵花籽油 10L</v>
          </cell>
          <cell r="D4231">
            <v>10</v>
          </cell>
          <cell r="E4231">
            <v>1082.57</v>
          </cell>
          <cell r="F4231">
            <v>122.33041</v>
          </cell>
        </row>
        <row r="4232">
          <cell r="B4232" t="str">
            <v>70479609</v>
          </cell>
          <cell r="C4232" t="str">
            <v>金龙鱼 纯正葵 5L</v>
          </cell>
          <cell r="D4232">
            <v>25</v>
          </cell>
          <cell r="E4232">
            <v>1536.75</v>
          </cell>
          <cell r="F4232">
            <v>69.461100000000002</v>
          </cell>
        </row>
        <row r="4233">
          <cell r="B4233" t="str">
            <v>70481068</v>
          </cell>
          <cell r="C4233" t="str">
            <v>金元宝 抓饭长粒香大米 10KG</v>
          </cell>
          <cell r="D4233">
            <v>1058</v>
          </cell>
          <cell r="E4233">
            <v>66149.55</v>
          </cell>
          <cell r="F4233">
            <v>70.651220699432898</v>
          </cell>
        </row>
        <row r="4234">
          <cell r="B4234" t="str">
            <v>70481078</v>
          </cell>
          <cell r="C4234" t="str">
            <v>昆香 高油酸花生油(一级) 3.08L</v>
          </cell>
          <cell r="D4234">
            <v>243</v>
          </cell>
          <cell r="E4234">
            <v>16235.8</v>
          </cell>
          <cell r="F4234">
            <v>75.499810699588494</v>
          </cell>
        </row>
        <row r="4235">
          <cell r="B4235" t="str">
            <v>70481079</v>
          </cell>
          <cell r="C4235" t="str">
            <v>昆香 高油酸花生油(一级) 400ML</v>
          </cell>
          <cell r="D4235">
            <v>24</v>
          </cell>
          <cell r="E4235">
            <v>290.64</v>
          </cell>
          <cell r="F4235">
            <v>13.6843</v>
          </cell>
        </row>
        <row r="4236">
          <cell r="B4236" t="str">
            <v>70481375</v>
          </cell>
          <cell r="C4236" t="str">
            <v>思念 玉珍珠黑芝麻/花生/黑珍珠黑芝麻汤圆 455G</v>
          </cell>
          <cell r="D4236">
            <v>130</v>
          </cell>
          <cell r="E4236">
            <v>747.83</v>
          </cell>
          <cell r="F4236">
            <v>6.5003684615384598</v>
          </cell>
        </row>
        <row r="4237">
          <cell r="B4237" t="str">
            <v>70481732</v>
          </cell>
          <cell r="C4237" t="str">
            <v>昆香金龙鱼 原香葵花籽油 5L</v>
          </cell>
          <cell r="D4237">
            <v>2</v>
          </cell>
          <cell r="E4237">
            <v>132.76</v>
          </cell>
          <cell r="F4237">
            <v>75.009399999999999</v>
          </cell>
        </row>
        <row r="4238">
          <cell r="B4238" t="str">
            <v>70481733</v>
          </cell>
          <cell r="C4238" t="str">
            <v>昆香金龙鱼 原香玉米油 5L</v>
          </cell>
          <cell r="D4238">
            <v>12</v>
          </cell>
          <cell r="E4238">
            <v>796.54</v>
          </cell>
          <cell r="F4238">
            <v>75.007516666666703</v>
          </cell>
        </row>
        <row r="4239">
          <cell r="B4239" t="str">
            <v>70481734</v>
          </cell>
          <cell r="C4239" t="str">
            <v>昆香金龙鱼 原香菜籽油(非转) 5L</v>
          </cell>
          <cell r="D4239">
            <v>23</v>
          </cell>
          <cell r="E4239">
            <v>1548.81</v>
          </cell>
          <cell r="F4239">
            <v>76.093708695652197</v>
          </cell>
        </row>
        <row r="4240">
          <cell r="B4240" t="str">
            <v>70483184</v>
          </cell>
          <cell r="C4240" t="str">
            <v>昆仑好客＆英九庄园 皇冠MINI 10g</v>
          </cell>
          <cell r="D4240">
            <v>18415</v>
          </cell>
          <cell r="E4240">
            <v>91072.84</v>
          </cell>
          <cell r="F4240">
            <v>5.5885044366005996</v>
          </cell>
        </row>
        <row r="4241">
          <cell r="B4241" t="str">
            <v>70483526</v>
          </cell>
          <cell r="C4241" t="str">
            <v>麦格来 烤肠 原味 50G</v>
          </cell>
          <cell r="D4241">
            <v>2448</v>
          </cell>
          <cell r="E4241">
            <v>2224.0500000000002</v>
          </cell>
          <cell r="F4241">
            <v>1.0266243872548999</v>
          </cell>
        </row>
        <row r="4242">
          <cell r="B4242" t="str">
            <v>70483527</v>
          </cell>
          <cell r="C4242" t="str">
            <v>麦格来 烤肠 脆辣味 50G</v>
          </cell>
          <cell r="D4242">
            <v>1767</v>
          </cell>
          <cell r="E4242">
            <v>1965.34</v>
          </cell>
          <cell r="F4242">
            <v>1.25683882286361</v>
          </cell>
        </row>
        <row r="4243">
          <cell r="B4243" t="str">
            <v>70484237</v>
          </cell>
          <cell r="C4243" t="str">
            <v>溢田 有机长粒香米(蓝白袋) 5KG</v>
          </cell>
          <cell r="D4243">
            <v>5</v>
          </cell>
          <cell r="E4243">
            <v>209.15</v>
          </cell>
          <cell r="F4243">
            <v>47.267899999999997</v>
          </cell>
        </row>
        <row r="4244">
          <cell r="B4244" t="str">
            <v>70484886</v>
          </cell>
          <cell r="C4244" t="str">
            <v>山姆 MM带壳桂圆干 1KG</v>
          </cell>
          <cell r="D4244">
            <v>2</v>
          </cell>
          <cell r="E4244">
            <v>136.26</v>
          </cell>
          <cell r="F4244">
            <v>76.986900000000006</v>
          </cell>
        </row>
        <row r="4245">
          <cell r="B4245" t="str">
            <v>70485625</v>
          </cell>
          <cell r="C4245" t="str">
            <v>抓饭王 大米 25KG</v>
          </cell>
          <cell r="D4245">
            <v>20</v>
          </cell>
          <cell r="E4245">
            <v>2660.55</v>
          </cell>
          <cell r="F4245">
            <v>150.32107500000001</v>
          </cell>
        </row>
        <row r="4246">
          <cell r="B4246" t="str">
            <v>70485651</v>
          </cell>
          <cell r="C4246" t="str">
            <v>元宝 大米 25KG</v>
          </cell>
          <cell r="D4246">
            <v>47</v>
          </cell>
          <cell r="E4246">
            <v>4743.1400000000003</v>
          </cell>
          <cell r="F4246">
            <v>114.037195744681</v>
          </cell>
        </row>
        <row r="4247">
          <cell r="B4247" t="str">
            <v>70485720</v>
          </cell>
          <cell r="C4247" t="str">
            <v>葆青 （寿眉）老白茶 1罐</v>
          </cell>
          <cell r="D4247">
            <v>0</v>
          </cell>
          <cell r="E4247">
            <v>0</v>
          </cell>
          <cell r="F4247" t="e">
            <v>#DIV/0!</v>
          </cell>
        </row>
        <row r="4248">
          <cell r="B4248" t="str">
            <v>70485833</v>
          </cell>
          <cell r="C4248" t="str">
            <v>金健 三鲜因子甾醇玉米油 5L</v>
          </cell>
          <cell r="D4248">
            <v>46</v>
          </cell>
          <cell r="E4248">
            <v>4001.35</v>
          </cell>
          <cell r="F4248">
            <v>98.294032608695602</v>
          </cell>
        </row>
        <row r="4249">
          <cell r="B4249" t="str">
            <v>70485835</v>
          </cell>
          <cell r="C4249" t="str">
            <v>金健 三鲜因子纯香菜籽油 5L</v>
          </cell>
          <cell r="D4249">
            <v>31</v>
          </cell>
          <cell r="E4249">
            <v>2698.98</v>
          </cell>
          <cell r="F4249">
            <v>98.382174193548394</v>
          </cell>
        </row>
        <row r="4250">
          <cell r="B4250" t="str">
            <v>70486298</v>
          </cell>
          <cell r="C4250" t="str">
            <v>福临门 自然香软糯香米 0.5KG</v>
          </cell>
          <cell r="D4250">
            <v>223</v>
          </cell>
          <cell r="E4250">
            <v>1286.0999999999999</v>
          </cell>
          <cell r="F4250">
            <v>6.5170089686098596</v>
          </cell>
        </row>
        <row r="4251">
          <cell r="B4251" t="str">
            <v>70488437</v>
          </cell>
          <cell r="C4251" t="str">
            <v>鲜鸡蛋 鸡蛋 30枚/盒</v>
          </cell>
          <cell r="D4251">
            <v>0</v>
          </cell>
          <cell r="E4251">
            <v>0</v>
          </cell>
          <cell r="F4251" t="e">
            <v>#DIV/0!</v>
          </cell>
        </row>
        <row r="4252">
          <cell r="B4252" t="str">
            <v>70488809</v>
          </cell>
          <cell r="C4252" t="str">
            <v>无品牌 玉米 个</v>
          </cell>
          <cell r="D4252">
            <v>3084</v>
          </cell>
          <cell r="E4252">
            <v>10371.620000000001</v>
          </cell>
          <cell r="F4252">
            <v>3.8002369001297001</v>
          </cell>
        </row>
        <row r="4253">
          <cell r="B4253" t="str">
            <v>70489027</v>
          </cell>
          <cell r="C4253" t="str">
            <v>察布查尔 有机大米 5KG/袋</v>
          </cell>
          <cell r="D4253">
            <v>11</v>
          </cell>
          <cell r="E4253">
            <v>989.01</v>
          </cell>
          <cell r="F4253">
            <v>101.59829999999999</v>
          </cell>
        </row>
        <row r="4254">
          <cell r="B4254" t="str">
            <v>70489033</v>
          </cell>
          <cell r="C4254" t="str">
            <v>爱新巴纳 河谷香米 5KG/袋</v>
          </cell>
          <cell r="D4254">
            <v>24</v>
          </cell>
          <cell r="E4254">
            <v>838.9</v>
          </cell>
          <cell r="F4254">
            <v>39.498208333333302</v>
          </cell>
        </row>
        <row r="4255">
          <cell r="B4255" t="str">
            <v>70489132</v>
          </cell>
          <cell r="C4255" t="str">
            <v>罗哥 香糯玉米粥 300G</v>
          </cell>
          <cell r="D4255">
            <v>84</v>
          </cell>
          <cell r="E4255">
            <v>1189.42</v>
          </cell>
          <cell r="F4255">
            <v>16.000530952380998</v>
          </cell>
        </row>
        <row r="4256">
          <cell r="B4256" t="str">
            <v>70490930</v>
          </cell>
          <cell r="C4256" t="str">
            <v>福湖林 福鼎白茶珍品 个</v>
          </cell>
          <cell r="D4256">
            <v>1</v>
          </cell>
          <cell r="E4256">
            <v>39.96</v>
          </cell>
          <cell r="F4256">
            <v>45.154800000000002</v>
          </cell>
        </row>
        <row r="4257">
          <cell r="B4257" t="str">
            <v>70491140</v>
          </cell>
          <cell r="C4257" t="str">
            <v>笑厨 番茄辣酱辣味 320G</v>
          </cell>
          <cell r="D4257">
            <v>433</v>
          </cell>
          <cell r="E4257">
            <v>1503.32</v>
          </cell>
          <cell r="F4257">
            <v>3.92321385681293</v>
          </cell>
        </row>
        <row r="4258">
          <cell r="B4258" t="str">
            <v>70491142</v>
          </cell>
          <cell r="C4258" t="str">
            <v>笑厨 瓶装香油 230ML</v>
          </cell>
          <cell r="D4258">
            <v>393</v>
          </cell>
          <cell r="E4258">
            <v>6112.87</v>
          </cell>
          <cell r="F4258">
            <v>17.576445547073799</v>
          </cell>
        </row>
        <row r="4259">
          <cell r="B4259" t="str">
            <v>70491145</v>
          </cell>
          <cell r="C4259" t="str">
            <v>笑厨 烤肉料 80G</v>
          </cell>
          <cell r="D4259">
            <v>499</v>
          </cell>
          <cell r="E4259">
            <v>1517.78</v>
          </cell>
          <cell r="F4259">
            <v>3.4370569138276501</v>
          </cell>
        </row>
        <row r="4260">
          <cell r="B4260" t="str">
            <v>70491150</v>
          </cell>
          <cell r="C4260" t="str">
            <v>笑厨 新疆番茄沙司 330G</v>
          </cell>
          <cell r="D4260">
            <v>298</v>
          </cell>
          <cell r="E4260">
            <v>1293.72</v>
          </cell>
          <cell r="F4260">
            <v>4.9057167785234901</v>
          </cell>
        </row>
        <row r="4261">
          <cell r="B4261" t="str">
            <v>70491158</v>
          </cell>
          <cell r="C4261" t="str">
            <v>笑厨 新疆番茄酱 210G</v>
          </cell>
          <cell r="D4261">
            <v>72</v>
          </cell>
          <cell r="E4261">
            <v>285.85000000000002</v>
          </cell>
          <cell r="F4261">
            <v>4.48625694444444</v>
          </cell>
        </row>
        <row r="4262">
          <cell r="B4262" t="str">
            <v>70491161</v>
          </cell>
          <cell r="C4262" t="str">
            <v>笑厨 马口铁西红柿块礼盒 400G/盒</v>
          </cell>
          <cell r="D4262">
            <v>11</v>
          </cell>
          <cell r="E4262">
            <v>47.71</v>
          </cell>
          <cell r="F4262">
            <v>4.9011181818181804</v>
          </cell>
        </row>
        <row r="4263">
          <cell r="B4263" t="str">
            <v>70491169</v>
          </cell>
          <cell r="C4263" t="str">
            <v>笑厨 鱼香肉丝调料 80G</v>
          </cell>
          <cell r="D4263">
            <v>262</v>
          </cell>
          <cell r="E4263">
            <v>644.9</v>
          </cell>
          <cell r="F4263">
            <v>2.7814389312977101</v>
          </cell>
        </row>
        <row r="4264">
          <cell r="B4264" t="str">
            <v>70491172</v>
          </cell>
          <cell r="C4264" t="str">
            <v>笑厨 糖醋汁调料 150G</v>
          </cell>
          <cell r="D4264">
            <v>39</v>
          </cell>
          <cell r="E4264">
            <v>135.4</v>
          </cell>
          <cell r="F4264">
            <v>3.9231282051281999</v>
          </cell>
        </row>
        <row r="4265">
          <cell r="B4265" t="str">
            <v>70491190</v>
          </cell>
          <cell r="C4265" t="str">
            <v>笑厨 瓶装陈醋 500ML</v>
          </cell>
          <cell r="D4265">
            <v>146</v>
          </cell>
          <cell r="E4265">
            <v>548.38</v>
          </cell>
          <cell r="F4265">
            <v>4.2443109589041104</v>
          </cell>
        </row>
        <row r="4266">
          <cell r="B4266" t="str">
            <v>70491245</v>
          </cell>
          <cell r="C4266" t="str">
            <v>笑厨 西红柿块 252G</v>
          </cell>
          <cell r="D4266">
            <v>747</v>
          </cell>
          <cell r="E4266">
            <v>2595.89</v>
          </cell>
          <cell r="F4266">
            <v>3.9268483266398899</v>
          </cell>
        </row>
        <row r="4267">
          <cell r="B4267" t="str">
            <v>70491745</v>
          </cell>
          <cell r="C4267" t="str">
            <v>玖畝畋 黑蜂勺蜜 15G*7/盒</v>
          </cell>
          <cell r="D4267">
            <v>114</v>
          </cell>
          <cell r="E4267">
            <v>2091.9</v>
          </cell>
          <cell r="F4267">
            <v>20.735499999999998</v>
          </cell>
        </row>
        <row r="4268">
          <cell r="B4268" t="str">
            <v>70491760</v>
          </cell>
          <cell r="C4268" t="str">
            <v>笑厨 烧烤腌料 70G</v>
          </cell>
          <cell r="D4268">
            <v>403</v>
          </cell>
          <cell r="E4268">
            <v>910.37</v>
          </cell>
          <cell r="F4268">
            <v>2.5526503722084399</v>
          </cell>
        </row>
        <row r="4269">
          <cell r="B4269" t="str">
            <v>70491771</v>
          </cell>
          <cell r="C4269" t="str">
            <v>宏天鼎 亚麻籽油 5L</v>
          </cell>
          <cell r="D4269">
            <v>2</v>
          </cell>
          <cell r="E4269">
            <v>247.8</v>
          </cell>
          <cell r="F4269">
            <v>140.00700000000001</v>
          </cell>
        </row>
        <row r="4270">
          <cell r="B4270" t="str">
            <v>70491791</v>
          </cell>
          <cell r="C4270" t="str">
            <v>爱新巴纳 菜籽油 5L</v>
          </cell>
          <cell r="D4270">
            <v>4</v>
          </cell>
          <cell r="E4270">
            <v>299.08</v>
          </cell>
          <cell r="F4270">
            <v>84.490099999999998</v>
          </cell>
        </row>
        <row r="4271">
          <cell r="B4271" t="str">
            <v>70491837</v>
          </cell>
          <cell r="C4271" t="str">
            <v>绿洲果实 欧米伽 有机礼盒 1.5L*2/盒</v>
          </cell>
          <cell r="D4271">
            <v>26</v>
          </cell>
          <cell r="E4271">
            <v>3053.22</v>
          </cell>
          <cell r="F4271">
            <v>132.69763846153799</v>
          </cell>
        </row>
        <row r="4272">
          <cell r="B4272" t="str">
            <v>70491840</v>
          </cell>
          <cell r="C4272" t="str">
            <v>宏天鼎 新疆大米 5KG</v>
          </cell>
          <cell r="D4272">
            <v>0</v>
          </cell>
          <cell r="E4272">
            <v>0</v>
          </cell>
          <cell r="F4272" t="e">
            <v>#DIV/0!</v>
          </cell>
        </row>
        <row r="4273">
          <cell r="B4273" t="str">
            <v>70491851</v>
          </cell>
          <cell r="C4273" t="str">
            <v>元溢慷 有机全麦粉 1KG</v>
          </cell>
          <cell r="D4273">
            <v>40</v>
          </cell>
          <cell r="E4273">
            <v>497.69</v>
          </cell>
          <cell r="F4273">
            <v>14.0597425</v>
          </cell>
        </row>
        <row r="4274">
          <cell r="B4274" t="str">
            <v>70491882</v>
          </cell>
          <cell r="C4274" t="str">
            <v>MEMBER'S MARK 有机银耳 250G</v>
          </cell>
          <cell r="D4274">
            <v>28</v>
          </cell>
          <cell r="E4274">
            <v>1058.51</v>
          </cell>
          <cell r="F4274">
            <v>42.718439285714297</v>
          </cell>
        </row>
        <row r="4275">
          <cell r="B4275" t="str">
            <v>70491920</v>
          </cell>
          <cell r="C4275" t="str">
            <v>吉冰川 有机羊肉礼盒 5KG</v>
          </cell>
          <cell r="D4275">
            <v>38</v>
          </cell>
          <cell r="E4275">
            <v>12278.36</v>
          </cell>
          <cell r="F4275">
            <v>365.11965263157902</v>
          </cell>
        </row>
        <row r="4276">
          <cell r="B4276" t="str">
            <v>70491923</v>
          </cell>
          <cell r="C4276" t="str">
            <v>天山小哥 有机黑小麦全粉 2.5KG</v>
          </cell>
          <cell r="D4276">
            <v>4</v>
          </cell>
          <cell r="E4276">
            <v>118.83</v>
          </cell>
          <cell r="F4276">
            <v>33.569474999999997</v>
          </cell>
        </row>
        <row r="4277">
          <cell r="B4277" t="str">
            <v>70491924</v>
          </cell>
          <cell r="C4277" t="str">
            <v>元溢慷 新疆有机拉条子面 390G</v>
          </cell>
          <cell r="D4277">
            <v>197</v>
          </cell>
          <cell r="E4277">
            <v>804.8</v>
          </cell>
          <cell r="F4277">
            <v>4.6163654822335003</v>
          </cell>
        </row>
        <row r="4278">
          <cell r="B4278" t="str">
            <v>70491926</v>
          </cell>
          <cell r="C4278" t="str">
            <v>元溢慷 有机面粉 1KG</v>
          </cell>
          <cell r="D4278">
            <v>210</v>
          </cell>
          <cell r="E4278">
            <v>2506.0700000000002</v>
          </cell>
          <cell r="F4278">
            <v>13.4850433333333</v>
          </cell>
        </row>
        <row r="4279">
          <cell r="B4279" t="str">
            <v>70491933</v>
          </cell>
          <cell r="C4279" t="str">
            <v>青格里 沙棘茶 30G</v>
          </cell>
          <cell r="D4279">
            <v>145</v>
          </cell>
          <cell r="E4279">
            <v>2811.34</v>
          </cell>
          <cell r="F4279">
            <v>21.909063448275901</v>
          </cell>
        </row>
        <row r="4280">
          <cell r="B4280" t="str">
            <v>70491941</v>
          </cell>
          <cell r="C4280" t="str">
            <v>罗哥 纯正胡麻籽油 2L</v>
          </cell>
          <cell r="D4280">
            <v>9</v>
          </cell>
          <cell r="E4280">
            <v>495.45</v>
          </cell>
          <cell r="F4280">
            <v>62.206499999999998</v>
          </cell>
        </row>
        <row r="4281">
          <cell r="B4281" t="str">
            <v>70491942</v>
          </cell>
          <cell r="C4281" t="str">
            <v>罗哥 纯正红花籽油 2L</v>
          </cell>
          <cell r="D4281">
            <v>7</v>
          </cell>
          <cell r="E4281">
            <v>449.54</v>
          </cell>
          <cell r="F4281">
            <v>72.568600000000004</v>
          </cell>
        </row>
        <row r="4282">
          <cell r="B4282" t="str">
            <v>70491943</v>
          </cell>
          <cell r="C4282" t="str">
            <v>罗哥 黑小麦面粉 2.5KG</v>
          </cell>
          <cell r="D4282">
            <v>15</v>
          </cell>
          <cell r="E4282">
            <v>344.1</v>
          </cell>
          <cell r="F4282">
            <v>25.9222</v>
          </cell>
        </row>
        <row r="4283">
          <cell r="B4283" t="str">
            <v>70491970</v>
          </cell>
          <cell r="C4283" t="str">
            <v>走进西域 亚麻籽油 3.6L</v>
          </cell>
          <cell r="D4283">
            <v>5</v>
          </cell>
          <cell r="E4283">
            <v>435.79</v>
          </cell>
          <cell r="F4283">
            <v>98.48854</v>
          </cell>
        </row>
        <row r="4284">
          <cell r="B4284" t="str">
            <v>70491971</v>
          </cell>
          <cell r="C4284" t="str">
            <v>走进西域 红花籽油 3.6L</v>
          </cell>
          <cell r="D4284">
            <v>4</v>
          </cell>
          <cell r="E4284">
            <v>385.32</v>
          </cell>
          <cell r="F4284">
            <v>108.85290000000001</v>
          </cell>
        </row>
        <row r="4285">
          <cell r="B4285" t="str">
            <v>70491972</v>
          </cell>
          <cell r="C4285" t="str">
            <v>走进西域 长粒香米 5KG</v>
          </cell>
          <cell r="D4285">
            <v>365</v>
          </cell>
          <cell r="E4285">
            <v>13744.41</v>
          </cell>
          <cell r="F4285">
            <v>42.551187123287697</v>
          </cell>
        </row>
        <row r="4286">
          <cell r="B4286" t="str">
            <v>70491973</v>
          </cell>
          <cell r="C4286" t="str">
            <v>走进西域 稻花香米 5KG</v>
          </cell>
          <cell r="D4286">
            <v>317</v>
          </cell>
          <cell r="E4286">
            <v>13936.86</v>
          </cell>
          <cell r="F4286">
            <v>49.680289589905399</v>
          </cell>
        </row>
        <row r="4287">
          <cell r="B4287" t="str">
            <v>70495959</v>
          </cell>
          <cell r="C4287" t="str">
            <v>海底捞 牛油火锅底料四小块 360G</v>
          </cell>
          <cell r="D4287">
            <v>6</v>
          </cell>
          <cell r="E4287">
            <v>95.58</v>
          </cell>
          <cell r="F4287">
            <v>18.000900000000001</v>
          </cell>
        </row>
        <row r="4288">
          <cell r="B4288" t="str">
            <v>70499108</v>
          </cell>
          <cell r="C4288" t="str">
            <v>野果林 百花蜜 300G/瓶</v>
          </cell>
          <cell r="D4288">
            <v>13</v>
          </cell>
          <cell r="E4288">
            <v>324.01</v>
          </cell>
          <cell r="F4288">
            <v>28.163946153846201</v>
          </cell>
        </row>
        <row r="4289">
          <cell r="B4289" t="str">
            <v>70499192</v>
          </cell>
          <cell r="C4289" t="str">
            <v>江布拉克 多用途小麦粉 10KG</v>
          </cell>
          <cell r="D4289">
            <v>0</v>
          </cell>
          <cell r="E4289">
            <v>0</v>
          </cell>
          <cell r="F4289" t="e">
            <v>#DIV/0!</v>
          </cell>
        </row>
        <row r="4290">
          <cell r="B4290" t="str">
            <v>70499231</v>
          </cell>
          <cell r="C4290" t="str">
            <v>野果林 新疆黑蜂蜂蜜 300G/瓶</v>
          </cell>
          <cell r="D4290">
            <v>20</v>
          </cell>
          <cell r="E4290">
            <v>211.48</v>
          </cell>
          <cell r="F4290">
            <v>11.94862</v>
          </cell>
        </row>
        <row r="4291">
          <cell r="B4291" t="str">
            <v>70499232</v>
          </cell>
          <cell r="C4291" t="str">
            <v>野果林 红枣花蜜 300G/瓶</v>
          </cell>
          <cell r="D4291">
            <v>21</v>
          </cell>
          <cell r="E4291">
            <v>335.3</v>
          </cell>
          <cell r="F4291">
            <v>18.0423333333333</v>
          </cell>
        </row>
        <row r="4292">
          <cell r="B4292" t="str">
            <v>70499239</v>
          </cell>
          <cell r="C4292" t="str">
            <v>雪山果园 原味玉米粥 313G</v>
          </cell>
          <cell r="D4292">
            <v>22</v>
          </cell>
          <cell r="E4292">
            <v>36.770000000000003</v>
          </cell>
          <cell r="F4292">
            <v>1.88864090909091</v>
          </cell>
        </row>
        <row r="4293">
          <cell r="B4293" t="str">
            <v>70500161</v>
          </cell>
          <cell r="C4293" t="str">
            <v>MEMBER'S MARK 有机海带干 500G</v>
          </cell>
          <cell r="D4293">
            <v>8</v>
          </cell>
          <cell r="E4293">
            <v>394.46</v>
          </cell>
          <cell r="F4293">
            <v>55.717475</v>
          </cell>
        </row>
        <row r="4294">
          <cell r="B4294" t="str">
            <v>70500360</v>
          </cell>
          <cell r="C4294" t="str">
            <v>时时养 杏仁蛋白粉 120G</v>
          </cell>
          <cell r="D4294">
            <v>1</v>
          </cell>
          <cell r="E4294">
            <v>80</v>
          </cell>
          <cell r="F4294">
            <v>90.4</v>
          </cell>
        </row>
        <row r="4295">
          <cell r="B4295" t="str">
            <v>70500361</v>
          </cell>
          <cell r="C4295" t="str">
            <v>时时养 小麦胚芽 450G</v>
          </cell>
          <cell r="D4295">
            <v>24</v>
          </cell>
          <cell r="E4295">
            <v>975.42</v>
          </cell>
          <cell r="F4295">
            <v>45.926025000000003</v>
          </cell>
        </row>
        <row r="4296">
          <cell r="B4296" t="str">
            <v>70502307</v>
          </cell>
          <cell r="C4296" t="str">
            <v>小霸龙 黑鱼片 250G</v>
          </cell>
          <cell r="D4296">
            <v>34</v>
          </cell>
          <cell r="E4296">
            <v>280.47000000000003</v>
          </cell>
          <cell r="F4296">
            <v>9.3215029411764707</v>
          </cell>
        </row>
        <row r="4297">
          <cell r="B4297" t="str">
            <v>70504299</v>
          </cell>
          <cell r="C4297" t="str">
            <v>伊香优 压榨葵花油 5L</v>
          </cell>
          <cell r="D4297">
            <v>174</v>
          </cell>
          <cell r="E4297">
            <v>9897.7800000000007</v>
          </cell>
          <cell r="F4297">
            <v>64.278686206896595</v>
          </cell>
        </row>
        <row r="4298">
          <cell r="B4298" t="str">
            <v>70504300</v>
          </cell>
          <cell r="C4298" t="str">
            <v>察香优 龙稻香大米 10KG</v>
          </cell>
          <cell r="D4298">
            <v>12</v>
          </cell>
          <cell r="E4298">
            <v>682.57</v>
          </cell>
          <cell r="F4298">
            <v>64.275341666666705</v>
          </cell>
        </row>
        <row r="4299">
          <cell r="B4299" t="str">
            <v>70504301</v>
          </cell>
          <cell r="C4299" t="str">
            <v>察香优 农家稻大米 10KG</v>
          </cell>
          <cell r="D4299">
            <v>208</v>
          </cell>
          <cell r="E4299">
            <v>10686.65</v>
          </cell>
          <cell r="F4299">
            <v>58.057281250000003</v>
          </cell>
        </row>
        <row r="4300">
          <cell r="B4300" t="str">
            <v>70504302</v>
          </cell>
          <cell r="C4300" t="str">
            <v>察香优 抓饭长粒香大米真空 5KG</v>
          </cell>
          <cell r="D4300">
            <v>540</v>
          </cell>
          <cell r="E4300">
            <v>17841.12</v>
          </cell>
          <cell r="F4300">
            <v>37.334195555555603</v>
          </cell>
        </row>
        <row r="4301">
          <cell r="B4301" t="str">
            <v>70504358</v>
          </cell>
          <cell r="C4301" t="str">
            <v>察香优 香甜稻大米真空 5KG</v>
          </cell>
          <cell r="D4301">
            <v>73</v>
          </cell>
          <cell r="E4301">
            <v>2812.9</v>
          </cell>
          <cell r="F4301">
            <v>43.542150684931499</v>
          </cell>
        </row>
        <row r="4302">
          <cell r="B4302" t="str">
            <v>70504361</v>
          </cell>
          <cell r="C4302" t="str">
            <v>伊香优 妈妈炒菜香菜籽油 5L</v>
          </cell>
          <cell r="D4302">
            <v>46</v>
          </cell>
          <cell r="E4302">
            <v>3376.2</v>
          </cell>
          <cell r="F4302">
            <v>82.937086956521696</v>
          </cell>
        </row>
        <row r="4303">
          <cell r="B4303" t="str">
            <v>70505733</v>
          </cell>
          <cell r="C4303" t="str">
            <v>众天 柠檬蜂蜜水 300ML</v>
          </cell>
          <cell r="D4303">
            <v>17</v>
          </cell>
          <cell r="E4303">
            <v>93.23</v>
          </cell>
          <cell r="F4303">
            <v>6.1970529411764703</v>
          </cell>
        </row>
        <row r="4304">
          <cell r="B4304" t="str">
            <v>70506233</v>
          </cell>
          <cell r="C4304" t="str">
            <v>金龙鱼 生态稻香五常大米 5KG</v>
          </cell>
          <cell r="D4304">
            <v>84</v>
          </cell>
          <cell r="E4304">
            <v>4525.6099999999997</v>
          </cell>
          <cell r="F4304">
            <v>60.880229761904801</v>
          </cell>
        </row>
        <row r="4305">
          <cell r="B4305" t="str">
            <v>70508918</v>
          </cell>
          <cell r="C4305" t="str">
            <v>鲁花 厨中香纯香菜籽油 5L</v>
          </cell>
          <cell r="D4305">
            <v>117</v>
          </cell>
          <cell r="E4305">
            <v>7057.98</v>
          </cell>
          <cell r="F4305">
            <v>68.166815384615404</v>
          </cell>
        </row>
        <row r="4306">
          <cell r="B4306" t="str">
            <v>70508945</v>
          </cell>
          <cell r="C4306" t="str">
            <v>摩达 滇红茶（红茶） 160G</v>
          </cell>
          <cell r="D4306">
            <v>96</v>
          </cell>
          <cell r="E4306">
            <v>9777.6299999999992</v>
          </cell>
          <cell r="F4306">
            <v>115.090853125</v>
          </cell>
        </row>
        <row r="4307">
          <cell r="B4307" t="str">
            <v>70510111</v>
          </cell>
          <cell r="C4307" t="str">
            <v>午后森林 桂圆红枣茶单条 包</v>
          </cell>
          <cell r="D4307">
            <v>0</v>
          </cell>
          <cell r="E4307">
            <v>0</v>
          </cell>
          <cell r="F4307" t="e">
            <v>#DIV/0!</v>
          </cell>
        </row>
        <row r="4308">
          <cell r="B4308" t="str">
            <v>70510233</v>
          </cell>
          <cell r="C4308" t="str">
            <v>李锦记 财神蚝油 580G</v>
          </cell>
          <cell r="D4308">
            <v>106</v>
          </cell>
          <cell r="E4308">
            <v>928.77</v>
          </cell>
          <cell r="F4308">
            <v>9.9010386792452802</v>
          </cell>
        </row>
        <row r="4309">
          <cell r="B4309" t="str">
            <v>70510243</v>
          </cell>
          <cell r="C4309" t="str">
            <v>李锦记 零添加原酿生抽 500ML</v>
          </cell>
          <cell r="D4309">
            <v>40</v>
          </cell>
          <cell r="E4309">
            <v>392.58</v>
          </cell>
          <cell r="F4309">
            <v>11.090384999999999</v>
          </cell>
        </row>
        <row r="4310">
          <cell r="B4310" t="str">
            <v>70510757</v>
          </cell>
          <cell r="C4310" t="str">
            <v>罗哥 湿地香米 5KG</v>
          </cell>
          <cell r="D4310">
            <v>60</v>
          </cell>
          <cell r="E4310">
            <v>2732.96</v>
          </cell>
          <cell r="F4310">
            <v>51.470746666666699</v>
          </cell>
        </row>
        <row r="4311">
          <cell r="B4311" t="str">
            <v>70511103</v>
          </cell>
          <cell r="C4311" t="str">
            <v>冰山上的来客 纯正红花籽油 5L</v>
          </cell>
          <cell r="D4311">
            <v>12</v>
          </cell>
          <cell r="E4311">
            <v>1078.9000000000001</v>
          </cell>
          <cell r="F4311">
            <v>101.596416666667</v>
          </cell>
        </row>
        <row r="4312">
          <cell r="B4312" t="str">
            <v>70511114</v>
          </cell>
          <cell r="C4312" t="str">
            <v>冰山上的来客 纯正葵花籽油 5L</v>
          </cell>
          <cell r="D4312">
            <v>35</v>
          </cell>
          <cell r="E4312">
            <v>2183.6</v>
          </cell>
          <cell r="F4312">
            <v>70.499085714285698</v>
          </cell>
        </row>
        <row r="4313">
          <cell r="B4313" t="str">
            <v>70511541</v>
          </cell>
          <cell r="C4313" t="str">
            <v>皓月 谷饲上脑牛排 800G</v>
          </cell>
          <cell r="D4313">
            <v>21</v>
          </cell>
          <cell r="E4313">
            <v>1853.77</v>
          </cell>
          <cell r="F4313">
            <v>99.750480952380897</v>
          </cell>
        </row>
        <row r="4314">
          <cell r="B4314" t="str">
            <v>70512706</v>
          </cell>
          <cell r="C4314" t="str">
            <v>頭采 福鼎白茶 350G</v>
          </cell>
          <cell r="D4314">
            <v>95</v>
          </cell>
          <cell r="E4314">
            <v>0</v>
          </cell>
          <cell r="F4314">
            <v>0</v>
          </cell>
        </row>
        <row r="4315">
          <cell r="B4315" t="str">
            <v>70513185</v>
          </cell>
          <cell r="C4315" t="str">
            <v>喀春 喀春面粉特一粉 5KG</v>
          </cell>
          <cell r="D4315">
            <v>111</v>
          </cell>
          <cell r="E4315">
            <v>1996.25</v>
          </cell>
          <cell r="F4315">
            <v>20.3221846846847</v>
          </cell>
        </row>
        <row r="4316">
          <cell r="B4316" t="str">
            <v>70513186</v>
          </cell>
          <cell r="C4316" t="str">
            <v>喀春 喀春面粉特一粉 10KG</v>
          </cell>
          <cell r="D4316">
            <v>88</v>
          </cell>
          <cell r="E4316">
            <v>2995.43</v>
          </cell>
          <cell r="F4316">
            <v>38.464044318181799</v>
          </cell>
        </row>
        <row r="4317">
          <cell r="B4317" t="str">
            <v>70513187</v>
          </cell>
          <cell r="C4317" t="str">
            <v>喀春 喀春面粉特一粉 25KG</v>
          </cell>
          <cell r="D4317">
            <v>14</v>
          </cell>
          <cell r="E4317">
            <v>1170.0999999999999</v>
          </cell>
          <cell r="F4317">
            <v>94.443785714285696</v>
          </cell>
        </row>
        <row r="4318">
          <cell r="B4318" t="str">
            <v>70513421</v>
          </cell>
          <cell r="C4318" t="str">
            <v>天山沐秋 天山羔羊 5kg</v>
          </cell>
          <cell r="D4318">
            <v>0</v>
          </cell>
          <cell r="E4318">
            <v>0</v>
          </cell>
          <cell r="F4318" t="e">
            <v>#DIV/0!</v>
          </cell>
        </row>
        <row r="4319">
          <cell r="B4319" t="str">
            <v>70513434</v>
          </cell>
          <cell r="C4319" t="str">
            <v>阿尔祖 精制粉 10KG</v>
          </cell>
          <cell r="D4319">
            <v>0</v>
          </cell>
          <cell r="E4319">
            <v>0</v>
          </cell>
          <cell r="F4319" t="e">
            <v>#DIV/0!</v>
          </cell>
        </row>
        <row r="4320">
          <cell r="B4320" t="str">
            <v>70513503</v>
          </cell>
          <cell r="C4320" t="str">
            <v>天山沐秋 冰碴驹骊 5.5KG</v>
          </cell>
          <cell r="D4320">
            <v>28</v>
          </cell>
          <cell r="E4320">
            <v>17596.330000000002</v>
          </cell>
          <cell r="F4320">
            <v>710.13760357142905</v>
          </cell>
        </row>
        <row r="4321">
          <cell r="B4321" t="str">
            <v>70513880</v>
          </cell>
          <cell r="C4321" t="str">
            <v>方家铺子 纯梨膏 150G</v>
          </cell>
          <cell r="D4321">
            <v>8</v>
          </cell>
          <cell r="E4321">
            <v>215.93</v>
          </cell>
          <cell r="F4321">
            <v>30.5001125</v>
          </cell>
        </row>
        <row r="4322">
          <cell r="B4322" t="str">
            <v>70513899</v>
          </cell>
          <cell r="C4322" t="str">
            <v>LUBOV 二合一速溶咖啡 700克/袋</v>
          </cell>
          <cell r="D4322">
            <v>1</v>
          </cell>
          <cell r="E4322">
            <v>37.17</v>
          </cell>
          <cell r="F4322">
            <v>42.002099999999999</v>
          </cell>
        </row>
        <row r="4323">
          <cell r="B4323" t="str">
            <v>70514048</v>
          </cell>
          <cell r="C4323" t="str">
            <v>西贡 三合一炭烧苏速溶咖啡 900克/袋</v>
          </cell>
          <cell r="D4323">
            <v>1</v>
          </cell>
          <cell r="E4323">
            <v>39.83</v>
          </cell>
          <cell r="F4323">
            <v>45.007899999999999</v>
          </cell>
        </row>
        <row r="4324">
          <cell r="B4324" t="str">
            <v>70515836</v>
          </cell>
          <cell r="C4324" t="str">
            <v>楚王 龙虾尾 1.5KG</v>
          </cell>
          <cell r="D4324">
            <v>17</v>
          </cell>
          <cell r="E4324">
            <v>1246.81</v>
          </cell>
          <cell r="F4324">
            <v>82.876194117647103</v>
          </cell>
        </row>
        <row r="4325">
          <cell r="B4325" t="str">
            <v>70515941</v>
          </cell>
          <cell r="C4325" t="str">
            <v>无品牌 鲈鱼 600-700G</v>
          </cell>
          <cell r="D4325">
            <v>79</v>
          </cell>
          <cell r="E4325">
            <v>1739.57</v>
          </cell>
          <cell r="F4325">
            <v>24.882456962025302</v>
          </cell>
        </row>
        <row r="4326">
          <cell r="B4326" t="str">
            <v>70516418</v>
          </cell>
          <cell r="C4326" t="str">
            <v>金龙鱼 金选臻品零添加调味品礼盒 3.22L</v>
          </cell>
          <cell r="D4326">
            <v>1</v>
          </cell>
          <cell r="E4326">
            <v>42.48</v>
          </cell>
          <cell r="F4326">
            <v>48.002400000000002</v>
          </cell>
        </row>
        <row r="4327">
          <cell r="B4327" t="str">
            <v>70516693</v>
          </cell>
          <cell r="C4327" t="str">
            <v>乾清门 开门红礼 1105G</v>
          </cell>
          <cell r="D4327">
            <v>4</v>
          </cell>
          <cell r="E4327">
            <v>265.52</v>
          </cell>
          <cell r="F4327">
            <v>75.009399999999999</v>
          </cell>
        </row>
        <row r="4328">
          <cell r="B4328" t="str">
            <v>70516952</v>
          </cell>
          <cell r="C4328" t="str">
            <v>雀巢 热牛奶(热） 360ML</v>
          </cell>
          <cell r="D4328">
            <v>1</v>
          </cell>
          <cell r="E4328">
            <v>6.64</v>
          </cell>
          <cell r="F4328">
            <v>7.5031999999999996</v>
          </cell>
        </row>
        <row r="4329">
          <cell r="B4329" t="str">
            <v>70516958</v>
          </cell>
          <cell r="C4329" t="str">
            <v>雀巢 原味奶茶(热） 360ML</v>
          </cell>
          <cell r="D4329">
            <v>1</v>
          </cell>
          <cell r="E4329">
            <v>6.62</v>
          </cell>
          <cell r="F4329">
            <v>7.4805999999999999</v>
          </cell>
        </row>
        <row r="4330">
          <cell r="B4330" t="str">
            <v>70516963</v>
          </cell>
          <cell r="C4330" t="str">
            <v>雀巢 巧克力可可(热） 360ML</v>
          </cell>
          <cell r="D4330">
            <v>1</v>
          </cell>
          <cell r="E4330">
            <v>7.08</v>
          </cell>
          <cell r="F4330">
            <v>8.0004000000000008</v>
          </cell>
        </row>
        <row r="4331">
          <cell r="B4331" t="str">
            <v>70517415</v>
          </cell>
          <cell r="C4331" t="str">
            <v>茶里 黑枸杞玫瑰红茶盒装 30G</v>
          </cell>
          <cell r="D4331">
            <v>12</v>
          </cell>
          <cell r="E4331">
            <v>249.14</v>
          </cell>
          <cell r="F4331">
            <v>23.4606833333333</v>
          </cell>
        </row>
        <row r="4332">
          <cell r="B4332" t="str">
            <v>70517418</v>
          </cell>
          <cell r="C4332" t="str">
            <v>茶里 紫苏桑椹乌龙茶盒装 36G</v>
          </cell>
          <cell r="D4332">
            <v>13</v>
          </cell>
          <cell r="E4332">
            <v>269.89999999999998</v>
          </cell>
          <cell r="F4332">
            <v>23.460538461538501</v>
          </cell>
        </row>
        <row r="4333">
          <cell r="B4333" t="str">
            <v>70517420</v>
          </cell>
          <cell r="C4333" t="str">
            <v>茶里 菊花决明子普洱茶盒装 42G</v>
          </cell>
          <cell r="D4333">
            <v>7</v>
          </cell>
          <cell r="E4333">
            <v>145.33000000000001</v>
          </cell>
          <cell r="F4333">
            <v>23.4604142857143</v>
          </cell>
        </row>
        <row r="4334">
          <cell r="B4334" t="str">
            <v>70517592</v>
          </cell>
          <cell r="C4334" t="str">
            <v>正大 安全蛋 48枚/盒</v>
          </cell>
          <cell r="D4334">
            <v>3</v>
          </cell>
          <cell r="E4334">
            <v>166.5</v>
          </cell>
          <cell r="F4334">
            <v>62.715000000000003</v>
          </cell>
        </row>
        <row r="4335">
          <cell r="B4335" t="str">
            <v>70517595</v>
          </cell>
          <cell r="C4335" t="str">
            <v>正大 玉米黄鸡蛋 20枚/盒</v>
          </cell>
          <cell r="D4335">
            <v>124</v>
          </cell>
          <cell r="E4335">
            <v>2901.6</v>
          </cell>
          <cell r="F4335">
            <v>26.442</v>
          </cell>
        </row>
        <row r="4336">
          <cell r="B4336" t="str">
            <v>70519063</v>
          </cell>
          <cell r="C4336" t="str">
            <v>金西域 特一粉 10KG</v>
          </cell>
          <cell r="D4336">
            <v>81</v>
          </cell>
          <cell r="E4336">
            <v>3418.5</v>
          </cell>
          <cell r="F4336">
            <v>47.6901851851852</v>
          </cell>
        </row>
        <row r="4337">
          <cell r="B4337" t="str">
            <v>70519117</v>
          </cell>
          <cell r="C4337" t="str">
            <v>红色夏日 100％葵花籽油 4.8L</v>
          </cell>
          <cell r="D4337">
            <v>1</v>
          </cell>
          <cell r="E4337">
            <v>44.23</v>
          </cell>
          <cell r="F4337">
            <v>49.979900000000001</v>
          </cell>
        </row>
        <row r="4338">
          <cell r="B4338" t="str">
            <v>70519415</v>
          </cell>
          <cell r="C4338" t="str">
            <v>红皮 鸡蛋30个 板</v>
          </cell>
          <cell r="D4338">
            <v>0</v>
          </cell>
          <cell r="E4338">
            <v>0</v>
          </cell>
          <cell r="F4338" t="e">
            <v>#DIV/0!</v>
          </cell>
        </row>
        <row r="4339">
          <cell r="B4339" t="str">
            <v>70519701</v>
          </cell>
          <cell r="C4339" t="str">
            <v>无品牌 十二生肖葡萄干礼盒 箱</v>
          </cell>
          <cell r="D4339">
            <v>3</v>
          </cell>
          <cell r="E4339">
            <v>104.59</v>
          </cell>
          <cell r="F4339">
            <v>39.395566666666703</v>
          </cell>
        </row>
        <row r="4340">
          <cell r="B4340" t="str">
            <v>70519865</v>
          </cell>
          <cell r="C4340" t="str">
            <v>无品牌 冰冻北极甜虾 1KG</v>
          </cell>
          <cell r="D4340">
            <v>8</v>
          </cell>
          <cell r="E4340">
            <v>550.46</v>
          </cell>
          <cell r="F4340">
            <v>77.752475000000004</v>
          </cell>
        </row>
        <row r="4341">
          <cell r="B4341" t="str">
            <v>70520680</v>
          </cell>
          <cell r="C4341" t="str">
            <v>金古城 特制一等粉 20KG</v>
          </cell>
          <cell r="D4341">
            <v>4</v>
          </cell>
          <cell r="E4341">
            <v>289.92</v>
          </cell>
          <cell r="F4341">
            <v>81.9024</v>
          </cell>
        </row>
        <row r="4342">
          <cell r="B4342" t="str">
            <v>70522089</v>
          </cell>
          <cell r="C4342" t="str">
            <v>福临门 营养家亚麻籽油 1.5L</v>
          </cell>
          <cell r="D4342">
            <v>10</v>
          </cell>
          <cell r="E4342">
            <v>542.78</v>
          </cell>
          <cell r="F4342">
            <v>61.334139999999998</v>
          </cell>
        </row>
        <row r="4343">
          <cell r="B4343" t="str">
            <v>70522093</v>
          </cell>
          <cell r="C4343" t="str">
            <v>福临门 亚麻籽油 5L</v>
          </cell>
          <cell r="D4343">
            <v>178</v>
          </cell>
          <cell r="E4343">
            <v>13346.9</v>
          </cell>
          <cell r="F4343">
            <v>84.730320224719094</v>
          </cell>
        </row>
        <row r="4344">
          <cell r="B4344" t="str">
            <v>70523770</v>
          </cell>
          <cell r="C4344" t="str">
            <v>雅其娜 御品贡米 5KG</v>
          </cell>
          <cell r="D4344">
            <v>32</v>
          </cell>
          <cell r="E4344">
            <v>1732.13</v>
          </cell>
          <cell r="F4344">
            <v>61.165840625000001</v>
          </cell>
        </row>
        <row r="4345">
          <cell r="B4345" t="str">
            <v>70523771</v>
          </cell>
          <cell r="C4345" t="str">
            <v>独库情 80年代稻香贡米 5KG</v>
          </cell>
          <cell r="D4345">
            <v>4</v>
          </cell>
          <cell r="E4345">
            <v>231.19</v>
          </cell>
          <cell r="F4345">
            <v>65.311175000000006</v>
          </cell>
        </row>
        <row r="4346">
          <cell r="B4346" t="str">
            <v>70523775</v>
          </cell>
          <cell r="C4346" t="str">
            <v>独库情 藜麦米 500G</v>
          </cell>
          <cell r="D4346">
            <v>19</v>
          </cell>
          <cell r="E4346">
            <v>561.51</v>
          </cell>
          <cell r="F4346">
            <v>33.395068421052599</v>
          </cell>
        </row>
        <row r="4347">
          <cell r="B4347" t="str">
            <v>70523792</v>
          </cell>
          <cell r="C4347" t="str">
            <v>雅其娜 生态稻花香米 5KG</v>
          </cell>
          <cell r="D4347">
            <v>21</v>
          </cell>
          <cell r="E4347">
            <v>1233.08</v>
          </cell>
          <cell r="F4347">
            <v>66.351447619047605</v>
          </cell>
        </row>
        <row r="4348">
          <cell r="B4348" t="str">
            <v>70523793</v>
          </cell>
          <cell r="C4348" t="str">
            <v>独库情 精洁稻花香 5KG</v>
          </cell>
          <cell r="D4348">
            <v>12</v>
          </cell>
          <cell r="E4348">
            <v>605.52</v>
          </cell>
          <cell r="F4348">
            <v>57.019799999999996</v>
          </cell>
        </row>
        <row r="4349">
          <cell r="B4349" t="str">
            <v>70523794</v>
          </cell>
          <cell r="C4349" t="str">
            <v>独库情 御贡长粒香 5KG</v>
          </cell>
          <cell r="D4349">
            <v>77</v>
          </cell>
          <cell r="E4349">
            <v>2385.0300000000002</v>
          </cell>
          <cell r="F4349">
            <v>35.001089610389599</v>
          </cell>
        </row>
        <row r="4350">
          <cell r="B4350" t="str">
            <v>70523810</v>
          </cell>
          <cell r="C4350" t="str">
            <v>绿洲果实 一级压榨菜籽油 1.5L</v>
          </cell>
          <cell r="D4350">
            <v>50</v>
          </cell>
          <cell r="E4350">
            <v>1238.57</v>
          </cell>
          <cell r="F4350">
            <v>27.991682000000001</v>
          </cell>
        </row>
        <row r="4351">
          <cell r="B4351" t="str">
            <v>70523812</v>
          </cell>
          <cell r="C4351" t="str">
            <v>绿洲果实 一级压榨菜籽油 5L</v>
          </cell>
          <cell r="D4351">
            <v>1085</v>
          </cell>
          <cell r="E4351">
            <v>74653.899999999994</v>
          </cell>
          <cell r="F4351">
            <v>77.750144700460794</v>
          </cell>
        </row>
        <row r="4352">
          <cell r="B4352" t="str">
            <v>70523816</v>
          </cell>
          <cell r="C4352" t="str">
            <v>雅其娜 红花蜜 245G</v>
          </cell>
          <cell r="D4352">
            <v>30</v>
          </cell>
          <cell r="E4352">
            <v>821.51</v>
          </cell>
          <cell r="F4352">
            <v>30.943543333333299</v>
          </cell>
        </row>
        <row r="4353">
          <cell r="B4353" t="str">
            <v>70523818</v>
          </cell>
          <cell r="C4353" t="str">
            <v>雅其娜 红花集市礼盒 1345ML</v>
          </cell>
          <cell r="D4353">
            <v>3</v>
          </cell>
          <cell r="E4353">
            <v>240</v>
          </cell>
          <cell r="F4353">
            <v>90.4</v>
          </cell>
        </row>
        <row r="4354">
          <cell r="B4354" t="str">
            <v>70523856</v>
          </cell>
          <cell r="C4354" t="str">
            <v>沺浬渔 稻香贡米 5KG</v>
          </cell>
          <cell r="D4354">
            <v>2</v>
          </cell>
          <cell r="E4354">
            <v>155.97</v>
          </cell>
          <cell r="F4354">
            <v>88.123050000000006</v>
          </cell>
        </row>
        <row r="4355">
          <cell r="B4355" t="str">
            <v>70523859</v>
          </cell>
          <cell r="C4355" t="str">
            <v>玖畝畋 龙须面 500G</v>
          </cell>
          <cell r="D4355">
            <v>11</v>
          </cell>
          <cell r="E4355">
            <v>116.55</v>
          </cell>
          <cell r="F4355">
            <v>11.9728636363636</v>
          </cell>
        </row>
        <row r="4356">
          <cell r="B4356" t="str">
            <v>70523862</v>
          </cell>
          <cell r="C4356" t="str">
            <v>绿洲果实 有机核桃籽油 1.0L</v>
          </cell>
          <cell r="D4356">
            <v>259</v>
          </cell>
          <cell r="E4356">
            <v>15444.96</v>
          </cell>
          <cell r="F4356">
            <v>67.385346718146707</v>
          </cell>
        </row>
        <row r="4357">
          <cell r="B4357" t="str">
            <v>70523863</v>
          </cell>
          <cell r="C4357" t="str">
            <v>绿洲果实 鸭田长粒香 5KG</v>
          </cell>
          <cell r="D4357">
            <v>80</v>
          </cell>
          <cell r="E4357">
            <v>3522.94</v>
          </cell>
          <cell r="F4357">
            <v>49.7615275</v>
          </cell>
        </row>
        <row r="4358">
          <cell r="B4358" t="str">
            <v>70523864</v>
          </cell>
          <cell r="C4358" t="str">
            <v>绿洲果实 鸭田长粒香 10KG</v>
          </cell>
          <cell r="D4358">
            <v>208</v>
          </cell>
          <cell r="E4358">
            <v>16220.18</v>
          </cell>
          <cell r="F4358">
            <v>88.119247115384596</v>
          </cell>
        </row>
        <row r="4359">
          <cell r="B4359" t="str">
            <v>70523865</v>
          </cell>
          <cell r="C4359" t="str">
            <v>绿洲果实 含硒长粒香 5KG</v>
          </cell>
          <cell r="D4359">
            <v>1147</v>
          </cell>
          <cell r="E4359">
            <v>57876.160000000003</v>
          </cell>
          <cell r="F4359">
            <v>57.018361639058398</v>
          </cell>
        </row>
        <row r="4360">
          <cell r="B4360" t="str">
            <v>70523866</v>
          </cell>
          <cell r="C4360" t="str">
            <v>绿洲果实 含硒长粒香 10KG</v>
          </cell>
          <cell r="D4360">
            <v>202</v>
          </cell>
          <cell r="E4360">
            <v>17790.830000000002</v>
          </cell>
          <cell r="F4360">
            <v>99.522959900990102</v>
          </cell>
        </row>
        <row r="4361">
          <cell r="B4361" t="str">
            <v>70523867</v>
          </cell>
          <cell r="C4361" t="str">
            <v>绿洲果实 茉莉香米 5KG</v>
          </cell>
          <cell r="D4361">
            <v>55</v>
          </cell>
          <cell r="E4361">
            <v>3834.89</v>
          </cell>
          <cell r="F4361">
            <v>78.789558181818194</v>
          </cell>
        </row>
        <row r="4362">
          <cell r="B4362" t="str">
            <v>70523868</v>
          </cell>
          <cell r="C4362" t="str">
            <v>绿洲果实 茉莉香米 10KG</v>
          </cell>
          <cell r="D4362">
            <v>24</v>
          </cell>
          <cell r="E4362">
            <v>3214.68</v>
          </cell>
          <cell r="F4362">
            <v>151.35785000000001</v>
          </cell>
        </row>
        <row r="4363">
          <cell r="B4363" t="str">
            <v>70523869</v>
          </cell>
          <cell r="C4363" t="str">
            <v>雅其娜 稻花香米 5KG</v>
          </cell>
          <cell r="D4363">
            <v>34</v>
          </cell>
          <cell r="E4363">
            <v>2045.99</v>
          </cell>
          <cell r="F4363">
            <v>67.999079411764697</v>
          </cell>
        </row>
        <row r="4364">
          <cell r="B4364" t="str">
            <v>70523873</v>
          </cell>
          <cell r="C4364" t="str">
            <v>独库情 鲜食糯玉米 10支/袋</v>
          </cell>
          <cell r="D4364">
            <v>5</v>
          </cell>
          <cell r="E4364">
            <v>298.18</v>
          </cell>
          <cell r="F4364">
            <v>67.388679999999994</v>
          </cell>
        </row>
        <row r="4365">
          <cell r="B4365" t="str">
            <v>70523875</v>
          </cell>
          <cell r="C4365" t="str">
            <v>走进西域 纯正菜籽油 5L</v>
          </cell>
          <cell r="D4365">
            <v>26</v>
          </cell>
          <cell r="E4365">
            <v>297.27999999999997</v>
          </cell>
          <cell r="F4365">
            <v>12.9202461538462</v>
          </cell>
        </row>
        <row r="4366">
          <cell r="B4366" t="str">
            <v>70523876</v>
          </cell>
          <cell r="C4366" t="str">
            <v>走进西域 纯正红花籽油 5L</v>
          </cell>
          <cell r="D4366">
            <v>0</v>
          </cell>
          <cell r="E4366">
            <v>0</v>
          </cell>
          <cell r="F4366" t="e">
            <v>#DIV/0!</v>
          </cell>
        </row>
        <row r="4367">
          <cell r="B4367" t="str">
            <v>70523882</v>
          </cell>
          <cell r="C4367" t="str">
            <v>西域吉米 有机富硒大米 5KG</v>
          </cell>
          <cell r="D4367">
            <v>14</v>
          </cell>
          <cell r="E4367">
            <v>0</v>
          </cell>
          <cell r="F4367">
            <v>0</v>
          </cell>
        </row>
        <row r="4368">
          <cell r="B4368" t="str">
            <v>70524069</v>
          </cell>
          <cell r="C4368" t="str">
            <v>盛康 面粉精制粉 5KG</v>
          </cell>
          <cell r="D4368">
            <v>0</v>
          </cell>
          <cell r="E4368">
            <v>0</v>
          </cell>
          <cell r="F4368" t="e">
            <v>#DIV/0!</v>
          </cell>
        </row>
        <row r="4369">
          <cell r="B4369" t="str">
            <v>70524156</v>
          </cell>
          <cell r="C4369" t="str">
            <v>盛康 面粉精制粉 10KG</v>
          </cell>
          <cell r="D4369">
            <v>0</v>
          </cell>
          <cell r="E4369">
            <v>0</v>
          </cell>
          <cell r="F4369" t="e">
            <v>#DIV/0!</v>
          </cell>
        </row>
        <row r="4370">
          <cell r="B4370" t="str">
            <v>70524351</v>
          </cell>
          <cell r="C4370" t="str">
            <v>金龙鱼 御品长粒香 5KG</v>
          </cell>
          <cell r="D4370">
            <v>37</v>
          </cell>
          <cell r="E4370">
            <v>1343.83</v>
          </cell>
          <cell r="F4370">
            <v>41.041294594594603</v>
          </cell>
        </row>
        <row r="4371">
          <cell r="B4371" t="str">
            <v>70525440</v>
          </cell>
          <cell r="C4371" t="str">
            <v>乾清门 新疆核桃杂粮软酥 35G</v>
          </cell>
          <cell r="D4371">
            <v>33</v>
          </cell>
          <cell r="E4371">
            <v>44.46</v>
          </cell>
          <cell r="F4371">
            <v>1.5224181818181799</v>
          </cell>
        </row>
        <row r="4372">
          <cell r="B4372" t="str">
            <v>70525441</v>
          </cell>
          <cell r="C4372" t="str">
            <v>乾清门 新疆奶皮子蔓越莓软酥 35G</v>
          </cell>
          <cell r="D4372">
            <v>21</v>
          </cell>
          <cell r="E4372">
            <v>28.3</v>
          </cell>
          <cell r="F4372">
            <v>1.5228095238095201</v>
          </cell>
        </row>
        <row r="4373">
          <cell r="B4373" t="str">
            <v>70525442</v>
          </cell>
          <cell r="C4373" t="str">
            <v>乾清门 新疆藜麦糖醇软酥 35G</v>
          </cell>
          <cell r="D4373">
            <v>13</v>
          </cell>
          <cell r="E4373">
            <v>17.510000000000002</v>
          </cell>
          <cell r="F4373">
            <v>1.52202307692308</v>
          </cell>
        </row>
        <row r="4374">
          <cell r="B4374" t="str">
            <v>70525443</v>
          </cell>
          <cell r="C4374" t="str">
            <v>乾清门 新疆辣皮子软酥 35G</v>
          </cell>
          <cell r="D4374">
            <v>20</v>
          </cell>
          <cell r="E4374">
            <v>26.93</v>
          </cell>
          <cell r="F4374">
            <v>1.5215449999999999</v>
          </cell>
        </row>
        <row r="4375">
          <cell r="B4375" t="str">
            <v>70525444</v>
          </cell>
          <cell r="C4375" t="str">
            <v>乾清门 新疆黑糖桑葚软酥 35G</v>
          </cell>
          <cell r="D4375">
            <v>39</v>
          </cell>
          <cell r="E4375">
            <v>52.56</v>
          </cell>
          <cell r="F4375">
            <v>1.52289230769231</v>
          </cell>
        </row>
        <row r="4376">
          <cell r="B4376" t="str">
            <v>70525445</v>
          </cell>
          <cell r="C4376" t="str">
            <v>乾清门 新疆和田玫瑰花软酥 35G</v>
          </cell>
          <cell r="D4376">
            <v>26</v>
          </cell>
          <cell r="E4376">
            <v>35.01</v>
          </cell>
          <cell r="F4376">
            <v>1.5215884615384601</v>
          </cell>
        </row>
        <row r="4377">
          <cell r="B4377" t="str">
            <v>70525979</v>
          </cell>
          <cell r="C4377" t="str">
            <v>乾清门 乐在其粽粽子礼盒 1340G</v>
          </cell>
          <cell r="D4377">
            <v>0</v>
          </cell>
          <cell r="E4377">
            <v>0</v>
          </cell>
          <cell r="F4377" t="e">
            <v>#DIV/0!</v>
          </cell>
        </row>
        <row r="4378">
          <cell r="B4378" t="str">
            <v>70526211</v>
          </cell>
          <cell r="C4378" t="str">
            <v>福临门 新疆家宴小麦粉 5kg</v>
          </cell>
          <cell r="D4378">
            <v>90</v>
          </cell>
          <cell r="E4378">
            <v>2406.96</v>
          </cell>
          <cell r="F4378">
            <v>30.22072</v>
          </cell>
        </row>
        <row r="4379">
          <cell r="B4379" t="str">
            <v>70528101</v>
          </cell>
          <cell r="C4379" t="str">
            <v>金麦粒 海鸭蛋礼盒 盒</v>
          </cell>
          <cell r="D4379">
            <v>0</v>
          </cell>
          <cell r="E4379">
            <v>0</v>
          </cell>
          <cell r="F4379" t="e">
            <v>#DIV/0!</v>
          </cell>
        </row>
        <row r="4380">
          <cell r="B4380" t="str">
            <v>70528121</v>
          </cell>
          <cell r="C4380" t="str">
            <v>金麦粒 浓情端午礼盒 盒</v>
          </cell>
          <cell r="D4380">
            <v>0</v>
          </cell>
          <cell r="E4380">
            <v>0</v>
          </cell>
          <cell r="F4380" t="e">
            <v>#DIV/0!</v>
          </cell>
        </row>
        <row r="4381">
          <cell r="B4381" t="str">
            <v>70528124</v>
          </cell>
          <cell r="C4381" t="str">
            <v>金麦粒 粽香端午礼盒 盒</v>
          </cell>
          <cell r="D4381">
            <v>0</v>
          </cell>
          <cell r="E4381">
            <v>0</v>
          </cell>
          <cell r="F4381" t="e">
            <v>#DIV/0!</v>
          </cell>
        </row>
        <row r="4382">
          <cell r="B4382" t="str">
            <v>70528336</v>
          </cell>
          <cell r="C4382" t="str">
            <v>友杰丝路 干果茶 菊花 50G</v>
          </cell>
          <cell r="D4382">
            <v>1</v>
          </cell>
          <cell r="E4382">
            <v>19.47</v>
          </cell>
          <cell r="F4382">
            <v>22.001100000000001</v>
          </cell>
        </row>
        <row r="4383">
          <cell r="B4383" t="str">
            <v>70528480</v>
          </cell>
          <cell r="C4383" t="str">
            <v>乾清门 粽意福礼 810G</v>
          </cell>
          <cell r="D4383">
            <v>709</v>
          </cell>
          <cell r="E4383">
            <v>22392.6</v>
          </cell>
          <cell r="F4383">
            <v>35.689193229901299</v>
          </cell>
        </row>
        <row r="4384">
          <cell r="B4384" t="str">
            <v>70528481</v>
          </cell>
          <cell r="C4384" t="str">
            <v>稻香村 端午礼粽子礼盒 510G</v>
          </cell>
          <cell r="D4384">
            <v>1303</v>
          </cell>
          <cell r="E4384">
            <v>26165.99</v>
          </cell>
          <cell r="F4384">
            <v>22.691917651573299</v>
          </cell>
        </row>
        <row r="4385">
          <cell r="B4385" t="str">
            <v>70528514</v>
          </cell>
          <cell r="C4385" t="str">
            <v>葡萄树 疆遇极光 1000G</v>
          </cell>
          <cell r="D4385">
            <v>1</v>
          </cell>
          <cell r="E4385">
            <v>71.930000000000007</v>
          </cell>
          <cell r="F4385">
            <v>81.280900000000003</v>
          </cell>
        </row>
        <row r="4386">
          <cell r="B4386" t="str">
            <v>70528518</v>
          </cell>
          <cell r="C4386" t="str">
            <v>葡萄树 粽找乐趣 720G</v>
          </cell>
          <cell r="D4386">
            <v>1</v>
          </cell>
          <cell r="E4386">
            <v>57.24</v>
          </cell>
          <cell r="F4386">
            <v>64.681200000000004</v>
          </cell>
        </row>
        <row r="4387">
          <cell r="B4387" t="str">
            <v>70528523</v>
          </cell>
          <cell r="C4387" t="str">
            <v>瓜皮果园 瓜皮优选 1KG</v>
          </cell>
          <cell r="D4387">
            <v>32</v>
          </cell>
          <cell r="E4387">
            <v>27.08</v>
          </cell>
          <cell r="F4387">
            <v>0.95626250000000002</v>
          </cell>
        </row>
        <row r="4388">
          <cell r="B4388" t="str">
            <v>70529419</v>
          </cell>
          <cell r="C4388" t="str">
            <v>福临门 胡麻油 5L</v>
          </cell>
          <cell r="D4388">
            <v>640</v>
          </cell>
          <cell r="E4388">
            <v>51899.81</v>
          </cell>
          <cell r="F4388">
            <v>91.635602031250002</v>
          </cell>
        </row>
        <row r="4389">
          <cell r="B4389" t="str">
            <v>70529798</v>
          </cell>
          <cell r="C4389" t="str">
            <v>本味源 流沙凤凰汤圆 200G</v>
          </cell>
          <cell r="D4389">
            <v>3</v>
          </cell>
          <cell r="E4389">
            <v>25.96</v>
          </cell>
          <cell r="F4389">
            <v>9.7782666666666707</v>
          </cell>
        </row>
        <row r="4390">
          <cell r="B4390" t="str">
            <v>70529802</v>
          </cell>
          <cell r="C4390" t="str">
            <v>本味源 广州酒家虾饺 160G</v>
          </cell>
          <cell r="D4390">
            <v>0</v>
          </cell>
          <cell r="E4390">
            <v>0</v>
          </cell>
          <cell r="F4390" t="e">
            <v>#DIV/0!</v>
          </cell>
        </row>
        <row r="4391">
          <cell r="B4391" t="str">
            <v>70529811</v>
          </cell>
          <cell r="C4391" t="str">
            <v>本味源 广州酒家豆沙水晶饼 360G</v>
          </cell>
          <cell r="D4391">
            <v>5</v>
          </cell>
          <cell r="E4391">
            <v>58.55</v>
          </cell>
          <cell r="F4391">
            <v>13.2323</v>
          </cell>
        </row>
        <row r="4392">
          <cell r="B4392" t="str">
            <v>70529813</v>
          </cell>
          <cell r="C4392" t="str">
            <v>本味源 广州酒家核桃包 337.5G</v>
          </cell>
          <cell r="D4392">
            <v>2</v>
          </cell>
          <cell r="E4392">
            <v>26.46</v>
          </cell>
          <cell r="F4392">
            <v>14.9499</v>
          </cell>
        </row>
        <row r="4393">
          <cell r="B4393" t="str">
            <v>70529837</v>
          </cell>
          <cell r="C4393" t="str">
            <v>本味源 仟岛凰火山石地道肠原味 600G</v>
          </cell>
          <cell r="D4393">
            <v>5</v>
          </cell>
          <cell r="E4393">
            <v>75.03</v>
          </cell>
          <cell r="F4393">
            <v>16.956779999999998</v>
          </cell>
        </row>
        <row r="4394">
          <cell r="B4394" t="str">
            <v>70529839</v>
          </cell>
          <cell r="C4394" t="str">
            <v>本味源 仟岛凰肉块肠原味 600G</v>
          </cell>
          <cell r="D4394">
            <v>38</v>
          </cell>
          <cell r="E4394">
            <v>536.75</v>
          </cell>
          <cell r="F4394">
            <v>15.96125</v>
          </cell>
        </row>
        <row r="4395">
          <cell r="B4395" t="str">
            <v>70529840</v>
          </cell>
          <cell r="C4395" t="str">
            <v>本味源 仟岛凰肉块肠黑胡椒 600G</v>
          </cell>
          <cell r="D4395">
            <v>19</v>
          </cell>
          <cell r="E4395">
            <v>259.72000000000003</v>
          </cell>
          <cell r="F4395">
            <v>15.446505263157899</v>
          </cell>
        </row>
        <row r="4396">
          <cell r="B4396" t="str">
            <v>70529928</v>
          </cell>
          <cell r="C4396" t="str">
            <v>本味源 金枕彩袋 500G</v>
          </cell>
          <cell r="D4396">
            <v>335</v>
          </cell>
          <cell r="E4396">
            <v>20233.96</v>
          </cell>
          <cell r="F4396">
            <v>68.251865074626807</v>
          </cell>
        </row>
        <row r="4397">
          <cell r="B4397" t="str">
            <v>70529929</v>
          </cell>
          <cell r="C4397" t="str">
            <v>本味源 金枕自立袋 250G</v>
          </cell>
          <cell r="D4397">
            <v>224</v>
          </cell>
          <cell r="E4397">
            <v>7073.22</v>
          </cell>
          <cell r="F4397">
            <v>35.68186875</v>
          </cell>
        </row>
        <row r="4398">
          <cell r="B4398" t="str">
            <v>70529932</v>
          </cell>
          <cell r="C4398" t="str">
            <v>本味源 金枕小金条 100G</v>
          </cell>
          <cell r="D4398">
            <v>8</v>
          </cell>
          <cell r="E4398">
            <v>139.12</v>
          </cell>
          <cell r="F4398">
            <v>19.650700000000001</v>
          </cell>
        </row>
        <row r="4399">
          <cell r="B4399" t="str">
            <v>70529954</v>
          </cell>
          <cell r="C4399" t="str">
            <v>本味源 孔雀斑 700G</v>
          </cell>
          <cell r="D4399">
            <v>1</v>
          </cell>
          <cell r="E4399">
            <v>28.77</v>
          </cell>
          <cell r="F4399">
            <v>32.510100000000001</v>
          </cell>
        </row>
        <row r="4400">
          <cell r="B4400" t="str">
            <v>70529955</v>
          </cell>
          <cell r="C4400" t="str">
            <v>本味源 彩虹斑 700G</v>
          </cell>
          <cell r="D4400">
            <v>1</v>
          </cell>
          <cell r="E4400">
            <v>33.99</v>
          </cell>
          <cell r="F4400">
            <v>38.408700000000003</v>
          </cell>
        </row>
        <row r="4401">
          <cell r="B4401" t="str">
            <v>70530830</v>
          </cell>
          <cell r="C4401" t="str">
            <v>水韵好客 盱眙小龙虾金汤蒜香味（6-8钱) 1500G</v>
          </cell>
          <cell r="D4401">
            <v>3</v>
          </cell>
          <cell r="E4401">
            <v>281.42</v>
          </cell>
          <cell r="F4401">
            <v>106.001533333333</v>
          </cell>
        </row>
        <row r="4402">
          <cell r="B4402" t="str">
            <v>70530831</v>
          </cell>
          <cell r="C4402" t="str">
            <v>水韵好客 盱眙小龙虾草本十三香味（6-8钱) 1500G</v>
          </cell>
          <cell r="D4402">
            <v>12</v>
          </cell>
          <cell r="E4402">
            <v>1125.68</v>
          </cell>
          <cell r="F4402">
            <v>106.001533333333</v>
          </cell>
        </row>
        <row r="4403">
          <cell r="B4403" t="str">
            <v>70530832</v>
          </cell>
          <cell r="C4403" t="str">
            <v>水韵好客 盱眙小龙虾川香麻辣味（6-8钱) 1500G</v>
          </cell>
          <cell r="D4403">
            <v>30</v>
          </cell>
          <cell r="E4403">
            <v>2814.23</v>
          </cell>
          <cell r="F4403">
            <v>106.002663333333</v>
          </cell>
        </row>
        <row r="4404">
          <cell r="B4404" t="str">
            <v>70531843</v>
          </cell>
          <cell r="C4404" t="str">
            <v>本味源 徽脆央厨喜枣 300G</v>
          </cell>
          <cell r="D4404">
            <v>3</v>
          </cell>
          <cell r="E4404">
            <v>31.86</v>
          </cell>
          <cell r="F4404">
            <v>12.0006</v>
          </cell>
        </row>
        <row r="4405">
          <cell r="B4405" t="str">
            <v>70531846</v>
          </cell>
          <cell r="C4405" t="str">
            <v>本味源 手抓饼原味 900G</v>
          </cell>
          <cell r="D4405">
            <v>5</v>
          </cell>
          <cell r="E4405">
            <v>53.1</v>
          </cell>
          <cell r="F4405">
            <v>12.0006</v>
          </cell>
        </row>
        <row r="4406">
          <cell r="B4406" t="str">
            <v>70531883</v>
          </cell>
          <cell r="C4406" t="str">
            <v>福鼎 白茶 300G</v>
          </cell>
          <cell r="D4406">
            <v>1292</v>
          </cell>
          <cell r="E4406">
            <v>48931.77</v>
          </cell>
          <cell r="F4406">
            <v>42.7963623065015</v>
          </cell>
        </row>
        <row r="4407">
          <cell r="B4407" t="str">
            <v>70531949</v>
          </cell>
          <cell r="C4407" t="str">
            <v>本味源 海鲜全家福水饺 340G</v>
          </cell>
          <cell r="D4407">
            <v>4</v>
          </cell>
          <cell r="E4407">
            <v>67.11</v>
          </cell>
          <cell r="F4407">
            <v>18.958575</v>
          </cell>
        </row>
        <row r="4408">
          <cell r="B4408" t="str">
            <v>70531960</v>
          </cell>
          <cell r="C4408" t="str">
            <v>本味源 广州酒家开口叉烧包 270G</v>
          </cell>
          <cell r="D4408">
            <v>7</v>
          </cell>
          <cell r="E4408">
            <v>109.28</v>
          </cell>
          <cell r="F4408">
            <v>17.640914285714299</v>
          </cell>
        </row>
        <row r="4409">
          <cell r="B4409" t="str">
            <v>70531961</v>
          </cell>
          <cell r="C4409" t="str">
            <v>本味源 带壳去肚鲍鱼中B净肉单粒 12G</v>
          </cell>
          <cell r="D4409">
            <v>0</v>
          </cell>
          <cell r="E4409">
            <v>0</v>
          </cell>
          <cell r="F4409" t="e">
            <v>#DIV/0!</v>
          </cell>
        </row>
        <row r="4410">
          <cell r="B4410" t="str">
            <v>70531993</v>
          </cell>
          <cell r="C4410" t="str">
            <v>本味源 龙霸盒冻不调味甜虾 个</v>
          </cell>
          <cell r="D4410">
            <v>0</v>
          </cell>
          <cell r="E4410">
            <v>0</v>
          </cell>
          <cell r="F4410" t="e">
            <v>#DIV/0!</v>
          </cell>
        </row>
        <row r="4411">
          <cell r="B4411" t="str">
            <v>70534449</v>
          </cell>
          <cell r="C4411" t="str">
            <v>广州酒家 香菇干蒸烧卖 210G</v>
          </cell>
          <cell r="D4411">
            <v>13</v>
          </cell>
          <cell r="E4411">
            <v>154.4</v>
          </cell>
          <cell r="F4411">
            <v>13.420923076923099</v>
          </cell>
        </row>
        <row r="4412">
          <cell r="B4412" t="str">
            <v>70534457</v>
          </cell>
          <cell r="C4412" t="str">
            <v>北戴河 火腿午餐肉 340G</v>
          </cell>
          <cell r="D4412">
            <v>16</v>
          </cell>
          <cell r="E4412">
            <v>213.24</v>
          </cell>
          <cell r="F4412">
            <v>15.060074999999999</v>
          </cell>
        </row>
        <row r="4413">
          <cell r="B4413" t="str">
            <v>70534509</v>
          </cell>
          <cell r="C4413" t="str">
            <v>北戴河 辣味金枪鱼 175G</v>
          </cell>
          <cell r="D4413">
            <v>174</v>
          </cell>
          <cell r="E4413">
            <v>1847.87</v>
          </cell>
          <cell r="F4413">
            <v>12.0005350574713</v>
          </cell>
        </row>
        <row r="4414">
          <cell r="B4414" t="str">
            <v>70534512</v>
          </cell>
          <cell r="C4414" t="str">
            <v>天山面粉 昌吉天山 10KG</v>
          </cell>
          <cell r="D4414">
            <v>2941</v>
          </cell>
          <cell r="E4414">
            <v>117782.43</v>
          </cell>
          <cell r="F4414">
            <v>45.254724889493403</v>
          </cell>
        </row>
        <row r="4415">
          <cell r="B4415" t="str">
            <v>70534517</v>
          </cell>
          <cell r="C4415" t="str">
            <v>天山面粉 昌吉天山 5KG</v>
          </cell>
          <cell r="D4415">
            <v>1856</v>
          </cell>
          <cell r="E4415">
            <v>40076.43</v>
          </cell>
          <cell r="F4415">
            <v>24.399981627155199</v>
          </cell>
        </row>
        <row r="4416">
          <cell r="B4416" t="str">
            <v>70534524</v>
          </cell>
          <cell r="C4416" t="str">
            <v>北戴河 海鲜金枪鱼 175G</v>
          </cell>
          <cell r="D4416">
            <v>129</v>
          </cell>
          <cell r="E4416">
            <v>1373.23</v>
          </cell>
          <cell r="F4416">
            <v>12.029068992248099</v>
          </cell>
        </row>
        <row r="4417">
          <cell r="B4417" t="str">
            <v>70534602</v>
          </cell>
          <cell r="C4417" t="str">
            <v>方家铺子 冻干红枣枸杞银耳汤 15G</v>
          </cell>
          <cell r="D4417">
            <v>0</v>
          </cell>
          <cell r="E4417">
            <v>0</v>
          </cell>
          <cell r="F4417" t="e">
            <v>#DIV/0!</v>
          </cell>
        </row>
        <row r="4418">
          <cell r="B4418" t="str">
            <v>70534608</v>
          </cell>
          <cell r="C4418" t="str">
            <v>方家铺子 黄冰糖 600G</v>
          </cell>
          <cell r="D4418">
            <v>10</v>
          </cell>
          <cell r="E4418">
            <v>163.80000000000001</v>
          </cell>
          <cell r="F4418">
            <v>18.509399999999999</v>
          </cell>
        </row>
        <row r="4419">
          <cell r="B4419" t="str">
            <v>70534719</v>
          </cell>
          <cell r="C4419" t="str">
            <v>北戴河牌 黄花鱼罐头 300G*2</v>
          </cell>
          <cell r="D4419">
            <v>11</v>
          </cell>
          <cell r="E4419">
            <v>189.83</v>
          </cell>
          <cell r="F4419">
            <v>19.5007181818182</v>
          </cell>
        </row>
        <row r="4420">
          <cell r="B4420" t="str">
            <v>70534720</v>
          </cell>
          <cell r="C4420" t="str">
            <v>北戴河牌 豆豉鲮鱼 227G*3</v>
          </cell>
          <cell r="D4420">
            <v>210</v>
          </cell>
          <cell r="E4420">
            <v>2697.99</v>
          </cell>
          <cell r="F4420">
            <v>14.5177557142857</v>
          </cell>
        </row>
        <row r="4421">
          <cell r="B4421" t="str">
            <v>70534723</v>
          </cell>
          <cell r="C4421" t="str">
            <v>北戴河牌 糖水黄桃 425G*4</v>
          </cell>
          <cell r="D4421">
            <v>426</v>
          </cell>
          <cell r="E4421">
            <v>3743.16</v>
          </cell>
          <cell r="F4421">
            <v>9.9290394366197194</v>
          </cell>
        </row>
        <row r="4422">
          <cell r="B4422" t="str">
            <v>70534724</v>
          </cell>
          <cell r="C4422" t="str">
            <v>北戴河牌 糖水橘子 425G*4</v>
          </cell>
          <cell r="D4422">
            <v>48</v>
          </cell>
          <cell r="E4422">
            <v>431.33</v>
          </cell>
          <cell r="F4422">
            <v>10.1542270833333</v>
          </cell>
        </row>
        <row r="4423">
          <cell r="B4423" t="str">
            <v>70534825</v>
          </cell>
          <cell r="C4423" t="str">
            <v>北戴河 带鱼罐头 300G</v>
          </cell>
          <cell r="D4423">
            <v>196</v>
          </cell>
          <cell r="E4423">
            <v>3295.85</v>
          </cell>
          <cell r="F4423">
            <v>19.001584183673501</v>
          </cell>
        </row>
        <row r="4424">
          <cell r="B4424" t="str">
            <v>70535009</v>
          </cell>
          <cell r="C4424" t="str">
            <v>广州酒家 榴莲飞饼 300G</v>
          </cell>
          <cell r="D4424">
            <v>5</v>
          </cell>
          <cell r="E4424">
            <v>83.64</v>
          </cell>
          <cell r="F4424">
            <v>18.902640000000002</v>
          </cell>
        </row>
        <row r="4425">
          <cell r="B4425" t="str">
            <v>70535020</v>
          </cell>
          <cell r="C4425" t="str">
            <v>瑞幸 精品挂耳咖啡日晒耶加雪菲2.0系列 10G</v>
          </cell>
          <cell r="D4425">
            <v>6</v>
          </cell>
          <cell r="E4425">
            <v>217.7</v>
          </cell>
          <cell r="F4425">
            <v>41.000166666666701</v>
          </cell>
        </row>
        <row r="4426">
          <cell r="B4426" t="str">
            <v>70535021</v>
          </cell>
          <cell r="C4426" t="str">
            <v>瑞幸 精品挂耳咖啡云南普洱2.0系列 10G</v>
          </cell>
          <cell r="D4426">
            <v>2</v>
          </cell>
          <cell r="E4426">
            <v>72.58</v>
          </cell>
          <cell r="F4426">
            <v>41.0077</v>
          </cell>
        </row>
        <row r="4427">
          <cell r="B4427" t="str">
            <v>70535023</v>
          </cell>
          <cell r="C4427" t="str">
            <v>瑞幸 精品挂耳咖啡哥伦比亚薇拉2.0系列 10G</v>
          </cell>
          <cell r="D4427">
            <v>2</v>
          </cell>
          <cell r="E4427">
            <v>72.58</v>
          </cell>
          <cell r="F4427">
            <v>41.0077</v>
          </cell>
        </row>
        <row r="4428">
          <cell r="B4428" t="str">
            <v>70535027</v>
          </cell>
          <cell r="C4428" t="str">
            <v>瑞幸 冷萃盒装咖啡液美式风味 25ML</v>
          </cell>
          <cell r="D4428">
            <v>6</v>
          </cell>
          <cell r="E4428">
            <v>175.26</v>
          </cell>
          <cell r="F4428">
            <v>33.007300000000001</v>
          </cell>
        </row>
        <row r="4429">
          <cell r="B4429" t="str">
            <v>70535029</v>
          </cell>
          <cell r="C4429" t="str">
            <v>瑞幸 冷萃盒装咖啡液生椰风味 25ML</v>
          </cell>
          <cell r="D4429">
            <v>57</v>
          </cell>
          <cell r="E4429">
            <v>1759.99</v>
          </cell>
          <cell r="F4429">
            <v>34.8910298245614</v>
          </cell>
        </row>
        <row r="4430">
          <cell r="B4430" t="str">
            <v>70535157</v>
          </cell>
          <cell r="C4430" t="str">
            <v>昆享 有机燕麦片 420G</v>
          </cell>
          <cell r="D4430">
            <v>20</v>
          </cell>
          <cell r="E4430">
            <v>238.74</v>
          </cell>
          <cell r="F4430">
            <v>13.488810000000001</v>
          </cell>
        </row>
        <row r="4431">
          <cell r="B4431" t="str">
            <v>70535899</v>
          </cell>
          <cell r="C4431" t="str">
            <v>国联水产 小霸龙金粟芙蓉虾 200G</v>
          </cell>
          <cell r="D4431">
            <v>5</v>
          </cell>
          <cell r="E4431">
            <v>63.57</v>
          </cell>
          <cell r="F4431">
            <v>14.366820000000001</v>
          </cell>
        </row>
        <row r="4432">
          <cell r="B4432" t="str">
            <v>70535902</v>
          </cell>
          <cell r="C4432" t="str">
            <v>国联水产 小霸龙单冻调味爆爽麻辣川香烤鱼加宽粉 1KG</v>
          </cell>
          <cell r="D4432">
            <v>0</v>
          </cell>
          <cell r="E4432">
            <v>0</v>
          </cell>
          <cell r="F4432" t="e">
            <v>#DIV/0!</v>
          </cell>
        </row>
        <row r="4433">
          <cell r="B4433" t="str">
            <v>70535929</v>
          </cell>
          <cell r="C4433" t="str">
            <v>甲海 盘龙清江鱼 700G</v>
          </cell>
          <cell r="D4433">
            <v>3</v>
          </cell>
          <cell r="E4433">
            <v>85.77</v>
          </cell>
          <cell r="F4433">
            <v>32.306699999999999</v>
          </cell>
        </row>
        <row r="4434">
          <cell r="B4434" t="str">
            <v>70535942</v>
          </cell>
          <cell r="C4434" t="str">
            <v>笑厨 干料大盘鸡 50G</v>
          </cell>
          <cell r="D4434">
            <v>6</v>
          </cell>
          <cell r="E4434">
            <v>20.46</v>
          </cell>
          <cell r="F4434">
            <v>3.8532999999999999</v>
          </cell>
        </row>
        <row r="4435">
          <cell r="B4435" t="str">
            <v>70535944</v>
          </cell>
          <cell r="C4435" t="str">
            <v>笑厨 凉拌味精 100G</v>
          </cell>
          <cell r="D4435">
            <v>64</v>
          </cell>
          <cell r="E4435">
            <v>111.15</v>
          </cell>
          <cell r="F4435">
            <v>1.9624921875000001</v>
          </cell>
        </row>
        <row r="4436">
          <cell r="B4436" t="str">
            <v>70535945</v>
          </cell>
          <cell r="C4436" t="str">
            <v>西尔丹 牛肉辣椒酱 190G</v>
          </cell>
          <cell r="D4436">
            <v>1</v>
          </cell>
          <cell r="E4436">
            <v>9.65</v>
          </cell>
          <cell r="F4436">
            <v>10.904500000000001</v>
          </cell>
        </row>
        <row r="4437">
          <cell r="B4437" t="str">
            <v>70535947</v>
          </cell>
          <cell r="C4437" t="str">
            <v>西尔丹 新疆三文鱼辣椒酱 190G</v>
          </cell>
          <cell r="D4437">
            <v>4</v>
          </cell>
          <cell r="E4437">
            <v>42.48</v>
          </cell>
          <cell r="F4437">
            <v>12.0006</v>
          </cell>
        </row>
        <row r="4438">
          <cell r="B4438" t="str">
            <v>70536097</v>
          </cell>
          <cell r="C4438" t="str">
            <v>梅林 糖水菠萝 650G</v>
          </cell>
          <cell r="D4438">
            <v>136</v>
          </cell>
          <cell r="E4438">
            <v>1349.53</v>
          </cell>
          <cell r="F4438">
            <v>11.2130066176471</v>
          </cell>
        </row>
        <row r="4439">
          <cell r="B4439" t="str">
            <v>70536173</v>
          </cell>
          <cell r="C4439" t="str">
            <v>千岛王 仟岛凰虾滑 150G</v>
          </cell>
          <cell r="D4439">
            <v>4</v>
          </cell>
          <cell r="E4439">
            <v>42.39</v>
          </cell>
          <cell r="F4439">
            <v>11.975175</v>
          </cell>
        </row>
        <row r="4440">
          <cell r="B4440" t="str">
            <v>70536221</v>
          </cell>
          <cell r="C4440" t="str">
            <v>海龙泉 多宝鱼 500G</v>
          </cell>
          <cell r="D4440">
            <v>5</v>
          </cell>
          <cell r="E4440">
            <v>192.66</v>
          </cell>
          <cell r="F4440">
            <v>43.541159999999998</v>
          </cell>
        </row>
        <row r="4441">
          <cell r="B4441" t="str">
            <v>70536794</v>
          </cell>
          <cell r="C4441" t="str">
            <v>雀巢冲调 浓缩咖啡冲调液醇厚黑咖啡风味 80ML</v>
          </cell>
          <cell r="D4441">
            <v>0</v>
          </cell>
          <cell r="E4441">
            <v>0</v>
          </cell>
          <cell r="F4441" t="e">
            <v>#DIV/0!</v>
          </cell>
        </row>
        <row r="4442">
          <cell r="B4442" t="str">
            <v>70536795</v>
          </cell>
          <cell r="C4442" t="str">
            <v>雀巢冲调 浓缩咖啡冲调液焦糖玛奇朵风味 80ML</v>
          </cell>
          <cell r="D4442">
            <v>8</v>
          </cell>
          <cell r="E4442">
            <v>144.46</v>
          </cell>
          <cell r="F4442">
            <v>20.404975</v>
          </cell>
        </row>
        <row r="4443">
          <cell r="B4443" t="str">
            <v>70538235</v>
          </cell>
          <cell r="C4443" t="str">
            <v>海龙泉 虾滑 150G</v>
          </cell>
          <cell r="D4443">
            <v>4</v>
          </cell>
          <cell r="E4443">
            <v>74.34</v>
          </cell>
          <cell r="F4443">
            <v>21.001049999999999</v>
          </cell>
        </row>
        <row r="4444">
          <cell r="B4444" t="str">
            <v>70538237</v>
          </cell>
          <cell r="C4444" t="str">
            <v>海龙泉 三文鱼饼 240G</v>
          </cell>
          <cell r="D4444">
            <v>4</v>
          </cell>
          <cell r="E4444">
            <v>99.12</v>
          </cell>
          <cell r="F4444">
            <v>28.0014</v>
          </cell>
        </row>
        <row r="4445">
          <cell r="B4445" t="str">
            <v>70538238</v>
          </cell>
          <cell r="C4445" t="str">
            <v>海龙泉 虾排 240G</v>
          </cell>
          <cell r="D4445">
            <v>4</v>
          </cell>
          <cell r="E4445">
            <v>63.72</v>
          </cell>
          <cell r="F4445">
            <v>18.000900000000001</v>
          </cell>
        </row>
        <row r="4446">
          <cell r="B4446" t="str">
            <v>70538239</v>
          </cell>
          <cell r="C4446" t="str">
            <v>海龙泉 鳕鱼饼 240G</v>
          </cell>
          <cell r="D4446">
            <v>7</v>
          </cell>
          <cell r="E4446">
            <v>123.9</v>
          </cell>
          <cell r="F4446">
            <v>20.001000000000001</v>
          </cell>
        </row>
        <row r="4447">
          <cell r="B4447" t="str">
            <v>70538586</v>
          </cell>
          <cell r="C4447" t="str">
            <v>山姆 快熟燕麦片 3KG</v>
          </cell>
          <cell r="D4447">
            <v>389</v>
          </cell>
          <cell r="E4447">
            <v>19411.099999999999</v>
          </cell>
          <cell r="F4447">
            <v>56.387</v>
          </cell>
        </row>
        <row r="4448">
          <cell r="B4448" t="str">
            <v>70538589</v>
          </cell>
          <cell r="C4448" t="str">
            <v>山姆 黑芝麻谷物粉 1.024KG</v>
          </cell>
          <cell r="D4448">
            <v>4</v>
          </cell>
          <cell r="E4448">
            <v>289.41000000000003</v>
          </cell>
          <cell r="F4448">
            <v>81.758324999999999</v>
          </cell>
        </row>
        <row r="4449">
          <cell r="B4449" t="str">
            <v>70538745</v>
          </cell>
          <cell r="C4449" t="str">
            <v>笑厨 干料大盘鸡料 50G</v>
          </cell>
          <cell r="D4449">
            <v>144</v>
          </cell>
          <cell r="E4449">
            <v>490.85</v>
          </cell>
          <cell r="F4449">
            <v>3.8518090277777799</v>
          </cell>
        </row>
        <row r="4450">
          <cell r="B4450" t="str">
            <v>70538951</v>
          </cell>
          <cell r="C4450" t="str">
            <v>伊香优 纯香菜籽油非转基因压榨 4L</v>
          </cell>
          <cell r="D4450">
            <v>0</v>
          </cell>
          <cell r="E4450">
            <v>0</v>
          </cell>
          <cell r="F4450" t="e">
            <v>#DIV/0!</v>
          </cell>
        </row>
        <row r="4451">
          <cell r="B4451" t="str">
            <v>70539242</v>
          </cell>
          <cell r="C4451" t="str">
            <v>优斯麦尔 番茄丁 400G</v>
          </cell>
          <cell r="D4451">
            <v>30010</v>
          </cell>
          <cell r="E4451">
            <v>124865.48</v>
          </cell>
          <cell r="F4451">
            <v>4.7016991802732404</v>
          </cell>
        </row>
        <row r="4452">
          <cell r="B4452" t="str">
            <v>70539272</v>
          </cell>
          <cell r="C4452" t="str">
            <v>优斯麦尔 雪莲辣椒丝 190G</v>
          </cell>
          <cell r="D4452">
            <v>1809</v>
          </cell>
          <cell r="E4452">
            <v>12978.11</v>
          </cell>
          <cell r="F4452">
            <v>8.1068348811498101</v>
          </cell>
        </row>
        <row r="4453">
          <cell r="B4453" t="str">
            <v>70539275</v>
          </cell>
          <cell r="C4453" t="str">
            <v>优斯麦尔 新疆三文鱼辣椒酱 190G</v>
          </cell>
          <cell r="D4453">
            <v>596</v>
          </cell>
          <cell r="E4453">
            <v>5801.61</v>
          </cell>
          <cell r="F4453">
            <v>10.999696812080501</v>
          </cell>
        </row>
        <row r="4454">
          <cell r="B4454" t="str">
            <v>70539278</v>
          </cell>
          <cell r="C4454" t="str">
            <v>优斯麦尔 牛肉辣椒酱 190G</v>
          </cell>
          <cell r="D4454">
            <v>1547</v>
          </cell>
          <cell r="E4454">
            <v>13562.11</v>
          </cell>
          <cell r="F4454">
            <v>9.9063893341952198</v>
          </cell>
        </row>
        <row r="4455">
          <cell r="B4455" t="str">
            <v>70539281</v>
          </cell>
          <cell r="C4455" t="str">
            <v>优斯麦尔 坚果辣椒酱 190G</v>
          </cell>
          <cell r="D4455">
            <v>946</v>
          </cell>
          <cell r="E4455">
            <v>7376.32</v>
          </cell>
          <cell r="F4455">
            <v>8.8110376321352994</v>
          </cell>
        </row>
        <row r="4456">
          <cell r="B4456" t="str">
            <v>70539972</v>
          </cell>
          <cell r="C4456" t="str">
            <v>山姆 有机羊肚菌 60G</v>
          </cell>
          <cell r="D4456">
            <v>17</v>
          </cell>
          <cell r="E4456">
            <v>1528.3</v>
          </cell>
          <cell r="F4456">
            <v>101.587</v>
          </cell>
        </row>
        <row r="4457">
          <cell r="B4457" t="str">
            <v>70539990</v>
          </cell>
          <cell r="C4457" t="str">
            <v>山姆 精选有机袖珍香菇 350G</v>
          </cell>
          <cell r="D4457">
            <v>9</v>
          </cell>
          <cell r="E4457">
            <v>502.2</v>
          </cell>
          <cell r="F4457">
            <v>63.054000000000002</v>
          </cell>
        </row>
        <row r="4458">
          <cell r="B4458" t="str">
            <v>70542746</v>
          </cell>
          <cell r="C4458" t="str">
            <v>山姆 精选有机香信菇 300G</v>
          </cell>
          <cell r="D4458">
            <v>47</v>
          </cell>
          <cell r="E4458">
            <v>2213.98</v>
          </cell>
          <cell r="F4458">
            <v>53.229731914893598</v>
          </cell>
        </row>
        <row r="4459">
          <cell r="B4459" t="str">
            <v>70542747</v>
          </cell>
          <cell r="C4459" t="str">
            <v>山姆 有机紫薯黑养粥料 1.5KG</v>
          </cell>
          <cell r="D4459">
            <v>65</v>
          </cell>
          <cell r="E4459">
            <v>3478.23</v>
          </cell>
          <cell r="F4459">
            <v>60.467690769230799</v>
          </cell>
        </row>
        <row r="4460">
          <cell r="B4460" t="str">
            <v>70543333</v>
          </cell>
          <cell r="C4460" t="str">
            <v>星吉飞 有机鸡蛋30枚简装 袋</v>
          </cell>
          <cell r="D4460">
            <v>20</v>
          </cell>
          <cell r="E4460">
            <v>527.51</v>
          </cell>
          <cell r="F4460">
            <v>29.804314999999999</v>
          </cell>
        </row>
        <row r="4461">
          <cell r="B4461" t="str">
            <v>70543339</v>
          </cell>
          <cell r="C4461" t="str">
            <v>溢田 田园系列陈皮绿豆百合银耳粥 1KG</v>
          </cell>
          <cell r="D4461">
            <v>1</v>
          </cell>
          <cell r="E4461">
            <v>24.66</v>
          </cell>
          <cell r="F4461">
            <v>27.8658</v>
          </cell>
        </row>
        <row r="4462">
          <cell r="B4462" t="str">
            <v>70543349</v>
          </cell>
          <cell r="C4462" t="str">
            <v>金健 五常贡米 5KG</v>
          </cell>
          <cell r="D4462">
            <v>3</v>
          </cell>
          <cell r="E4462">
            <v>160.13999999999999</v>
          </cell>
          <cell r="F4462">
            <v>60.319400000000002</v>
          </cell>
        </row>
        <row r="4463">
          <cell r="B4463" t="str">
            <v>70543610</v>
          </cell>
          <cell r="C4463" t="str">
            <v>优斯麦尔 阿克苏冰糖心苹果（一级）15枚 箱</v>
          </cell>
          <cell r="D4463">
            <v>2</v>
          </cell>
          <cell r="E4463">
            <v>106.43</v>
          </cell>
          <cell r="F4463">
            <v>60.132950000000001</v>
          </cell>
        </row>
        <row r="4464">
          <cell r="B4464" t="str">
            <v>70543613</v>
          </cell>
          <cell r="C4464" t="str">
            <v>优斯麦尔 阿克苏冰糖心苹果（精品）6枚 箱</v>
          </cell>
          <cell r="D4464">
            <v>16</v>
          </cell>
          <cell r="E4464">
            <v>641.91999999999996</v>
          </cell>
          <cell r="F4464">
            <v>45.335599999999999</v>
          </cell>
        </row>
        <row r="4465">
          <cell r="B4465" t="str">
            <v>70545802</v>
          </cell>
          <cell r="C4465" t="str">
            <v>好客稻香 有机五常大米 2KG</v>
          </cell>
          <cell r="D4465">
            <v>2</v>
          </cell>
          <cell r="E4465">
            <v>80.84</v>
          </cell>
          <cell r="F4465">
            <v>45.674599999999998</v>
          </cell>
        </row>
        <row r="4466">
          <cell r="B4466" t="str">
            <v>70545804</v>
          </cell>
          <cell r="C4466" t="str">
            <v>好客稻香 五常大米 2.5KG</v>
          </cell>
          <cell r="D4466">
            <v>35</v>
          </cell>
          <cell r="E4466">
            <v>1483.72</v>
          </cell>
          <cell r="F4466">
            <v>47.90296</v>
          </cell>
        </row>
        <row r="4467">
          <cell r="B4467" t="str">
            <v>70545805</v>
          </cell>
          <cell r="C4467" t="str">
            <v>好客稻香 五常大米 5KG</v>
          </cell>
          <cell r="D4467">
            <v>0</v>
          </cell>
          <cell r="E4467">
            <v>0</v>
          </cell>
          <cell r="F4467" t="e">
            <v>#DIV/0!</v>
          </cell>
        </row>
        <row r="4468">
          <cell r="B4468" t="str">
            <v>70546458</v>
          </cell>
          <cell r="C4468" t="str">
            <v>优斯麦尔 库尔勒香梨（一级） 4KG</v>
          </cell>
          <cell r="D4468">
            <v>104</v>
          </cell>
          <cell r="E4468">
            <v>4211.4399999999996</v>
          </cell>
          <cell r="F4468">
            <v>45.758915384615399</v>
          </cell>
        </row>
        <row r="4469">
          <cell r="B4469" t="str">
            <v>70546461</v>
          </cell>
          <cell r="C4469" t="str">
            <v>冰山上的来客 纯正葵花籽油（一级） 2.5L</v>
          </cell>
          <cell r="D4469">
            <v>34</v>
          </cell>
          <cell r="E4469">
            <v>1189.6500000000001</v>
          </cell>
          <cell r="F4469">
            <v>39.538367647058799</v>
          </cell>
        </row>
        <row r="4470">
          <cell r="B4470" t="str">
            <v>70546463</v>
          </cell>
          <cell r="C4470" t="str">
            <v>冰山上的来客 一级菜籽油 1.5L</v>
          </cell>
          <cell r="D4470">
            <v>4</v>
          </cell>
          <cell r="E4470">
            <v>99.1</v>
          </cell>
          <cell r="F4470">
            <v>27.995750000000001</v>
          </cell>
        </row>
        <row r="4471">
          <cell r="B4471" t="str">
            <v>70546468</v>
          </cell>
          <cell r="C4471" t="str">
            <v>冰山上的来客 纯正红花籽油 1.5L</v>
          </cell>
          <cell r="D4471">
            <v>8</v>
          </cell>
          <cell r="E4471">
            <v>256.88</v>
          </cell>
          <cell r="F4471">
            <v>36.284300000000002</v>
          </cell>
        </row>
        <row r="4472">
          <cell r="B4472" t="str">
            <v>70546470</v>
          </cell>
          <cell r="C4472" t="str">
            <v>冰山上的来客 纯正葵花籽油（一级） 1.5L</v>
          </cell>
          <cell r="D4472">
            <v>20</v>
          </cell>
          <cell r="E4472">
            <v>495.44</v>
          </cell>
          <cell r="F4472">
            <v>27.992360000000001</v>
          </cell>
        </row>
        <row r="4473">
          <cell r="B4473" t="str">
            <v>70546472</v>
          </cell>
          <cell r="C4473" t="str">
            <v>冰山上的来客 一级菜籽油 2.5L</v>
          </cell>
          <cell r="D4473">
            <v>19</v>
          </cell>
          <cell r="E4473">
            <v>662.41</v>
          </cell>
          <cell r="F4473">
            <v>39.395963157894698</v>
          </cell>
        </row>
        <row r="4474">
          <cell r="B4474" t="str">
            <v>70546484</v>
          </cell>
          <cell r="C4474" t="str">
            <v>优斯麦尔 库尔勒香梨（特级） 2.5KG</v>
          </cell>
          <cell r="D4474">
            <v>39</v>
          </cell>
          <cell r="E4474">
            <v>1205.03</v>
          </cell>
          <cell r="F4474">
            <v>34.914971794871803</v>
          </cell>
        </row>
        <row r="4475">
          <cell r="B4475" t="str">
            <v>70546486</v>
          </cell>
          <cell r="C4475" t="str">
            <v>优斯麦尔 库尔勒香梨（特级） 4KG</v>
          </cell>
          <cell r="D4475">
            <v>4</v>
          </cell>
          <cell r="E4475">
            <v>157.80000000000001</v>
          </cell>
          <cell r="F4475">
            <v>44.578499999999998</v>
          </cell>
        </row>
        <row r="4476">
          <cell r="B4476" t="str">
            <v>70546488</v>
          </cell>
          <cell r="C4476" t="str">
            <v>优斯麦尔 库尔勒香梨（一级） 2.5KG</v>
          </cell>
          <cell r="D4476">
            <v>58</v>
          </cell>
          <cell r="E4476">
            <v>1958.05</v>
          </cell>
          <cell r="F4476">
            <v>38.148215517241397</v>
          </cell>
        </row>
        <row r="4477">
          <cell r="B4477" t="str">
            <v>70546500</v>
          </cell>
          <cell r="C4477" t="str">
            <v>小白杨牧场 羊肉礼盒(精切割4混装) 2.5KG</v>
          </cell>
          <cell r="D4477">
            <v>2</v>
          </cell>
          <cell r="E4477">
            <v>367.5</v>
          </cell>
          <cell r="F4477">
            <v>207.63749999999999</v>
          </cell>
        </row>
        <row r="4478">
          <cell r="B4478" t="str">
            <v>70546709</v>
          </cell>
          <cell r="C4478" t="str">
            <v>山姆 花胶羹 2.016KG</v>
          </cell>
          <cell r="D4478">
            <v>0</v>
          </cell>
          <cell r="E4478">
            <v>0</v>
          </cell>
          <cell r="F4478" t="e">
            <v>#DIV/0!</v>
          </cell>
        </row>
        <row r="4479">
          <cell r="B4479" t="str">
            <v>70547157</v>
          </cell>
          <cell r="C4479" t="str">
            <v>天山 雪麦饺子粉 2.5KG</v>
          </cell>
          <cell r="D4479">
            <v>1</v>
          </cell>
          <cell r="E4479">
            <v>34.869999999999997</v>
          </cell>
          <cell r="F4479">
            <v>39.403100000000002</v>
          </cell>
        </row>
        <row r="4480">
          <cell r="B4480" t="str">
            <v>70547164</v>
          </cell>
          <cell r="C4480" t="str">
            <v>天山 面粉雪花粉 5kg</v>
          </cell>
          <cell r="D4480">
            <v>83</v>
          </cell>
          <cell r="E4480">
            <v>3505.59</v>
          </cell>
          <cell r="F4480">
            <v>47.7267072289157</v>
          </cell>
        </row>
        <row r="4481">
          <cell r="B4481" t="str">
            <v>70547228</v>
          </cell>
          <cell r="C4481" t="str">
            <v>金西域 精制粉 5KG</v>
          </cell>
          <cell r="D4481">
            <v>170</v>
          </cell>
          <cell r="E4481">
            <v>4103.74</v>
          </cell>
          <cell r="F4481">
            <v>27.2778011764706</v>
          </cell>
        </row>
        <row r="4482">
          <cell r="B4482" t="str">
            <v>70547258</v>
          </cell>
          <cell r="C4482" t="str">
            <v>麦格来 香嫩味香肠252个 件</v>
          </cell>
          <cell r="D4482">
            <v>169</v>
          </cell>
          <cell r="E4482">
            <v>151.46</v>
          </cell>
          <cell r="F4482">
            <v>1.01272071005917</v>
          </cell>
        </row>
        <row r="4483">
          <cell r="B4483" t="str">
            <v>70551057</v>
          </cell>
          <cell r="C4483" t="str">
            <v>山姆 精选虾皮 600G</v>
          </cell>
          <cell r="D4483">
            <v>49</v>
          </cell>
          <cell r="E4483">
            <v>1610.76</v>
          </cell>
          <cell r="F4483">
            <v>37.146097959183699</v>
          </cell>
        </row>
        <row r="4484">
          <cell r="B4484" t="str">
            <v>70551648</v>
          </cell>
          <cell r="C4484" t="str">
            <v>疆小棒 单棒玉米黄糯味 200G</v>
          </cell>
          <cell r="D4484">
            <v>30</v>
          </cell>
          <cell r="E4484">
            <v>114</v>
          </cell>
          <cell r="F4484">
            <v>4.2939999999999996</v>
          </cell>
        </row>
        <row r="4485">
          <cell r="B4485" t="str">
            <v>70551651</v>
          </cell>
          <cell r="C4485" t="str">
            <v>疆小棒 家庭装玉米礼盒 1.2KG</v>
          </cell>
          <cell r="D4485">
            <v>10</v>
          </cell>
          <cell r="E4485">
            <v>240</v>
          </cell>
          <cell r="F4485">
            <v>27.12</v>
          </cell>
        </row>
        <row r="4486">
          <cell r="B4486" t="str">
            <v>70551748</v>
          </cell>
          <cell r="C4486" t="str">
            <v>合记林 珍香川湘带鱼 180G</v>
          </cell>
          <cell r="D4486">
            <v>0</v>
          </cell>
          <cell r="E4486">
            <v>0</v>
          </cell>
          <cell r="F4486" t="e">
            <v>#DIV/0!</v>
          </cell>
        </row>
        <row r="4487">
          <cell r="B4487" t="str">
            <v>70551809</v>
          </cell>
          <cell r="C4487" t="str">
            <v>无品牌 时令新鲜水果 500G</v>
          </cell>
          <cell r="D4487">
            <v>3435</v>
          </cell>
          <cell r="E4487">
            <v>25212.52</v>
          </cell>
          <cell r="F4487">
            <v>8.2940749927219795</v>
          </cell>
        </row>
        <row r="4488">
          <cell r="B4488" t="str">
            <v>70551909</v>
          </cell>
          <cell r="C4488" t="str">
            <v>伊香优 炒香菜籽油 4L</v>
          </cell>
          <cell r="D4488">
            <v>26</v>
          </cell>
          <cell r="E4488">
            <v>1192.68</v>
          </cell>
          <cell r="F4488">
            <v>51.8357076923077</v>
          </cell>
        </row>
        <row r="4489">
          <cell r="B4489" t="str">
            <v>70551910</v>
          </cell>
          <cell r="C4489" t="str">
            <v>伊香优 黑菜籽油 5L</v>
          </cell>
          <cell r="D4489">
            <v>27</v>
          </cell>
          <cell r="E4489">
            <v>1981.68</v>
          </cell>
          <cell r="F4489">
            <v>82.936977777777798</v>
          </cell>
        </row>
        <row r="4490">
          <cell r="B4490" t="str">
            <v>70552868</v>
          </cell>
          <cell r="C4490" t="str">
            <v>天山沐秋天山羔羊A款 2.5公斤/盒</v>
          </cell>
          <cell r="D4490">
            <v>7</v>
          </cell>
          <cell r="E4490">
            <v>0</v>
          </cell>
          <cell r="F4490">
            <v>0</v>
          </cell>
        </row>
        <row r="4491">
          <cell r="B4491" t="str">
            <v>70553124</v>
          </cell>
          <cell r="C4491" t="str">
            <v>无品牌 鲍鱼8头 包</v>
          </cell>
          <cell r="D4491">
            <v>4</v>
          </cell>
          <cell r="E4491">
            <v>165.14</v>
          </cell>
          <cell r="F4491">
            <v>46.652050000000003</v>
          </cell>
        </row>
        <row r="4492">
          <cell r="B4492" t="str">
            <v>70553507</v>
          </cell>
          <cell r="C4492" t="str">
            <v>正大 叶黄素鲜鸡蛋20枚 盒</v>
          </cell>
          <cell r="D4492">
            <v>99</v>
          </cell>
          <cell r="E4492">
            <v>3415.5</v>
          </cell>
          <cell r="F4492">
            <v>38.984999999999999</v>
          </cell>
        </row>
        <row r="4493">
          <cell r="B4493" t="str">
            <v>70553509</v>
          </cell>
          <cell r="C4493" t="str">
            <v>正大 火锅午餐肉 340G</v>
          </cell>
          <cell r="D4493">
            <v>114</v>
          </cell>
          <cell r="E4493">
            <v>1365.77</v>
          </cell>
          <cell r="F4493">
            <v>13.537895614035101</v>
          </cell>
        </row>
        <row r="4494">
          <cell r="B4494" t="str">
            <v>70553511</v>
          </cell>
          <cell r="C4494" t="str">
            <v>正大 大夹花午餐肉 340G</v>
          </cell>
          <cell r="D4494">
            <v>42</v>
          </cell>
          <cell r="E4494">
            <v>499.94</v>
          </cell>
          <cell r="F4494">
            <v>13.4507666666667</v>
          </cell>
        </row>
        <row r="4495">
          <cell r="B4495" t="str">
            <v>70553531</v>
          </cell>
          <cell r="C4495" t="str">
            <v>无品牌 深海金鲳鱼 500G</v>
          </cell>
          <cell r="D4495">
            <v>9</v>
          </cell>
          <cell r="E4495">
            <v>247.73</v>
          </cell>
          <cell r="F4495">
            <v>31.1038777777778</v>
          </cell>
        </row>
        <row r="4496">
          <cell r="B4496" t="str">
            <v>70553533</v>
          </cell>
          <cell r="C4496" t="str">
            <v>无品牌 海鲈鱼 600G</v>
          </cell>
          <cell r="D4496">
            <v>12</v>
          </cell>
          <cell r="E4496">
            <v>275.23</v>
          </cell>
          <cell r="F4496">
            <v>25.917491666666699</v>
          </cell>
        </row>
        <row r="4497">
          <cell r="B4497" t="str">
            <v>70553540</v>
          </cell>
          <cell r="C4497" t="str">
            <v>方脸男神 坚果多多 烘焙麦片 500G</v>
          </cell>
          <cell r="D4497">
            <v>16</v>
          </cell>
          <cell r="E4497">
            <v>566.39</v>
          </cell>
          <cell r="F4497">
            <v>40.001293750000002</v>
          </cell>
        </row>
        <row r="4498">
          <cell r="B4498" t="str">
            <v>70553541</v>
          </cell>
          <cell r="C4498" t="str">
            <v>方脸男神 巧遇莓莓 烘焙麦片 500G</v>
          </cell>
          <cell r="D4498">
            <v>15</v>
          </cell>
          <cell r="E4498">
            <v>530.98</v>
          </cell>
          <cell r="F4498">
            <v>40.000493333333303</v>
          </cell>
        </row>
        <row r="4499">
          <cell r="B4499" t="str">
            <v>70553542</v>
          </cell>
          <cell r="C4499" t="str">
            <v>方脸男神 抹茶芒果 烘焙麦片 500G</v>
          </cell>
          <cell r="D4499">
            <v>6</v>
          </cell>
          <cell r="E4499">
            <v>212.4</v>
          </cell>
          <cell r="F4499">
            <v>40.002000000000002</v>
          </cell>
        </row>
        <row r="4500">
          <cell r="B4500" t="str">
            <v>70553595</v>
          </cell>
          <cell r="C4500" t="str">
            <v>疆百泉 熏马肉 1KG</v>
          </cell>
          <cell r="D4500">
            <v>3</v>
          </cell>
          <cell r="E4500">
            <v>233.63</v>
          </cell>
          <cell r="F4500">
            <v>88.000633333333298</v>
          </cell>
        </row>
        <row r="4501">
          <cell r="B4501" t="str">
            <v>70553596</v>
          </cell>
          <cell r="C4501" t="str">
            <v>疆百泉 熏马肠 1KG</v>
          </cell>
          <cell r="D4501">
            <v>1</v>
          </cell>
          <cell r="E4501">
            <v>77.88</v>
          </cell>
          <cell r="F4501">
            <v>88.004400000000004</v>
          </cell>
        </row>
        <row r="4502">
          <cell r="B4502" t="str">
            <v>70554241</v>
          </cell>
          <cell r="C4502" t="str">
            <v>友杰 盒装三泡台原味 400G</v>
          </cell>
          <cell r="D4502">
            <v>0</v>
          </cell>
          <cell r="E4502">
            <v>0.01</v>
          </cell>
          <cell r="F4502" t="e">
            <v>#DIV/0!</v>
          </cell>
        </row>
        <row r="4503">
          <cell r="B4503" t="str">
            <v>70554242</v>
          </cell>
          <cell r="C4503" t="str">
            <v>友杰 散包三泡台原味 50G</v>
          </cell>
          <cell r="D4503">
            <v>0</v>
          </cell>
          <cell r="E4503">
            <v>0</v>
          </cell>
          <cell r="F4503" t="e">
            <v>#DIV/0!</v>
          </cell>
        </row>
        <row r="4504">
          <cell r="B4504" t="str">
            <v>70554243</v>
          </cell>
          <cell r="C4504" t="str">
            <v>友杰 散包三泡台茉莉味 50G</v>
          </cell>
          <cell r="D4504">
            <v>0</v>
          </cell>
          <cell r="E4504">
            <v>0.02</v>
          </cell>
          <cell r="F4504" t="e">
            <v>#DIV/0!</v>
          </cell>
        </row>
        <row r="4505">
          <cell r="B4505" t="str">
            <v>70554244</v>
          </cell>
          <cell r="C4505" t="str">
            <v>友杰 散包三泡台玫瑰味 50G</v>
          </cell>
          <cell r="D4505">
            <v>0</v>
          </cell>
          <cell r="E4505">
            <v>0.02</v>
          </cell>
          <cell r="F4505" t="e">
            <v>#DIV/0!</v>
          </cell>
        </row>
        <row r="4506">
          <cell r="B4506" t="str">
            <v>70554245</v>
          </cell>
          <cell r="C4506" t="str">
            <v>友杰 散包三泡台菊花味 50G</v>
          </cell>
          <cell r="D4506">
            <v>0</v>
          </cell>
          <cell r="E4506">
            <v>0.02</v>
          </cell>
          <cell r="F4506" t="e">
            <v>#DIV/0!</v>
          </cell>
        </row>
        <row r="4507">
          <cell r="B4507" t="str">
            <v>70555748</v>
          </cell>
          <cell r="C4507" t="str">
            <v>中水远洋 399元礼包套餐 箱</v>
          </cell>
          <cell r="D4507">
            <v>6</v>
          </cell>
          <cell r="E4507">
            <v>1370.64</v>
          </cell>
          <cell r="F4507">
            <v>258.13720000000001</v>
          </cell>
        </row>
        <row r="4508">
          <cell r="B4508" t="str">
            <v>70556784</v>
          </cell>
          <cell r="C4508" t="str">
            <v>老岳母 脆香酸豇豆 200G</v>
          </cell>
          <cell r="D4508">
            <v>64</v>
          </cell>
          <cell r="E4508">
            <v>499.86</v>
          </cell>
          <cell r="F4508">
            <v>8.8256531250000005</v>
          </cell>
        </row>
        <row r="4509">
          <cell r="B4509" t="str">
            <v>70556785</v>
          </cell>
          <cell r="C4509" t="str">
            <v>老岳母 窜香韭菜花 230G</v>
          </cell>
          <cell r="D4509">
            <v>24</v>
          </cell>
          <cell r="E4509">
            <v>211.8</v>
          </cell>
          <cell r="F4509">
            <v>9.9722500000000007</v>
          </cell>
        </row>
        <row r="4510">
          <cell r="B4510" t="str">
            <v>70556995</v>
          </cell>
          <cell r="C4510" t="str">
            <v>厨大妈 白砂糖 300G</v>
          </cell>
          <cell r="D4510">
            <v>28</v>
          </cell>
          <cell r="E4510">
            <v>137.72999999999999</v>
          </cell>
          <cell r="F4510">
            <v>5.5583892857142896</v>
          </cell>
        </row>
        <row r="4511">
          <cell r="B4511" t="str">
            <v>70558926</v>
          </cell>
          <cell r="C4511" t="str">
            <v>山农谷 东北黄糯玉米 220G*8/包</v>
          </cell>
          <cell r="D4511">
            <v>29</v>
          </cell>
          <cell r="E4511">
            <v>957.83</v>
          </cell>
          <cell r="F4511">
            <v>37.322341379310302</v>
          </cell>
        </row>
        <row r="4512">
          <cell r="B4512" t="str">
            <v>70558927</v>
          </cell>
          <cell r="C4512" t="str">
            <v>山农谷 东北黄糯玉米 220G</v>
          </cell>
          <cell r="D4512">
            <v>2</v>
          </cell>
          <cell r="E4512">
            <v>9.02</v>
          </cell>
          <cell r="F4512">
            <v>5.0963000000000003</v>
          </cell>
        </row>
        <row r="4513">
          <cell r="B4513" t="str">
            <v>70559044</v>
          </cell>
          <cell r="C4513" t="str">
            <v>海底捞 清油火锅底料 288G</v>
          </cell>
          <cell r="D4513">
            <v>137</v>
          </cell>
          <cell r="E4513">
            <v>1576.38</v>
          </cell>
          <cell r="F4513">
            <v>13.0022583941606</v>
          </cell>
        </row>
        <row r="4514">
          <cell r="B4514" t="str">
            <v>70559047</v>
          </cell>
          <cell r="C4514" t="str">
            <v>海底捞 七珍菌汤 240G</v>
          </cell>
          <cell r="D4514">
            <v>44</v>
          </cell>
          <cell r="E4514">
            <v>623.04</v>
          </cell>
          <cell r="F4514">
            <v>16.000800000000002</v>
          </cell>
        </row>
        <row r="4515">
          <cell r="B4515" t="str">
            <v>70564280</v>
          </cell>
          <cell r="C4515" t="str">
            <v>花田萃 茉莉雪芽即溶乳茶 20G</v>
          </cell>
          <cell r="D4515">
            <v>440</v>
          </cell>
          <cell r="E4515">
            <v>1748.64</v>
          </cell>
          <cell r="F4515">
            <v>4.4908254545454502</v>
          </cell>
        </row>
        <row r="4516">
          <cell r="B4516" t="str">
            <v>70564281</v>
          </cell>
          <cell r="C4516" t="str">
            <v>花田萃 木兰红茶即溶乳茶 20G</v>
          </cell>
          <cell r="D4516">
            <v>48</v>
          </cell>
          <cell r="E4516">
            <v>190.83</v>
          </cell>
          <cell r="F4516">
            <v>4.49245625</v>
          </cell>
        </row>
        <row r="4517">
          <cell r="B4517" t="str">
            <v>70564282</v>
          </cell>
          <cell r="C4517" t="str">
            <v>花田萃 空山栀子即溶乳茶 20G</v>
          </cell>
          <cell r="D4517">
            <v>498</v>
          </cell>
          <cell r="E4517">
            <v>1979.19</v>
          </cell>
          <cell r="F4517">
            <v>4.4909331325301203</v>
          </cell>
        </row>
        <row r="4518">
          <cell r="B4518" t="str">
            <v>70566764</v>
          </cell>
          <cell r="C4518" t="str">
            <v>正大 正大可生食富硒鲜鸡蛋 15枚 840G</v>
          </cell>
          <cell r="D4518">
            <v>1</v>
          </cell>
          <cell r="E4518">
            <v>27</v>
          </cell>
          <cell r="F4518">
            <v>30.51</v>
          </cell>
        </row>
        <row r="4519">
          <cell r="B4519" t="str">
            <v>70574240</v>
          </cell>
          <cell r="C4519" t="str">
            <v>和粮 溢田田园系列黄金小米山药南瓜粥 1KG</v>
          </cell>
          <cell r="D4519">
            <v>1</v>
          </cell>
          <cell r="E4519">
            <v>19.75</v>
          </cell>
          <cell r="F4519">
            <v>22.317499999999999</v>
          </cell>
        </row>
        <row r="4520">
          <cell r="B4520" t="str">
            <v>70574247</v>
          </cell>
          <cell r="C4520" t="str">
            <v>金健 低芥酸（一级）菜籽油 5L</v>
          </cell>
          <cell r="D4520">
            <v>25</v>
          </cell>
          <cell r="E4520">
            <v>1518.88</v>
          </cell>
          <cell r="F4520">
            <v>68.653375999999994</v>
          </cell>
        </row>
        <row r="4521">
          <cell r="B4521" t="str">
            <v>70574448</v>
          </cell>
          <cell r="C4521" t="str">
            <v>贝蒂斯 食用植物调和油(亚麻橄榄)礼盒 500ML*2</v>
          </cell>
          <cell r="D4521">
            <v>8</v>
          </cell>
          <cell r="E4521">
            <v>682.5</v>
          </cell>
          <cell r="F4521">
            <v>96.403125000000003</v>
          </cell>
        </row>
        <row r="4522">
          <cell r="B4522" t="str">
            <v>70574636</v>
          </cell>
          <cell r="C4522" t="str">
            <v>李锦记 薄盐生抽 1280ML</v>
          </cell>
          <cell r="D4522">
            <v>2</v>
          </cell>
          <cell r="E4522">
            <v>41.3</v>
          </cell>
          <cell r="F4522">
            <v>23.334499999999998</v>
          </cell>
        </row>
        <row r="4523">
          <cell r="B4523" t="str">
            <v>70574637</v>
          </cell>
          <cell r="C4523" t="str">
            <v>李锦记 金蚝油挤挤装 550G</v>
          </cell>
          <cell r="D4523">
            <v>268</v>
          </cell>
          <cell r="E4523">
            <v>2092.6999999999998</v>
          </cell>
          <cell r="F4523">
            <v>8.8236977611940297</v>
          </cell>
        </row>
        <row r="4524">
          <cell r="B4524" t="str">
            <v>70574902</v>
          </cell>
          <cell r="C4524" t="str">
            <v>昆仑好客优选＋ 五湖特选东北长粒香10KG</v>
          </cell>
          <cell r="D4524">
            <v>2</v>
          </cell>
          <cell r="E4524">
            <v>111.04</v>
          </cell>
          <cell r="F4524">
            <v>62.7376</v>
          </cell>
        </row>
        <row r="4525">
          <cell r="B4525" t="str">
            <v>70579247</v>
          </cell>
          <cell r="C4525" t="str">
            <v>加减乘除 金针菇香辣 145G</v>
          </cell>
          <cell r="D4525">
            <v>1</v>
          </cell>
          <cell r="E4525">
            <v>5.76</v>
          </cell>
          <cell r="F4525">
            <v>6.5087999999999999</v>
          </cell>
        </row>
        <row r="4526">
          <cell r="B4526" t="str">
            <v>70580209</v>
          </cell>
          <cell r="C4526" t="str">
            <v>天山小哥 高蛋白鹰嘴豆粉 300G</v>
          </cell>
          <cell r="D4526">
            <v>54</v>
          </cell>
          <cell r="E4526">
            <v>555.11</v>
          </cell>
          <cell r="F4526">
            <v>11.6161907407407</v>
          </cell>
        </row>
        <row r="4527">
          <cell r="B4527" t="str">
            <v>70580213</v>
          </cell>
          <cell r="C4527" t="str">
            <v>天山小哥 鹰嘴豆甜豆浆粉 300G</v>
          </cell>
          <cell r="D4527">
            <v>88</v>
          </cell>
          <cell r="E4527">
            <v>996.92</v>
          </cell>
          <cell r="F4527">
            <v>12.8013590909091</v>
          </cell>
        </row>
        <row r="4528">
          <cell r="B4528" t="str">
            <v>70580218</v>
          </cell>
          <cell r="C4528" t="str">
            <v>天山小哥 石磨多用途小麦粉 5KG</v>
          </cell>
          <cell r="D4528">
            <v>5</v>
          </cell>
          <cell r="E4528">
            <v>162.85</v>
          </cell>
          <cell r="F4528">
            <v>36.804099999999998</v>
          </cell>
        </row>
        <row r="4529">
          <cell r="B4529" t="str">
            <v>70580220</v>
          </cell>
          <cell r="C4529" t="str">
            <v>天山小哥 石磨全麦粉 5KG</v>
          </cell>
          <cell r="D4529">
            <v>31</v>
          </cell>
          <cell r="E4529">
            <v>967</v>
          </cell>
          <cell r="F4529">
            <v>35.248709677419399</v>
          </cell>
        </row>
        <row r="4530">
          <cell r="B4530" t="str">
            <v>70580222</v>
          </cell>
          <cell r="C4530" t="str">
            <v>天山小哥 石磨黑小麦全粉 5KG</v>
          </cell>
          <cell r="D4530">
            <v>28</v>
          </cell>
          <cell r="E4530">
            <v>1194.54</v>
          </cell>
          <cell r="F4530">
            <v>48.208221428571399</v>
          </cell>
        </row>
        <row r="4531">
          <cell r="B4531" t="str">
            <v>70580223</v>
          </cell>
          <cell r="C4531" t="str">
            <v>天山小哥 小麦胚芽鹰嘴豆粉 300G</v>
          </cell>
          <cell r="D4531">
            <v>482</v>
          </cell>
          <cell r="E4531">
            <v>5867.53</v>
          </cell>
          <cell r="F4531">
            <v>13.755827593360999</v>
          </cell>
        </row>
        <row r="4532">
          <cell r="B4532" t="str">
            <v>70580228</v>
          </cell>
          <cell r="C4532" t="str">
            <v>绿洲果实 石磨小麦粉 5KG</v>
          </cell>
          <cell r="D4532">
            <v>65</v>
          </cell>
          <cell r="E4532">
            <v>1908.26</v>
          </cell>
          <cell r="F4532">
            <v>33.174366153846201</v>
          </cell>
        </row>
        <row r="4533">
          <cell r="B4533" t="str">
            <v>70580229</v>
          </cell>
          <cell r="C4533" t="str">
            <v>绿洲果实 石磨小麦粉 10KG</v>
          </cell>
          <cell r="D4533">
            <v>106</v>
          </cell>
          <cell r="E4533">
            <v>5251.38</v>
          </cell>
          <cell r="F4533">
            <v>55.981692452830202</v>
          </cell>
        </row>
        <row r="4534">
          <cell r="B4534" t="str">
            <v>70580231</v>
          </cell>
          <cell r="C4534" t="str">
            <v>绿洲果实 石磨全麦粉 5KG</v>
          </cell>
          <cell r="D4534">
            <v>9</v>
          </cell>
          <cell r="E4534">
            <v>247.71</v>
          </cell>
          <cell r="F4534">
            <v>31.101366666666699</v>
          </cell>
        </row>
        <row r="4535">
          <cell r="B4535" t="str">
            <v>70580233</v>
          </cell>
          <cell r="C4535" t="str">
            <v>绿洲果实 石磨全麦粉 10KG</v>
          </cell>
          <cell r="D4535">
            <v>24</v>
          </cell>
          <cell r="E4535">
            <v>1100.92</v>
          </cell>
          <cell r="F4535">
            <v>51.834983333333298</v>
          </cell>
        </row>
        <row r="4536">
          <cell r="B4536" t="str">
            <v>70580235</v>
          </cell>
          <cell r="C4536" t="str">
            <v>独库情 酸奶果粒坚果烘培燕麦片 400G</v>
          </cell>
          <cell r="D4536">
            <v>2</v>
          </cell>
          <cell r="E4536">
            <v>67.260000000000005</v>
          </cell>
          <cell r="F4536">
            <v>38.001899999999999</v>
          </cell>
        </row>
        <row r="4537">
          <cell r="B4537" t="str">
            <v>70580265</v>
          </cell>
          <cell r="C4537" t="str">
            <v>雅其娜 有机礼盒 1.5L*2</v>
          </cell>
          <cell r="D4537">
            <v>1</v>
          </cell>
          <cell r="E4537">
            <v>131.19999999999999</v>
          </cell>
          <cell r="F4537">
            <v>148.256</v>
          </cell>
        </row>
        <row r="4538">
          <cell r="B4538" t="str">
            <v>70580270</v>
          </cell>
          <cell r="C4538" t="str">
            <v>伊美乡 生态米六面整形升级款 2.5KG</v>
          </cell>
          <cell r="D4538">
            <v>3</v>
          </cell>
          <cell r="E4538">
            <v>104.6</v>
          </cell>
          <cell r="F4538">
            <v>39.399333333333303</v>
          </cell>
        </row>
        <row r="4539">
          <cell r="B4539" t="str">
            <v>70580271</v>
          </cell>
          <cell r="C4539" t="str">
            <v>伊美乡 蟹田香米 2.5KG</v>
          </cell>
          <cell r="D4539">
            <v>5</v>
          </cell>
          <cell r="E4539">
            <v>142.19999999999999</v>
          </cell>
          <cell r="F4539">
            <v>32.1372</v>
          </cell>
        </row>
        <row r="4540">
          <cell r="B4540" t="str">
            <v>70580280</v>
          </cell>
          <cell r="C4540" t="str">
            <v>雅其娜 纯正菜籽油 5L/桶</v>
          </cell>
          <cell r="D4540">
            <v>3</v>
          </cell>
          <cell r="E4540">
            <v>231.2</v>
          </cell>
          <cell r="F4540">
            <v>87.085333333333296</v>
          </cell>
        </row>
        <row r="4541">
          <cell r="B4541" t="str">
            <v>70580294</v>
          </cell>
          <cell r="C4541" t="str">
            <v>罗哥 黑小米 450G</v>
          </cell>
          <cell r="D4541">
            <v>3</v>
          </cell>
          <cell r="E4541">
            <v>46.8</v>
          </cell>
          <cell r="F4541">
            <v>17.628</v>
          </cell>
        </row>
        <row r="4542">
          <cell r="B4542" t="str">
            <v>70580295</v>
          </cell>
          <cell r="C4542" t="str">
            <v>罗哥 黑花生 450G</v>
          </cell>
          <cell r="D4542">
            <v>5</v>
          </cell>
          <cell r="E4542">
            <v>100.93</v>
          </cell>
          <cell r="F4542">
            <v>22.810179999999999</v>
          </cell>
        </row>
        <row r="4543">
          <cell r="B4543" t="str">
            <v>70580296</v>
          </cell>
          <cell r="C4543" t="str">
            <v>罗哥 黑鹰嘴豆 450G</v>
          </cell>
          <cell r="D4543">
            <v>5</v>
          </cell>
          <cell r="E4543">
            <v>87.15</v>
          </cell>
          <cell r="F4543">
            <v>19.695900000000002</v>
          </cell>
        </row>
        <row r="4544">
          <cell r="B4544" t="str">
            <v>70580297</v>
          </cell>
          <cell r="C4544" t="str">
            <v>罗哥 红腰豆 450G</v>
          </cell>
          <cell r="D4544">
            <v>9</v>
          </cell>
          <cell r="E4544">
            <v>148.63</v>
          </cell>
          <cell r="F4544">
            <v>18.6613222222222</v>
          </cell>
        </row>
        <row r="4545">
          <cell r="B4545" t="str">
            <v>70580298</v>
          </cell>
          <cell r="C4545" t="str">
            <v>罗哥 三色糙米 450G</v>
          </cell>
          <cell r="D4545">
            <v>100</v>
          </cell>
          <cell r="E4545">
            <v>1238.53</v>
          </cell>
          <cell r="F4545">
            <v>13.995388999999999</v>
          </cell>
        </row>
        <row r="4546">
          <cell r="B4546" t="str">
            <v>70580300</v>
          </cell>
          <cell r="C4546" t="str">
            <v>玖畝畋 红豆藜麦杂粮粥 600G</v>
          </cell>
          <cell r="D4546">
            <v>7</v>
          </cell>
          <cell r="E4546">
            <v>96.33</v>
          </cell>
          <cell r="F4546">
            <v>15.5504142857143</v>
          </cell>
        </row>
        <row r="4547">
          <cell r="B4547" t="str">
            <v>70580301</v>
          </cell>
          <cell r="C4547" t="str">
            <v>玖畝畋 绿豆藜麦杂粮粥 600G</v>
          </cell>
          <cell r="D4547">
            <v>18</v>
          </cell>
          <cell r="E4547">
            <v>247.71</v>
          </cell>
          <cell r="F4547">
            <v>15.5506833333333</v>
          </cell>
        </row>
        <row r="4548">
          <cell r="B4548" t="str">
            <v>70580305</v>
          </cell>
          <cell r="C4548" t="str">
            <v>天山沐秋 眼肉牛排 3KG</v>
          </cell>
          <cell r="D4548">
            <v>20</v>
          </cell>
          <cell r="E4548">
            <v>5504.6</v>
          </cell>
          <cell r="F4548">
            <v>311.00990000000002</v>
          </cell>
        </row>
        <row r="4549">
          <cell r="B4549" t="str">
            <v>70580318</v>
          </cell>
          <cell r="C4549" t="str">
            <v>独库情 牛肉礼盒提货卡 5KG</v>
          </cell>
          <cell r="D4549">
            <v>1</v>
          </cell>
          <cell r="E4549">
            <v>490</v>
          </cell>
          <cell r="F4549">
            <v>553.70000000000005</v>
          </cell>
        </row>
        <row r="4550">
          <cell r="B4550" t="str">
            <v>70580887</v>
          </cell>
          <cell r="C4550" t="str">
            <v>好客季 好客季玫瑰八宝茶 600G</v>
          </cell>
          <cell r="D4550">
            <v>72</v>
          </cell>
          <cell r="E4550">
            <v>1593.04</v>
          </cell>
          <cell r="F4550">
            <v>25.0018777777778</v>
          </cell>
        </row>
        <row r="4551">
          <cell r="B4551" t="str">
            <v>70580888</v>
          </cell>
          <cell r="C4551" t="str">
            <v>好客季 好客季菊花八宝茶 600G</v>
          </cell>
          <cell r="D4551">
            <v>39</v>
          </cell>
          <cell r="E4551">
            <v>724.87</v>
          </cell>
          <cell r="F4551">
            <v>21.002643589743599</v>
          </cell>
        </row>
        <row r="4552">
          <cell r="B4552" t="str">
            <v>70580889</v>
          </cell>
          <cell r="C4552" t="str">
            <v>好客季 好客季桂花香八宝茶单包 80G</v>
          </cell>
          <cell r="D4552">
            <v>49</v>
          </cell>
          <cell r="E4552">
            <v>272.39</v>
          </cell>
          <cell r="F4552">
            <v>6.2816469387755101</v>
          </cell>
        </row>
        <row r="4553">
          <cell r="B4553" t="str">
            <v>70580890</v>
          </cell>
          <cell r="C4553" t="str">
            <v>好客季 好客季玫瑰香八宝茶单包 80G</v>
          </cell>
          <cell r="D4553">
            <v>42</v>
          </cell>
          <cell r="E4553">
            <v>233.49</v>
          </cell>
          <cell r="F4553">
            <v>6.2819928571428596</v>
          </cell>
        </row>
        <row r="4554">
          <cell r="B4554" t="str">
            <v>70580891</v>
          </cell>
          <cell r="C4554" t="str">
            <v>好客季 好客季八宝茶手提袋 500G</v>
          </cell>
          <cell r="D4554">
            <v>27</v>
          </cell>
          <cell r="E4554">
            <v>1075.24</v>
          </cell>
          <cell r="F4554">
            <v>45.000785185185201</v>
          </cell>
        </row>
        <row r="4555">
          <cell r="B4555" t="str">
            <v>70580938</v>
          </cell>
          <cell r="C4555" t="str">
            <v>无品牌 新鲜鸡蛋12枚 盒</v>
          </cell>
          <cell r="D4555">
            <v>994</v>
          </cell>
          <cell r="E4555">
            <v>15904</v>
          </cell>
          <cell r="F4555">
            <v>18.079999999999998</v>
          </cell>
        </row>
        <row r="4556">
          <cell r="B4556" t="str">
            <v>70580952</v>
          </cell>
          <cell r="C4556" t="str">
            <v>阿科图鲁帕尔 面粉 5KG</v>
          </cell>
          <cell r="D4556">
            <v>0</v>
          </cell>
          <cell r="E4556">
            <v>0</v>
          </cell>
          <cell r="F4556" t="e">
            <v>#DIV/0!</v>
          </cell>
        </row>
        <row r="4557">
          <cell r="B4557" t="str">
            <v>70580966</v>
          </cell>
          <cell r="C4557" t="str">
            <v>无品牌 时令新鲜水果 800G</v>
          </cell>
          <cell r="D4557">
            <v>0</v>
          </cell>
          <cell r="E4557">
            <v>0</v>
          </cell>
          <cell r="F4557" t="e">
            <v>#DIV/0!</v>
          </cell>
        </row>
        <row r="4558">
          <cell r="B4558" t="str">
            <v>70581055</v>
          </cell>
          <cell r="C4558" t="str">
            <v>爱乐百和喜 面粉 10KG</v>
          </cell>
          <cell r="D4558">
            <v>0</v>
          </cell>
          <cell r="E4558">
            <v>0</v>
          </cell>
          <cell r="F4558" t="e">
            <v>#DIV/0!</v>
          </cell>
        </row>
        <row r="4559">
          <cell r="B4559" t="str">
            <v>70581303</v>
          </cell>
          <cell r="C4559" t="str">
            <v>湖南 酱板鸭 个</v>
          </cell>
          <cell r="D4559">
            <v>50</v>
          </cell>
          <cell r="E4559">
            <v>2433.63</v>
          </cell>
          <cell r="F4559">
            <v>55.000038000000004</v>
          </cell>
        </row>
        <row r="4560">
          <cell r="B4560" t="str">
            <v>70581573</v>
          </cell>
          <cell r="C4560" t="str">
            <v>稻香私房 上品粽意粽子礼盒 1.59KG</v>
          </cell>
          <cell r="D4560">
            <v>55</v>
          </cell>
          <cell r="E4560">
            <v>5816.36</v>
          </cell>
          <cell r="F4560">
            <v>119.49975999999999</v>
          </cell>
        </row>
        <row r="4561">
          <cell r="B4561" t="str">
            <v>70582777</v>
          </cell>
          <cell r="C4561" t="str">
            <v>稻香村 端午心意 1.0KG</v>
          </cell>
          <cell r="D4561">
            <v>902</v>
          </cell>
          <cell r="E4561">
            <v>38652.03</v>
          </cell>
          <cell r="F4561">
            <v>48.422166186252802</v>
          </cell>
        </row>
        <row r="4562">
          <cell r="B4562" t="str">
            <v>70582898</v>
          </cell>
          <cell r="C4562" t="str">
            <v>海德坤 无花果桂花茶 50G</v>
          </cell>
          <cell r="D4562">
            <v>14</v>
          </cell>
          <cell r="E4562">
            <v>198.24</v>
          </cell>
          <cell r="F4562">
            <v>16.000800000000002</v>
          </cell>
        </row>
        <row r="4563">
          <cell r="B4563" t="str">
            <v>70582900</v>
          </cell>
          <cell r="C4563" t="str">
            <v>海德坤 无花果玫瑰茶 50G</v>
          </cell>
          <cell r="D4563">
            <v>34</v>
          </cell>
          <cell r="E4563">
            <v>481.44</v>
          </cell>
          <cell r="F4563">
            <v>16.000800000000002</v>
          </cell>
        </row>
        <row r="4564">
          <cell r="B4564" t="str">
            <v>70583031</v>
          </cell>
          <cell r="C4564" t="str">
            <v>海德坤 无花果茉莉茶 60G</v>
          </cell>
          <cell r="D4564">
            <v>10</v>
          </cell>
          <cell r="E4564">
            <v>141.61000000000001</v>
          </cell>
          <cell r="F4564">
            <v>16.001930000000002</v>
          </cell>
        </row>
        <row r="4565">
          <cell r="B4565" t="str">
            <v>70583032</v>
          </cell>
          <cell r="C4565" t="str">
            <v>海德坤 无花果果片茶 50G</v>
          </cell>
          <cell r="D4565">
            <v>3</v>
          </cell>
          <cell r="E4565">
            <v>42.48</v>
          </cell>
          <cell r="F4565">
            <v>16.000800000000002</v>
          </cell>
        </row>
        <row r="4566">
          <cell r="B4566" t="str">
            <v>70583033</v>
          </cell>
          <cell r="C4566" t="str">
            <v>海德坤 无花果酱 200G</v>
          </cell>
          <cell r="D4566">
            <v>6</v>
          </cell>
          <cell r="E4566">
            <v>63.72</v>
          </cell>
          <cell r="F4566">
            <v>12.0006</v>
          </cell>
        </row>
        <row r="4567">
          <cell r="B4567" t="str">
            <v>70583138</v>
          </cell>
          <cell r="C4567" t="str">
            <v>顶祺 绿豆糕 400G</v>
          </cell>
          <cell r="D4567">
            <v>0</v>
          </cell>
          <cell r="E4567">
            <v>0</v>
          </cell>
          <cell r="F4567" t="e">
            <v>#DIV/0!</v>
          </cell>
        </row>
        <row r="4568">
          <cell r="B4568" t="str">
            <v>70583139</v>
          </cell>
          <cell r="C4568" t="str">
            <v>顶祺 一见粽情礼盒 1.08KG</v>
          </cell>
          <cell r="D4568">
            <v>0</v>
          </cell>
          <cell r="E4568">
            <v>0</v>
          </cell>
          <cell r="F4568" t="e">
            <v>#DIV/0!</v>
          </cell>
        </row>
        <row r="4569">
          <cell r="B4569" t="str">
            <v>70583141</v>
          </cell>
          <cell r="C4569" t="str">
            <v>乾清门 粽意 1.46KG</v>
          </cell>
          <cell r="D4569">
            <v>19</v>
          </cell>
          <cell r="E4569">
            <v>2009.29</v>
          </cell>
          <cell r="F4569">
            <v>119.499878947368</v>
          </cell>
        </row>
        <row r="4570">
          <cell r="B4570" t="str">
            <v>70583232</v>
          </cell>
          <cell r="C4570" t="str">
            <v>锋味 缤纷粽子礼盒 0.8KG</v>
          </cell>
          <cell r="D4570">
            <v>0</v>
          </cell>
          <cell r="E4570">
            <v>0</v>
          </cell>
          <cell r="F4570" t="e">
            <v>#DIV/0!</v>
          </cell>
        </row>
        <row r="4571">
          <cell r="B4571" t="str">
            <v>70584522</v>
          </cell>
          <cell r="C4571" t="str">
            <v>广佑祥 御品享粽（2025新） 1080G</v>
          </cell>
          <cell r="D4571">
            <v>44</v>
          </cell>
          <cell r="E4571">
            <v>1830.09</v>
          </cell>
          <cell r="F4571">
            <v>47.000038636363598</v>
          </cell>
        </row>
        <row r="4572">
          <cell r="B4572" t="str">
            <v>70584535</v>
          </cell>
          <cell r="C4572" t="str">
            <v>广佑祥 端阳臻品 1760G</v>
          </cell>
          <cell r="D4572">
            <v>13</v>
          </cell>
          <cell r="E4572">
            <v>1184.96</v>
          </cell>
          <cell r="F4572">
            <v>103.000369230769</v>
          </cell>
        </row>
        <row r="4573">
          <cell r="B4573" t="str">
            <v>70586126</v>
          </cell>
          <cell r="C4573" t="str">
            <v>MM 高汤黑松露云腿粽 660G</v>
          </cell>
          <cell r="D4573">
            <v>4</v>
          </cell>
          <cell r="E4573">
            <v>239.6</v>
          </cell>
          <cell r="F4573">
            <v>67.686999999999998</v>
          </cell>
        </row>
        <row r="4574">
          <cell r="B4574" t="str">
            <v>70586144</v>
          </cell>
          <cell r="C4574" t="str">
            <v>MM 三味经典粽子礼盒 1.2KG</v>
          </cell>
          <cell r="D4574">
            <v>1</v>
          </cell>
          <cell r="E4574">
            <v>69.900000000000006</v>
          </cell>
          <cell r="F4574">
            <v>78.986999999999995</v>
          </cell>
        </row>
        <row r="4575">
          <cell r="B4575" t="str">
            <v>70586147</v>
          </cell>
          <cell r="C4575" t="str">
            <v>葡萄树 可爱的一朵玫瑰花粽子 350G</v>
          </cell>
          <cell r="D4575">
            <v>6</v>
          </cell>
          <cell r="E4575">
            <v>431.58</v>
          </cell>
          <cell r="F4575">
            <v>81.280900000000003</v>
          </cell>
        </row>
        <row r="4576">
          <cell r="B4576" t="str">
            <v>70586613</v>
          </cell>
          <cell r="C4576" t="str">
            <v>溢田12日 果蔬杂粮 75G*12</v>
          </cell>
          <cell r="D4576">
            <v>183</v>
          </cell>
          <cell r="E4576">
            <v>3475.4</v>
          </cell>
          <cell r="F4576">
            <v>21.460120218579199</v>
          </cell>
        </row>
        <row r="4577">
          <cell r="B4577" t="str">
            <v>70587053</v>
          </cell>
          <cell r="C4577" t="str">
            <v>稻香村 大黄米粽 1800G</v>
          </cell>
          <cell r="D4577">
            <v>15</v>
          </cell>
          <cell r="E4577">
            <v>796.46</v>
          </cell>
          <cell r="F4577">
            <v>59.9999866666667</v>
          </cell>
        </row>
        <row r="4578">
          <cell r="B4578" t="str">
            <v>70589962</v>
          </cell>
          <cell r="C4578" t="str">
            <v>金丝燕 生椰藜麦燕窝粥 252G（精装版）</v>
          </cell>
          <cell r="D4578">
            <v>23</v>
          </cell>
          <cell r="E4578">
            <v>197.51</v>
          </cell>
          <cell r="F4578">
            <v>9.7037521739130401</v>
          </cell>
        </row>
        <row r="4579">
          <cell r="B4579" t="str">
            <v>70593571</v>
          </cell>
          <cell r="C4579" t="str">
            <v>龙大 小榨原香菜籽油 5L</v>
          </cell>
          <cell r="D4579">
            <v>3</v>
          </cell>
          <cell r="E4579">
            <v>344.04</v>
          </cell>
          <cell r="F4579">
            <v>129.58840000000001</v>
          </cell>
        </row>
        <row r="4580">
          <cell r="B4580" t="str">
            <v>70593624</v>
          </cell>
          <cell r="C4580" t="str">
            <v>龙大 橄榄油 750ML</v>
          </cell>
          <cell r="D4580">
            <v>10</v>
          </cell>
          <cell r="E4580">
            <v>2192.6799999999998</v>
          </cell>
          <cell r="F4580">
            <v>247.77284</v>
          </cell>
        </row>
        <row r="4581">
          <cell r="B4581" t="str">
            <v>70593817</v>
          </cell>
          <cell r="C4581" t="str">
            <v>美嘟嘟 黑猪午餐肉原味PET盒装版 280G</v>
          </cell>
          <cell r="D4581">
            <v>9</v>
          </cell>
          <cell r="E4581">
            <v>215.06</v>
          </cell>
          <cell r="F4581">
            <v>27.0019777777778</v>
          </cell>
        </row>
        <row r="4582">
          <cell r="B4582" t="str">
            <v>70608780</v>
          </cell>
          <cell r="C4582" t="str">
            <v>北显 有机小米礼盒 4.05KG*1盒</v>
          </cell>
          <cell r="D4582">
            <v>13</v>
          </cell>
          <cell r="E4582">
            <v>557.70000000000005</v>
          </cell>
          <cell r="F4582">
            <v>48.476999999999997</v>
          </cell>
        </row>
        <row r="4583">
          <cell r="B4583" t="str">
            <v>70614260</v>
          </cell>
          <cell r="C4583" t="str">
            <v>岳农花 森林白玉木耳 200G</v>
          </cell>
          <cell r="D4583">
            <v>15</v>
          </cell>
          <cell r="E4583">
            <v>897</v>
          </cell>
          <cell r="F4583">
            <v>67.573999999999998</v>
          </cell>
        </row>
        <row r="4584">
          <cell r="B4584" t="str">
            <v>70623179</v>
          </cell>
          <cell r="C4584" t="str">
            <v>金唐 有机竹荪 20G</v>
          </cell>
          <cell r="D4584">
            <v>13</v>
          </cell>
          <cell r="E4584">
            <v>907.4</v>
          </cell>
          <cell r="F4584">
            <v>78.873999999999995</v>
          </cell>
        </row>
        <row r="4585">
          <cell r="B4585" t="str">
            <v>70623189</v>
          </cell>
          <cell r="C4585" t="str">
            <v>金唐 有机蛹虫草 200G</v>
          </cell>
          <cell r="D4585">
            <v>25</v>
          </cell>
          <cell r="E4585">
            <v>1172.5</v>
          </cell>
          <cell r="F4585">
            <v>52.997</v>
          </cell>
        </row>
        <row r="4586">
          <cell r="B4586" t="str">
            <v>70633634</v>
          </cell>
          <cell r="C4586" t="str">
            <v>ONLYTREE  奇亚籽牛乳即食燕麦片  245G*2袋</v>
          </cell>
          <cell r="D4586">
            <v>23</v>
          </cell>
          <cell r="E4586">
            <v>1607.7</v>
          </cell>
          <cell r="F4586">
            <v>78.986999999999995</v>
          </cell>
        </row>
        <row r="4587">
          <cell r="B4587" t="str">
            <v>70635997</v>
          </cell>
          <cell r="C4587" t="str">
            <v>嗑小熊  澳洲安格斯牛排脆100G3香辣味  1份</v>
          </cell>
          <cell r="D4587">
            <v>12</v>
          </cell>
          <cell r="E4587">
            <v>1198.8</v>
          </cell>
          <cell r="F4587">
            <v>112.887</v>
          </cell>
        </row>
        <row r="4588">
          <cell r="B4588" t="str">
            <v>70639676</v>
          </cell>
          <cell r="C4588" t="str">
            <v>禾瑞来黑木耳干货250G</v>
          </cell>
          <cell r="D4588">
            <v>10</v>
          </cell>
          <cell r="E4588">
            <v>599</v>
          </cell>
          <cell r="F4588">
            <v>67.686999999999998</v>
          </cell>
        </row>
        <row r="4589">
          <cell r="B4589" t="str">
            <v>70640170</v>
          </cell>
          <cell r="C4589" t="str">
            <v>方脸男神 榛子黑巧烘焙麦片 300G</v>
          </cell>
          <cell r="D4589">
            <v>2</v>
          </cell>
          <cell r="E4589">
            <v>54.87</v>
          </cell>
          <cell r="F4589">
            <v>31.001550000000002</v>
          </cell>
        </row>
        <row r="4590">
          <cell r="B4590" t="str">
            <v>70640180</v>
          </cell>
          <cell r="C4590" t="str">
            <v>方脸男神 巧遇莓莓烘焙麦片 300G</v>
          </cell>
          <cell r="D4590">
            <v>3</v>
          </cell>
          <cell r="E4590">
            <v>66.37</v>
          </cell>
          <cell r="F4590">
            <v>24.999366666666699</v>
          </cell>
        </row>
        <row r="4591">
          <cell r="B4591" t="str">
            <v>70640182</v>
          </cell>
          <cell r="C4591" t="str">
            <v>吉香居 夹馍酱 240G</v>
          </cell>
          <cell r="D4591">
            <v>15</v>
          </cell>
          <cell r="E4591">
            <v>116.85</v>
          </cell>
          <cell r="F4591">
            <v>8.8026999999999997</v>
          </cell>
        </row>
        <row r="4592">
          <cell r="B4592" t="str">
            <v>70640190</v>
          </cell>
          <cell r="C4592" t="str">
            <v>方脸男神 坚果多多烘焙麦片 300G</v>
          </cell>
          <cell r="D4592">
            <v>6</v>
          </cell>
          <cell r="E4592">
            <v>132.75</v>
          </cell>
          <cell r="F4592">
            <v>25.001249999999999</v>
          </cell>
        </row>
        <row r="4593">
          <cell r="B4593" t="str">
            <v>70640195</v>
          </cell>
          <cell r="C4593" t="str">
            <v>林家铺子 吃糖自由桔子 312G</v>
          </cell>
          <cell r="D4593">
            <v>15</v>
          </cell>
          <cell r="E4593">
            <v>88.95</v>
          </cell>
          <cell r="F4593">
            <v>6.7008999999999999</v>
          </cell>
        </row>
        <row r="4594">
          <cell r="B4594" t="str">
            <v>70640304</v>
          </cell>
          <cell r="C4594" t="str">
            <v>麻六记 下饭辣酱(香菇牛肉 ) 200G</v>
          </cell>
          <cell r="D4594">
            <v>13</v>
          </cell>
          <cell r="E4594">
            <v>156.5</v>
          </cell>
          <cell r="F4594">
            <v>13.603461538461501</v>
          </cell>
        </row>
        <row r="4595">
          <cell r="B4595" t="str">
            <v>70640305</v>
          </cell>
          <cell r="C4595" t="str">
            <v>麻六记 火锅底料(盒) 320G</v>
          </cell>
          <cell r="D4595">
            <v>14</v>
          </cell>
          <cell r="E4595">
            <v>254.02</v>
          </cell>
          <cell r="F4595">
            <v>20.503042857142901</v>
          </cell>
        </row>
        <row r="4596">
          <cell r="B4596" t="str">
            <v>70640375</v>
          </cell>
          <cell r="C4596" t="str">
            <v>派刻 水果披萨(9) 350G</v>
          </cell>
          <cell r="D4596">
            <v>3</v>
          </cell>
          <cell r="E4596">
            <v>53.52</v>
          </cell>
          <cell r="F4596">
            <v>20.159199999999998</v>
          </cell>
        </row>
        <row r="4597">
          <cell r="B4597" t="str">
            <v>70640376</v>
          </cell>
          <cell r="C4597" t="str">
            <v>派刻 黑椒牛肉披萨(9) 350G</v>
          </cell>
          <cell r="D4597">
            <v>6</v>
          </cell>
          <cell r="E4597">
            <v>107.05</v>
          </cell>
          <cell r="F4597">
            <v>20.161083333333298</v>
          </cell>
        </row>
        <row r="4598">
          <cell r="B4598" t="str">
            <v>70640418</v>
          </cell>
          <cell r="C4598" t="str">
            <v>牧民人家 新疆茶乳原味 400G</v>
          </cell>
          <cell r="D4598">
            <v>9</v>
          </cell>
          <cell r="E4598">
            <v>199.16</v>
          </cell>
          <cell r="F4598">
            <v>25.0056444444444</v>
          </cell>
        </row>
        <row r="4599">
          <cell r="B4599" t="str">
            <v>70640419</v>
          </cell>
          <cell r="C4599" t="str">
            <v>牧民人家 新疆茶乳咸味 400G</v>
          </cell>
          <cell r="D4599">
            <v>3</v>
          </cell>
          <cell r="E4599">
            <v>66.39</v>
          </cell>
          <cell r="F4599">
            <v>25.006900000000002</v>
          </cell>
        </row>
        <row r="4600">
          <cell r="B4600" t="str">
            <v>70640420</v>
          </cell>
          <cell r="C4600" t="str">
            <v>牧民人家 新疆骆驼茶乳原味 400G</v>
          </cell>
          <cell r="D4600">
            <v>5</v>
          </cell>
          <cell r="E4600">
            <v>110.62</v>
          </cell>
          <cell r="F4600">
            <v>25.000119999999999</v>
          </cell>
        </row>
        <row r="4601">
          <cell r="B4601" t="str">
            <v>70640421</v>
          </cell>
          <cell r="C4601" t="str">
            <v>牧民人家 新疆骆驼茶乳咸味 400G</v>
          </cell>
          <cell r="D4601">
            <v>3</v>
          </cell>
          <cell r="E4601">
            <v>66.38</v>
          </cell>
          <cell r="F4601">
            <v>25.003133333333299</v>
          </cell>
        </row>
        <row r="4602">
          <cell r="B4602" t="str">
            <v>70640441</v>
          </cell>
          <cell r="C4602" t="str">
            <v>海底捞 精品牛肉下饭酱 200G</v>
          </cell>
          <cell r="D4602">
            <v>11</v>
          </cell>
          <cell r="E4602">
            <v>146.02000000000001</v>
          </cell>
          <cell r="F4602">
            <v>15.0002363636364</v>
          </cell>
        </row>
        <row r="4603">
          <cell r="B4603" t="str">
            <v>70640589</v>
          </cell>
          <cell r="C4603" t="str">
            <v>派刻 鸡肉披萨(9) 350G</v>
          </cell>
          <cell r="D4603">
            <v>6</v>
          </cell>
          <cell r="E4603">
            <v>107.05</v>
          </cell>
          <cell r="F4603">
            <v>20.161083333333298</v>
          </cell>
        </row>
        <row r="4604">
          <cell r="B4604" t="str">
            <v>70643678</v>
          </cell>
          <cell r="C4604" t="str">
            <v>仓麦园 精制粉 10KG</v>
          </cell>
          <cell r="D4604">
            <v>85</v>
          </cell>
          <cell r="E4604">
            <v>3002.51</v>
          </cell>
          <cell r="F4604">
            <v>39.915721176470598</v>
          </cell>
        </row>
        <row r="4605">
          <cell r="B4605" t="str">
            <v>70646413</v>
          </cell>
          <cell r="C4605" t="str">
            <v>五谷磨房 元气归葚粥 960G</v>
          </cell>
          <cell r="D4605">
            <v>8</v>
          </cell>
          <cell r="E4605">
            <v>719.2</v>
          </cell>
          <cell r="F4605">
            <v>101.587</v>
          </cell>
        </row>
        <row r="4606">
          <cell r="B4606" t="str">
            <v>70646720</v>
          </cell>
          <cell r="C4606" t="str">
            <v>乾清门 新疆味道-坚果蛋糕月饼 300克</v>
          </cell>
          <cell r="D4606">
            <v>4</v>
          </cell>
          <cell r="E4606">
            <v>30.98</v>
          </cell>
          <cell r="F4606">
            <v>8.7518499999999992</v>
          </cell>
        </row>
        <row r="4607">
          <cell r="B4607" t="str">
            <v>70646724</v>
          </cell>
          <cell r="C4607" t="str">
            <v>禧凤楼  心意礼 960G*6</v>
          </cell>
          <cell r="D4607">
            <v>6</v>
          </cell>
          <cell r="E4607">
            <v>318.58999999999997</v>
          </cell>
          <cell r="F4607">
            <v>60.001116666666697</v>
          </cell>
        </row>
        <row r="4608">
          <cell r="B4608" t="str">
            <v>70647044</v>
          </cell>
          <cell r="C4608" t="str">
            <v>疆昆  葵花籽油 5L</v>
          </cell>
          <cell r="D4608">
            <v>3043</v>
          </cell>
          <cell r="E4608">
            <v>308619.75</v>
          </cell>
          <cell r="F4608">
            <v>114.60411353927</v>
          </cell>
        </row>
        <row r="4609">
          <cell r="B4609" t="str">
            <v>70647045</v>
          </cell>
          <cell r="C4609" t="str">
            <v>疆昆 新疆有机面粉 5KG</v>
          </cell>
          <cell r="D4609">
            <v>12839</v>
          </cell>
          <cell r="E4609">
            <v>805175.95</v>
          </cell>
          <cell r="F4609">
            <v>70.866019432977595</v>
          </cell>
        </row>
        <row r="4610">
          <cell r="B4610" t="str">
            <v>70647046</v>
          </cell>
          <cell r="C4610" t="str">
            <v>疆昆 蟹田生态米 5KG</v>
          </cell>
          <cell r="D4610">
            <v>3466</v>
          </cell>
          <cell r="E4610">
            <v>231474.4</v>
          </cell>
          <cell r="F4610">
            <v>75.466264281592601</v>
          </cell>
        </row>
        <row r="4611">
          <cell r="B4611" t="str">
            <v>70647047</v>
          </cell>
          <cell r="C4611" t="str">
            <v>疆昆 新疆雪花粉 5KG</v>
          </cell>
          <cell r="D4611">
            <v>1877</v>
          </cell>
          <cell r="E4611">
            <v>83119.460000000006</v>
          </cell>
          <cell r="F4611">
            <v>50.039951944592403</v>
          </cell>
        </row>
        <row r="4612">
          <cell r="B4612" t="str">
            <v>70647785</v>
          </cell>
          <cell r="C4612" t="str">
            <v>乾清门 新疆味道-酸奶葡萄月饼 300克</v>
          </cell>
          <cell r="D4612">
            <v>1</v>
          </cell>
          <cell r="E4612">
            <v>10.33</v>
          </cell>
          <cell r="F4612">
            <v>11.6729</v>
          </cell>
        </row>
        <row r="4613">
          <cell r="B4613" t="str">
            <v>70655181</v>
          </cell>
          <cell r="C4613" t="str">
            <v>香满园 调和油 20L</v>
          </cell>
          <cell r="D4613">
            <v>5</v>
          </cell>
          <cell r="E4613">
            <v>752.29</v>
          </cell>
          <cell r="F4613">
            <v>170.01754</v>
          </cell>
        </row>
        <row r="4614">
          <cell r="B4614" t="str">
            <v>70656362</v>
          </cell>
          <cell r="C4614" t="str">
            <v>川南 牛肉末油辣子 208g</v>
          </cell>
          <cell r="D4614">
            <v>38</v>
          </cell>
          <cell r="E4614">
            <v>448.61</v>
          </cell>
          <cell r="F4614">
            <v>13.3402447368421</v>
          </cell>
        </row>
        <row r="4615">
          <cell r="B4615" t="str">
            <v>70656778</v>
          </cell>
          <cell r="C4615" t="str">
            <v>川南 五仁油辣子 235g</v>
          </cell>
          <cell r="D4615">
            <v>57</v>
          </cell>
          <cell r="E4615">
            <v>683.49</v>
          </cell>
          <cell r="F4615">
            <v>13.5498894736842</v>
          </cell>
        </row>
        <row r="4616">
          <cell r="B4616" t="str">
            <v>70656909</v>
          </cell>
          <cell r="C4616" t="str">
            <v>李锦记 锦鲜精制料酒 500ml</v>
          </cell>
          <cell r="D4616">
            <v>113</v>
          </cell>
          <cell r="E4616">
            <v>601.63</v>
          </cell>
          <cell r="F4616">
            <v>6.0163000000000002</v>
          </cell>
        </row>
        <row r="4617">
          <cell r="B4617" t="str">
            <v>70656915</v>
          </cell>
          <cell r="C4617" t="str">
            <v>李锦记 薄盐蚝油挤挤装 540g</v>
          </cell>
          <cell r="D4617">
            <v>42</v>
          </cell>
          <cell r="E4617">
            <v>431.92</v>
          </cell>
          <cell r="F4617">
            <v>11.620704761904801</v>
          </cell>
        </row>
        <row r="4618">
          <cell r="B4618" t="str">
            <v>70656946</v>
          </cell>
          <cell r="C4618" t="str">
            <v>李锦记 葱姜料酒 500ml</v>
          </cell>
          <cell r="D4618">
            <v>196</v>
          </cell>
          <cell r="E4618">
            <v>1298.6400000000001</v>
          </cell>
          <cell r="F4618">
            <v>7.4870571428571404</v>
          </cell>
        </row>
        <row r="4619">
          <cell r="B4619" t="str">
            <v>70658100</v>
          </cell>
          <cell r="C4619" t="str">
            <v>李锦记 薄盐白灼汁 410ML</v>
          </cell>
          <cell r="D4619">
            <v>54</v>
          </cell>
          <cell r="E4619">
            <v>526.16</v>
          </cell>
          <cell r="F4619">
            <v>11.0103851851852</v>
          </cell>
        </row>
        <row r="4620">
          <cell r="B4620" t="str">
            <v>70659078</v>
          </cell>
          <cell r="C4620" t="str">
            <v>OLÉ ORIGINAL 有机鹿茸菇 100G</v>
          </cell>
          <cell r="D4620">
            <v>15</v>
          </cell>
          <cell r="E4620">
            <v>748.5</v>
          </cell>
          <cell r="F4620">
            <v>56.387</v>
          </cell>
        </row>
        <row r="4621">
          <cell r="B4621" t="str">
            <v>70659476</v>
          </cell>
          <cell r="C4621" t="str">
            <v>优斯麦尔 葡萄干集锦礼盒 966G</v>
          </cell>
          <cell r="D4621">
            <v>615</v>
          </cell>
          <cell r="E4621">
            <v>34849.11</v>
          </cell>
          <cell r="F4621">
            <v>64.031698048780498</v>
          </cell>
        </row>
        <row r="4622">
          <cell r="B4622" t="str">
            <v>70659479</v>
          </cell>
          <cell r="C4622" t="str">
            <v>优斯麦尔 臻爱坚果礼盒 1276G</v>
          </cell>
          <cell r="D4622">
            <v>495</v>
          </cell>
          <cell r="E4622">
            <v>47328.14</v>
          </cell>
          <cell r="F4622">
            <v>108.04201656565699</v>
          </cell>
        </row>
        <row r="4623">
          <cell r="B4623" t="str">
            <v>70660099</v>
          </cell>
          <cell r="C4623" t="str">
            <v>优斯麦尔 疆爱坚果礼盒 936G</v>
          </cell>
          <cell r="D4623">
            <v>622</v>
          </cell>
          <cell r="E4623">
            <v>39927.15</v>
          </cell>
          <cell r="F4623">
            <v>72.536462218649504</v>
          </cell>
        </row>
        <row r="4624">
          <cell r="B4624" t="str">
            <v>70660100</v>
          </cell>
          <cell r="C4624" t="str">
            <v>优斯麦尔 红枣博物馆礼盒 826G</v>
          </cell>
          <cell r="D4624">
            <v>598</v>
          </cell>
          <cell r="E4624">
            <v>34412.769999999997</v>
          </cell>
          <cell r="F4624">
            <v>65.027475083612003</v>
          </cell>
        </row>
        <row r="4625">
          <cell r="B4625" t="str">
            <v>70660661</v>
          </cell>
          <cell r="C4625" t="str">
            <v>国联 龙霸板冻调味针挑肠生虾仁26-30 650G</v>
          </cell>
          <cell r="D4625">
            <v>21</v>
          </cell>
          <cell r="E4625">
            <v>1637.63</v>
          </cell>
          <cell r="F4625">
            <v>88.120090476190498</v>
          </cell>
        </row>
        <row r="4626">
          <cell r="B4626" t="str">
            <v>70661983</v>
          </cell>
          <cell r="C4626" t="str">
            <v>金龙鱼 新疆面粉特制一等小麦粉 10KG</v>
          </cell>
          <cell r="D4626">
            <v>0</v>
          </cell>
          <cell r="E4626">
            <v>0</v>
          </cell>
          <cell r="F4626" t="e">
            <v>#DIV/0!</v>
          </cell>
        </row>
        <row r="4627">
          <cell r="B4627" t="str">
            <v>70661984</v>
          </cell>
          <cell r="C4627" t="str">
            <v>金龙鱼 新疆面粉特制一等小麦粉 5KG</v>
          </cell>
          <cell r="D4627">
            <v>33</v>
          </cell>
          <cell r="E4627">
            <v>696.35</v>
          </cell>
          <cell r="F4627">
            <v>23.844712121212101</v>
          </cell>
        </row>
        <row r="4628">
          <cell r="B4628" t="str">
            <v>70665068</v>
          </cell>
          <cell r="C4628" t="str">
            <v>金龙鱼 新疆面粉特制一等小麦粉 25KG</v>
          </cell>
          <cell r="D4628">
            <v>17</v>
          </cell>
          <cell r="E4628">
            <v>1512.84</v>
          </cell>
          <cell r="F4628">
            <v>100.559364705882</v>
          </cell>
        </row>
        <row r="4629">
          <cell r="B4629" t="str">
            <v>70673866</v>
          </cell>
          <cell r="C4629" t="str">
            <v>优斯麦尔 阿克苏冰糖心苹果 12枚</v>
          </cell>
          <cell r="D4629">
            <v>17</v>
          </cell>
          <cell r="E4629">
            <v>806.65</v>
          </cell>
          <cell r="F4629">
            <v>53.618499999999997</v>
          </cell>
        </row>
        <row r="4630">
          <cell r="B4630" t="str">
            <v>70673914</v>
          </cell>
          <cell r="C4630" t="str">
            <v>优斯麦尔 阿克苏冰糖心苹果 4KG</v>
          </cell>
          <cell r="D4630">
            <v>48</v>
          </cell>
          <cell r="E4630">
            <v>2567.84</v>
          </cell>
          <cell r="F4630">
            <v>60.451233333333299</v>
          </cell>
        </row>
        <row r="4631">
          <cell r="B4631" t="str">
            <v>70673915</v>
          </cell>
          <cell r="C4631" t="str">
            <v>优斯麦尔 阿克苏冰糖心苹果 9枚</v>
          </cell>
          <cell r="D4631">
            <v>15</v>
          </cell>
          <cell r="E4631">
            <v>777.28</v>
          </cell>
          <cell r="F4631">
            <v>58.555093333333303</v>
          </cell>
        </row>
        <row r="4632">
          <cell r="B4632" t="str">
            <v>70674287</v>
          </cell>
          <cell r="C4632" t="str">
            <v>新疆销售 粮油礼包A 箱</v>
          </cell>
          <cell r="D4632">
            <v>4709</v>
          </cell>
          <cell r="E4632">
            <v>343260.31</v>
          </cell>
          <cell r="F4632">
            <v>82.370811276279497</v>
          </cell>
        </row>
        <row r="4633">
          <cell r="B4633" t="str">
            <v>70674519</v>
          </cell>
          <cell r="C4633" t="str">
            <v>DL 草莓水果燕麦脆 320G</v>
          </cell>
          <cell r="D4633">
            <v>7</v>
          </cell>
          <cell r="E4633">
            <v>158.22999999999999</v>
          </cell>
          <cell r="F4633">
            <v>25.542842857142901</v>
          </cell>
        </row>
        <row r="4634">
          <cell r="B4634" t="str">
            <v>70680343</v>
          </cell>
          <cell r="C4634" t="str">
            <v>潭牛 冰冻110天椰子鸡1-2人份礼盒装 1.23KG</v>
          </cell>
          <cell r="D4634">
            <v>3</v>
          </cell>
          <cell r="E4634">
            <v>183.31</v>
          </cell>
          <cell r="F4634">
            <v>69.046766666666699</v>
          </cell>
        </row>
        <row r="4635">
          <cell r="B4635" t="str">
            <v>70680827</v>
          </cell>
          <cell r="C4635" t="str">
            <v>潭牛 冰冻110天整只无抗鸡真空包装彩袋 1KG</v>
          </cell>
          <cell r="D4635">
            <v>2</v>
          </cell>
          <cell r="E4635">
            <v>155.6</v>
          </cell>
          <cell r="F4635">
            <v>87.914000000000001</v>
          </cell>
        </row>
        <row r="4636">
          <cell r="B4636" t="str">
            <v>70680829</v>
          </cell>
          <cell r="C4636" t="str">
            <v>潭牛 冰冻110天椰子鸡3-4人份礼盒装 2.28KG</v>
          </cell>
          <cell r="D4636">
            <v>6</v>
          </cell>
          <cell r="E4636">
            <v>592.32000000000005</v>
          </cell>
          <cell r="F4636">
            <v>111.5536</v>
          </cell>
        </row>
        <row r="4637">
          <cell r="B4637" t="str">
            <v>70681299</v>
          </cell>
          <cell r="C4637" t="str">
            <v>MM 元气归葚粥 38×32G</v>
          </cell>
          <cell r="D4637">
            <v>15</v>
          </cell>
          <cell r="E4637">
            <v>1348.5</v>
          </cell>
          <cell r="F4637">
            <v>101.587</v>
          </cell>
        </row>
        <row r="4638">
          <cell r="B4638" t="str">
            <v>70681300</v>
          </cell>
          <cell r="C4638" t="str">
            <v>MM 有机小米 1×2.3KG</v>
          </cell>
          <cell r="D4638">
            <v>16</v>
          </cell>
          <cell r="E4638">
            <v>762.7</v>
          </cell>
          <cell r="F4638">
            <v>53.8656875</v>
          </cell>
        </row>
        <row r="4639">
          <cell r="B4639" t="str">
            <v>70681302</v>
          </cell>
          <cell r="C4639" t="str">
            <v>MM 精选有机白玉木耳 1X300G</v>
          </cell>
          <cell r="D4639">
            <v>34</v>
          </cell>
          <cell r="E4639">
            <v>1676.48</v>
          </cell>
          <cell r="F4639">
            <v>55.718305882352901</v>
          </cell>
        </row>
        <row r="4640">
          <cell r="B4640" t="str">
            <v>70681996</v>
          </cell>
          <cell r="C4640" t="str">
            <v>MM 吉元有机东北小秋耳(黑木耳） 360G</v>
          </cell>
          <cell r="D4640">
            <v>16</v>
          </cell>
          <cell r="E4640">
            <v>1117.6500000000001</v>
          </cell>
          <cell r="F4640">
            <v>78.934031250000004</v>
          </cell>
        </row>
        <row r="4641">
          <cell r="B4641" t="str">
            <v>70682554</v>
          </cell>
          <cell r="C4641" t="str">
            <v>石杞河 锁鲜枸杞 21G*12</v>
          </cell>
          <cell r="D4641">
            <v>2</v>
          </cell>
          <cell r="E4641">
            <v>403.67</v>
          </cell>
          <cell r="F4641">
            <v>228.07355000000001</v>
          </cell>
        </row>
        <row r="4642">
          <cell r="B4642" t="str">
            <v>70682555</v>
          </cell>
          <cell r="C4642" t="str">
            <v>石杞河 烘干枸杞干果 520G</v>
          </cell>
          <cell r="D4642">
            <v>14</v>
          </cell>
          <cell r="E4642">
            <v>513.79</v>
          </cell>
          <cell r="F4642">
            <v>41.470192857142898</v>
          </cell>
        </row>
        <row r="4643">
          <cell r="B4643" t="str">
            <v>70682556</v>
          </cell>
          <cell r="C4643" t="str">
            <v>石杞河 锁鲜枸杞 80G</v>
          </cell>
          <cell r="D4643">
            <v>11</v>
          </cell>
          <cell r="E4643">
            <v>403.7</v>
          </cell>
          <cell r="F4643">
            <v>41.470999999999997</v>
          </cell>
        </row>
        <row r="4644">
          <cell r="B4644" t="str">
            <v>70682557</v>
          </cell>
          <cell r="C4644" t="str">
            <v>石杞河 锁鲜枸杞 15G</v>
          </cell>
          <cell r="D4644">
            <v>23</v>
          </cell>
          <cell r="E4644">
            <v>422.04</v>
          </cell>
          <cell r="F4644">
            <v>20.735008695652201</v>
          </cell>
        </row>
        <row r="4645">
          <cell r="B4645" t="str">
            <v>70682559</v>
          </cell>
          <cell r="C4645" t="str">
            <v>石杞河 枸杞原浆 30ML</v>
          </cell>
          <cell r="D4645">
            <v>7</v>
          </cell>
          <cell r="E4645">
            <v>105.33</v>
          </cell>
          <cell r="F4645">
            <v>17.003271428571399</v>
          </cell>
        </row>
        <row r="4646">
          <cell r="B4646" t="str">
            <v>70682560</v>
          </cell>
          <cell r="C4646" t="str">
            <v>石杞河 锁鲜枸杞 10G</v>
          </cell>
          <cell r="D4646">
            <v>12</v>
          </cell>
          <cell r="E4646">
            <v>473.4</v>
          </cell>
          <cell r="F4646">
            <v>44.578499999999998</v>
          </cell>
        </row>
        <row r="4647">
          <cell r="B4647" t="str">
            <v>70682561</v>
          </cell>
          <cell r="C4647" t="str">
            <v>石杞河 烘干枸杞干果 125G</v>
          </cell>
          <cell r="D4647">
            <v>52</v>
          </cell>
          <cell r="E4647">
            <v>620.27</v>
          </cell>
          <cell r="F4647">
            <v>13.4789442307692</v>
          </cell>
        </row>
        <row r="4648">
          <cell r="B4648" t="str">
            <v>70686387</v>
          </cell>
          <cell r="C4648" t="str">
            <v>侯小皮 虎坚果蓝莓粉 180G</v>
          </cell>
          <cell r="D4648">
            <v>20</v>
          </cell>
          <cell r="E4648">
            <v>433.64</v>
          </cell>
          <cell r="F4648">
            <v>24.50066</v>
          </cell>
        </row>
        <row r="4649">
          <cell r="B4649" t="str">
            <v>70686395</v>
          </cell>
          <cell r="C4649" t="str">
            <v>山姆 有机三色糙米 2.1KG</v>
          </cell>
          <cell r="D4649">
            <v>28</v>
          </cell>
          <cell r="E4649">
            <v>1380.63</v>
          </cell>
          <cell r="F4649">
            <v>55.718282142857099</v>
          </cell>
        </row>
        <row r="4650">
          <cell r="B4650" t="str">
            <v>70686778</v>
          </cell>
          <cell r="C4650" t="str">
            <v>山姆 粉丝 1KG</v>
          </cell>
          <cell r="D4650">
            <v>45</v>
          </cell>
          <cell r="E4650">
            <v>1331.37</v>
          </cell>
          <cell r="F4650">
            <v>33.432180000000002</v>
          </cell>
        </row>
        <row r="4651">
          <cell r="B4651" t="str">
            <v>70686780</v>
          </cell>
          <cell r="C4651" t="str">
            <v>山姆 卤汁牛腱原味 450克</v>
          </cell>
          <cell r="D4651">
            <v>10</v>
          </cell>
          <cell r="E4651">
            <v>999</v>
          </cell>
          <cell r="F4651">
            <v>112.887</v>
          </cell>
        </row>
        <row r="4652">
          <cell r="B4652" t="str">
            <v>70686994</v>
          </cell>
          <cell r="C4652" t="str">
            <v>一健粤味 天麻当归鹌鹑汤 360G</v>
          </cell>
          <cell r="D4652">
            <v>29</v>
          </cell>
          <cell r="E4652">
            <v>282.31</v>
          </cell>
          <cell r="F4652">
            <v>11.0003551724138</v>
          </cell>
        </row>
        <row r="4653">
          <cell r="B4653" t="str">
            <v>70686995</v>
          </cell>
          <cell r="C4653" t="str">
            <v>莱克 小龙虾麻辣味 700G</v>
          </cell>
          <cell r="D4653">
            <v>15</v>
          </cell>
          <cell r="E4653">
            <v>212.4</v>
          </cell>
          <cell r="F4653">
            <v>16.000800000000002</v>
          </cell>
        </row>
        <row r="4654">
          <cell r="B4654" t="str">
            <v>70686996</v>
          </cell>
          <cell r="C4654" t="str">
            <v>无品牌 椒麻鸡 1.35KG</v>
          </cell>
          <cell r="D4654">
            <v>1</v>
          </cell>
          <cell r="E4654">
            <v>46.91</v>
          </cell>
          <cell r="F4654">
            <v>53.008299999999998</v>
          </cell>
        </row>
        <row r="4655">
          <cell r="B4655" t="str">
            <v>70686997</v>
          </cell>
          <cell r="C4655" t="str">
            <v>一健粤味 菌菇汤 350G</v>
          </cell>
          <cell r="D4655">
            <v>29</v>
          </cell>
          <cell r="E4655">
            <v>166.81</v>
          </cell>
          <cell r="F4655">
            <v>6.49983793103448</v>
          </cell>
        </row>
        <row r="4656">
          <cell r="B4656" t="str">
            <v>70686998</v>
          </cell>
          <cell r="C4656" t="str">
            <v>一健粤味 冰糖银耳炖烤梨 500G</v>
          </cell>
          <cell r="D4656">
            <v>6</v>
          </cell>
          <cell r="E4656">
            <v>37.18</v>
          </cell>
          <cell r="F4656">
            <v>7.0022333333333302</v>
          </cell>
        </row>
        <row r="4657">
          <cell r="B4657" t="str">
            <v>70687001</v>
          </cell>
          <cell r="C4657" t="str">
            <v>MM 甄选有机菌菇礼盒 1×808G</v>
          </cell>
          <cell r="D4657">
            <v>2</v>
          </cell>
          <cell r="E4657">
            <v>336</v>
          </cell>
          <cell r="F4657">
            <v>189.84</v>
          </cell>
        </row>
        <row r="4658">
          <cell r="B4658" t="str">
            <v>70687002</v>
          </cell>
          <cell r="C4658" t="str">
            <v>MM 新开河四味臻养礼盒 1×345G</v>
          </cell>
          <cell r="D4658">
            <v>5</v>
          </cell>
          <cell r="E4658">
            <v>1999.5</v>
          </cell>
          <cell r="F4658">
            <v>451.887</v>
          </cell>
        </row>
        <row r="4659">
          <cell r="B4659" t="str">
            <v>70687008</v>
          </cell>
          <cell r="C4659" t="str">
            <v>MM 满记荔芋马蹄甜甜 8×180G</v>
          </cell>
          <cell r="D4659">
            <v>27</v>
          </cell>
          <cell r="E4659">
            <v>1617.3</v>
          </cell>
          <cell r="F4659">
            <v>67.686999999999998</v>
          </cell>
        </row>
        <row r="4660">
          <cell r="B4660" t="str">
            <v>70687010</v>
          </cell>
          <cell r="C4660" t="str">
            <v>MM 黑芝麻谷物粉 40×32G</v>
          </cell>
          <cell r="D4660">
            <v>50</v>
          </cell>
          <cell r="E4660">
            <v>3995</v>
          </cell>
          <cell r="F4660">
            <v>90.287000000000006</v>
          </cell>
        </row>
        <row r="4661">
          <cell r="B4661" t="str">
            <v>70687015</v>
          </cell>
          <cell r="C4661" t="str">
            <v>MM 柴火大院五常三色香糯玉米粒 4×550G</v>
          </cell>
          <cell r="D4661">
            <v>14</v>
          </cell>
          <cell r="E4661">
            <v>698.6</v>
          </cell>
          <cell r="F4661">
            <v>56.387</v>
          </cell>
        </row>
        <row r="4662">
          <cell r="B4662" t="str">
            <v>70687018</v>
          </cell>
          <cell r="C4662" t="str">
            <v>MM 星巴克冬季礼盒 1×1盒</v>
          </cell>
          <cell r="D4662">
            <v>8</v>
          </cell>
          <cell r="E4662">
            <v>1439.2</v>
          </cell>
          <cell r="F4662">
            <v>203.28700000000001</v>
          </cell>
        </row>
        <row r="4663">
          <cell r="B4663" t="str">
            <v>70687062</v>
          </cell>
          <cell r="C4663" t="str">
            <v>清水 小龙虾 1KG</v>
          </cell>
          <cell r="D4663">
            <v>1</v>
          </cell>
          <cell r="E4663">
            <v>29.36</v>
          </cell>
          <cell r="F4663">
            <v>33.1768</v>
          </cell>
        </row>
        <row r="4664">
          <cell r="B4664" t="str">
            <v>70687067</v>
          </cell>
          <cell r="C4664" t="str">
            <v>木鱼公社 玉米包 400G</v>
          </cell>
          <cell r="D4664">
            <v>1</v>
          </cell>
          <cell r="E4664">
            <v>5.75</v>
          </cell>
          <cell r="F4664">
            <v>6.4974999999999996</v>
          </cell>
        </row>
        <row r="4665">
          <cell r="B4665" t="str">
            <v>70687069</v>
          </cell>
          <cell r="C4665" t="str">
            <v>阿哆 开胃贡菜 300G</v>
          </cell>
          <cell r="D4665">
            <v>12</v>
          </cell>
          <cell r="E4665">
            <v>74.34</v>
          </cell>
          <cell r="F4665">
            <v>7.0003500000000001</v>
          </cell>
        </row>
        <row r="4666">
          <cell r="B4666" t="str">
            <v>70687072</v>
          </cell>
          <cell r="C4666" t="str">
            <v>一健粤味 陈皮红豆沙 350G</v>
          </cell>
          <cell r="D4666">
            <v>2</v>
          </cell>
          <cell r="E4666">
            <v>9.2100000000000009</v>
          </cell>
          <cell r="F4666">
            <v>5.2036499999999997</v>
          </cell>
        </row>
        <row r="4667">
          <cell r="B4667" t="str">
            <v>70687073</v>
          </cell>
          <cell r="C4667" t="str">
            <v>一健粤味 陈皮绿豆沙 350G</v>
          </cell>
          <cell r="D4667">
            <v>5</v>
          </cell>
          <cell r="E4667">
            <v>22.12</v>
          </cell>
          <cell r="F4667">
            <v>4.9991199999999996</v>
          </cell>
        </row>
        <row r="4668">
          <cell r="B4668" t="str">
            <v>70687074</v>
          </cell>
          <cell r="C4668" t="str">
            <v>一健粤味 红枣银耳羹 350G</v>
          </cell>
          <cell r="D4668">
            <v>14</v>
          </cell>
          <cell r="E4668">
            <v>39.65</v>
          </cell>
          <cell r="F4668">
            <v>3.2003214285714301</v>
          </cell>
        </row>
        <row r="4669">
          <cell r="B4669" t="str">
            <v>70687075</v>
          </cell>
          <cell r="C4669" t="str">
            <v>罗氏 麻辣虾 500G</v>
          </cell>
          <cell r="D4669">
            <v>7</v>
          </cell>
          <cell r="E4669">
            <v>154.88</v>
          </cell>
          <cell r="F4669">
            <v>25.002057142857101</v>
          </cell>
        </row>
        <row r="4670">
          <cell r="B4670" t="str">
            <v>70687076</v>
          </cell>
          <cell r="C4670" t="str">
            <v>一健粤味 蛹草炖乌鸡 360G</v>
          </cell>
          <cell r="D4670">
            <v>11</v>
          </cell>
          <cell r="E4670">
            <v>95.42</v>
          </cell>
          <cell r="F4670">
            <v>9.8022363636363607</v>
          </cell>
        </row>
        <row r="4671">
          <cell r="B4671" t="str">
            <v>70687118</v>
          </cell>
          <cell r="C4671" t="str">
            <v>MM 福运亨通杂粮礼盒 2×1KG</v>
          </cell>
          <cell r="D4671">
            <v>13</v>
          </cell>
          <cell r="E4671">
            <v>1298.7</v>
          </cell>
          <cell r="F4671">
            <v>112.887</v>
          </cell>
        </row>
        <row r="4672">
          <cell r="B4672" t="str">
            <v>70687517</v>
          </cell>
          <cell r="C4672" t="str">
            <v>无品牌 漳河果冻橙 5KG</v>
          </cell>
          <cell r="D4672">
            <v>475</v>
          </cell>
          <cell r="E4672">
            <v>15252.33</v>
          </cell>
          <cell r="F4672">
            <v>36.284490315789498</v>
          </cell>
        </row>
        <row r="4673">
          <cell r="B4673" t="str">
            <v>70688335</v>
          </cell>
          <cell r="C4673" t="str">
            <v>储绿 精制粉（特一） 5KG</v>
          </cell>
          <cell r="D4673">
            <v>4</v>
          </cell>
          <cell r="E4673">
            <v>84.42</v>
          </cell>
          <cell r="F4673">
            <v>23.848649999999999</v>
          </cell>
        </row>
        <row r="4674">
          <cell r="B4674" t="str">
            <v>70710905</v>
          </cell>
          <cell r="C4674" t="str">
            <v>桃夫子 鲜炖整梨红色礼盒 350G</v>
          </cell>
          <cell r="D4674">
            <v>5</v>
          </cell>
          <cell r="E4674">
            <v>306.64</v>
          </cell>
          <cell r="F4674">
            <v>69.300640000000001</v>
          </cell>
        </row>
        <row r="4675">
          <cell r="B4675" t="str">
            <v>70710933</v>
          </cell>
          <cell r="C4675" t="str">
            <v>阳平 腊八粥料 1KG</v>
          </cell>
          <cell r="D4675">
            <v>14</v>
          </cell>
          <cell r="E4675">
            <v>241.49</v>
          </cell>
          <cell r="F4675">
            <v>19.491692857142901</v>
          </cell>
        </row>
        <row r="4676">
          <cell r="B4676" t="str">
            <v>70710934</v>
          </cell>
          <cell r="C4676" t="str">
            <v>阳平 五黑膳食粥料 1KG</v>
          </cell>
          <cell r="D4676">
            <v>40</v>
          </cell>
          <cell r="E4676">
            <v>689.97</v>
          </cell>
          <cell r="F4676">
            <v>19.491652500000001</v>
          </cell>
        </row>
        <row r="4677">
          <cell r="B4677" t="str">
            <v>70711050</v>
          </cell>
          <cell r="C4677" t="str">
            <v>川南 香辣王 208G</v>
          </cell>
          <cell r="D4677">
            <v>44</v>
          </cell>
          <cell r="E4677">
            <v>373.84</v>
          </cell>
          <cell r="F4677">
            <v>9.6008909090909107</v>
          </cell>
        </row>
        <row r="4678">
          <cell r="B4678" t="str">
            <v>70711051</v>
          </cell>
          <cell r="C4678" t="str">
            <v>川南 爆炒双椒酱 200G</v>
          </cell>
          <cell r="D4678">
            <v>108</v>
          </cell>
          <cell r="E4678">
            <v>965.38</v>
          </cell>
          <cell r="F4678">
            <v>10.100735185185201</v>
          </cell>
        </row>
        <row r="4679">
          <cell r="B4679" t="str">
            <v>70711969</v>
          </cell>
          <cell r="C4679" t="str">
            <v>阳平 五红膳食粥料 1KG</v>
          </cell>
          <cell r="D4679">
            <v>31</v>
          </cell>
          <cell r="E4679">
            <v>534.74</v>
          </cell>
          <cell r="F4679">
            <v>19.492135483870999</v>
          </cell>
        </row>
        <row r="4680">
          <cell r="B4680" t="str">
            <v>70711970</v>
          </cell>
          <cell r="C4680" t="str">
            <v>阳平 七色糙米 1KG</v>
          </cell>
          <cell r="D4680">
            <v>18</v>
          </cell>
          <cell r="E4680">
            <v>310.5</v>
          </cell>
          <cell r="F4680">
            <v>19.4925</v>
          </cell>
        </row>
        <row r="4681">
          <cell r="B4681" t="str">
            <v>70712759</v>
          </cell>
          <cell r="C4681" t="str">
            <v>川南 红烧笋丁酱 200G</v>
          </cell>
          <cell r="D4681">
            <v>52</v>
          </cell>
          <cell r="E4681">
            <v>464.83</v>
          </cell>
          <cell r="F4681">
            <v>10.1011134615385</v>
          </cell>
        </row>
        <row r="4682">
          <cell r="B4682" t="str">
            <v>70713691</v>
          </cell>
          <cell r="C4682" t="str">
            <v>阳平 紫薯糯米粥料 1KG</v>
          </cell>
          <cell r="D4682">
            <v>23</v>
          </cell>
          <cell r="E4682">
            <v>396.75</v>
          </cell>
          <cell r="F4682">
            <v>19.4925</v>
          </cell>
        </row>
        <row r="4683">
          <cell r="B4683" t="str">
            <v>70713879</v>
          </cell>
          <cell r="C4683" t="str">
            <v>阳平 小米南瓜粥料 1KG</v>
          </cell>
          <cell r="D4683">
            <v>24</v>
          </cell>
          <cell r="E4683">
            <v>413.97</v>
          </cell>
          <cell r="F4683">
            <v>19.491087499999999</v>
          </cell>
        </row>
        <row r="4684">
          <cell r="B4684" t="str">
            <v>70713997</v>
          </cell>
          <cell r="C4684" t="str">
            <v>海优宝海鲜 海洋尚礼 6.8KG</v>
          </cell>
          <cell r="D4684">
            <v>70</v>
          </cell>
          <cell r="E4684">
            <v>31050.46</v>
          </cell>
          <cell r="F4684">
            <v>501.24313999999998</v>
          </cell>
        </row>
        <row r="4685">
          <cell r="B4685" t="str">
            <v>70717627</v>
          </cell>
          <cell r="C4685" t="str">
            <v>味出疆 燕窝桃胶炖雪梨礼盒 1250克</v>
          </cell>
          <cell r="D4685">
            <v>1</v>
          </cell>
          <cell r="E4685">
            <v>59.29</v>
          </cell>
          <cell r="F4685">
            <v>66.997699999999995</v>
          </cell>
        </row>
        <row r="4686">
          <cell r="B4686" t="str">
            <v>70726042</v>
          </cell>
          <cell r="C4686" t="str">
            <v>MM  全谷物杂粮饭 180G×12</v>
          </cell>
          <cell r="D4686">
            <v>20</v>
          </cell>
          <cell r="E4686">
            <v>1198</v>
          </cell>
          <cell r="F4686">
            <v>67.686999999999998</v>
          </cell>
        </row>
        <row r="4687">
          <cell r="B4687" t="str">
            <v>70737213</v>
          </cell>
          <cell r="C4687" t="str">
            <v>稻香国熣 吉祥粽礼 1660G</v>
          </cell>
          <cell r="D4687">
            <v>8</v>
          </cell>
          <cell r="E4687">
            <v>637.16999999999996</v>
          </cell>
          <cell r="F4687">
            <v>90.000262500000005</v>
          </cell>
        </row>
        <row r="4688">
          <cell r="B4688" t="str">
            <v>70737222</v>
          </cell>
          <cell r="C4688" t="str">
            <v>乾清门 端午疆至B 1710G</v>
          </cell>
          <cell r="D4688">
            <v>84</v>
          </cell>
          <cell r="E4688">
            <v>6682.85</v>
          </cell>
          <cell r="F4688">
            <v>89.900244047618997</v>
          </cell>
        </row>
        <row r="4689">
          <cell r="B4689" t="str">
            <v>70737300</v>
          </cell>
          <cell r="C4689" t="str">
            <v>稻香国熣 竹筒粽礼 780G</v>
          </cell>
          <cell r="D4689">
            <v>16</v>
          </cell>
          <cell r="E4689">
            <v>481.41</v>
          </cell>
          <cell r="F4689">
            <v>33.999581249999999</v>
          </cell>
        </row>
        <row r="4690">
          <cell r="B4690" t="str">
            <v>70737301</v>
          </cell>
          <cell r="C4690" t="str">
            <v>乾清门 端午情 1730G</v>
          </cell>
          <cell r="D4690">
            <v>45</v>
          </cell>
          <cell r="E4690">
            <v>5555.31</v>
          </cell>
          <cell r="F4690">
            <v>139.50000666666699</v>
          </cell>
        </row>
        <row r="4691">
          <cell r="B4691" t="str">
            <v>70737403</v>
          </cell>
          <cell r="C4691" t="str">
            <v>禧凤楼 高粽状元 1960G</v>
          </cell>
          <cell r="D4691">
            <v>7</v>
          </cell>
          <cell r="E4691">
            <v>594.69000000000005</v>
          </cell>
          <cell r="F4691">
            <v>95.999957142857099</v>
          </cell>
        </row>
        <row r="4692">
          <cell r="B4692" t="str">
            <v>70737405</v>
          </cell>
          <cell r="C4692" t="str">
            <v>乾清门 匠心制粽 1610G</v>
          </cell>
          <cell r="D4692">
            <v>74</v>
          </cell>
          <cell r="E4692">
            <v>6411.15</v>
          </cell>
          <cell r="F4692">
            <v>97.899993243243202</v>
          </cell>
        </row>
        <row r="4693">
          <cell r="B4693" t="str">
            <v>70749123</v>
          </cell>
          <cell r="C4693" t="str">
            <v>乾清门 龙粽登场 1970G</v>
          </cell>
          <cell r="D4693">
            <v>22</v>
          </cell>
          <cell r="E4693">
            <v>3300</v>
          </cell>
          <cell r="F4693">
            <v>169.5</v>
          </cell>
        </row>
        <row r="4694">
          <cell r="B4694" t="str">
            <v>70749124</v>
          </cell>
          <cell r="C4694" t="str">
            <v>乾清门 龙腾福粽 1730G</v>
          </cell>
          <cell r="D4694">
            <v>324</v>
          </cell>
          <cell r="E4694">
            <v>21217.71</v>
          </cell>
          <cell r="F4694">
            <v>74.000037962962907</v>
          </cell>
        </row>
        <row r="4695">
          <cell r="B4695" t="str">
            <v>70749125</v>
          </cell>
          <cell r="C4695" t="str">
            <v>乾清门 新疆奶皮子粽子 480G</v>
          </cell>
          <cell r="D4695">
            <v>1821</v>
          </cell>
          <cell r="E4695">
            <v>36576.129999999997</v>
          </cell>
          <cell r="F4695">
            <v>22.6968846238331</v>
          </cell>
        </row>
        <row r="4696">
          <cell r="B4696" t="str">
            <v>75000742</v>
          </cell>
          <cell r="C4696" t="str">
            <v>溢田 黑土优品有机香坊小米 2.5KG</v>
          </cell>
          <cell r="D4696">
            <v>64</v>
          </cell>
          <cell r="E4696">
            <v>2192.0100000000002</v>
          </cell>
          <cell r="F4696">
            <v>38.702676562500002</v>
          </cell>
        </row>
        <row r="4697">
          <cell r="B4697" t="str">
            <v>70007472</v>
          </cell>
          <cell r="C4697" t="str">
            <v>伊利苦咖啡雪糕70G</v>
          </cell>
          <cell r="D4697">
            <v>704</v>
          </cell>
          <cell r="E4697">
            <v>1628.24</v>
          </cell>
          <cell r="F4697">
            <v>2.6135102272727302</v>
          </cell>
        </row>
        <row r="4698">
          <cell r="B4698" t="str">
            <v>70007486</v>
          </cell>
          <cell r="C4698" t="str">
            <v>伊利玉米香雪糕65G</v>
          </cell>
          <cell r="D4698">
            <v>873</v>
          </cell>
          <cell r="E4698">
            <v>1165.5</v>
          </cell>
          <cell r="F4698">
            <v>1.5086082474226801</v>
          </cell>
        </row>
        <row r="4699">
          <cell r="B4699" t="str">
            <v>70007585</v>
          </cell>
          <cell r="C4699" t="str">
            <v>蒙牛 玉米棒 65g</v>
          </cell>
          <cell r="D4699">
            <v>13575</v>
          </cell>
          <cell r="E4699">
            <v>20450.07</v>
          </cell>
          <cell r="F4699">
            <v>1.7022894364640899</v>
          </cell>
        </row>
        <row r="4700">
          <cell r="B4700" t="str">
            <v>70007596</v>
          </cell>
          <cell r="C4700" t="str">
            <v>蒙牛 绿色心情绿莎莎 70g</v>
          </cell>
          <cell r="D4700">
            <v>19492</v>
          </cell>
          <cell r="E4700">
            <v>38175.32</v>
          </cell>
          <cell r="F4700">
            <v>2.2131187974553699</v>
          </cell>
        </row>
        <row r="4701">
          <cell r="B4701" t="str">
            <v>70007661</v>
          </cell>
          <cell r="C4701" t="str">
            <v>蒙牛 杯(草莓) 260G</v>
          </cell>
          <cell r="D4701">
            <v>2354</v>
          </cell>
          <cell r="E4701">
            <v>19430.41</v>
          </cell>
          <cell r="F4701">
            <v>9.3272571367884396</v>
          </cell>
        </row>
        <row r="4702">
          <cell r="B4702" t="str">
            <v>70007667</v>
          </cell>
          <cell r="C4702" t="str">
            <v>蒙牛 哈密瓜 260G</v>
          </cell>
          <cell r="D4702">
            <v>2040</v>
          </cell>
          <cell r="E4702">
            <v>16843.91</v>
          </cell>
          <cell r="F4702">
            <v>9.3302050490196091</v>
          </cell>
        </row>
        <row r="4703">
          <cell r="B4703" t="str">
            <v>70013472</v>
          </cell>
          <cell r="C4703" t="str">
            <v>伊利 奶昔杯 90g</v>
          </cell>
          <cell r="D4703">
            <v>0</v>
          </cell>
          <cell r="E4703">
            <v>0</v>
          </cell>
          <cell r="F4703" t="e">
            <v>#DIV/0!</v>
          </cell>
        </row>
        <row r="4704">
          <cell r="B4704" t="str">
            <v>70024004</v>
          </cell>
          <cell r="C4704" t="str">
            <v>伊利 巧乐兹经典香奶棒 75G</v>
          </cell>
          <cell r="D4704">
            <v>110</v>
          </cell>
          <cell r="E4704">
            <v>361.91</v>
          </cell>
          <cell r="F4704">
            <v>3.7178027272727299</v>
          </cell>
        </row>
        <row r="4705">
          <cell r="B4705" t="str">
            <v>70092446</v>
          </cell>
          <cell r="C4705" t="str">
            <v>蒙牛 随变旋顶杯蓝莓口味 120G</v>
          </cell>
          <cell r="D4705">
            <v>36</v>
          </cell>
          <cell r="E4705">
            <v>111.58</v>
          </cell>
          <cell r="F4705">
            <v>3.50237222222222</v>
          </cell>
        </row>
        <row r="4706">
          <cell r="B4706" t="str">
            <v>70101273</v>
          </cell>
          <cell r="C4706" t="str">
            <v>蒙牛 蒙牛三色雪糕 95g</v>
          </cell>
          <cell r="D4706">
            <v>9941</v>
          </cell>
          <cell r="E4706">
            <v>23815.55</v>
          </cell>
          <cell r="F4706">
            <v>2.7071292123528798</v>
          </cell>
        </row>
        <row r="4707">
          <cell r="B4707" t="str">
            <v>70103070</v>
          </cell>
          <cell r="C4707" t="str">
            <v>伊利 巧乐兹四个圈蛋奶巧克力味 70g</v>
          </cell>
          <cell r="D4707">
            <v>0</v>
          </cell>
          <cell r="E4707">
            <v>0</v>
          </cell>
          <cell r="F4707" t="e">
            <v>#DIV/0!</v>
          </cell>
        </row>
        <row r="4708">
          <cell r="B4708" t="str">
            <v>70109190</v>
          </cell>
          <cell r="C4708" t="str">
            <v>礼拜天 红豆方糕 120G</v>
          </cell>
          <cell r="D4708">
            <v>209</v>
          </cell>
          <cell r="E4708">
            <v>463.12</v>
          </cell>
          <cell r="F4708">
            <v>2.5039502392344501</v>
          </cell>
        </row>
        <row r="4709">
          <cell r="B4709" t="str">
            <v>70116492</v>
          </cell>
          <cell r="C4709" t="str">
            <v>蒙牛 纯牛奶冰糖 75G</v>
          </cell>
          <cell r="D4709">
            <v>16</v>
          </cell>
          <cell r="E4709">
            <v>11.36</v>
          </cell>
          <cell r="F4709">
            <v>0.80230000000000001</v>
          </cell>
        </row>
        <row r="4710">
          <cell r="B4710" t="str">
            <v>70121549</v>
          </cell>
          <cell r="C4710" t="str">
            <v>蒙牛 绿色心情炼乳 68g</v>
          </cell>
          <cell r="D4710">
            <v>9441</v>
          </cell>
          <cell r="E4710">
            <v>23046.799999999999</v>
          </cell>
          <cell r="F4710">
            <v>2.7584878720474499</v>
          </cell>
        </row>
        <row r="4711">
          <cell r="B4711" t="str">
            <v>70127706</v>
          </cell>
          <cell r="C4711" t="str">
            <v>伊利 三色心香雪糕 95G</v>
          </cell>
          <cell r="D4711">
            <v>678</v>
          </cell>
          <cell r="E4711">
            <v>2082.4899999999998</v>
          </cell>
          <cell r="F4711">
            <v>3.47081666666667</v>
          </cell>
        </row>
        <row r="4712">
          <cell r="B4712" t="str">
            <v>70160150</v>
          </cell>
          <cell r="C4712" t="str">
            <v>蒙牛 随便麦片脆皮雪糕 75G</v>
          </cell>
          <cell r="D4712">
            <v>52</v>
          </cell>
          <cell r="E4712">
            <v>138.32</v>
          </cell>
          <cell r="F4712">
            <v>3.0057999999999998</v>
          </cell>
        </row>
        <row r="4713">
          <cell r="B4713" t="str">
            <v>70163682</v>
          </cell>
          <cell r="C4713" t="str">
            <v>蒙牛 冰芒果口味雪泥 75g</v>
          </cell>
          <cell r="D4713">
            <v>28</v>
          </cell>
          <cell r="E4713">
            <v>37.29</v>
          </cell>
          <cell r="F4713">
            <v>1.5049178571428601</v>
          </cell>
        </row>
        <row r="4714">
          <cell r="B4714" t="str">
            <v>70166788</v>
          </cell>
          <cell r="C4714" t="str">
            <v>伊利冰工厂果纷呈23G*4个</v>
          </cell>
          <cell r="D4714">
            <v>112</v>
          </cell>
          <cell r="E4714">
            <v>157.80000000000001</v>
          </cell>
          <cell r="F4714">
            <v>1.5920892857142901</v>
          </cell>
        </row>
        <row r="4715">
          <cell r="B4715" t="str">
            <v>70196229</v>
          </cell>
          <cell r="C4715" t="str">
            <v>八喜 草莓口味冰激淋 90G</v>
          </cell>
          <cell r="D4715">
            <v>51</v>
          </cell>
          <cell r="E4715">
            <v>99.32</v>
          </cell>
          <cell r="F4715">
            <v>2.2006196078431399</v>
          </cell>
        </row>
        <row r="4716">
          <cell r="B4716" t="str">
            <v>70198446</v>
          </cell>
          <cell r="C4716" t="str">
            <v>蒙牛 大甜筒雪糕 65G</v>
          </cell>
          <cell r="D4716">
            <v>295</v>
          </cell>
          <cell r="E4716">
            <v>382.43</v>
          </cell>
          <cell r="F4716">
            <v>1.4649013559321999</v>
          </cell>
        </row>
        <row r="4717">
          <cell r="B4717" t="str">
            <v>70211530</v>
          </cell>
          <cell r="C4717" t="str">
            <v>和路雪 梦龙 香草口味冰淇淋 64G</v>
          </cell>
          <cell r="D4717">
            <v>0</v>
          </cell>
          <cell r="E4717">
            <v>0</v>
          </cell>
          <cell r="F4717" t="e">
            <v>#DIV/0!</v>
          </cell>
        </row>
        <row r="4718">
          <cell r="B4718" t="str">
            <v>70217864</v>
          </cell>
          <cell r="C4718" t="str">
            <v>伊利 臻巧雪糕 40</v>
          </cell>
          <cell r="D4718">
            <v>146</v>
          </cell>
          <cell r="E4718">
            <v>103.66</v>
          </cell>
          <cell r="F4718">
            <v>0.80230000000000001</v>
          </cell>
        </row>
        <row r="4719">
          <cell r="B4719" t="str">
            <v>70220498</v>
          </cell>
          <cell r="C4719" t="str">
            <v>蒙牛 随变随芯脆 70g</v>
          </cell>
          <cell r="D4719">
            <v>18303</v>
          </cell>
          <cell r="E4719">
            <v>48735.93</v>
          </cell>
          <cell r="F4719">
            <v>3.0088838387149601</v>
          </cell>
        </row>
        <row r="4720">
          <cell r="B4720" t="str">
            <v>70232245</v>
          </cell>
          <cell r="C4720" t="str">
            <v>伊利雪糕 冰工厂(山楂爽)棒冰 1*40支</v>
          </cell>
          <cell r="D4720">
            <v>99</v>
          </cell>
          <cell r="E4720">
            <v>131.58000000000001</v>
          </cell>
          <cell r="F4720">
            <v>1.5018727272727299</v>
          </cell>
        </row>
        <row r="4721">
          <cell r="B4721" t="str">
            <v>70232314</v>
          </cell>
          <cell r="C4721" t="str">
            <v>伊利 小布丁(奶油)雪糕 40G</v>
          </cell>
          <cell r="D4721">
            <v>211</v>
          </cell>
          <cell r="E4721">
            <v>130.82</v>
          </cell>
          <cell r="F4721">
            <v>0.7006</v>
          </cell>
        </row>
        <row r="4722">
          <cell r="B4722" t="str">
            <v>70232666</v>
          </cell>
          <cell r="C4722" t="str">
            <v>高速 蒙牛纯冰糖 支</v>
          </cell>
          <cell r="D4722">
            <v>429</v>
          </cell>
          <cell r="E4722">
            <v>304.55</v>
          </cell>
          <cell r="F4722">
            <v>0.80219463869463903</v>
          </cell>
        </row>
        <row r="4723">
          <cell r="B4723" t="str">
            <v>70233247</v>
          </cell>
          <cell r="C4723" t="str">
            <v>伊利 冰工厂清爽蓝莓棒冰 70g</v>
          </cell>
          <cell r="D4723">
            <v>505</v>
          </cell>
          <cell r="E4723">
            <v>635.52</v>
          </cell>
          <cell r="F4723">
            <v>1.42205465346535</v>
          </cell>
        </row>
        <row r="4724">
          <cell r="B4724" t="str">
            <v>70236440</v>
          </cell>
          <cell r="C4724" t="str">
            <v>伊利 蜜瓜仙子 70G</v>
          </cell>
          <cell r="D4724">
            <v>0</v>
          </cell>
          <cell r="E4724">
            <v>0</v>
          </cell>
          <cell r="F4724" t="e">
            <v>#DIV/0!</v>
          </cell>
        </row>
        <row r="4725">
          <cell r="B4725" t="str">
            <v>70260329</v>
          </cell>
          <cell r="C4725" t="str">
            <v>伊利蒙古酸奶味雪糕75g</v>
          </cell>
          <cell r="D4725">
            <v>1095</v>
          </cell>
          <cell r="E4725">
            <v>1427.1</v>
          </cell>
          <cell r="F4725">
            <v>1.47271506849315</v>
          </cell>
        </row>
        <row r="4726">
          <cell r="B4726" t="str">
            <v>70260330</v>
          </cell>
          <cell r="C4726" t="str">
            <v>伊利 心情棒冰 70g</v>
          </cell>
          <cell r="D4726">
            <v>587</v>
          </cell>
          <cell r="E4726">
            <v>831.46</v>
          </cell>
          <cell r="F4726">
            <v>1.6005959114139701</v>
          </cell>
        </row>
        <row r="4727">
          <cell r="B4727" t="str">
            <v>70261496</v>
          </cell>
          <cell r="C4727" t="str">
            <v>蒙牛 随变随心果 75g</v>
          </cell>
          <cell r="D4727">
            <v>20111</v>
          </cell>
          <cell r="E4727">
            <v>53559.3</v>
          </cell>
          <cell r="F4727">
            <v>3.0093982894933098</v>
          </cell>
        </row>
        <row r="4728">
          <cell r="B4728" t="str">
            <v>70261775</v>
          </cell>
          <cell r="C4728" t="str">
            <v>田牧 金钻 75G</v>
          </cell>
          <cell r="D4728">
            <v>66</v>
          </cell>
          <cell r="E4728">
            <v>204.58</v>
          </cell>
          <cell r="F4728">
            <v>3.50265757575758</v>
          </cell>
        </row>
        <row r="4729">
          <cell r="B4729" t="str">
            <v>70272471</v>
          </cell>
          <cell r="C4729" t="str">
            <v>伊利 巧乐兹巧脆棒 75G</v>
          </cell>
          <cell r="D4729">
            <v>740</v>
          </cell>
          <cell r="E4729">
            <v>2464.9699999999998</v>
          </cell>
          <cell r="F4729">
            <v>3.7640758108108101</v>
          </cell>
        </row>
        <row r="4730">
          <cell r="B4730" t="str">
            <v>70272766</v>
          </cell>
          <cell r="C4730" t="str">
            <v>伊利 巧乐兹绮炫黑巧克力脆层香草口味冰淇淋 65G</v>
          </cell>
          <cell r="D4730">
            <v>81</v>
          </cell>
          <cell r="E4730">
            <v>463.03</v>
          </cell>
          <cell r="F4730">
            <v>6.4595543209876496</v>
          </cell>
        </row>
        <row r="4731">
          <cell r="B4731" t="str">
            <v>70272767</v>
          </cell>
          <cell r="C4731" t="str">
            <v>伊利 新升级巧乐兹经典巧恋果雪糕 75G</v>
          </cell>
          <cell r="D4731">
            <v>664</v>
          </cell>
          <cell r="E4731">
            <v>2144.12</v>
          </cell>
          <cell r="F4731">
            <v>3.64887891566265</v>
          </cell>
        </row>
        <row r="4732">
          <cell r="B4732" t="str">
            <v>70275200</v>
          </cell>
          <cell r="C4732" t="str">
            <v>伊利 金牌香草火炬 85G</v>
          </cell>
          <cell r="D4732">
            <v>269</v>
          </cell>
          <cell r="E4732">
            <v>658.01</v>
          </cell>
          <cell r="F4732">
            <v>2.7641312267657998</v>
          </cell>
        </row>
        <row r="4733">
          <cell r="B4733" t="str">
            <v>70275201</v>
          </cell>
          <cell r="C4733" t="str">
            <v>伊利 苦咖啡火炬 70G</v>
          </cell>
          <cell r="D4733">
            <v>246</v>
          </cell>
          <cell r="E4733">
            <v>622.45000000000005</v>
          </cell>
          <cell r="F4733">
            <v>2.8592215447154499</v>
          </cell>
        </row>
        <row r="4734">
          <cell r="B4734" t="str">
            <v>70275772</v>
          </cell>
          <cell r="C4734" t="str">
            <v>伊利 妙趣小雪生牛奶巧克力口味冰淇淋 65克</v>
          </cell>
          <cell r="D4734">
            <v>565</v>
          </cell>
          <cell r="E4734">
            <v>1268.6400000000001</v>
          </cell>
          <cell r="F4734">
            <v>2.53728</v>
          </cell>
        </row>
        <row r="4735">
          <cell r="B4735" t="str">
            <v>70276175</v>
          </cell>
          <cell r="C4735" t="str">
            <v>蒙牛 俄式奶纯冰淇淋 75G</v>
          </cell>
          <cell r="D4735">
            <v>6953</v>
          </cell>
          <cell r="E4735">
            <v>18551.599999999999</v>
          </cell>
          <cell r="F4735">
            <v>3.0150018696965302</v>
          </cell>
        </row>
        <row r="4736">
          <cell r="B4736" t="str">
            <v>70284131</v>
          </cell>
          <cell r="C4736" t="str">
            <v>伊利 冰工厂食用冰杯 160g</v>
          </cell>
          <cell r="D4736">
            <v>140</v>
          </cell>
          <cell r="E4736">
            <v>347.66</v>
          </cell>
          <cell r="F4736">
            <v>2.80611285714286</v>
          </cell>
        </row>
        <row r="4737">
          <cell r="B4737" t="str">
            <v>70292800</v>
          </cell>
          <cell r="C4737" t="str">
            <v>伊利 巧乐兹香草巧克力口味脆筒冰淇淋 73g</v>
          </cell>
          <cell r="D4737">
            <v>2</v>
          </cell>
          <cell r="E4737">
            <v>7.98</v>
          </cell>
          <cell r="F4737">
            <v>4.5087000000000002</v>
          </cell>
        </row>
        <row r="4738">
          <cell r="B4738" t="str">
            <v>70293072</v>
          </cell>
          <cell r="C4738" t="str">
            <v>田牧 悠致100原味冰淇淋 70G</v>
          </cell>
          <cell r="D4738">
            <v>59</v>
          </cell>
          <cell r="E4738">
            <v>208.86</v>
          </cell>
          <cell r="F4738">
            <v>4.0002000000000004</v>
          </cell>
        </row>
        <row r="4739">
          <cell r="B4739" t="str">
            <v>70293600</v>
          </cell>
          <cell r="C4739" t="str">
            <v>伊利 巧乐兹蜜瓜口味脆筒冰淇淋 73G</v>
          </cell>
          <cell r="D4739">
            <v>0</v>
          </cell>
          <cell r="E4739">
            <v>0</v>
          </cell>
          <cell r="F4739" t="e">
            <v>#DIV/0!</v>
          </cell>
        </row>
        <row r="4740">
          <cell r="B4740" t="str">
            <v>70293603</v>
          </cell>
          <cell r="C4740" t="str">
            <v>伊利 偏爱红豆雪糕 75G</v>
          </cell>
          <cell r="D4740">
            <v>1089</v>
          </cell>
          <cell r="E4740">
            <v>1447.71</v>
          </cell>
          <cell r="F4740">
            <v>1.5022151515151501</v>
          </cell>
        </row>
        <row r="4741">
          <cell r="B4741" t="str">
            <v>70293606</v>
          </cell>
          <cell r="C4741" t="str">
            <v>伊利 巧乐兹绮炫(水蜜桃味巧克力脆层＋覆盆子酸奶口味)冰淇淋 65G</v>
          </cell>
          <cell r="D4741">
            <v>11</v>
          </cell>
          <cell r="E4741">
            <v>70.14</v>
          </cell>
          <cell r="F4741">
            <v>7.2052909090909099</v>
          </cell>
        </row>
        <row r="4742">
          <cell r="B4742" t="str">
            <v>70293750</v>
          </cell>
          <cell r="C4742" t="str">
            <v>伊利 巧乐兹香草口味巧克力脆筒 85克</v>
          </cell>
          <cell r="D4742">
            <v>77</v>
          </cell>
          <cell r="E4742">
            <v>313.68</v>
          </cell>
          <cell r="F4742">
            <v>4.60335584415584</v>
          </cell>
        </row>
        <row r="4743">
          <cell r="B4743" t="str">
            <v>70294923</v>
          </cell>
          <cell r="C4743" t="str">
            <v>蒙牛 奶棒 个</v>
          </cell>
          <cell r="D4743">
            <v>749</v>
          </cell>
          <cell r="E4743">
            <v>1614.38</v>
          </cell>
          <cell r="F4743">
            <v>2.4355799732977301</v>
          </cell>
        </row>
        <row r="4744">
          <cell r="B4744" t="str">
            <v>70294927</v>
          </cell>
          <cell r="C4744" t="str">
            <v>田牧 雪醇大奶糕 个</v>
          </cell>
          <cell r="D4744">
            <v>71</v>
          </cell>
          <cell r="E4744">
            <v>125.67</v>
          </cell>
          <cell r="F4744">
            <v>2.0001000000000002</v>
          </cell>
        </row>
        <row r="4745">
          <cell r="B4745" t="str">
            <v>70296168</v>
          </cell>
          <cell r="C4745" t="str">
            <v>蒙牛 香雪杯 145G</v>
          </cell>
          <cell r="D4745">
            <v>174</v>
          </cell>
          <cell r="E4745">
            <v>580.83000000000004</v>
          </cell>
          <cell r="F4745">
            <v>3.7720568965517201</v>
          </cell>
        </row>
        <row r="4746">
          <cell r="B4746" t="str">
            <v>70297649</v>
          </cell>
          <cell r="C4746" t="str">
            <v>伊利 冰工厂草莓百香果雪泥 80G</v>
          </cell>
          <cell r="D4746">
            <v>0</v>
          </cell>
          <cell r="E4746">
            <v>0</v>
          </cell>
          <cell r="F4746" t="e">
            <v>#DIV/0!</v>
          </cell>
        </row>
        <row r="4747">
          <cell r="B4747" t="str">
            <v>70298598</v>
          </cell>
          <cell r="C4747" t="str">
            <v>蒙牛 老冰棍棒冰 70g</v>
          </cell>
          <cell r="D4747">
            <v>0</v>
          </cell>
          <cell r="E4747">
            <v>0</v>
          </cell>
          <cell r="F4747" t="e">
            <v>#DIV/0!</v>
          </cell>
        </row>
        <row r="4748">
          <cell r="B4748" t="str">
            <v>70309463</v>
          </cell>
          <cell r="C4748" t="str">
            <v>可爱多 甜筒香草口味冰淇淋 67G</v>
          </cell>
          <cell r="D4748">
            <v>0</v>
          </cell>
          <cell r="E4748">
            <v>0</v>
          </cell>
          <cell r="F4748" t="e">
            <v>#DIV/0!</v>
          </cell>
        </row>
        <row r="4749">
          <cell r="B4749" t="str">
            <v>70313064</v>
          </cell>
          <cell r="C4749" t="str">
            <v>厚雅 伊利巧乐兹经典巧丝绒雪糕 70G</v>
          </cell>
          <cell r="D4749">
            <v>477</v>
          </cell>
          <cell r="E4749">
            <v>1470.53</v>
          </cell>
          <cell r="F4749">
            <v>3.48364549266247</v>
          </cell>
        </row>
        <row r="4750">
          <cell r="B4750" t="str">
            <v>70314248</v>
          </cell>
          <cell r="C4750" t="str">
            <v>伊利 伊利甄稀醇真经典原味冰淇淋 70G</v>
          </cell>
          <cell r="D4750">
            <v>378</v>
          </cell>
          <cell r="E4750">
            <v>1206.05</v>
          </cell>
          <cell r="F4750">
            <v>3.6053875661375701</v>
          </cell>
        </row>
        <row r="4751">
          <cell r="B4751" t="str">
            <v>70314484</v>
          </cell>
          <cell r="C4751" t="str">
            <v>伊利 偏爱绿豆雪糕 75G</v>
          </cell>
          <cell r="D4751">
            <v>3</v>
          </cell>
          <cell r="E4751">
            <v>3.99</v>
          </cell>
          <cell r="F4751">
            <v>1.5028999999999999</v>
          </cell>
        </row>
        <row r="4752">
          <cell r="B4752" t="str">
            <v>70315217</v>
          </cell>
          <cell r="C4752" t="str">
            <v>蒙牛 冰＋山楂口味棒冰 70G</v>
          </cell>
          <cell r="D4752">
            <v>14216</v>
          </cell>
          <cell r="E4752">
            <v>20206.47</v>
          </cell>
          <cell r="F4752">
            <v>1.60616988604389</v>
          </cell>
        </row>
        <row r="4753">
          <cell r="B4753" t="str">
            <v>70316306</v>
          </cell>
          <cell r="C4753" t="str">
            <v>伊利 甄稀挚恋草莓冰淇淋 70G</v>
          </cell>
          <cell r="D4753">
            <v>375</v>
          </cell>
          <cell r="E4753">
            <v>1196.1400000000001</v>
          </cell>
          <cell r="F4753">
            <v>3.60436853333333</v>
          </cell>
        </row>
        <row r="4754">
          <cell r="B4754" t="str">
            <v>70318627</v>
          </cell>
          <cell r="C4754" t="str">
            <v>蒙牛 酷爱纯脆香芋味脆皮雪糕 65G</v>
          </cell>
          <cell r="D4754">
            <v>417</v>
          </cell>
          <cell r="E4754">
            <v>554.49</v>
          </cell>
          <cell r="F4754">
            <v>1.50257482014388</v>
          </cell>
        </row>
        <row r="4755">
          <cell r="B4755" t="str">
            <v>70320126</v>
          </cell>
          <cell r="C4755" t="str">
            <v>蒙牛 酸奶 70G</v>
          </cell>
          <cell r="D4755">
            <v>519</v>
          </cell>
          <cell r="E4755">
            <v>690.01</v>
          </cell>
          <cell r="F4755">
            <v>1.5023339113680201</v>
          </cell>
        </row>
        <row r="4756">
          <cell r="B4756" t="str">
            <v>70320129</v>
          </cell>
          <cell r="C4756" t="str">
            <v>蒙牛 新牛奶提子 65G</v>
          </cell>
          <cell r="D4756">
            <v>17014</v>
          </cell>
          <cell r="E4756">
            <v>24790.07</v>
          </cell>
          <cell r="F4756">
            <v>1.64645463147996</v>
          </cell>
        </row>
        <row r="4757">
          <cell r="B4757" t="str">
            <v>70321018</v>
          </cell>
          <cell r="C4757" t="str">
            <v>伊利 奶提子 65G</v>
          </cell>
          <cell r="D4757">
            <v>265</v>
          </cell>
          <cell r="E4757">
            <v>324.22000000000003</v>
          </cell>
          <cell r="F4757">
            <v>1.3825230188679201</v>
          </cell>
        </row>
        <row r="4758">
          <cell r="B4758" t="str">
            <v>70325693</v>
          </cell>
          <cell r="C4758" t="str">
            <v>奥雪 椰子灰巧克力椰子口味雪糕 65G</v>
          </cell>
          <cell r="D4758">
            <v>118</v>
          </cell>
          <cell r="E4758">
            <v>379.82</v>
          </cell>
          <cell r="F4758">
            <v>3.6372593220338998</v>
          </cell>
        </row>
        <row r="4759">
          <cell r="B4759" t="str">
            <v>70346458</v>
          </cell>
          <cell r="C4759" t="str">
            <v>蒙牛 甄稀切达奶酪味冰淇淋 70G</v>
          </cell>
          <cell r="D4759">
            <v>0</v>
          </cell>
          <cell r="E4759">
            <v>0</v>
          </cell>
          <cell r="F4759" t="e">
            <v>#DIV/0!</v>
          </cell>
        </row>
        <row r="4760">
          <cell r="B4760" t="str">
            <v>70348245</v>
          </cell>
          <cell r="C4760" t="str">
            <v>东北老哈 榴莲 75G</v>
          </cell>
          <cell r="D4760">
            <v>0</v>
          </cell>
          <cell r="E4760">
            <v>0</v>
          </cell>
          <cell r="F4760" t="e">
            <v>#DIV/0!</v>
          </cell>
        </row>
        <row r="4761">
          <cell r="B4761" t="str">
            <v>70348852</v>
          </cell>
          <cell r="C4761" t="str">
            <v>伊利 火炬香草口味冰淇淋3％ 74G</v>
          </cell>
          <cell r="D4761">
            <v>25</v>
          </cell>
          <cell r="E4761">
            <v>64.75</v>
          </cell>
          <cell r="F4761">
            <v>2.9266999999999999</v>
          </cell>
        </row>
        <row r="4762">
          <cell r="B4762" t="str">
            <v>70349419</v>
          </cell>
          <cell r="C4762" t="str">
            <v>伊利 老冰棍棒冰  70G</v>
          </cell>
          <cell r="D4762">
            <v>236</v>
          </cell>
          <cell r="E4762">
            <v>180.51</v>
          </cell>
          <cell r="F4762">
            <v>0.86430635593220295</v>
          </cell>
        </row>
        <row r="4763">
          <cell r="B4763" t="str">
            <v>70352617</v>
          </cell>
          <cell r="C4763" t="str">
            <v>伊利 香雪儿杯牛奶巧克力 145G</v>
          </cell>
          <cell r="D4763">
            <v>102</v>
          </cell>
          <cell r="E4763">
            <v>318.86</v>
          </cell>
          <cell r="F4763">
            <v>3.5324686274509798</v>
          </cell>
        </row>
        <row r="4764">
          <cell r="B4764" t="str">
            <v>70357509</v>
          </cell>
          <cell r="C4764" t="str">
            <v>蒙牛 火炬咖啡口味冰淇淋 80克</v>
          </cell>
          <cell r="D4764">
            <v>145</v>
          </cell>
          <cell r="E4764">
            <v>320.83</v>
          </cell>
          <cell r="F4764">
            <v>2.5002613793103401</v>
          </cell>
        </row>
        <row r="4765">
          <cell r="B4765" t="str">
            <v>70357510</v>
          </cell>
          <cell r="C4765" t="str">
            <v>蒙牛 酷爱纯脆麦淇巧克力麦片口味雪糕 61克</v>
          </cell>
          <cell r="D4765">
            <v>0</v>
          </cell>
          <cell r="E4765">
            <v>0</v>
          </cell>
          <cell r="F4765" t="e">
            <v>#DIV/0!</v>
          </cell>
        </row>
        <row r="4766">
          <cell r="B4766" t="str">
            <v>70357511</v>
          </cell>
          <cell r="C4766" t="str">
            <v>蒙牛 奶棒密瓜口味雪糕 65克</v>
          </cell>
          <cell r="D4766">
            <v>17935</v>
          </cell>
          <cell r="E4766">
            <v>39750.11</v>
          </cell>
          <cell r="F4766">
            <v>2.5044674825759698</v>
          </cell>
        </row>
        <row r="4767">
          <cell r="B4767" t="str">
            <v>70357512</v>
          </cell>
          <cell r="C4767" t="str">
            <v>田牧 榴莲奶糕 75G</v>
          </cell>
          <cell r="D4767">
            <v>0</v>
          </cell>
          <cell r="E4767">
            <v>0</v>
          </cell>
          <cell r="F4767" t="e">
            <v>#DIV/0!</v>
          </cell>
        </row>
        <row r="4768">
          <cell r="B4768" t="str">
            <v>70386808</v>
          </cell>
          <cell r="C4768" t="str">
            <v>伊利 巧乐兹四个圈蛋奶巧克力味雪糕 70g</v>
          </cell>
          <cell r="D4768">
            <v>965</v>
          </cell>
          <cell r="E4768">
            <v>2685.58</v>
          </cell>
          <cell r="F4768">
            <v>3.1447724352331599</v>
          </cell>
        </row>
        <row r="4769">
          <cell r="B4769" t="str">
            <v>70388818</v>
          </cell>
          <cell r="C4769" t="str">
            <v>伊利 巧乐兹(姜撞奶＋蜜桃乌龙)口味脆筒冰淇淋 85G</v>
          </cell>
          <cell r="D4769">
            <v>5</v>
          </cell>
          <cell r="E4769">
            <v>18.61</v>
          </cell>
          <cell r="F4769">
            <v>4.2058600000000004</v>
          </cell>
        </row>
        <row r="4770">
          <cell r="B4770" t="str">
            <v>70388822</v>
          </cell>
          <cell r="C4770" t="str">
            <v>伊利 甄稀白桃乌龙冰淇淋 90G</v>
          </cell>
          <cell r="D4770">
            <v>205</v>
          </cell>
          <cell r="E4770">
            <v>1121.3399999999999</v>
          </cell>
          <cell r="F4770">
            <v>6.1810448780487803</v>
          </cell>
        </row>
        <row r="4771">
          <cell r="B4771" t="str">
            <v>70389597</v>
          </cell>
          <cell r="C4771" t="str">
            <v>奥雪 大冰桶 95G</v>
          </cell>
          <cell r="D4771">
            <v>24</v>
          </cell>
          <cell r="E4771">
            <v>90.72</v>
          </cell>
          <cell r="F4771">
            <v>4.2713999999999999</v>
          </cell>
        </row>
        <row r="4772">
          <cell r="B4772" t="str">
            <v>70394346</v>
          </cell>
          <cell r="C4772" t="str">
            <v>蒙牛 蒙牛圈牛奶巧克力口味雪糕 70G</v>
          </cell>
          <cell r="D4772">
            <v>16582</v>
          </cell>
          <cell r="E4772">
            <v>33827.9</v>
          </cell>
          <cell r="F4772">
            <v>2.3052422506332202</v>
          </cell>
        </row>
        <row r="4773">
          <cell r="B4773" t="str">
            <v>70396380</v>
          </cell>
          <cell r="C4773" t="str">
            <v>伊利 冰工厂炫白桃雪泥 75G</v>
          </cell>
          <cell r="D4773">
            <v>263</v>
          </cell>
          <cell r="E4773">
            <v>420.04</v>
          </cell>
          <cell r="F4773">
            <v>1.8047346007604601</v>
          </cell>
        </row>
        <row r="4774">
          <cell r="B4774" t="str">
            <v>70402040</v>
          </cell>
          <cell r="C4774" t="str">
            <v>蒙牛 蒂兰圣雪脆皮麦片口味雪糕 70G</v>
          </cell>
          <cell r="D4774">
            <v>20514</v>
          </cell>
          <cell r="E4774">
            <v>43693.87</v>
          </cell>
          <cell r="F4774">
            <v>2.4068476698839798</v>
          </cell>
        </row>
        <row r="4775">
          <cell r="B4775" t="str">
            <v>70402042</v>
          </cell>
          <cell r="C4775" t="str">
            <v>蒙牛 冰海盐柠檬 85g</v>
          </cell>
          <cell r="D4775">
            <v>18296</v>
          </cell>
          <cell r="E4775">
            <v>35873.4</v>
          </cell>
          <cell r="F4775">
            <v>2.2156177306515099</v>
          </cell>
        </row>
        <row r="4776">
          <cell r="B4776" t="str">
            <v>70434903</v>
          </cell>
          <cell r="C4776" t="str">
            <v>伊利 巧乐兹草莓乳酪脆筒 70G</v>
          </cell>
          <cell r="D4776">
            <v>0</v>
          </cell>
          <cell r="E4776">
            <v>0</v>
          </cell>
          <cell r="F4776" t="e">
            <v>#DIV/0!</v>
          </cell>
        </row>
        <row r="4777">
          <cell r="B4777" t="str">
            <v>70434905</v>
          </cell>
          <cell r="C4777" t="str">
            <v>伊利 甄稀满满葡萄味冰淇淋 90G</v>
          </cell>
          <cell r="D4777">
            <v>218</v>
          </cell>
          <cell r="E4777">
            <v>1217.52</v>
          </cell>
          <cell r="F4777">
            <v>6.3109981651376099</v>
          </cell>
        </row>
        <row r="4778">
          <cell r="B4778" t="str">
            <v>70434998</v>
          </cell>
          <cell r="C4778" t="str">
            <v>和路雪 千层雪棒冰淇淋 抹茶 62G</v>
          </cell>
          <cell r="D4778">
            <v>4</v>
          </cell>
          <cell r="E4778">
            <v>17.72</v>
          </cell>
          <cell r="F4778">
            <v>5.0058999999999996</v>
          </cell>
        </row>
        <row r="4779">
          <cell r="B4779" t="str">
            <v>70438869</v>
          </cell>
          <cell r="C4779" t="str">
            <v>蒙牛 随变麦片脆皮冰淇淋 70G</v>
          </cell>
          <cell r="D4779">
            <v>73</v>
          </cell>
          <cell r="E4779">
            <v>206.74</v>
          </cell>
          <cell r="F4779">
            <v>3.2002219178082201</v>
          </cell>
        </row>
        <row r="4780">
          <cell r="B4780" t="str">
            <v>70440967</v>
          </cell>
          <cell r="C4780" t="str">
            <v>伊利 巧乐兹熔岩巧巧冰淇淋 70G</v>
          </cell>
          <cell r="D4780">
            <v>20</v>
          </cell>
          <cell r="E4780">
            <v>83.68</v>
          </cell>
          <cell r="F4780">
            <v>4.7279200000000001</v>
          </cell>
        </row>
        <row r="4781">
          <cell r="B4781" t="str">
            <v>70441569</v>
          </cell>
          <cell r="C4781" t="str">
            <v>伊利 冰工厂炫菠萝 75G</v>
          </cell>
          <cell r="D4781">
            <v>813</v>
          </cell>
          <cell r="E4781">
            <v>1128.5999999999999</v>
          </cell>
          <cell r="F4781">
            <v>1.5686568265682701</v>
          </cell>
        </row>
        <row r="4782">
          <cell r="B4782" t="str">
            <v>70443829</v>
          </cell>
          <cell r="C4782" t="str">
            <v>绿疆 大牛奶 60G/个</v>
          </cell>
          <cell r="D4782">
            <v>122</v>
          </cell>
          <cell r="E4782">
            <v>270.18</v>
          </cell>
          <cell r="F4782">
            <v>2.5024868852458999</v>
          </cell>
        </row>
        <row r="4783">
          <cell r="B4783" t="str">
            <v>70445116</v>
          </cell>
          <cell r="C4783" t="str">
            <v>伊利 冰工厂萄气十足棒冰 70G</v>
          </cell>
          <cell r="D4783">
            <v>1</v>
          </cell>
          <cell r="E4783">
            <v>1.68</v>
          </cell>
          <cell r="F4783">
            <v>1.8984000000000001</v>
          </cell>
        </row>
        <row r="4784">
          <cell r="B4784" t="str">
            <v>70446541</v>
          </cell>
          <cell r="C4784" t="str">
            <v>伊利 克力棒浓香巧克力口味雪糕 59克*40支</v>
          </cell>
          <cell r="D4784">
            <v>0</v>
          </cell>
          <cell r="E4784">
            <v>0</v>
          </cell>
          <cell r="F4784" t="e">
            <v>#DIV/0!</v>
          </cell>
        </row>
        <row r="4785">
          <cell r="B4785" t="str">
            <v>70452763</v>
          </cell>
          <cell r="C4785" t="str">
            <v>蒙牛 纯脆草莓冰棒 个</v>
          </cell>
          <cell r="D4785">
            <v>0</v>
          </cell>
          <cell r="E4785">
            <v>0</v>
          </cell>
          <cell r="F4785" t="e">
            <v>#DIV/0!</v>
          </cell>
        </row>
        <row r="4786">
          <cell r="B4786" t="str">
            <v>70452764</v>
          </cell>
          <cell r="C4786" t="str">
            <v>蒙牛 布丁冰棒 个</v>
          </cell>
          <cell r="D4786">
            <v>0</v>
          </cell>
          <cell r="E4786">
            <v>0</v>
          </cell>
          <cell r="F4786" t="e">
            <v>#DIV/0!</v>
          </cell>
        </row>
        <row r="4787">
          <cell r="B4787" t="str">
            <v>70452765</v>
          </cell>
          <cell r="C4787" t="str">
            <v>蒙牛 巧克力棒冰棒 个</v>
          </cell>
          <cell r="D4787">
            <v>0</v>
          </cell>
          <cell r="E4787">
            <v>0</v>
          </cell>
          <cell r="F4787" t="e">
            <v>#DIV/0!</v>
          </cell>
        </row>
        <row r="4788">
          <cell r="B4788" t="str">
            <v>70458559</v>
          </cell>
          <cell r="C4788" t="str">
            <v>蒙牛 芝麻脆 个</v>
          </cell>
          <cell r="D4788">
            <v>21</v>
          </cell>
          <cell r="E4788">
            <v>14.91</v>
          </cell>
          <cell r="F4788">
            <v>0.80230000000000001</v>
          </cell>
        </row>
        <row r="4789">
          <cell r="B4789" t="str">
            <v>70458560</v>
          </cell>
          <cell r="C4789" t="str">
            <v>蒙牛 奶棒哈密瓜 个</v>
          </cell>
          <cell r="D4789">
            <v>0</v>
          </cell>
          <cell r="E4789">
            <v>0</v>
          </cell>
          <cell r="F4789" t="e">
            <v>#DIV/0!</v>
          </cell>
        </row>
        <row r="4790">
          <cell r="B4790" t="str">
            <v>70464458</v>
          </cell>
          <cell r="C4790" t="str">
            <v>蒙牛 经典香草口味冰淇淋 75G</v>
          </cell>
          <cell r="D4790">
            <v>20650</v>
          </cell>
          <cell r="E4790">
            <v>55027.31</v>
          </cell>
          <cell r="F4790">
            <v>3.0111796755447902</v>
          </cell>
        </row>
        <row r="4791">
          <cell r="B4791" t="str">
            <v>70465825</v>
          </cell>
          <cell r="C4791" t="str">
            <v>伊利 田牧绿钻 70G</v>
          </cell>
          <cell r="D4791">
            <v>5</v>
          </cell>
          <cell r="E4791">
            <v>21.25</v>
          </cell>
          <cell r="F4791">
            <v>4.8025000000000002</v>
          </cell>
        </row>
        <row r="4792">
          <cell r="B4792" t="str">
            <v>70482546</v>
          </cell>
          <cell r="C4792" t="str">
            <v>和路雪 千层雪棒巧克力慕斯口味冰淇淋单支装 110ML 62G</v>
          </cell>
          <cell r="D4792">
            <v>0</v>
          </cell>
          <cell r="E4792">
            <v>0</v>
          </cell>
          <cell r="F4792" t="e">
            <v>#DIV/0!</v>
          </cell>
        </row>
        <row r="4793">
          <cell r="B4793" t="str">
            <v>70482554</v>
          </cell>
          <cell r="C4793" t="str">
            <v>和路雪 可爱多甜筒白桃玫瑰口味冰淇淋 24X110ML 68G</v>
          </cell>
          <cell r="D4793">
            <v>7</v>
          </cell>
          <cell r="E4793">
            <v>31.01</v>
          </cell>
          <cell r="F4793">
            <v>5.0058999999999996</v>
          </cell>
        </row>
        <row r="4794">
          <cell r="B4794" t="str">
            <v>70483759</v>
          </cell>
          <cell r="C4794" t="str">
            <v>伊利 巧乐兹(黑巧＋森林莓)口味脆筒冰淇淋 85G</v>
          </cell>
          <cell r="D4794">
            <v>0</v>
          </cell>
          <cell r="E4794">
            <v>0</v>
          </cell>
          <cell r="F4794" t="e">
            <v>#DIV/0!</v>
          </cell>
        </row>
        <row r="4795">
          <cell r="B4795" t="str">
            <v>70485025</v>
          </cell>
          <cell r="C4795" t="str">
            <v>伊利 牧场青提甜杏味雪糕 65G</v>
          </cell>
          <cell r="D4795">
            <v>3</v>
          </cell>
          <cell r="E4795">
            <v>5.85</v>
          </cell>
          <cell r="F4795">
            <v>2.2035</v>
          </cell>
        </row>
        <row r="4796">
          <cell r="B4796" t="str">
            <v>70485745</v>
          </cell>
          <cell r="C4796" t="str">
            <v>伊利 甄稀杯青柑蜜瓜冰淇淋 90G</v>
          </cell>
          <cell r="D4796">
            <v>136</v>
          </cell>
          <cell r="E4796">
            <v>745.71</v>
          </cell>
          <cell r="F4796">
            <v>6.1959727941176501</v>
          </cell>
        </row>
        <row r="4797">
          <cell r="B4797" t="str">
            <v>70485746</v>
          </cell>
          <cell r="C4797" t="str">
            <v>伊利 低糖厚乳雪糕 70G</v>
          </cell>
          <cell r="D4797">
            <v>0</v>
          </cell>
          <cell r="E4797">
            <v>0</v>
          </cell>
          <cell r="F4797" t="e">
            <v>#DIV/0!</v>
          </cell>
        </row>
        <row r="4798">
          <cell r="B4798" t="str">
            <v>70485751</v>
          </cell>
          <cell r="C4798" t="str">
            <v>伊利 巧乐兹红榴巧巧冰淇淋 70G</v>
          </cell>
          <cell r="D4798">
            <v>0</v>
          </cell>
          <cell r="E4798">
            <v>0</v>
          </cell>
          <cell r="F4798" t="e">
            <v>#DIV/0!</v>
          </cell>
        </row>
        <row r="4799">
          <cell r="B4799" t="str">
            <v>70485760</v>
          </cell>
          <cell r="C4799" t="str">
            <v>伊利 甄稀牛乳黑巧冰淇淋 65G</v>
          </cell>
          <cell r="D4799">
            <v>0</v>
          </cell>
          <cell r="E4799">
            <v>0</v>
          </cell>
          <cell r="F4799" t="e">
            <v>#DIV/0!</v>
          </cell>
        </row>
        <row r="4800">
          <cell r="B4800" t="str">
            <v>70485764</v>
          </cell>
          <cell r="C4800" t="str">
            <v>伊利 甄稀荔枝茉莉味流心冰淇淋 70G</v>
          </cell>
          <cell r="D4800">
            <v>10</v>
          </cell>
          <cell r="E4800">
            <v>44.3</v>
          </cell>
          <cell r="F4800">
            <v>5.0058999999999996</v>
          </cell>
        </row>
        <row r="4801">
          <cell r="B4801" t="str">
            <v>70490717</v>
          </cell>
          <cell r="C4801" t="str">
            <v>伊利 冰麻薯香草 41G</v>
          </cell>
          <cell r="D4801">
            <v>4</v>
          </cell>
          <cell r="E4801">
            <v>12.4</v>
          </cell>
          <cell r="F4801">
            <v>3.5030000000000001</v>
          </cell>
        </row>
        <row r="4802">
          <cell r="B4802" t="str">
            <v>70492614</v>
          </cell>
          <cell r="C4802" t="str">
            <v>德华 魔巧 75G*1</v>
          </cell>
          <cell r="D4802">
            <v>0</v>
          </cell>
          <cell r="E4802">
            <v>0</v>
          </cell>
          <cell r="F4802" t="e">
            <v>#DIV/0!</v>
          </cell>
        </row>
        <row r="4803">
          <cell r="B4803" t="str">
            <v>70518053</v>
          </cell>
          <cell r="C4803" t="str">
            <v>蒙牛 酷爱纯脆草莓味雪糕 45G</v>
          </cell>
          <cell r="D4803">
            <v>19</v>
          </cell>
          <cell r="E4803">
            <v>13.49</v>
          </cell>
          <cell r="F4803">
            <v>0.80230000000000001</v>
          </cell>
        </row>
        <row r="4804">
          <cell r="B4804" t="str">
            <v>70518054</v>
          </cell>
          <cell r="C4804" t="str">
            <v>蒙牛 蛋奶火炬雪糕 80G</v>
          </cell>
          <cell r="D4804">
            <v>10526</v>
          </cell>
          <cell r="E4804">
            <v>26116.58</v>
          </cell>
          <cell r="F4804">
            <v>2.8036989739692202</v>
          </cell>
        </row>
        <row r="4805">
          <cell r="B4805" t="str">
            <v>70520208</v>
          </cell>
          <cell r="C4805" t="str">
            <v>伊利 绮炫松露巧克力味冰淇淋 65G</v>
          </cell>
          <cell r="D4805">
            <v>0</v>
          </cell>
          <cell r="E4805">
            <v>0</v>
          </cell>
          <cell r="F4805" t="e">
            <v>#DIV/0!</v>
          </cell>
        </row>
        <row r="4806">
          <cell r="B4806" t="str">
            <v>70520209</v>
          </cell>
          <cell r="C4806" t="str">
            <v>伊利 巧乐兹6重巧巧冰淇淋 70G</v>
          </cell>
          <cell r="D4806">
            <v>23</v>
          </cell>
          <cell r="E4806">
            <v>91.68</v>
          </cell>
          <cell r="F4806">
            <v>4.5042782608695697</v>
          </cell>
        </row>
        <row r="4807">
          <cell r="B4807" t="str">
            <v>70520211</v>
          </cell>
          <cell r="C4807" t="str">
            <v>伊利 甄稀层层趣巧克力牛奶冰淇淋 90G</v>
          </cell>
          <cell r="D4807">
            <v>2</v>
          </cell>
          <cell r="E4807">
            <v>12.4</v>
          </cell>
          <cell r="F4807">
            <v>7.0060000000000002</v>
          </cell>
        </row>
        <row r="4808">
          <cell r="B4808" t="str">
            <v>70520212</v>
          </cell>
          <cell r="C4808" t="str">
            <v>伊利 甄稀蜜桃青梅味冰淇淋 70G</v>
          </cell>
          <cell r="D4808">
            <v>2</v>
          </cell>
          <cell r="E4808">
            <v>8</v>
          </cell>
          <cell r="F4808">
            <v>4.5199999999999996</v>
          </cell>
        </row>
        <row r="4809">
          <cell r="B4809" t="str">
            <v>70520213</v>
          </cell>
          <cell r="C4809" t="str">
            <v>伊利 甄稀活菌冰淇淋 60G</v>
          </cell>
          <cell r="D4809">
            <v>1</v>
          </cell>
          <cell r="E4809">
            <v>4</v>
          </cell>
          <cell r="F4809">
            <v>4.5199999999999996</v>
          </cell>
        </row>
        <row r="4810">
          <cell r="B4810" t="str">
            <v>70520214</v>
          </cell>
          <cell r="C4810" t="str">
            <v>伊利 发财砖 65G</v>
          </cell>
          <cell r="D4810">
            <v>0</v>
          </cell>
          <cell r="E4810">
            <v>0</v>
          </cell>
          <cell r="F4810" t="e">
            <v>#DIV/0!</v>
          </cell>
        </row>
        <row r="4811">
          <cell r="B4811" t="str">
            <v>70520215</v>
          </cell>
          <cell r="C4811" t="str">
            <v>伊利 牧场低糖软芯可可雪糕 65G</v>
          </cell>
          <cell r="D4811">
            <v>0</v>
          </cell>
          <cell r="E4811">
            <v>0.01</v>
          </cell>
          <cell r="F4811" t="e">
            <v>#DIV/0!</v>
          </cell>
        </row>
        <row r="4812">
          <cell r="B4812" t="str">
            <v>70522519</v>
          </cell>
          <cell r="C4812" t="str">
            <v>新疆 手工冰淇淋原味 90G</v>
          </cell>
          <cell r="D4812">
            <v>2479</v>
          </cell>
          <cell r="E4812">
            <v>23374.78</v>
          </cell>
          <cell r="F4812">
            <v>10.6549017345704</v>
          </cell>
        </row>
        <row r="4813">
          <cell r="B4813" t="str">
            <v>70522526</v>
          </cell>
          <cell r="C4813" t="str">
            <v>棘棘果王 黑加仑味手工冰淇淋 90G/杯</v>
          </cell>
          <cell r="D4813">
            <v>1381</v>
          </cell>
          <cell r="E4813">
            <v>15888.89</v>
          </cell>
          <cell r="F4813">
            <v>13.001046850108599</v>
          </cell>
        </row>
        <row r="4814">
          <cell r="B4814" t="str">
            <v>70522533</v>
          </cell>
          <cell r="C4814" t="str">
            <v>棘棘果王 杏子味手工冰淇淋 90G/杯</v>
          </cell>
          <cell r="D4814">
            <v>47</v>
          </cell>
          <cell r="E4814">
            <v>540.79</v>
          </cell>
          <cell r="F4814">
            <v>13.0019723404255</v>
          </cell>
        </row>
        <row r="4815">
          <cell r="B4815" t="str">
            <v>70522540</v>
          </cell>
          <cell r="C4815" t="str">
            <v>棘棘果王 树莓味手工冰淇淋 90G/杯</v>
          </cell>
          <cell r="D4815">
            <v>92</v>
          </cell>
          <cell r="E4815">
            <v>1058.58</v>
          </cell>
          <cell r="F4815">
            <v>13.0021239130435</v>
          </cell>
        </row>
        <row r="4816">
          <cell r="B4816" t="str">
            <v>70523447</v>
          </cell>
          <cell r="C4816" t="str">
            <v>蒙牛 绿色心情桂花绿豆糕口味冰淇淋 65G</v>
          </cell>
          <cell r="D4816">
            <v>0</v>
          </cell>
          <cell r="E4816">
            <v>0</v>
          </cell>
          <cell r="F4816" t="e">
            <v>#DIV/0!</v>
          </cell>
        </row>
        <row r="4817">
          <cell r="B4817" t="str">
            <v>70523449</v>
          </cell>
          <cell r="C4817" t="str">
            <v>蒙牛 优牧青提甜瓜口味雪糕 70G</v>
          </cell>
          <cell r="D4817">
            <v>35</v>
          </cell>
          <cell r="E4817">
            <v>99.12</v>
          </cell>
          <cell r="F4817">
            <v>3.2001599999999999</v>
          </cell>
        </row>
        <row r="4818">
          <cell r="B4818" t="str">
            <v>70524053</v>
          </cell>
          <cell r="C4818" t="str">
            <v>甄稀 芋泥味冰麻薯冰淇淋 41G</v>
          </cell>
          <cell r="D4818">
            <v>3</v>
          </cell>
          <cell r="E4818">
            <v>10.62</v>
          </cell>
          <cell r="F4818">
            <v>4.0002000000000004</v>
          </cell>
        </row>
        <row r="4819">
          <cell r="B4819" t="str">
            <v>70524054</v>
          </cell>
          <cell r="C4819" t="str">
            <v>伊利 巧乐兹焦糖布丁＋舒芙黄口味脆筒冰淇淋 85G</v>
          </cell>
          <cell r="D4819">
            <v>0</v>
          </cell>
          <cell r="E4819">
            <v>0</v>
          </cell>
          <cell r="F4819" t="e">
            <v>#DIV/0!</v>
          </cell>
        </row>
        <row r="4820">
          <cell r="B4820" t="str">
            <v>70524081</v>
          </cell>
          <cell r="C4820" t="str">
            <v>艾冰客 猫山王榴莲 70G</v>
          </cell>
          <cell r="D4820">
            <v>0</v>
          </cell>
          <cell r="E4820">
            <v>0</v>
          </cell>
          <cell r="F4820" t="e">
            <v>#DIV/0!</v>
          </cell>
        </row>
        <row r="4821">
          <cell r="B4821" t="str">
            <v>70524089</v>
          </cell>
          <cell r="C4821" t="str">
            <v>金泰通 草原奶转 70G</v>
          </cell>
          <cell r="D4821">
            <v>40</v>
          </cell>
          <cell r="E4821">
            <v>95.2</v>
          </cell>
          <cell r="F4821">
            <v>2.6894</v>
          </cell>
        </row>
        <row r="4822">
          <cell r="B4822" t="str">
            <v>70524091</v>
          </cell>
          <cell r="C4822" t="str">
            <v>艾冰客 爆浆糯玉米 68G</v>
          </cell>
          <cell r="D4822">
            <v>30</v>
          </cell>
          <cell r="E4822">
            <v>113.4</v>
          </cell>
          <cell r="F4822">
            <v>4.2713999999999999</v>
          </cell>
        </row>
        <row r="4823">
          <cell r="B4823" t="str">
            <v>70524095</v>
          </cell>
          <cell r="C4823" t="str">
            <v>德华 一串葡萄 75G</v>
          </cell>
          <cell r="D4823">
            <v>30</v>
          </cell>
          <cell r="E4823">
            <v>113.4</v>
          </cell>
          <cell r="F4823">
            <v>4.2713999999999999</v>
          </cell>
        </row>
        <row r="4824">
          <cell r="B4824" t="str">
            <v>70526256</v>
          </cell>
          <cell r="C4824" t="str">
            <v>伊利 绮炫低糖黑巧生牛乳味冰淇淋 65G</v>
          </cell>
          <cell r="D4824">
            <v>107</v>
          </cell>
          <cell r="E4824">
            <v>878.05</v>
          </cell>
          <cell r="F4824">
            <v>9.2728644859813105</v>
          </cell>
        </row>
        <row r="4825">
          <cell r="B4825" t="str">
            <v>70534151</v>
          </cell>
          <cell r="C4825" t="str">
            <v>御冰坊 榴莲 个</v>
          </cell>
          <cell r="D4825">
            <v>24</v>
          </cell>
          <cell r="E4825">
            <v>84.96</v>
          </cell>
          <cell r="F4825">
            <v>4.0002000000000004</v>
          </cell>
        </row>
        <row r="4826">
          <cell r="B4826" t="str">
            <v>70534706</v>
          </cell>
          <cell r="C4826" t="str">
            <v>蒙牛 奶棒雪糕哈密瓜 65G</v>
          </cell>
          <cell r="D4826">
            <v>0</v>
          </cell>
          <cell r="E4826">
            <v>0</v>
          </cell>
          <cell r="F4826" t="e">
            <v>#DIV/0!</v>
          </cell>
        </row>
        <row r="4827">
          <cell r="B4827" t="str">
            <v>70534707</v>
          </cell>
          <cell r="C4827" t="str">
            <v>蒙牛 随变原味冰淇淋 90G</v>
          </cell>
          <cell r="D4827">
            <v>0</v>
          </cell>
          <cell r="E4827">
            <v>0</v>
          </cell>
          <cell r="F4827" t="e">
            <v>#DIV/0!</v>
          </cell>
        </row>
        <row r="4828">
          <cell r="B4828" t="str">
            <v>70534708</v>
          </cell>
          <cell r="C4828" t="str">
            <v>蒙牛 精钻香草口味冰淇淋 75G</v>
          </cell>
          <cell r="D4828">
            <v>0</v>
          </cell>
          <cell r="E4828">
            <v>0</v>
          </cell>
          <cell r="F4828" t="e">
            <v>#DIV/0!</v>
          </cell>
        </row>
        <row r="4829">
          <cell r="B4829" t="str">
            <v>70534709</v>
          </cell>
          <cell r="C4829" t="str">
            <v>蒙牛 萨伯尔曼牛奶冰淇淋 60G</v>
          </cell>
          <cell r="D4829">
            <v>0</v>
          </cell>
          <cell r="E4829">
            <v>0</v>
          </cell>
          <cell r="F4829" t="e">
            <v>#DIV/0!</v>
          </cell>
        </row>
        <row r="4830">
          <cell r="B4830" t="str">
            <v>70534710</v>
          </cell>
          <cell r="C4830" t="str">
            <v>蒙牛 冰＋勇闯天涯啤酒冰淇淋 75G</v>
          </cell>
          <cell r="D4830">
            <v>0</v>
          </cell>
          <cell r="E4830">
            <v>0</v>
          </cell>
          <cell r="F4830" t="e">
            <v>#DIV/0!</v>
          </cell>
        </row>
        <row r="4831">
          <cell r="B4831" t="str">
            <v>70574512</v>
          </cell>
          <cell r="C4831" t="str">
            <v>伊利 云朵绵绵香草口味冰淇淋 62G</v>
          </cell>
          <cell r="D4831">
            <v>97</v>
          </cell>
          <cell r="E4831">
            <v>343.38</v>
          </cell>
          <cell r="F4831">
            <v>4.0002000000000004</v>
          </cell>
        </row>
        <row r="4832">
          <cell r="B4832" t="str">
            <v>70574513</v>
          </cell>
          <cell r="C4832" t="str">
            <v>伊利 苦咖啡搭子牛奶口味脆皮雪糕 62G</v>
          </cell>
          <cell r="D4832">
            <v>698</v>
          </cell>
          <cell r="E4832">
            <v>1750.38</v>
          </cell>
          <cell r="F4832">
            <v>2.8337097421203401</v>
          </cell>
        </row>
        <row r="4833">
          <cell r="B4833" t="str">
            <v>70574514</v>
          </cell>
          <cell r="C4833" t="str">
            <v>伊利 甄稀草莓多多冰淇淋 90G</v>
          </cell>
          <cell r="D4833">
            <v>180</v>
          </cell>
          <cell r="E4833">
            <v>1148.6199999999999</v>
          </cell>
          <cell r="F4833">
            <v>7.2107811111111104</v>
          </cell>
        </row>
        <row r="4834">
          <cell r="B4834" t="str">
            <v>70574515</v>
          </cell>
          <cell r="C4834" t="str">
            <v>伊利 甄稀生椰拿铁味流心冰淇淋 70G</v>
          </cell>
          <cell r="D4834">
            <v>0</v>
          </cell>
          <cell r="E4834">
            <v>0</v>
          </cell>
          <cell r="F4834" t="e">
            <v>#DIV/0!</v>
          </cell>
        </row>
        <row r="4835">
          <cell r="B4835" t="str">
            <v>70574516</v>
          </cell>
          <cell r="C4835" t="str">
            <v>伊利 冰工厂茉香青提味棒冰 70G</v>
          </cell>
          <cell r="D4835">
            <v>0</v>
          </cell>
          <cell r="E4835">
            <v>0</v>
          </cell>
          <cell r="F4835" t="e">
            <v>#DIV/0!</v>
          </cell>
        </row>
        <row r="4836">
          <cell r="B4836" t="str">
            <v>70574517</v>
          </cell>
          <cell r="C4836" t="str">
            <v>伊利 冰工厂多肉冰李味棒冰 70G</v>
          </cell>
          <cell r="D4836">
            <v>0</v>
          </cell>
          <cell r="E4836">
            <v>0.01</v>
          </cell>
          <cell r="F4836" t="e">
            <v>#DIV/0!</v>
          </cell>
        </row>
        <row r="4837">
          <cell r="B4837" t="str">
            <v>70574518</v>
          </cell>
          <cell r="C4837" t="str">
            <v>伊利 绮炫黑巧拿铁味＋椰云牛乳味冰淇淋 65G</v>
          </cell>
          <cell r="D4837">
            <v>383</v>
          </cell>
          <cell r="E4837">
            <v>3142.83</v>
          </cell>
          <cell r="F4837">
            <v>9.2725793733681492</v>
          </cell>
        </row>
        <row r="4838">
          <cell r="B4838" t="str">
            <v>70574519</v>
          </cell>
          <cell r="C4838" t="str">
            <v>伊利 牧场满口果仁雪糕 70G</v>
          </cell>
          <cell r="D4838">
            <v>303</v>
          </cell>
          <cell r="E4838">
            <v>841.48</v>
          </cell>
          <cell r="F4838">
            <v>3.1381927392739302</v>
          </cell>
        </row>
        <row r="4839">
          <cell r="B4839" t="str">
            <v>70574520</v>
          </cell>
          <cell r="C4839" t="str">
            <v>伊利 牧场邂逅莓好冰淇淋 70G</v>
          </cell>
          <cell r="D4839">
            <v>366</v>
          </cell>
          <cell r="E4839">
            <v>983.14</v>
          </cell>
          <cell r="F4839">
            <v>3.0353775956284101</v>
          </cell>
        </row>
        <row r="4840">
          <cell r="B4840" t="str">
            <v>70574521</v>
          </cell>
          <cell r="C4840" t="str">
            <v>伊利 心情低糖红豆雪糕 70G</v>
          </cell>
          <cell r="D4840">
            <v>70</v>
          </cell>
          <cell r="E4840">
            <v>123.9</v>
          </cell>
          <cell r="F4840">
            <v>2.0001000000000002</v>
          </cell>
        </row>
        <row r="4841">
          <cell r="B4841" t="str">
            <v>70574522</v>
          </cell>
          <cell r="C4841" t="str">
            <v>伊利 巧乐兹芋泥糯兹兹雪糕 70G</v>
          </cell>
          <cell r="D4841">
            <v>769</v>
          </cell>
          <cell r="E4841">
            <v>2426.69</v>
          </cell>
          <cell r="F4841">
            <v>3.56587737321196</v>
          </cell>
        </row>
        <row r="4842">
          <cell r="B4842" t="str">
            <v>70575646</v>
          </cell>
          <cell r="C4842" t="str">
            <v>扒皮 香蕉牛奶口味果冻冰棍 76G</v>
          </cell>
          <cell r="D4842">
            <v>34</v>
          </cell>
          <cell r="E4842">
            <v>45.22</v>
          </cell>
          <cell r="F4842">
            <v>1.5028999999999999</v>
          </cell>
        </row>
        <row r="4843">
          <cell r="B4843" t="str">
            <v>70575648</v>
          </cell>
          <cell r="C4843" t="str">
            <v>摇一摇 苹果口味果冻冰棍 70G</v>
          </cell>
          <cell r="D4843">
            <v>61</v>
          </cell>
          <cell r="E4843">
            <v>81</v>
          </cell>
          <cell r="F4843">
            <v>1.50049180327869</v>
          </cell>
        </row>
        <row r="4844">
          <cell r="B4844" t="str">
            <v>70575649</v>
          </cell>
          <cell r="C4844" t="str">
            <v>八喜 雪芭冰淇淋树莓蔓越莓 65G</v>
          </cell>
          <cell r="D4844">
            <v>1</v>
          </cell>
          <cell r="E4844">
            <v>6.38</v>
          </cell>
          <cell r="F4844">
            <v>7.2093999999999996</v>
          </cell>
        </row>
        <row r="4845">
          <cell r="B4845" t="str">
            <v>70575655</v>
          </cell>
          <cell r="C4845" t="str">
            <v>礼拜天 超能棒可可口味雪糕 50G</v>
          </cell>
          <cell r="D4845">
            <v>123</v>
          </cell>
          <cell r="E4845">
            <v>305.04000000000002</v>
          </cell>
          <cell r="F4845">
            <v>2.8024</v>
          </cell>
        </row>
        <row r="4846">
          <cell r="B4846" t="str">
            <v>70575656</v>
          </cell>
          <cell r="C4846" t="str">
            <v>礼拜天 方糕茉莉荔枝口味 70G</v>
          </cell>
          <cell r="D4846">
            <v>158</v>
          </cell>
          <cell r="E4846">
            <v>349.75</v>
          </cell>
          <cell r="F4846">
            <v>2.5013765822784801</v>
          </cell>
        </row>
        <row r="4847">
          <cell r="B4847" t="str">
            <v>70575657</v>
          </cell>
          <cell r="C4847" t="str">
            <v>礼拜天 咖啡方糕 70G</v>
          </cell>
          <cell r="D4847">
            <v>340</v>
          </cell>
          <cell r="E4847">
            <v>752.77</v>
          </cell>
          <cell r="F4847">
            <v>2.5018532352941198</v>
          </cell>
        </row>
        <row r="4848">
          <cell r="B4848" t="str">
            <v>70575658</v>
          </cell>
          <cell r="C4848" t="str">
            <v>礼拜天 超能棒香草口味雪糕 50G</v>
          </cell>
          <cell r="D4848">
            <v>50</v>
          </cell>
          <cell r="E4848">
            <v>123.99</v>
          </cell>
          <cell r="F4848">
            <v>2.8021739999999999</v>
          </cell>
        </row>
        <row r="4849">
          <cell r="B4849" t="str">
            <v>70575659</v>
          </cell>
          <cell r="C4849" t="str">
            <v>礼拜天 超能棒海盐芝士口味雪糕 50G</v>
          </cell>
          <cell r="D4849">
            <v>29</v>
          </cell>
          <cell r="E4849">
            <v>71.92</v>
          </cell>
          <cell r="F4849">
            <v>2.8024</v>
          </cell>
        </row>
        <row r="4850">
          <cell r="B4850" t="str">
            <v>70575694</v>
          </cell>
          <cell r="C4850" t="str">
            <v>香蕉大咖 香蕉口味冰棍 70G</v>
          </cell>
          <cell r="D4850">
            <v>15</v>
          </cell>
          <cell r="E4850">
            <v>19.95</v>
          </cell>
          <cell r="F4850">
            <v>1.5028999999999999</v>
          </cell>
        </row>
        <row r="4851">
          <cell r="B4851" t="str">
            <v>70576441</v>
          </cell>
          <cell r="C4851" t="str">
            <v>伊利 小I的冰雪糕 160G</v>
          </cell>
          <cell r="D4851">
            <v>94</v>
          </cell>
          <cell r="E4851">
            <v>249.71</v>
          </cell>
          <cell r="F4851">
            <v>3.0018329787233999</v>
          </cell>
        </row>
        <row r="4852">
          <cell r="B4852" t="str">
            <v>70576944</v>
          </cell>
          <cell r="C4852" t="str">
            <v>伊利 大甜筒雪糕 66G</v>
          </cell>
          <cell r="D4852">
            <v>48</v>
          </cell>
          <cell r="E4852">
            <v>63.83</v>
          </cell>
          <cell r="F4852">
            <v>1.5026645833333301</v>
          </cell>
        </row>
        <row r="4853">
          <cell r="B4853" t="str">
            <v>70576945</v>
          </cell>
          <cell r="C4853" t="str">
            <v>伊利 方糕红豆糯米味冰激凌 65G</v>
          </cell>
          <cell r="D4853">
            <v>0</v>
          </cell>
          <cell r="E4853">
            <v>0</v>
          </cell>
          <cell r="F4853" t="e">
            <v>#DIV/0!</v>
          </cell>
        </row>
        <row r="4854">
          <cell r="B4854" t="str">
            <v>70577411</v>
          </cell>
          <cell r="C4854" t="str">
            <v>伊利 奶糕雪糕 70G</v>
          </cell>
          <cell r="D4854">
            <v>3</v>
          </cell>
          <cell r="E4854">
            <v>6.66</v>
          </cell>
          <cell r="F4854">
            <v>2.5085999999999999</v>
          </cell>
        </row>
        <row r="4855">
          <cell r="B4855" t="str">
            <v>70578793</v>
          </cell>
          <cell r="C4855" t="str">
            <v>伊利 克力棒浓香巧克力口味雪糕 55G</v>
          </cell>
          <cell r="D4855">
            <v>415</v>
          </cell>
          <cell r="E4855">
            <v>492.29</v>
          </cell>
          <cell r="F4855">
            <v>1.34045228915663</v>
          </cell>
        </row>
        <row r="4856">
          <cell r="B4856" t="str">
            <v>70578852</v>
          </cell>
          <cell r="C4856" t="str">
            <v>蒙牛 冰＋巧克力口味雪泥冰淇淋 70G</v>
          </cell>
          <cell r="D4856">
            <v>473</v>
          </cell>
          <cell r="E4856">
            <v>1004.88</v>
          </cell>
          <cell r="F4856">
            <v>2.4006646934460898</v>
          </cell>
        </row>
        <row r="4857">
          <cell r="B4857" t="str">
            <v>70578868</v>
          </cell>
          <cell r="C4857" t="str">
            <v>蒙牛 随变随变转巧克力雪糕 65G×40</v>
          </cell>
          <cell r="D4857">
            <v>2805</v>
          </cell>
          <cell r="E4857">
            <v>6829.34</v>
          </cell>
          <cell r="F4857">
            <v>2.75121361853832</v>
          </cell>
        </row>
        <row r="4858">
          <cell r="B4858" t="str">
            <v>70579117</v>
          </cell>
          <cell r="C4858" t="str">
            <v>德芙 脆香米小熊棒棒巧克力冰淇淋 42G</v>
          </cell>
          <cell r="D4858">
            <v>0</v>
          </cell>
          <cell r="E4858">
            <v>0</v>
          </cell>
          <cell r="F4858" t="e">
            <v>#DIV/0!</v>
          </cell>
        </row>
        <row r="4859">
          <cell r="B4859" t="str">
            <v>70579128</v>
          </cell>
          <cell r="C4859" t="str">
            <v>奥雪方糕 红豆糯米口味雪糕 72G</v>
          </cell>
          <cell r="D4859">
            <v>0</v>
          </cell>
          <cell r="E4859">
            <v>0</v>
          </cell>
          <cell r="F4859" t="e">
            <v>#DIV/0!</v>
          </cell>
        </row>
        <row r="4860">
          <cell r="B4860" t="str">
            <v>70579129</v>
          </cell>
          <cell r="C4860" t="str">
            <v>嚼酸奶 酸奶口味雪糕 75G</v>
          </cell>
          <cell r="D4860">
            <v>0</v>
          </cell>
          <cell r="E4860">
            <v>0</v>
          </cell>
          <cell r="F4860" t="e">
            <v>#DIV/0!</v>
          </cell>
        </row>
        <row r="4861">
          <cell r="B4861" t="str">
            <v>70579130</v>
          </cell>
          <cell r="C4861" t="str">
            <v>冰心逗豆 红豆味雪糕 70G</v>
          </cell>
          <cell r="D4861">
            <v>0</v>
          </cell>
          <cell r="E4861">
            <v>0</v>
          </cell>
          <cell r="F4861" t="e">
            <v>#DIV/0!</v>
          </cell>
        </row>
        <row r="4862">
          <cell r="B4862" t="str">
            <v>70579131</v>
          </cell>
          <cell r="C4862" t="str">
            <v>37度瓜田 香瓜味雪糕 80G</v>
          </cell>
          <cell r="D4862">
            <v>30</v>
          </cell>
          <cell r="E4862">
            <v>113.4</v>
          </cell>
          <cell r="F4862">
            <v>4.2713999999999999</v>
          </cell>
        </row>
        <row r="4863">
          <cell r="B4863" t="str">
            <v>70580350</v>
          </cell>
          <cell r="C4863" t="str">
            <v>伊利 巧乐兹迷你(黑巧＋蜜桃乌龙)口味脆筒冰淇淋 20G</v>
          </cell>
          <cell r="D4863">
            <v>0</v>
          </cell>
          <cell r="E4863">
            <v>0</v>
          </cell>
          <cell r="F4863" t="e">
            <v>#DIV/0!</v>
          </cell>
        </row>
        <row r="4864">
          <cell r="B4864" t="str">
            <v>70586549</v>
          </cell>
          <cell r="C4864" t="str">
            <v>伊利 方糕红豆糯米味 65克</v>
          </cell>
          <cell r="D4864">
            <v>211</v>
          </cell>
          <cell r="E4864">
            <v>434.03</v>
          </cell>
          <cell r="F4864">
            <v>2.3244260663507101</v>
          </cell>
        </row>
        <row r="4865">
          <cell r="B4865" t="str">
            <v>70639632</v>
          </cell>
          <cell r="C4865" t="str">
            <v>蒙牛 山楂雪泥 65G</v>
          </cell>
          <cell r="D4865">
            <v>62</v>
          </cell>
          <cell r="E4865">
            <v>82.46</v>
          </cell>
          <cell r="F4865">
            <v>1.5028999999999999</v>
          </cell>
        </row>
        <row r="4866">
          <cell r="B4866" t="str">
            <v>70639633</v>
          </cell>
          <cell r="C4866" t="str">
            <v>蒙牛 菠萝雪泥 65G</v>
          </cell>
          <cell r="D4866">
            <v>33</v>
          </cell>
          <cell r="E4866">
            <v>43.89</v>
          </cell>
          <cell r="F4866">
            <v>1.5028999999999999</v>
          </cell>
        </row>
        <row r="4867">
          <cell r="B4867" t="str">
            <v>70639634</v>
          </cell>
          <cell r="C4867" t="str">
            <v>蒙牛 萨伯尔曼新疆奶糕雪糕 65G</v>
          </cell>
          <cell r="D4867">
            <v>52</v>
          </cell>
          <cell r="E4867">
            <v>110.78</v>
          </cell>
          <cell r="F4867">
            <v>2.4073346153846198</v>
          </cell>
        </row>
        <row r="4868">
          <cell r="B4868" t="str">
            <v>70639635</v>
          </cell>
          <cell r="C4868" t="str">
            <v>蒙牛 冰＋食用冰杯 160G</v>
          </cell>
          <cell r="D4868">
            <v>5658</v>
          </cell>
          <cell r="E4868">
            <v>17549.490000000002</v>
          </cell>
          <cell r="F4868">
            <v>3.5049352598091201</v>
          </cell>
        </row>
        <row r="4869">
          <cell r="B4869" t="str">
            <v>70682558</v>
          </cell>
          <cell r="C4869" t="str">
            <v>石杞河 枸杞冰淇淋 90G</v>
          </cell>
          <cell r="D4869">
            <v>31</v>
          </cell>
          <cell r="E4869">
            <v>219.48</v>
          </cell>
          <cell r="F4869">
            <v>8.0004000000000008</v>
          </cell>
        </row>
        <row r="4870">
          <cell r="B4870" t="str">
            <v>70686979</v>
          </cell>
          <cell r="C4870" t="str">
            <v>伊利 蜜瓜仙子雪糕 60克</v>
          </cell>
          <cell r="D4870">
            <v>1</v>
          </cell>
          <cell r="E4870">
            <v>1.1599999999999999</v>
          </cell>
          <cell r="F4870">
            <v>1.3108</v>
          </cell>
        </row>
        <row r="4871">
          <cell r="B4871" t="str">
            <v>70688299</v>
          </cell>
          <cell r="C4871" t="str">
            <v>曼琳娜 手工冰淇淋 130G</v>
          </cell>
          <cell r="D4871">
            <v>68</v>
          </cell>
          <cell r="E4871">
            <v>337.14</v>
          </cell>
          <cell r="F4871">
            <v>5.6024735294117596</v>
          </cell>
        </row>
        <row r="4872">
          <cell r="B4872" t="str">
            <v>70688805</v>
          </cell>
          <cell r="C4872" t="str">
            <v>伊利 巧乐兹乌漆麻嘿冰淇淋 70G</v>
          </cell>
          <cell r="D4872">
            <v>140</v>
          </cell>
          <cell r="E4872">
            <v>495.6</v>
          </cell>
          <cell r="F4872">
            <v>4.0002000000000004</v>
          </cell>
        </row>
        <row r="4873">
          <cell r="B4873" t="str">
            <v>70688806</v>
          </cell>
          <cell r="C4873" t="str">
            <v>伊利 巧乐兹巧卟卟低糖咸酪布朗尼味雪糕 50G</v>
          </cell>
          <cell r="D4873">
            <v>132</v>
          </cell>
          <cell r="E4873">
            <v>350.73</v>
          </cell>
          <cell r="F4873">
            <v>3.00246136363636</v>
          </cell>
        </row>
        <row r="4874">
          <cell r="B4874" t="str">
            <v>70688809</v>
          </cell>
          <cell r="C4874" t="str">
            <v>伊利 巧乐兹巧噜噜低糖抹茶可可味雪糕 50G</v>
          </cell>
          <cell r="D4874">
            <v>204</v>
          </cell>
          <cell r="E4874">
            <v>542.04999999999995</v>
          </cell>
          <cell r="F4874">
            <v>3.0025318627451001</v>
          </cell>
        </row>
        <row r="4875">
          <cell r="B4875" t="str">
            <v>70000113</v>
          </cell>
          <cell r="C4875" t="str">
            <v>格力高 百醇牛奶饼干 48G</v>
          </cell>
          <cell r="D4875">
            <v>599</v>
          </cell>
          <cell r="E4875">
            <v>3182.94</v>
          </cell>
          <cell r="F4875">
            <v>6.0045445742904802</v>
          </cell>
        </row>
        <row r="4876">
          <cell r="B4876" t="str">
            <v>70000420</v>
          </cell>
          <cell r="C4876" t="str">
            <v>达利园 好吃点核桃酥 146G</v>
          </cell>
          <cell r="D4876">
            <v>1463</v>
          </cell>
          <cell r="E4876">
            <v>4890.22</v>
          </cell>
          <cell r="F4876">
            <v>3.7771350649350599</v>
          </cell>
        </row>
        <row r="4877">
          <cell r="B4877" t="str">
            <v>70000455</v>
          </cell>
          <cell r="C4877" t="str">
            <v>徐福记 沙琪玛鸡蛋 160G*2</v>
          </cell>
          <cell r="D4877">
            <v>300</v>
          </cell>
          <cell r="E4877">
            <v>3112.44</v>
          </cell>
          <cell r="F4877">
            <v>11.723523999999999</v>
          </cell>
        </row>
        <row r="4878">
          <cell r="B4878" t="str">
            <v>70000456</v>
          </cell>
          <cell r="C4878" t="str">
            <v>徐福记 八庄芝麻促销包 160G*2</v>
          </cell>
          <cell r="D4878">
            <v>320</v>
          </cell>
          <cell r="E4878">
            <v>3326.11</v>
          </cell>
          <cell r="F4878">
            <v>11.745325937500001</v>
          </cell>
        </row>
        <row r="4879">
          <cell r="B4879" t="str">
            <v>70000457</v>
          </cell>
          <cell r="C4879" t="str">
            <v>徐福记 草莓卷心酥 105G</v>
          </cell>
          <cell r="D4879">
            <v>666</v>
          </cell>
          <cell r="E4879">
            <v>3633.42</v>
          </cell>
          <cell r="F4879">
            <v>6.1648117117117103</v>
          </cell>
        </row>
        <row r="4880">
          <cell r="B4880" t="str">
            <v>70000458</v>
          </cell>
          <cell r="C4880" t="str">
            <v>徐福记 卷心酥香草牛奶味 105G</v>
          </cell>
          <cell r="D4880">
            <v>701</v>
          </cell>
          <cell r="E4880">
            <v>3823.53</v>
          </cell>
          <cell r="F4880">
            <v>6.16346490727532</v>
          </cell>
        </row>
        <row r="4881">
          <cell r="B4881" t="str">
            <v>70000514</v>
          </cell>
          <cell r="C4881" t="str">
            <v>雀巢脆脆鲨巧克力味夹心威化 18.6g</v>
          </cell>
          <cell r="D4881">
            <v>23141</v>
          </cell>
          <cell r="E4881">
            <v>23716.29</v>
          </cell>
          <cell r="F4881">
            <v>1.1580920314593099</v>
          </cell>
        </row>
        <row r="4882">
          <cell r="B4882" t="str">
            <v>70000568</v>
          </cell>
          <cell r="C4882" t="str">
            <v>康师傅 3＋2苏打夹心香草巧克力味 125G</v>
          </cell>
          <cell r="D4882">
            <v>3428</v>
          </cell>
          <cell r="E4882">
            <v>16216.29</v>
          </cell>
          <cell r="F4882">
            <v>5.3455098308051303</v>
          </cell>
        </row>
        <row r="4883">
          <cell r="B4883" t="str">
            <v>70000664</v>
          </cell>
          <cell r="C4883" t="str">
            <v>好丽友 蘑古力 48g</v>
          </cell>
          <cell r="D4883">
            <v>2742</v>
          </cell>
          <cell r="E4883">
            <v>8988.99</v>
          </cell>
          <cell r="F4883">
            <v>3.7044342450765901</v>
          </cell>
        </row>
        <row r="4884">
          <cell r="B4884" t="str">
            <v>70000668</v>
          </cell>
          <cell r="C4884" t="str">
            <v>好丽友 蘑古力红豆味 48g</v>
          </cell>
          <cell r="D4884">
            <v>2172</v>
          </cell>
          <cell r="E4884">
            <v>5671.79</v>
          </cell>
          <cell r="F4884">
            <v>2.9507931399631699</v>
          </cell>
        </row>
        <row r="4885">
          <cell r="B4885" t="str">
            <v>70001467</v>
          </cell>
          <cell r="C4885" t="str">
            <v>康师傅 蛋黄也酥酥原味 80G</v>
          </cell>
          <cell r="D4885">
            <v>553</v>
          </cell>
          <cell r="E4885">
            <v>2066.7600000000002</v>
          </cell>
          <cell r="F4885">
            <v>4.2232166365280301</v>
          </cell>
        </row>
        <row r="4886">
          <cell r="B4886" t="str">
            <v>70001468</v>
          </cell>
          <cell r="C4886" t="str">
            <v>康师傅 3加2苏打饼干浓香奶油味 125g</v>
          </cell>
          <cell r="D4886">
            <v>2848</v>
          </cell>
          <cell r="E4886">
            <v>13466.32</v>
          </cell>
          <cell r="F4886">
            <v>5.3430272471910101</v>
          </cell>
        </row>
        <row r="4887">
          <cell r="B4887" t="str">
            <v>70001469</v>
          </cell>
          <cell r="C4887" t="str">
            <v>康师傅 3＋2苏打饼干果香蓝莓味 125g</v>
          </cell>
          <cell r="D4887">
            <v>2625</v>
          </cell>
          <cell r="E4887">
            <v>12418.2</v>
          </cell>
          <cell r="F4887">
            <v>5.3457394285714299</v>
          </cell>
        </row>
        <row r="4888">
          <cell r="B4888" t="str">
            <v>70001472</v>
          </cell>
          <cell r="C4888" t="str">
            <v>康师傅 3＋2苏打夹心番茄味 125G</v>
          </cell>
          <cell r="D4888">
            <v>0</v>
          </cell>
          <cell r="E4888">
            <v>0</v>
          </cell>
          <cell r="F4888" t="e">
            <v>#DIV/0!</v>
          </cell>
        </row>
        <row r="4889">
          <cell r="B4889" t="str">
            <v>70001492</v>
          </cell>
          <cell r="C4889" t="str">
            <v>康元 椰子饼干 200克</v>
          </cell>
          <cell r="D4889">
            <v>8</v>
          </cell>
          <cell r="E4889">
            <v>54.52</v>
          </cell>
          <cell r="F4889">
            <v>7.7009499999999997</v>
          </cell>
        </row>
        <row r="4890">
          <cell r="B4890" t="str">
            <v>70001493</v>
          </cell>
          <cell r="C4890" t="str">
            <v>康元 提子饼干 200克</v>
          </cell>
          <cell r="D4890">
            <v>23</v>
          </cell>
          <cell r="E4890">
            <v>251.43</v>
          </cell>
          <cell r="F4890">
            <v>12.352865217391299</v>
          </cell>
        </row>
        <row r="4891">
          <cell r="B4891" t="str">
            <v>70001568</v>
          </cell>
          <cell r="C4891" t="str">
            <v>格力高 百醇巧克力味注心饼干（油脂型） 48g</v>
          </cell>
          <cell r="D4891">
            <v>652</v>
          </cell>
          <cell r="E4891">
            <v>3202.83</v>
          </cell>
          <cell r="F4891">
            <v>5.5509170245398796</v>
          </cell>
        </row>
        <row r="4892">
          <cell r="B4892" t="str">
            <v>70001569</v>
          </cell>
          <cell r="C4892" t="str">
            <v>格力高 百醇提拉米苏 48G*3</v>
          </cell>
          <cell r="D4892">
            <v>406</v>
          </cell>
          <cell r="E4892">
            <v>2160.9299999999998</v>
          </cell>
          <cell r="F4892">
            <v>6.0144110837438403</v>
          </cell>
        </row>
        <row r="4893">
          <cell r="B4893" t="str">
            <v>70001579</v>
          </cell>
          <cell r="C4893" t="str">
            <v>嘉顿 芝麻薄饼 225G</v>
          </cell>
          <cell r="D4893">
            <v>176</v>
          </cell>
          <cell r="E4893">
            <v>2483.1</v>
          </cell>
          <cell r="F4893">
            <v>15.9426306818182</v>
          </cell>
        </row>
        <row r="4894">
          <cell r="B4894" t="str">
            <v>70001580</v>
          </cell>
          <cell r="C4894" t="str">
            <v>嘉顿 香葱薄饼 225G</v>
          </cell>
          <cell r="D4894">
            <v>141</v>
          </cell>
          <cell r="E4894">
            <v>1996.8</v>
          </cell>
          <cell r="F4894">
            <v>16.002723404255299</v>
          </cell>
        </row>
        <row r="4895">
          <cell r="B4895" t="str">
            <v>70001614</v>
          </cell>
          <cell r="C4895" t="str">
            <v>达利 好吃点 榛仁酥 146G</v>
          </cell>
          <cell r="D4895">
            <v>5</v>
          </cell>
          <cell r="E4895">
            <v>16.75</v>
          </cell>
          <cell r="F4895">
            <v>3.7854999999999999</v>
          </cell>
        </row>
        <row r="4896">
          <cell r="B4896" t="str">
            <v>70001615</v>
          </cell>
          <cell r="C4896" t="str">
            <v>好吃点 杏仁酥 146G</v>
          </cell>
          <cell r="D4896">
            <v>13</v>
          </cell>
          <cell r="E4896">
            <v>44.66</v>
          </cell>
          <cell r="F4896">
            <v>3.88198461538461</v>
          </cell>
        </row>
        <row r="4897">
          <cell r="B4897" t="str">
            <v>70004522</v>
          </cell>
          <cell r="C4897" t="str">
            <v>徐福记 草莓酥 184G</v>
          </cell>
          <cell r="D4897">
            <v>547</v>
          </cell>
          <cell r="E4897">
            <v>5163.1400000000003</v>
          </cell>
          <cell r="F4897">
            <v>10.6660844606947</v>
          </cell>
        </row>
        <row r="4898">
          <cell r="B4898" t="str">
            <v>70004523</v>
          </cell>
          <cell r="C4898" t="str">
            <v>徐福记 凤梨酥 184G</v>
          </cell>
          <cell r="D4898">
            <v>574</v>
          </cell>
          <cell r="E4898">
            <v>5433.73</v>
          </cell>
          <cell r="F4898">
            <v>10.697064285714299</v>
          </cell>
        </row>
        <row r="4899">
          <cell r="B4899" t="str">
            <v>70004707</v>
          </cell>
          <cell r="C4899" t="str">
            <v>格力高 百醇抹茶慕斯味注心饼干 48G</v>
          </cell>
          <cell r="D4899">
            <v>884</v>
          </cell>
          <cell r="E4899">
            <v>4345.32</v>
          </cell>
          <cell r="F4899">
            <v>5.5545380090497698</v>
          </cell>
        </row>
        <row r="4900">
          <cell r="B4900" t="str">
            <v>70005401</v>
          </cell>
          <cell r="C4900" t="str">
            <v>达利 好吃点香脆核桃饼 108G</v>
          </cell>
          <cell r="D4900">
            <v>6310</v>
          </cell>
          <cell r="E4900">
            <v>14585.93</v>
          </cell>
          <cell r="F4900">
            <v>2.61206036450079</v>
          </cell>
        </row>
        <row r="4901">
          <cell r="B4901" t="str">
            <v>70007732</v>
          </cell>
          <cell r="C4901" t="str">
            <v>卡夫 太平梳打(奶盐) 100G</v>
          </cell>
          <cell r="D4901">
            <v>8</v>
          </cell>
          <cell r="E4901">
            <v>28.32</v>
          </cell>
          <cell r="F4901">
            <v>4.0002000000000004</v>
          </cell>
        </row>
        <row r="4902">
          <cell r="B4902" t="str">
            <v>70007738</v>
          </cell>
          <cell r="C4902" t="str">
            <v>太平 加钙苏打 100G*24</v>
          </cell>
          <cell r="D4902">
            <v>15</v>
          </cell>
          <cell r="E4902">
            <v>53.1</v>
          </cell>
          <cell r="F4902">
            <v>4.0002000000000004</v>
          </cell>
        </row>
        <row r="4903">
          <cell r="B4903" t="str">
            <v>70007740</v>
          </cell>
          <cell r="C4903" t="str">
            <v>卡夫 太平梳打(香葱) 100G</v>
          </cell>
          <cell r="D4903">
            <v>1</v>
          </cell>
          <cell r="E4903">
            <v>3.54</v>
          </cell>
          <cell r="F4903">
            <v>4.0002000000000004</v>
          </cell>
        </row>
        <row r="4904">
          <cell r="B4904" t="str">
            <v>70007741</v>
          </cell>
          <cell r="C4904" t="str">
            <v>卡夫 奇宝太平梳打(海苔) 100G</v>
          </cell>
          <cell r="D4904">
            <v>13</v>
          </cell>
          <cell r="E4904">
            <v>46.02</v>
          </cell>
          <cell r="F4904">
            <v>4.0002000000000004</v>
          </cell>
        </row>
        <row r="4905">
          <cell r="B4905" t="str">
            <v>70007768</v>
          </cell>
          <cell r="C4905" t="str">
            <v>美丹 芝麻白苏打饼干 248G</v>
          </cell>
          <cell r="D4905">
            <v>543</v>
          </cell>
          <cell r="E4905">
            <v>2554.13</v>
          </cell>
          <cell r="F4905">
            <v>5.3152244935543296</v>
          </cell>
        </row>
        <row r="4906">
          <cell r="B4906" t="str">
            <v>70007769</v>
          </cell>
          <cell r="C4906" t="str">
            <v>美丹 原味白梳打饼干 248g</v>
          </cell>
          <cell r="D4906">
            <v>522</v>
          </cell>
          <cell r="E4906">
            <v>2448.9499999999998</v>
          </cell>
          <cell r="F4906">
            <v>5.3013668582375502</v>
          </cell>
        </row>
        <row r="4907">
          <cell r="B4907" t="str">
            <v>70007770</v>
          </cell>
          <cell r="C4907" t="str">
            <v>美丹 白梳打饼干 118g</v>
          </cell>
          <cell r="D4907">
            <v>1053</v>
          </cell>
          <cell r="E4907">
            <v>2433.63</v>
          </cell>
          <cell r="F4907">
            <v>2.6115877492877502</v>
          </cell>
        </row>
        <row r="4908">
          <cell r="B4908" t="str">
            <v>70007797</v>
          </cell>
          <cell r="C4908" t="str">
            <v>雀巢脆脆鲨牛奶夹心威化 18.6g</v>
          </cell>
          <cell r="D4908">
            <v>18101</v>
          </cell>
          <cell r="E4908">
            <v>18558.47</v>
          </cell>
          <cell r="F4908">
            <v>1.1585587039390099</v>
          </cell>
        </row>
        <row r="4909">
          <cell r="B4909" t="str">
            <v>70007843</v>
          </cell>
          <cell r="C4909" t="str">
            <v>嘉士利 巧克力味夹层饼干 130g</v>
          </cell>
          <cell r="D4909">
            <v>450</v>
          </cell>
          <cell r="E4909">
            <v>1470.72</v>
          </cell>
          <cell r="F4909">
            <v>3.6931413333333301</v>
          </cell>
        </row>
        <row r="4910">
          <cell r="B4910" t="str">
            <v>70007885</v>
          </cell>
          <cell r="C4910" t="str">
            <v>达利园 瑞士卷草莓味 160g</v>
          </cell>
          <cell r="D4910">
            <v>2267</v>
          </cell>
          <cell r="E4910">
            <v>10412.530000000001</v>
          </cell>
          <cell r="F4910">
            <v>5.1901891927657697</v>
          </cell>
        </row>
        <row r="4911">
          <cell r="B4911" t="str">
            <v>70007886</v>
          </cell>
          <cell r="C4911" t="str">
            <v>达利园瑞士卷橙汁味 160G</v>
          </cell>
          <cell r="D4911">
            <v>0</v>
          </cell>
          <cell r="E4911">
            <v>0</v>
          </cell>
          <cell r="F4911" t="e">
            <v>#DIV/0!</v>
          </cell>
        </row>
        <row r="4912">
          <cell r="B4912" t="str">
            <v>70007888</v>
          </cell>
          <cell r="C4912" t="str">
            <v>达利园 瑞士卷香蕉味 160G</v>
          </cell>
          <cell r="D4912">
            <v>0</v>
          </cell>
          <cell r="E4912">
            <v>0</v>
          </cell>
          <cell r="F4912" t="e">
            <v>#DIV/0!</v>
          </cell>
        </row>
        <row r="4913">
          <cell r="B4913" t="str">
            <v>70007898</v>
          </cell>
          <cell r="C4913" t="str">
            <v>康师傅 乐芙球巧克力味 50g</v>
          </cell>
          <cell r="D4913">
            <v>725</v>
          </cell>
          <cell r="E4913">
            <v>3218.44</v>
          </cell>
          <cell r="F4913">
            <v>5.0163271724137903</v>
          </cell>
        </row>
        <row r="4914">
          <cell r="B4914" t="str">
            <v>70007899</v>
          </cell>
          <cell r="C4914" t="str">
            <v>康师傅 乐芙球牛奶味 50g</v>
          </cell>
          <cell r="D4914">
            <v>1008</v>
          </cell>
          <cell r="E4914">
            <v>4471.6099999999997</v>
          </cell>
          <cell r="F4914">
            <v>5.0128167658730201</v>
          </cell>
        </row>
        <row r="4915">
          <cell r="B4915" t="str">
            <v>70007902</v>
          </cell>
          <cell r="C4915" t="str">
            <v>康师傅 3＋2苏打夹心饼干（柠檬味） 125g</v>
          </cell>
          <cell r="D4915">
            <v>645</v>
          </cell>
          <cell r="E4915">
            <v>3075.67</v>
          </cell>
          <cell r="F4915">
            <v>5.3883831007751901</v>
          </cell>
        </row>
        <row r="4916">
          <cell r="B4916" t="str">
            <v>70007958</v>
          </cell>
          <cell r="C4916" t="str">
            <v>嘉士利 原味早餐饼干 167G</v>
          </cell>
          <cell r="D4916">
            <v>2601</v>
          </cell>
          <cell r="E4916">
            <v>8456.51</v>
          </cell>
          <cell r="F4916">
            <v>3.6739163014225298</v>
          </cell>
        </row>
        <row r="4917">
          <cell r="B4917" t="str">
            <v>70007963</v>
          </cell>
          <cell r="C4917" t="str">
            <v>达利 好吃点核桃酥 108G</v>
          </cell>
          <cell r="D4917">
            <v>5725</v>
          </cell>
          <cell r="E4917">
            <v>14106.96</v>
          </cell>
          <cell r="F4917">
            <v>2.7844305327510899</v>
          </cell>
        </row>
        <row r="4918">
          <cell r="B4918" t="str">
            <v>70007964</v>
          </cell>
          <cell r="C4918" t="str">
            <v>达利 好吃点杏仁酥 108G</v>
          </cell>
          <cell r="D4918">
            <v>3463</v>
          </cell>
          <cell r="E4918">
            <v>8538.7099999999991</v>
          </cell>
          <cell r="F4918">
            <v>2.7862380306093</v>
          </cell>
        </row>
        <row r="4919">
          <cell r="B4919" t="str">
            <v>70007965</v>
          </cell>
          <cell r="C4919" t="str">
            <v>达利 好吃点榛仁酥 108G</v>
          </cell>
          <cell r="D4919">
            <v>4335</v>
          </cell>
          <cell r="E4919">
            <v>10672.69</v>
          </cell>
          <cell r="F4919">
            <v>2.7820391464821199</v>
          </cell>
        </row>
        <row r="4920">
          <cell r="B4920" t="str">
            <v>70007966</v>
          </cell>
          <cell r="C4920" t="str">
            <v>达利园好吃点早茶饼 150G</v>
          </cell>
          <cell r="D4920">
            <v>4433</v>
          </cell>
          <cell r="E4920">
            <v>9079.7999999999993</v>
          </cell>
          <cell r="F4920">
            <v>2.3144989848860802</v>
          </cell>
        </row>
        <row r="4921">
          <cell r="B4921" t="str">
            <v>70007972</v>
          </cell>
          <cell r="C4921" t="str">
            <v>达利 好吃点 高纤粗粮饼 168G</v>
          </cell>
          <cell r="D4921">
            <v>0</v>
          </cell>
          <cell r="E4921">
            <v>0</v>
          </cell>
          <cell r="F4921" t="e">
            <v>#DIV/0!</v>
          </cell>
        </row>
        <row r="4922">
          <cell r="B4922" t="str">
            <v>70007982</v>
          </cell>
          <cell r="C4922" t="str">
            <v>徐福记 香酥芝麻味沙琪玛 469G</v>
          </cell>
          <cell r="D4922">
            <v>134</v>
          </cell>
          <cell r="E4922">
            <v>1851.94</v>
          </cell>
          <cell r="F4922">
            <v>15.6171059701493</v>
          </cell>
        </row>
        <row r="4923">
          <cell r="B4923" t="str">
            <v>70008141</v>
          </cell>
          <cell r="C4923" t="str">
            <v>达利 手指饼 115G</v>
          </cell>
          <cell r="D4923">
            <v>20</v>
          </cell>
          <cell r="E4923">
            <v>41.96</v>
          </cell>
          <cell r="F4923">
            <v>2.3707400000000001</v>
          </cell>
        </row>
        <row r="4924">
          <cell r="B4924" t="str">
            <v>70008153</v>
          </cell>
          <cell r="C4924" t="str">
            <v>达利 好吃点香脆杏仁饼 108G</v>
          </cell>
          <cell r="D4924">
            <v>8213</v>
          </cell>
          <cell r="E4924">
            <v>18989.96</v>
          </cell>
          <cell r="F4924">
            <v>2.6127669304760701</v>
          </cell>
        </row>
        <row r="4925">
          <cell r="B4925" t="str">
            <v>70008154</v>
          </cell>
          <cell r="C4925" t="str">
            <v>达利 好吃点香脆腰果饼 108G</v>
          </cell>
          <cell r="D4925">
            <v>7177</v>
          </cell>
          <cell r="E4925">
            <v>16585.21</v>
          </cell>
          <cell r="F4925">
            <v>2.61129821652501</v>
          </cell>
        </row>
        <row r="4926">
          <cell r="B4926" t="str">
            <v>70008500</v>
          </cell>
          <cell r="C4926" t="str">
            <v>徐福记 沙琪玛(松软蛋酥) 32G</v>
          </cell>
          <cell r="D4926">
            <v>49</v>
          </cell>
          <cell r="E4926">
            <v>65.17</v>
          </cell>
          <cell r="F4926">
            <v>1.5028999999999999</v>
          </cell>
        </row>
        <row r="4927">
          <cell r="B4927" t="str">
            <v>70008501</v>
          </cell>
          <cell r="C4927" t="str">
            <v>徐福记 沙琪玛(芝麻香酥) 32G</v>
          </cell>
          <cell r="D4927">
            <v>2044</v>
          </cell>
          <cell r="E4927">
            <v>2727.94</v>
          </cell>
          <cell r="F4927">
            <v>1.5081077299412899</v>
          </cell>
        </row>
        <row r="4928">
          <cell r="B4928" t="str">
            <v>70008506</v>
          </cell>
          <cell r="C4928" t="str">
            <v>徐福记(沙琪玛)405蛋酥(香芝麻) 311G</v>
          </cell>
          <cell r="D4928">
            <v>828</v>
          </cell>
          <cell r="E4928">
            <v>8567.25</v>
          </cell>
          <cell r="F4928">
            <v>11.692019927536199</v>
          </cell>
        </row>
        <row r="4929">
          <cell r="B4929" t="str">
            <v>70014253</v>
          </cell>
          <cell r="C4929" t="str">
            <v>丹麦皇冠 牛油曲奇 163G</v>
          </cell>
          <cell r="D4929">
            <v>81</v>
          </cell>
          <cell r="E4929">
            <v>1024.08</v>
          </cell>
          <cell r="F4929">
            <v>14.2865481481481</v>
          </cell>
        </row>
        <row r="4930">
          <cell r="B4930" t="str">
            <v>70016824</v>
          </cell>
          <cell r="C4930" t="str">
            <v>太平 梳打加钙奶盐饼干 400G</v>
          </cell>
          <cell r="D4930">
            <v>1071</v>
          </cell>
          <cell r="E4930">
            <v>9316.7800000000007</v>
          </cell>
          <cell r="F4930">
            <v>9.8300293183940308</v>
          </cell>
        </row>
        <row r="4931">
          <cell r="B4931" t="str">
            <v>70017032</v>
          </cell>
          <cell r="C4931" t="str">
            <v>好吃点 高纤煎夫饼 168G</v>
          </cell>
          <cell r="D4931">
            <v>6</v>
          </cell>
          <cell r="E4931">
            <v>22.38</v>
          </cell>
          <cell r="F4931">
            <v>4.2149000000000001</v>
          </cell>
        </row>
        <row r="4932">
          <cell r="B4932" t="str">
            <v>70017788</v>
          </cell>
          <cell r="C4932" t="str">
            <v>嘉士利 鸳鸯夹心饼干 159G</v>
          </cell>
          <cell r="D4932">
            <v>726</v>
          </cell>
          <cell r="E4932">
            <v>3008.65</v>
          </cell>
          <cell r="F4932">
            <v>4.6828849862258899</v>
          </cell>
        </row>
        <row r="4933">
          <cell r="B4933" t="str">
            <v>70019410</v>
          </cell>
          <cell r="C4933" t="str">
            <v>徐福记 香酥鸡蛋味 311G</v>
          </cell>
          <cell r="D4933">
            <v>689</v>
          </cell>
          <cell r="E4933">
            <v>7129.01</v>
          </cell>
          <cell r="F4933">
            <v>11.691990275762</v>
          </cell>
        </row>
        <row r="4934">
          <cell r="B4934" t="str">
            <v>70019530</v>
          </cell>
          <cell r="C4934" t="str">
            <v>好吃点 高纤蔬菜饼 168G</v>
          </cell>
          <cell r="D4934">
            <v>0</v>
          </cell>
          <cell r="E4934">
            <v>0</v>
          </cell>
          <cell r="F4934" t="e">
            <v>#DIV/0!</v>
          </cell>
        </row>
        <row r="4935">
          <cell r="B4935" t="str">
            <v>70020656</v>
          </cell>
          <cell r="C4935" t="str">
            <v>康师傅 蛋酥卷奶油 108G</v>
          </cell>
          <cell r="D4935">
            <v>146</v>
          </cell>
          <cell r="E4935">
            <v>1197.4100000000001</v>
          </cell>
          <cell r="F4935">
            <v>9.2676253424657506</v>
          </cell>
        </row>
        <row r="4936">
          <cell r="B4936" t="str">
            <v>70020657</v>
          </cell>
          <cell r="C4936" t="str">
            <v>康师傅 蛋酥卷芝麻 108G</v>
          </cell>
          <cell r="D4936">
            <v>14</v>
          </cell>
          <cell r="E4936">
            <v>114.01</v>
          </cell>
          <cell r="F4936">
            <v>9.2022357142857096</v>
          </cell>
        </row>
        <row r="4937">
          <cell r="B4937" t="str">
            <v>70020659</v>
          </cell>
          <cell r="C4937" t="str">
            <v>康师傅 彩笛卷巧克力 40G</v>
          </cell>
          <cell r="D4937">
            <v>625</v>
          </cell>
          <cell r="E4937">
            <v>2397.29</v>
          </cell>
          <cell r="F4937">
            <v>4.3343003199999997</v>
          </cell>
        </row>
        <row r="4938">
          <cell r="B4938" t="str">
            <v>70020661</v>
          </cell>
          <cell r="C4938" t="str">
            <v>康师傅 彩笛卷草莓 40G</v>
          </cell>
          <cell r="D4938">
            <v>720</v>
          </cell>
          <cell r="E4938">
            <v>2756.91</v>
          </cell>
          <cell r="F4938">
            <v>4.3268170833333297</v>
          </cell>
        </row>
        <row r="4939">
          <cell r="B4939" t="str">
            <v>70022541</v>
          </cell>
          <cell r="C4939" t="str">
            <v>美丹 蔬菜味白梳打饼干 118g</v>
          </cell>
          <cell r="D4939">
            <v>930</v>
          </cell>
          <cell r="E4939">
            <v>2149</v>
          </cell>
          <cell r="F4939">
            <v>2.6111505376344102</v>
          </cell>
        </row>
        <row r="4940">
          <cell r="B4940" t="str">
            <v>70022771</v>
          </cell>
          <cell r="C4940" t="str">
            <v>嘉顿 草莓威化饼干 200G</v>
          </cell>
          <cell r="D4940">
            <v>551</v>
          </cell>
          <cell r="E4940">
            <v>4894.5200000000004</v>
          </cell>
          <cell r="F4940">
            <v>10.0377633393829</v>
          </cell>
        </row>
        <row r="4941">
          <cell r="B4941" t="str">
            <v>70022773</v>
          </cell>
          <cell r="C4941" t="str">
            <v>嘉顿 牛奶威化饼干 200G</v>
          </cell>
          <cell r="D4941">
            <v>543</v>
          </cell>
          <cell r="E4941">
            <v>4827.0200000000004</v>
          </cell>
          <cell r="F4941">
            <v>10.045179742173101</v>
          </cell>
        </row>
        <row r="4942">
          <cell r="B4942" t="str">
            <v>70023168</v>
          </cell>
          <cell r="C4942" t="str">
            <v>嘉士利 巧克力薄饼干 150G</v>
          </cell>
          <cell r="D4942">
            <v>1323</v>
          </cell>
          <cell r="E4942">
            <v>4298.13</v>
          </cell>
          <cell r="F4942">
            <v>3.6711163265306102</v>
          </cell>
        </row>
        <row r="4943">
          <cell r="B4943" t="str">
            <v>70023267</v>
          </cell>
          <cell r="C4943" t="str">
            <v>真巧 酱心黑曲奇牛奶味 120G</v>
          </cell>
          <cell r="D4943">
            <v>943</v>
          </cell>
          <cell r="E4943">
            <v>3145.38</v>
          </cell>
          <cell r="F4943">
            <v>3.7691191940615099</v>
          </cell>
        </row>
        <row r="4944">
          <cell r="B4944" t="str">
            <v>70023268</v>
          </cell>
          <cell r="C4944" t="str">
            <v>真巧 巧克力酱心饼干草莓味 120G</v>
          </cell>
          <cell r="D4944">
            <v>1571</v>
          </cell>
          <cell r="E4944">
            <v>4892.75</v>
          </cell>
          <cell r="F4944">
            <v>3.5192918523233598</v>
          </cell>
        </row>
        <row r="4945">
          <cell r="B4945" t="str">
            <v>70023395</v>
          </cell>
          <cell r="C4945" t="str">
            <v>真巧 巧克力酱心饼干巧克力味 120G</v>
          </cell>
          <cell r="D4945">
            <v>1479</v>
          </cell>
          <cell r="E4945">
            <v>4599.37</v>
          </cell>
          <cell r="F4945">
            <v>3.5140555104800502</v>
          </cell>
        </row>
        <row r="4946">
          <cell r="B4946" t="str">
            <v>70024689</v>
          </cell>
          <cell r="C4946" t="str">
            <v>嘉顿 威化饼柠檬味 200g</v>
          </cell>
          <cell r="D4946">
            <v>490</v>
          </cell>
          <cell r="E4946">
            <v>4358.74</v>
          </cell>
          <cell r="F4946">
            <v>10.0517881632653</v>
          </cell>
        </row>
        <row r="4947">
          <cell r="B4947" t="str">
            <v>70024691</v>
          </cell>
          <cell r="C4947" t="str">
            <v>嘉顿 香橙威化饼 200g</v>
          </cell>
          <cell r="D4947">
            <v>515</v>
          </cell>
          <cell r="E4947">
            <v>4580.93</v>
          </cell>
          <cell r="F4947">
            <v>10.0513609708738</v>
          </cell>
        </row>
        <row r="4948">
          <cell r="B4948" t="str">
            <v>70025385</v>
          </cell>
          <cell r="C4948" t="str">
            <v>达利 香葱咸饼 130G</v>
          </cell>
          <cell r="D4948">
            <v>0</v>
          </cell>
          <cell r="E4948">
            <v>0</v>
          </cell>
          <cell r="F4948" t="e">
            <v>#DIV/0!</v>
          </cell>
        </row>
        <row r="4949">
          <cell r="B4949" t="str">
            <v>70025905</v>
          </cell>
          <cell r="C4949" t="str">
            <v>嘉士利 早餐香浓牛奶 167G</v>
          </cell>
          <cell r="D4949">
            <v>1565</v>
          </cell>
          <cell r="E4949">
            <v>5085.3100000000004</v>
          </cell>
          <cell r="F4949">
            <v>3.6718212779552699</v>
          </cell>
        </row>
        <row r="4950">
          <cell r="B4950" t="str">
            <v>70025906</v>
          </cell>
          <cell r="C4950" t="str">
            <v>嘉士利 早餐养生红枣 167G</v>
          </cell>
          <cell r="D4950">
            <v>2433</v>
          </cell>
          <cell r="E4950">
            <v>7895.11</v>
          </cell>
          <cell r="F4950">
            <v>3.66686161117961</v>
          </cell>
        </row>
        <row r="4951">
          <cell r="B4951" t="str">
            <v>70025907</v>
          </cell>
          <cell r="C4951" t="str">
            <v>嘉士利 早餐高纤麦麸 167G</v>
          </cell>
          <cell r="D4951">
            <v>1477</v>
          </cell>
          <cell r="E4951">
            <v>4809.07</v>
          </cell>
          <cell r="F4951">
            <v>3.6792478672985802</v>
          </cell>
        </row>
        <row r="4952">
          <cell r="B4952" t="str">
            <v>70026612</v>
          </cell>
          <cell r="C4952" t="str">
            <v>嘉士利 威化饼干椰子味 115g</v>
          </cell>
          <cell r="D4952">
            <v>865</v>
          </cell>
          <cell r="E4952">
            <v>3227.34</v>
          </cell>
          <cell r="F4952">
            <v>4.2160626589595402</v>
          </cell>
        </row>
        <row r="4953">
          <cell r="B4953" t="str">
            <v>70026613</v>
          </cell>
          <cell r="C4953" t="str">
            <v>嘉士利 威化巧克力味 115G</v>
          </cell>
          <cell r="D4953">
            <v>1082</v>
          </cell>
          <cell r="E4953">
            <v>4035.38</v>
          </cell>
          <cell r="F4953">
            <v>4.2143987060998196</v>
          </cell>
        </row>
        <row r="4954">
          <cell r="B4954" t="str">
            <v>70026614</v>
          </cell>
          <cell r="C4954" t="str">
            <v>嘉士利 葱香梳打饼 100G</v>
          </cell>
          <cell r="D4954">
            <v>1003</v>
          </cell>
          <cell r="E4954">
            <v>3254.52</v>
          </cell>
          <cell r="F4954">
            <v>3.66660777666999</v>
          </cell>
        </row>
        <row r="4955">
          <cell r="B4955" t="str">
            <v>70026823</v>
          </cell>
          <cell r="C4955" t="str">
            <v>旺旺 黑白配巧克力 56g/盒</v>
          </cell>
          <cell r="D4955">
            <v>8</v>
          </cell>
          <cell r="E4955">
            <v>35.08</v>
          </cell>
          <cell r="F4955">
            <v>4.95505</v>
          </cell>
        </row>
        <row r="4956">
          <cell r="B4956" t="str">
            <v>70026824</v>
          </cell>
          <cell r="C4956" t="str">
            <v>旺旺 香橙味黑白配 60G</v>
          </cell>
          <cell r="D4956">
            <v>6</v>
          </cell>
          <cell r="E4956">
            <v>26.3</v>
          </cell>
          <cell r="F4956">
            <v>4.9531666666666698</v>
          </cell>
        </row>
        <row r="4957">
          <cell r="B4957" t="str">
            <v>70026827</v>
          </cell>
          <cell r="C4957" t="str">
            <v>旺旺 椰奶味黑白配 60G</v>
          </cell>
          <cell r="D4957">
            <v>18</v>
          </cell>
          <cell r="E4957">
            <v>78.89</v>
          </cell>
          <cell r="F4957">
            <v>4.9525388888888902</v>
          </cell>
        </row>
        <row r="4958">
          <cell r="B4958" t="str">
            <v>70027205</v>
          </cell>
          <cell r="C4958" t="str">
            <v>华美 每日粗粮猴头菇味 170G</v>
          </cell>
          <cell r="D4958">
            <v>464</v>
          </cell>
          <cell r="E4958">
            <v>2394.5300000000002</v>
          </cell>
          <cell r="F4958">
            <v>5.8315062500000003</v>
          </cell>
        </row>
        <row r="4959">
          <cell r="B4959" t="str">
            <v>70027206</v>
          </cell>
          <cell r="C4959" t="str">
            <v>华美 每日粗粮蓝莓味 170G</v>
          </cell>
          <cell r="D4959">
            <v>492</v>
          </cell>
          <cell r="E4959">
            <v>2538.87</v>
          </cell>
          <cell r="F4959">
            <v>5.8311445121951202</v>
          </cell>
        </row>
        <row r="4960">
          <cell r="B4960" t="str">
            <v>70028935</v>
          </cell>
          <cell r="C4960" t="str">
            <v>康师傅 3加2夹心卷香草牛奶味 55G</v>
          </cell>
          <cell r="D4960">
            <v>918</v>
          </cell>
          <cell r="E4960">
            <v>3515.02</v>
          </cell>
          <cell r="F4960">
            <v>4.3267675381263597</v>
          </cell>
        </row>
        <row r="4961">
          <cell r="B4961" t="str">
            <v>70028936</v>
          </cell>
          <cell r="C4961" t="str">
            <v>康师傅 3加2夹心卷浓情巧克力味 55G</v>
          </cell>
          <cell r="D4961">
            <v>429</v>
          </cell>
          <cell r="E4961">
            <v>1642.74</v>
          </cell>
          <cell r="F4961">
            <v>4.3270307692307703</v>
          </cell>
        </row>
        <row r="4962">
          <cell r="B4962" t="str">
            <v>70029504</v>
          </cell>
          <cell r="C4962" t="str">
            <v>格力高 百醇芝士蛋糕味 48G</v>
          </cell>
          <cell r="D4962">
            <v>60</v>
          </cell>
          <cell r="E4962">
            <v>319.92</v>
          </cell>
          <cell r="F4962">
            <v>6.0251599999999996</v>
          </cell>
        </row>
        <row r="4963">
          <cell r="B4963" t="str">
            <v>70029786</v>
          </cell>
          <cell r="C4963" t="str">
            <v>康元 无名曲奇 芝麻味 135G</v>
          </cell>
          <cell r="D4963">
            <v>9</v>
          </cell>
          <cell r="E4963">
            <v>21.92</v>
          </cell>
          <cell r="F4963">
            <v>2.7521777777777801</v>
          </cell>
        </row>
        <row r="4964">
          <cell r="B4964" t="str">
            <v>70029788</v>
          </cell>
          <cell r="C4964" t="str">
            <v>康元 无名曲奇 鲜奶味 115G</v>
          </cell>
          <cell r="D4964">
            <v>11</v>
          </cell>
          <cell r="E4964">
            <v>26.79</v>
          </cell>
          <cell r="F4964">
            <v>2.7520636363636402</v>
          </cell>
        </row>
        <row r="4965">
          <cell r="B4965" t="str">
            <v>70029790</v>
          </cell>
          <cell r="C4965" t="str">
            <v>康元 牛奶威化 115G</v>
          </cell>
          <cell r="D4965">
            <v>11</v>
          </cell>
          <cell r="E4965">
            <v>38.94</v>
          </cell>
          <cell r="F4965">
            <v>4.0002000000000004</v>
          </cell>
        </row>
        <row r="4966">
          <cell r="B4966" t="str">
            <v>70029793</v>
          </cell>
          <cell r="C4966" t="str">
            <v>康元 朱古力夹心 200G</v>
          </cell>
          <cell r="D4966">
            <v>0</v>
          </cell>
          <cell r="E4966">
            <v>0</v>
          </cell>
          <cell r="F4966" t="e">
            <v>#DIV/0!</v>
          </cell>
        </row>
        <row r="4967">
          <cell r="B4967" t="str">
            <v>70029794</v>
          </cell>
          <cell r="C4967" t="str">
            <v>康元 原味鸡蛋卷 125G</v>
          </cell>
          <cell r="D4967">
            <v>1</v>
          </cell>
          <cell r="E4967">
            <v>9.92</v>
          </cell>
          <cell r="F4967">
            <v>11.2096</v>
          </cell>
        </row>
        <row r="4968">
          <cell r="B4968" t="str">
            <v>70029795</v>
          </cell>
          <cell r="C4968" t="str">
            <v>康元 芝麻鸡蛋卷 125G</v>
          </cell>
          <cell r="D4968">
            <v>0</v>
          </cell>
          <cell r="E4968">
            <v>0</v>
          </cell>
          <cell r="F4968" t="e">
            <v>#DIV/0!</v>
          </cell>
        </row>
        <row r="4969">
          <cell r="B4969" t="str">
            <v>70029802</v>
          </cell>
          <cell r="C4969" t="str">
            <v>康元 草莓威化 115G</v>
          </cell>
          <cell r="D4969">
            <v>13</v>
          </cell>
          <cell r="E4969">
            <v>46.02</v>
          </cell>
          <cell r="F4969">
            <v>4.0002000000000004</v>
          </cell>
        </row>
        <row r="4970">
          <cell r="B4970" t="str">
            <v>70029864</v>
          </cell>
          <cell r="C4970" t="str">
            <v>徐福记 香酥鸡蛋味沙琪玛 469G</v>
          </cell>
          <cell r="D4970">
            <v>196</v>
          </cell>
          <cell r="E4970">
            <v>2701.54</v>
          </cell>
          <cell r="F4970">
            <v>15.575205102040799</v>
          </cell>
        </row>
        <row r="4971">
          <cell r="B4971" t="str">
            <v>70032717</v>
          </cell>
          <cell r="C4971" t="str">
            <v>旺旺 黑白配(香草味) 56G</v>
          </cell>
          <cell r="D4971">
            <v>2239</v>
          </cell>
          <cell r="E4971">
            <v>9860.73</v>
          </cell>
          <cell r="F4971">
            <v>4.9766078159892801</v>
          </cell>
        </row>
        <row r="4972">
          <cell r="B4972" t="str">
            <v>70033572</v>
          </cell>
          <cell r="C4972" t="str">
            <v>丹麦 皇冠牛油曲奇 454G</v>
          </cell>
          <cell r="D4972">
            <v>11</v>
          </cell>
          <cell r="E4972">
            <v>588.61</v>
          </cell>
          <cell r="F4972">
            <v>60.466299999999997</v>
          </cell>
        </row>
        <row r="4973">
          <cell r="B4973" t="str">
            <v>70035465</v>
          </cell>
          <cell r="C4973" t="str">
            <v>奥利奥 双心脆威化香草味 6条装72g</v>
          </cell>
          <cell r="D4973">
            <v>5331</v>
          </cell>
          <cell r="E4973">
            <v>23058.22</v>
          </cell>
          <cell r="F4973">
            <v>4.8875986869255303</v>
          </cell>
        </row>
        <row r="4974">
          <cell r="B4974" t="str">
            <v>70035665</v>
          </cell>
          <cell r="C4974" t="str">
            <v>明治 欣欣杯草莓饼干条 50G</v>
          </cell>
          <cell r="D4974">
            <v>776</v>
          </cell>
          <cell r="E4974">
            <v>3270.23</v>
          </cell>
          <cell r="F4974">
            <v>4.7620617268041201</v>
          </cell>
        </row>
        <row r="4975">
          <cell r="B4975" t="str">
            <v>70037930</v>
          </cell>
          <cell r="C4975" t="str">
            <v>波路梦普奇 巧巧脆可可饼干 56G</v>
          </cell>
          <cell r="D4975">
            <v>132</v>
          </cell>
          <cell r="E4975">
            <v>491.36</v>
          </cell>
          <cell r="F4975">
            <v>4.2063393939393903</v>
          </cell>
        </row>
        <row r="4976">
          <cell r="B4976" t="str">
            <v>70037931</v>
          </cell>
          <cell r="C4976" t="str">
            <v>波路梦普奇 黄油饼干 56G</v>
          </cell>
          <cell r="D4976">
            <v>251</v>
          </cell>
          <cell r="E4976">
            <v>935.32</v>
          </cell>
          <cell r="F4976">
            <v>4.2108031872509999</v>
          </cell>
        </row>
        <row r="4977">
          <cell r="B4977" t="str">
            <v>70037933</v>
          </cell>
          <cell r="C4977" t="str">
            <v>波路梦普奇 草莓奶油夹心饼干 47G</v>
          </cell>
          <cell r="D4977">
            <v>268</v>
          </cell>
          <cell r="E4977">
            <v>997.11</v>
          </cell>
          <cell r="F4977">
            <v>4.2042324626865701</v>
          </cell>
        </row>
        <row r="4978">
          <cell r="B4978" t="str">
            <v>70038089</v>
          </cell>
          <cell r="C4978" t="str">
            <v>太平 加钙香葱梳打饼干 400G</v>
          </cell>
          <cell r="D4978">
            <v>971</v>
          </cell>
          <cell r="E4978">
            <v>8262.1200000000008</v>
          </cell>
          <cell r="F4978">
            <v>9.6150315139031903</v>
          </cell>
        </row>
        <row r="4979">
          <cell r="B4979" t="str">
            <v>70038235</v>
          </cell>
          <cell r="C4979" t="str">
            <v>明治 牛奶味欣欣杯 50G</v>
          </cell>
          <cell r="D4979">
            <v>1104</v>
          </cell>
          <cell r="E4979">
            <v>4685.91</v>
          </cell>
          <cell r="F4979">
            <v>4.7962665760869596</v>
          </cell>
        </row>
        <row r="4980">
          <cell r="B4980" t="str">
            <v>70041093</v>
          </cell>
          <cell r="C4980" t="str">
            <v>南国 椰香薄饼(甜味) 80G</v>
          </cell>
          <cell r="D4980">
            <v>3</v>
          </cell>
          <cell r="E4980">
            <v>30.15</v>
          </cell>
          <cell r="F4980">
            <v>11.3565</v>
          </cell>
        </row>
        <row r="4981">
          <cell r="B4981" t="str">
            <v>70041094</v>
          </cell>
          <cell r="C4981" t="str">
            <v>南国 椰香薄饼(咸味) 80G</v>
          </cell>
          <cell r="D4981">
            <v>7</v>
          </cell>
          <cell r="E4981">
            <v>70.349999999999994</v>
          </cell>
          <cell r="F4981">
            <v>11.3565</v>
          </cell>
        </row>
        <row r="4982">
          <cell r="B4982" t="str">
            <v>70042110</v>
          </cell>
          <cell r="C4982" t="str">
            <v>康元 早餐饼 140G</v>
          </cell>
          <cell r="D4982">
            <v>44</v>
          </cell>
          <cell r="E4982">
            <v>109.07</v>
          </cell>
          <cell r="F4982">
            <v>2.8011159090909099</v>
          </cell>
        </row>
        <row r="4983">
          <cell r="B4983" t="str">
            <v>70043658</v>
          </cell>
          <cell r="C4983" t="str">
            <v>AJI AJI尼西亚惊奇脆饼(优格)英文版200G 200G</v>
          </cell>
          <cell r="D4983">
            <v>9</v>
          </cell>
          <cell r="E4983">
            <v>80.62</v>
          </cell>
          <cell r="F4983">
            <v>10.1222888888889</v>
          </cell>
        </row>
        <row r="4984">
          <cell r="B4984" t="str">
            <v>70043659</v>
          </cell>
          <cell r="C4984" t="str">
            <v>AJI AJI尼西亚惊奇脆饼(起士)英文版200G 200G</v>
          </cell>
          <cell r="D4984">
            <v>18</v>
          </cell>
          <cell r="E4984">
            <v>161.22</v>
          </cell>
          <cell r="F4984">
            <v>10.121033333333299</v>
          </cell>
        </row>
        <row r="4985">
          <cell r="B4985" t="str">
            <v>70048347</v>
          </cell>
          <cell r="C4985" t="str">
            <v>EDO 五谷梳打饼 100G</v>
          </cell>
          <cell r="D4985">
            <v>56</v>
          </cell>
          <cell r="E4985">
            <v>232.93</v>
          </cell>
          <cell r="F4985">
            <v>4.7001946428571397</v>
          </cell>
        </row>
        <row r="4986">
          <cell r="B4986" t="str">
            <v>70049041</v>
          </cell>
          <cell r="C4986" t="str">
            <v>格力高 奇心达巧克 65G</v>
          </cell>
          <cell r="D4986">
            <v>18</v>
          </cell>
          <cell r="E4986">
            <v>44.64</v>
          </cell>
          <cell r="F4986">
            <v>2.8024</v>
          </cell>
        </row>
        <row r="4987">
          <cell r="B4987" t="str">
            <v>70049042</v>
          </cell>
          <cell r="C4987" t="str">
            <v>可珑 牛奶夹心饼干 65G</v>
          </cell>
          <cell r="D4987">
            <v>4</v>
          </cell>
          <cell r="E4987">
            <v>9.92</v>
          </cell>
          <cell r="F4987">
            <v>2.8024</v>
          </cell>
        </row>
        <row r="4988">
          <cell r="B4988" t="str">
            <v>70049512</v>
          </cell>
          <cell r="C4988" t="str">
            <v>嘉士利 鲜葱梳打 200G</v>
          </cell>
          <cell r="D4988">
            <v>480</v>
          </cell>
          <cell r="E4988">
            <v>2481.94</v>
          </cell>
          <cell r="F4988">
            <v>5.8429004166666703</v>
          </cell>
        </row>
        <row r="4989">
          <cell r="B4989" t="str">
            <v>70049513</v>
          </cell>
          <cell r="C4989" t="str">
            <v>嘉士利 奶盐梳打饼干 200g</v>
          </cell>
          <cell r="D4989">
            <v>631</v>
          </cell>
          <cell r="E4989">
            <v>3273.07</v>
          </cell>
          <cell r="F4989">
            <v>5.8614407290015897</v>
          </cell>
        </row>
        <row r="4990">
          <cell r="B4990" t="str">
            <v>70049785</v>
          </cell>
          <cell r="C4990" t="str">
            <v>奥利奥 双心脆威化草莓味 6条装72g</v>
          </cell>
          <cell r="D4990">
            <v>5149</v>
          </cell>
          <cell r="E4990">
            <v>22286.03</v>
          </cell>
          <cell r="F4990">
            <v>4.8908941347834496</v>
          </cell>
        </row>
        <row r="4991">
          <cell r="B4991" t="str">
            <v>70059637</v>
          </cell>
          <cell r="C4991" t="str">
            <v>南国 椰子糕 200G</v>
          </cell>
          <cell r="D4991">
            <v>15</v>
          </cell>
          <cell r="E4991">
            <v>138.22</v>
          </cell>
          <cell r="F4991">
            <v>10.412573333333301</v>
          </cell>
        </row>
        <row r="4992">
          <cell r="B4992" t="str">
            <v>70060277</v>
          </cell>
          <cell r="C4992" t="str">
            <v>稻香村 家乡鸡蛋卷 150g</v>
          </cell>
          <cell r="D4992">
            <v>939</v>
          </cell>
          <cell r="E4992">
            <v>9548.25</v>
          </cell>
          <cell r="F4992">
            <v>11.490439297124601</v>
          </cell>
        </row>
        <row r="4993">
          <cell r="B4993" t="str">
            <v>70060278</v>
          </cell>
          <cell r="C4993" t="str">
            <v>稻香村 香葱鸡蛋卷 150g</v>
          </cell>
          <cell r="D4993">
            <v>809</v>
          </cell>
          <cell r="E4993">
            <v>8219.58</v>
          </cell>
          <cell r="F4993">
            <v>11.480995550061801</v>
          </cell>
        </row>
        <row r="4994">
          <cell r="B4994" t="str">
            <v>70061278</v>
          </cell>
          <cell r="C4994" t="str">
            <v>卡夫 趣多多软式甜饼美国加州红提味 80G</v>
          </cell>
          <cell r="D4994">
            <v>1364</v>
          </cell>
          <cell r="E4994">
            <v>5283.41</v>
          </cell>
          <cell r="F4994">
            <v>4.3770185483870998</v>
          </cell>
        </row>
        <row r="4995">
          <cell r="B4995" t="str">
            <v>70066890</v>
          </cell>
          <cell r="C4995" t="str">
            <v>格力高 星奇饼干(水果味) 60G</v>
          </cell>
          <cell r="D4995">
            <v>19</v>
          </cell>
          <cell r="E4995">
            <v>47.1</v>
          </cell>
          <cell r="F4995">
            <v>2.8012105263157898</v>
          </cell>
        </row>
        <row r="4996">
          <cell r="B4996" t="str">
            <v>70070603</v>
          </cell>
          <cell r="C4996" t="str">
            <v>嘉士利 香芒味威化饼干 115G/袋</v>
          </cell>
          <cell r="D4996">
            <v>1018</v>
          </cell>
          <cell r="E4996">
            <v>3790.74</v>
          </cell>
          <cell r="F4996">
            <v>4.20779587426326</v>
          </cell>
        </row>
        <row r="4997">
          <cell r="B4997" t="str">
            <v>70070604</v>
          </cell>
          <cell r="C4997" t="str">
            <v>嘉士利 士多啤梨味威化饼干 115g/袋</v>
          </cell>
          <cell r="D4997">
            <v>1246</v>
          </cell>
          <cell r="E4997">
            <v>4649.09</v>
          </cell>
          <cell r="F4997">
            <v>4.2162694221508801</v>
          </cell>
        </row>
        <row r="4998">
          <cell r="B4998" t="str">
            <v>70077548</v>
          </cell>
          <cell r="C4998" t="str">
            <v>丽能 压缩饼干 88G</v>
          </cell>
          <cell r="D4998">
            <v>6</v>
          </cell>
          <cell r="E4998">
            <v>13.82</v>
          </cell>
          <cell r="F4998">
            <v>2.6027666666666698</v>
          </cell>
        </row>
        <row r="4999">
          <cell r="B4999" t="str">
            <v>70087938</v>
          </cell>
          <cell r="C4999" t="str">
            <v>格力高 百醇饼干(草莓香草) 48g</v>
          </cell>
          <cell r="D4999">
            <v>816</v>
          </cell>
          <cell r="E4999">
            <v>4007.21</v>
          </cell>
          <cell r="F4999">
            <v>5.5492001225490197</v>
          </cell>
        </row>
        <row r="5000">
          <cell r="B5000" t="str">
            <v>70088724</v>
          </cell>
          <cell r="C5000" t="str">
            <v>欣欣杯 巧克力 50G</v>
          </cell>
          <cell r="D5000">
            <v>889</v>
          </cell>
          <cell r="E5000">
            <v>3783.19</v>
          </cell>
          <cell r="F5000">
            <v>4.80877919010124</v>
          </cell>
        </row>
        <row r="5001">
          <cell r="B5001" t="str">
            <v>70092660</v>
          </cell>
          <cell r="C5001" t="str">
            <v>皇冠 丹麦曲奇饼干盒装 90G</v>
          </cell>
          <cell r="D5001">
            <v>622</v>
          </cell>
          <cell r="E5001">
            <v>4480.54</v>
          </cell>
          <cell r="F5001">
            <v>8.1398877813504793</v>
          </cell>
        </row>
        <row r="5002">
          <cell r="B5002" t="str">
            <v>70103437</v>
          </cell>
          <cell r="C5002" t="str">
            <v>稻香村 腰果酥 145g</v>
          </cell>
          <cell r="D5002">
            <v>1625</v>
          </cell>
          <cell r="E5002">
            <v>12366.75</v>
          </cell>
          <cell r="F5002">
            <v>8.5996476923076894</v>
          </cell>
        </row>
        <row r="5003">
          <cell r="B5003" t="str">
            <v>70106544</v>
          </cell>
          <cell r="C5003" t="str">
            <v>稻香村 桃酥 180G</v>
          </cell>
          <cell r="D5003">
            <v>1208</v>
          </cell>
          <cell r="E5003">
            <v>11751.1</v>
          </cell>
          <cell r="F5003">
            <v>10.9923369205298</v>
          </cell>
        </row>
        <row r="5004">
          <cell r="B5004" t="str">
            <v>70128355</v>
          </cell>
          <cell r="C5004" t="str">
            <v>AJI 惊奇饼干蔬菜味 200G</v>
          </cell>
          <cell r="D5004">
            <v>10</v>
          </cell>
          <cell r="E5004">
            <v>89.57</v>
          </cell>
          <cell r="F5004">
            <v>10.121409999999999</v>
          </cell>
        </row>
        <row r="5005">
          <cell r="B5005" t="str">
            <v>70132814</v>
          </cell>
          <cell r="C5005" t="str">
            <v>稻香村 花生酥 145g</v>
          </cell>
          <cell r="D5005">
            <v>1715</v>
          </cell>
          <cell r="E5005">
            <v>13046.85</v>
          </cell>
          <cell r="F5005">
            <v>8.5964667638483991</v>
          </cell>
        </row>
        <row r="5006">
          <cell r="B5006" t="str">
            <v>70138309</v>
          </cell>
          <cell r="C5006" t="str">
            <v>奥利奥 杯装迷你小饼干 55G</v>
          </cell>
          <cell r="D5006">
            <v>1745</v>
          </cell>
          <cell r="E5006">
            <v>6008.6</v>
          </cell>
          <cell r="F5006">
            <v>3.8909558739254999</v>
          </cell>
        </row>
        <row r="5007">
          <cell r="B5007" t="str">
            <v>70138310</v>
          </cell>
          <cell r="C5007" t="str">
            <v>奥利奥 杯装迷你巧克力小饼干 55G</v>
          </cell>
          <cell r="D5007">
            <v>1461</v>
          </cell>
          <cell r="E5007">
            <v>5185.22</v>
          </cell>
          <cell r="F5007">
            <v>4.0104713210130001</v>
          </cell>
        </row>
        <row r="5008">
          <cell r="B5008" t="str">
            <v>70139469</v>
          </cell>
          <cell r="C5008" t="str">
            <v>莱家 粒粒装威化饼(榛子味) 125G</v>
          </cell>
          <cell r="D5008">
            <v>0</v>
          </cell>
          <cell r="E5008">
            <v>0</v>
          </cell>
          <cell r="F5008" t="e">
            <v>#DIV/0!</v>
          </cell>
        </row>
        <row r="5009">
          <cell r="B5009" t="str">
            <v>70143350</v>
          </cell>
          <cell r="C5009" t="str">
            <v>草原情 牛奶泡芝麻 100G</v>
          </cell>
          <cell r="D5009">
            <v>16</v>
          </cell>
          <cell r="E5009">
            <v>97.76</v>
          </cell>
          <cell r="F5009">
            <v>6.9043000000000001</v>
          </cell>
        </row>
        <row r="5010">
          <cell r="B5010" t="str">
            <v>70144165</v>
          </cell>
          <cell r="C5010" t="str">
            <v>南国 榴莲薄饼 80G</v>
          </cell>
          <cell r="D5010">
            <v>12</v>
          </cell>
          <cell r="E5010">
            <v>120.6</v>
          </cell>
          <cell r="F5010">
            <v>11.3565</v>
          </cell>
        </row>
        <row r="5011">
          <cell r="B5011" t="str">
            <v>70160764</v>
          </cell>
          <cell r="C5011" t="str">
            <v>丽能 压缩饼干花生 90G</v>
          </cell>
          <cell r="D5011">
            <v>34</v>
          </cell>
          <cell r="E5011">
            <v>78.290000000000006</v>
          </cell>
          <cell r="F5011">
            <v>2.6019911764705901</v>
          </cell>
        </row>
        <row r="5012">
          <cell r="B5012" t="str">
            <v>70160765</v>
          </cell>
          <cell r="C5012" t="str">
            <v>丽能 压缩饼干芝麻 90G</v>
          </cell>
          <cell r="D5012">
            <v>45</v>
          </cell>
          <cell r="E5012">
            <v>103.57</v>
          </cell>
          <cell r="F5012">
            <v>2.6007577777777802</v>
          </cell>
        </row>
        <row r="5013">
          <cell r="B5013" t="str">
            <v>70160767</v>
          </cell>
          <cell r="C5013" t="str">
            <v>丽能 压缩饼干肉蓉 90G</v>
          </cell>
          <cell r="D5013">
            <v>17</v>
          </cell>
          <cell r="E5013">
            <v>39.159999999999997</v>
          </cell>
          <cell r="F5013">
            <v>2.60298823529412</v>
          </cell>
        </row>
        <row r="5014">
          <cell r="B5014" t="str">
            <v>70174080</v>
          </cell>
          <cell r="C5014" t="str">
            <v>皇冠 丹麦曲奇(葡萄干味) 90G</v>
          </cell>
          <cell r="D5014">
            <v>839</v>
          </cell>
          <cell r="E5014">
            <v>6775.51</v>
          </cell>
          <cell r="F5014">
            <v>9.1255379022646004</v>
          </cell>
        </row>
        <row r="5015">
          <cell r="B5015" t="str">
            <v>70174081</v>
          </cell>
          <cell r="C5015" t="str">
            <v>皇冠 丹麦曲奇(巧克力腰果) 90G</v>
          </cell>
          <cell r="D5015">
            <v>1</v>
          </cell>
          <cell r="E5015">
            <v>8.85</v>
          </cell>
          <cell r="F5015">
            <v>10.000500000000001</v>
          </cell>
        </row>
        <row r="5016">
          <cell r="B5016" t="str">
            <v>70174850</v>
          </cell>
          <cell r="C5016" t="str">
            <v>稻香村 芝麻瓦片 160g</v>
          </cell>
          <cell r="D5016">
            <v>612</v>
          </cell>
          <cell r="E5016">
            <v>6977.6</v>
          </cell>
          <cell r="F5016">
            <v>12.883477124183001</v>
          </cell>
        </row>
        <row r="5017">
          <cell r="B5017" t="str">
            <v>70179885</v>
          </cell>
          <cell r="C5017" t="str">
            <v>明治 欣欣杯草莓酸奶味 50G</v>
          </cell>
          <cell r="D5017">
            <v>944</v>
          </cell>
          <cell r="E5017">
            <v>4005.85</v>
          </cell>
          <cell r="F5017">
            <v>4.7951382415254198</v>
          </cell>
        </row>
        <row r="5018">
          <cell r="B5018" t="str">
            <v>70186245</v>
          </cell>
          <cell r="C5018" t="str">
            <v>丹麦 皇冠曲奇罐装 200G</v>
          </cell>
          <cell r="D5018">
            <v>320</v>
          </cell>
          <cell r="E5018">
            <v>6761.21</v>
          </cell>
          <cell r="F5018">
            <v>23.875522812500002</v>
          </cell>
        </row>
        <row r="5019">
          <cell r="B5019" t="str">
            <v>70197259</v>
          </cell>
          <cell r="C5019" t="str">
            <v>嘉士利 芝麻梳打饼干*54 100G</v>
          </cell>
          <cell r="D5019">
            <v>1008</v>
          </cell>
          <cell r="E5019">
            <v>3275.8</v>
          </cell>
          <cell r="F5019">
            <v>3.6722757936507899</v>
          </cell>
        </row>
        <row r="5020">
          <cell r="B5020" t="str">
            <v>70198259</v>
          </cell>
          <cell r="C5020" t="str">
            <v>每日生机 鲜葱梳打饼 540G</v>
          </cell>
          <cell r="D5020">
            <v>26</v>
          </cell>
          <cell r="E5020">
            <v>362.42</v>
          </cell>
          <cell r="F5020">
            <v>15.751330769230799</v>
          </cell>
        </row>
        <row r="5021">
          <cell r="B5021" t="str">
            <v>70198260</v>
          </cell>
          <cell r="C5021" t="str">
            <v>每日生机 芝麻梳打饼 540G</v>
          </cell>
          <cell r="D5021">
            <v>43</v>
          </cell>
          <cell r="E5021">
            <v>599.38</v>
          </cell>
          <cell r="F5021">
            <v>15.7511488372093</v>
          </cell>
        </row>
        <row r="5022">
          <cell r="B5022" t="str">
            <v>70204570</v>
          </cell>
          <cell r="C5022" t="str">
            <v>徐福记 芒果酥 184G</v>
          </cell>
          <cell r="D5022">
            <v>8</v>
          </cell>
          <cell r="E5022">
            <v>74.39</v>
          </cell>
          <cell r="F5022">
            <v>10.5075875</v>
          </cell>
        </row>
        <row r="5023">
          <cell r="B5023" t="str">
            <v>70205393</v>
          </cell>
          <cell r="C5023" t="str">
            <v>AJI 特浓羊奶大饼 175G</v>
          </cell>
          <cell r="D5023">
            <v>0</v>
          </cell>
          <cell r="E5023">
            <v>0</v>
          </cell>
          <cell r="F5023" t="e">
            <v>#DIV/0!</v>
          </cell>
        </row>
        <row r="5024">
          <cell r="B5024" t="str">
            <v>70209822</v>
          </cell>
          <cell r="C5024" t="str">
            <v>嘉士利 奶盐梳打饼 100G</v>
          </cell>
          <cell r="D5024">
            <v>1010</v>
          </cell>
          <cell r="E5024">
            <v>3282.25</v>
          </cell>
          <cell r="F5024">
            <v>3.6722202970297002</v>
          </cell>
        </row>
        <row r="5025">
          <cell r="B5025" t="str">
            <v>70210624</v>
          </cell>
          <cell r="C5025" t="str">
            <v>嘉士利 芝麻梳打饼 200G</v>
          </cell>
          <cell r="D5025">
            <v>653</v>
          </cell>
          <cell r="E5025">
            <v>3374.35</v>
          </cell>
          <cell r="F5025">
            <v>5.8392274119448704</v>
          </cell>
        </row>
        <row r="5026">
          <cell r="B5026" t="str">
            <v>70217991</v>
          </cell>
          <cell r="C5026" t="str">
            <v>嘉顿 芝麻梳打 210G</v>
          </cell>
          <cell r="D5026">
            <v>733</v>
          </cell>
          <cell r="E5026">
            <v>4634.16</v>
          </cell>
          <cell r="F5026">
            <v>7.1440665757162298</v>
          </cell>
        </row>
        <row r="5027">
          <cell r="B5027" t="str">
            <v>70223363</v>
          </cell>
          <cell r="C5027" t="str">
            <v>盼盼 铜锣烧红豆 144G</v>
          </cell>
          <cell r="D5027">
            <v>0</v>
          </cell>
          <cell r="E5027">
            <v>0</v>
          </cell>
          <cell r="F5027" t="e">
            <v>#DIV/0!</v>
          </cell>
        </row>
        <row r="5028">
          <cell r="B5028" t="str">
            <v>70228201</v>
          </cell>
          <cell r="C5028" t="str">
            <v>江中猴姑饼干15天装酥性 1*8*720g</v>
          </cell>
          <cell r="D5028">
            <v>45</v>
          </cell>
          <cell r="E5028">
            <v>3544.26</v>
          </cell>
          <cell r="F5028">
            <v>89.000306666666702</v>
          </cell>
        </row>
        <row r="5029">
          <cell r="B5029" t="str">
            <v>70232303</v>
          </cell>
          <cell r="C5029" t="str">
            <v>好丽友 蘑古力巧克力榛子味 48g</v>
          </cell>
          <cell r="D5029">
            <v>2211</v>
          </cell>
          <cell r="E5029">
            <v>7246.75</v>
          </cell>
          <cell r="F5029">
            <v>3.7036759384893698</v>
          </cell>
        </row>
        <row r="5030">
          <cell r="B5030" t="str">
            <v>70232817</v>
          </cell>
          <cell r="C5030" t="str">
            <v>皇冠 丹麦曲奇饼干 750g</v>
          </cell>
          <cell r="D5030">
            <v>4</v>
          </cell>
          <cell r="E5030">
            <v>326.06</v>
          </cell>
          <cell r="F5030">
            <v>92.111949999999993</v>
          </cell>
        </row>
        <row r="5031">
          <cell r="B5031" t="str">
            <v>70233965</v>
          </cell>
          <cell r="C5031" t="str">
            <v>丽芝士 纳宝帝威化饼干 200G</v>
          </cell>
          <cell r="D5031">
            <v>17</v>
          </cell>
          <cell r="E5031">
            <v>168.45</v>
          </cell>
          <cell r="F5031">
            <v>11.196970588235301</v>
          </cell>
        </row>
        <row r="5032">
          <cell r="B5032" t="str">
            <v>70233966</v>
          </cell>
          <cell r="C5032" t="str">
            <v>纳宝帝 丽芝士奶酪味威化饼干 145g</v>
          </cell>
          <cell r="D5032">
            <v>33</v>
          </cell>
          <cell r="E5032">
            <v>162.71</v>
          </cell>
          <cell r="F5032">
            <v>5.57158484848485</v>
          </cell>
        </row>
        <row r="5033">
          <cell r="B5033" t="str">
            <v>70236871</v>
          </cell>
          <cell r="C5033" t="str">
            <v>江中 猴菇苏性饼干 720G</v>
          </cell>
          <cell r="D5033">
            <v>31</v>
          </cell>
          <cell r="E5033">
            <v>2441.6</v>
          </cell>
          <cell r="F5033">
            <v>89.000258064516103</v>
          </cell>
        </row>
        <row r="5034">
          <cell r="B5034" t="str">
            <v>70237066</v>
          </cell>
          <cell r="C5034" t="str">
            <v>盼盼 梅尼耶柠檬味 100G</v>
          </cell>
          <cell r="D5034">
            <v>16</v>
          </cell>
          <cell r="E5034">
            <v>117.59</v>
          </cell>
          <cell r="F5034">
            <v>8.30479375</v>
          </cell>
        </row>
        <row r="5035">
          <cell r="B5035" t="str">
            <v>70237168</v>
          </cell>
          <cell r="C5035" t="str">
            <v>丽芝士 纳宝帝奶酪威化 56G</v>
          </cell>
          <cell r="D5035">
            <v>899</v>
          </cell>
          <cell r="E5035">
            <v>1780</v>
          </cell>
          <cell r="F5035">
            <v>2.2373748609566202</v>
          </cell>
        </row>
        <row r="5036">
          <cell r="B5036" t="str">
            <v>70239826</v>
          </cell>
          <cell r="C5036" t="str">
            <v>嘉顿 味梳打 210G</v>
          </cell>
          <cell r="D5036">
            <v>667</v>
          </cell>
          <cell r="E5036">
            <v>4158.47</v>
          </cell>
          <cell r="F5036">
            <v>7.04508410794603</v>
          </cell>
        </row>
        <row r="5037">
          <cell r="B5037" t="str">
            <v>70239827</v>
          </cell>
          <cell r="C5037" t="str">
            <v>嘉顿 菜梳打 230G</v>
          </cell>
          <cell r="D5037">
            <v>652</v>
          </cell>
          <cell r="E5037">
            <v>4053.1</v>
          </cell>
          <cell r="F5037">
            <v>7.0245444785276101</v>
          </cell>
        </row>
        <row r="5038">
          <cell r="B5038" t="str">
            <v>70244192</v>
          </cell>
          <cell r="C5038" t="str">
            <v>乐天 曲奇巧克力棒 32G</v>
          </cell>
          <cell r="D5038">
            <v>5</v>
          </cell>
          <cell r="E5038">
            <v>31.9</v>
          </cell>
          <cell r="F5038">
            <v>7.2093999999999996</v>
          </cell>
        </row>
        <row r="5039">
          <cell r="B5039" t="str">
            <v>70250344</v>
          </cell>
          <cell r="C5039" t="str">
            <v>华美 牛乳饼（原味） 108G</v>
          </cell>
          <cell r="D5039">
            <v>87</v>
          </cell>
          <cell r="E5039">
            <v>301.47000000000003</v>
          </cell>
          <cell r="F5039">
            <v>3.9156448275862101</v>
          </cell>
        </row>
        <row r="5040">
          <cell r="B5040" t="str">
            <v>70250345</v>
          </cell>
          <cell r="C5040" t="str">
            <v>华美 粗粮饼（原味） 108G</v>
          </cell>
          <cell r="D5040">
            <v>127</v>
          </cell>
          <cell r="E5040">
            <v>443.53</v>
          </cell>
          <cell r="F5040">
            <v>3.9463692913385802</v>
          </cell>
        </row>
        <row r="5041">
          <cell r="B5041" t="str">
            <v>70250960</v>
          </cell>
          <cell r="C5041" t="str">
            <v>阿尔曼 大颗粒核桃切糕 50G</v>
          </cell>
          <cell r="D5041">
            <v>2409</v>
          </cell>
          <cell r="E5041">
            <v>9574.73</v>
          </cell>
          <cell r="F5041">
            <v>4.4912598173516001</v>
          </cell>
        </row>
        <row r="5042">
          <cell r="B5042" t="str">
            <v>70251156</v>
          </cell>
          <cell r="C5042" t="str">
            <v>江中 猴头姑酥性饼干 72g＋24g</v>
          </cell>
          <cell r="D5042">
            <v>255</v>
          </cell>
          <cell r="E5042">
            <v>2014.58</v>
          </cell>
          <cell r="F5042">
            <v>8.9273545098039193</v>
          </cell>
        </row>
        <row r="5043">
          <cell r="B5043" t="str">
            <v>70251157</v>
          </cell>
          <cell r="C5043" t="str">
            <v>江中 猴头姑苏打饼干 72g＋24g</v>
          </cell>
          <cell r="D5043">
            <v>307</v>
          </cell>
          <cell r="E5043">
            <v>2426.67</v>
          </cell>
          <cell r="F5043">
            <v>8.9320426710097696</v>
          </cell>
        </row>
        <row r="5044">
          <cell r="B5044" t="str">
            <v>70256865</v>
          </cell>
          <cell r="C5044" t="str">
            <v>嘉士利 芝麻味香薄趣 80G</v>
          </cell>
          <cell r="D5044">
            <v>27</v>
          </cell>
          <cell r="E5044">
            <v>154.16999999999999</v>
          </cell>
          <cell r="F5044">
            <v>6.4523000000000001</v>
          </cell>
        </row>
        <row r="5045">
          <cell r="B5045" t="str">
            <v>70257957</v>
          </cell>
          <cell r="C5045" t="str">
            <v>法丽兹 慕斯抹茶巧克力曲奇 115G</v>
          </cell>
          <cell r="D5045">
            <v>2514</v>
          </cell>
          <cell r="E5045">
            <v>11057.89</v>
          </cell>
          <cell r="F5045">
            <v>4.97033241845664</v>
          </cell>
        </row>
        <row r="5046">
          <cell r="B5046" t="str">
            <v>70259099</v>
          </cell>
          <cell r="C5046" t="str">
            <v>900 葱油口味压缩饼干 120G</v>
          </cell>
          <cell r="D5046">
            <v>1373</v>
          </cell>
          <cell r="E5046">
            <v>3617.97</v>
          </cell>
          <cell r="F5046">
            <v>2.9776446467589199</v>
          </cell>
        </row>
        <row r="5047">
          <cell r="B5047" t="str">
            <v>70262727</v>
          </cell>
          <cell r="C5047" t="str">
            <v>好吃点 甄好曲奇（黄油味） 150G</v>
          </cell>
          <cell r="D5047">
            <v>0</v>
          </cell>
          <cell r="E5047">
            <v>0</v>
          </cell>
          <cell r="F5047" t="e">
            <v>#DIV/0!</v>
          </cell>
        </row>
        <row r="5048">
          <cell r="B5048" t="str">
            <v>70262728</v>
          </cell>
          <cell r="C5048" t="str">
            <v>好吃点 甄好曲奇（椰奶味） 150G</v>
          </cell>
          <cell r="D5048">
            <v>0</v>
          </cell>
          <cell r="E5048">
            <v>0</v>
          </cell>
          <cell r="F5048" t="e">
            <v>#DIV/0!</v>
          </cell>
        </row>
        <row r="5049">
          <cell r="B5049" t="str">
            <v>70262903</v>
          </cell>
          <cell r="C5049" t="str">
            <v>乐天 曲奇巧克力棒饼干 36G</v>
          </cell>
          <cell r="D5049">
            <v>4</v>
          </cell>
          <cell r="E5049">
            <v>25.51</v>
          </cell>
          <cell r="F5049">
            <v>7.206575</v>
          </cell>
        </row>
        <row r="5050">
          <cell r="B5050" t="str">
            <v>70262999</v>
          </cell>
          <cell r="C5050" t="str">
            <v>迈大 钙芝奶酪味高钙威化饼干 135G</v>
          </cell>
          <cell r="D5050">
            <v>558</v>
          </cell>
          <cell r="E5050">
            <v>2980.11</v>
          </cell>
          <cell r="F5050">
            <v>6.0349897849462399</v>
          </cell>
        </row>
        <row r="5051">
          <cell r="B5051" t="str">
            <v>70264248</v>
          </cell>
          <cell r="C5051" t="str">
            <v>MAYORA钙芝奶酪味威化饼干58.5g</v>
          </cell>
          <cell r="D5051">
            <v>1748</v>
          </cell>
          <cell r="E5051">
            <v>4531.7299999999996</v>
          </cell>
          <cell r="F5051">
            <v>2.9295508581235699</v>
          </cell>
        </row>
        <row r="5052">
          <cell r="B5052" t="str">
            <v>70264959</v>
          </cell>
          <cell r="C5052" t="str">
            <v>好吃点 甄好曲奇巧克力豆味 150G</v>
          </cell>
          <cell r="D5052">
            <v>0</v>
          </cell>
          <cell r="E5052">
            <v>0</v>
          </cell>
          <cell r="F5052" t="e">
            <v>#DIV/0!</v>
          </cell>
        </row>
        <row r="5053">
          <cell r="B5053" t="str">
            <v>70265165</v>
          </cell>
          <cell r="C5053" t="str">
            <v>乐天 杏仁棒 1*12</v>
          </cell>
          <cell r="D5053">
            <v>1</v>
          </cell>
          <cell r="E5053">
            <v>6.38</v>
          </cell>
          <cell r="F5053">
            <v>7.2093999999999996</v>
          </cell>
        </row>
        <row r="5054">
          <cell r="B5054" t="str">
            <v>70267761</v>
          </cell>
          <cell r="C5054" t="str">
            <v>好多鱼 蜂蜜牛奶饼干 33G</v>
          </cell>
          <cell r="D5054">
            <v>1096</v>
          </cell>
          <cell r="E5054">
            <v>3283.29</v>
          </cell>
          <cell r="F5054">
            <v>3.38514388686131</v>
          </cell>
        </row>
        <row r="5055">
          <cell r="B5055" t="str">
            <v>70267843</v>
          </cell>
          <cell r="C5055" t="str">
            <v>小猪佩奇 蔬菜饼干 120G</v>
          </cell>
          <cell r="D5055">
            <v>582</v>
          </cell>
          <cell r="E5055">
            <v>4025.65</v>
          </cell>
          <cell r="F5055">
            <v>7.8161245704467301</v>
          </cell>
        </row>
        <row r="5056">
          <cell r="B5056" t="str">
            <v>70267844</v>
          </cell>
          <cell r="C5056" t="str">
            <v>小猪佩奇 蔓越莓曲奇饼干 120G</v>
          </cell>
          <cell r="D5056">
            <v>408</v>
          </cell>
          <cell r="E5056">
            <v>2808.3</v>
          </cell>
          <cell r="F5056">
            <v>7.77788970588235</v>
          </cell>
        </row>
        <row r="5057">
          <cell r="B5057" t="str">
            <v>70268917</v>
          </cell>
          <cell r="C5057" t="str">
            <v>法丽兹 醇香黑巧克力曲奇 115G</v>
          </cell>
          <cell r="D5057">
            <v>2366</v>
          </cell>
          <cell r="E5057">
            <v>10433.219999999999</v>
          </cell>
          <cell r="F5057">
            <v>4.9828988165680501</v>
          </cell>
        </row>
        <row r="5058">
          <cell r="B5058" t="str">
            <v>70274276</v>
          </cell>
          <cell r="C5058" t="str">
            <v>亿智 小猪佩奇牛奶曲奇饼干 纸盒120G</v>
          </cell>
          <cell r="D5058">
            <v>466</v>
          </cell>
          <cell r="E5058">
            <v>3198.75</v>
          </cell>
          <cell r="F5058">
            <v>7.7566255364806898</v>
          </cell>
        </row>
        <row r="5059">
          <cell r="B5059" t="str">
            <v>70275473</v>
          </cell>
          <cell r="C5059" t="str">
            <v>小猪佩奇 注心饼干（草莓味）160g</v>
          </cell>
          <cell r="D5059">
            <v>328</v>
          </cell>
          <cell r="E5059">
            <v>2721.37</v>
          </cell>
          <cell r="F5059">
            <v>9.3754515243902397</v>
          </cell>
        </row>
        <row r="5060">
          <cell r="B5060" t="str">
            <v>70275474</v>
          </cell>
          <cell r="C5060" t="str">
            <v>小猪佩奇 注心饼干（巧克力味）160g</v>
          </cell>
          <cell r="D5060">
            <v>363</v>
          </cell>
          <cell r="E5060">
            <v>2999.5</v>
          </cell>
          <cell r="F5060">
            <v>9.3372865013774096</v>
          </cell>
        </row>
        <row r="5061">
          <cell r="B5061" t="str">
            <v>70275530</v>
          </cell>
          <cell r="C5061" t="str">
            <v>奥利奥 草莓味夹心饼干 116G</v>
          </cell>
          <cell r="D5061">
            <v>7</v>
          </cell>
          <cell r="E5061">
            <v>37.17</v>
          </cell>
          <cell r="F5061">
            <v>6.0003000000000002</v>
          </cell>
        </row>
        <row r="5062">
          <cell r="B5062" t="str">
            <v>70275994</v>
          </cell>
          <cell r="C5062" t="str">
            <v>纳宝帝 巧克力味威化饼干 145g</v>
          </cell>
          <cell r="D5062">
            <v>49</v>
          </cell>
          <cell r="E5062">
            <v>240.73</v>
          </cell>
          <cell r="F5062">
            <v>5.5515285714285696</v>
          </cell>
        </row>
        <row r="5063">
          <cell r="B5063" t="str">
            <v>70277425</v>
          </cell>
          <cell r="C5063" t="str">
            <v>奥利奥 冰淇淋夹心抹茶味饼干 97G</v>
          </cell>
          <cell r="D5063">
            <v>2514</v>
          </cell>
          <cell r="E5063">
            <v>11726.61</v>
          </cell>
          <cell r="F5063">
            <v>5.2709106205250604</v>
          </cell>
        </row>
        <row r="5064">
          <cell r="B5064" t="str">
            <v>70277427</v>
          </cell>
          <cell r="C5064" t="str">
            <v>奥利奥 生日蛋糕口味夹心饼干 97G</v>
          </cell>
          <cell r="D5064">
            <v>5208</v>
          </cell>
          <cell r="E5064">
            <v>23140.57</v>
          </cell>
          <cell r="F5064">
            <v>5.0208994047619004</v>
          </cell>
        </row>
        <row r="5065">
          <cell r="B5065" t="str">
            <v>70277847</v>
          </cell>
          <cell r="C5065" t="str">
            <v>奥利奥 夹心原味 233G</v>
          </cell>
          <cell r="D5065">
            <v>10</v>
          </cell>
          <cell r="E5065">
            <v>106.15</v>
          </cell>
          <cell r="F5065">
            <v>11.994949999999999</v>
          </cell>
        </row>
        <row r="5066">
          <cell r="B5066" t="str">
            <v>70277849</v>
          </cell>
          <cell r="C5066" t="str">
            <v>奥利奥 夹心巧克力味 233G</v>
          </cell>
          <cell r="D5066">
            <v>10</v>
          </cell>
          <cell r="E5066">
            <v>106.16</v>
          </cell>
          <cell r="F5066">
            <v>11.996079999999999</v>
          </cell>
        </row>
        <row r="5067">
          <cell r="B5067" t="str">
            <v>70278131</v>
          </cell>
          <cell r="C5067" t="str">
            <v>奥利奥 缤纷双果味夹心饼干蓝莓味加树莓味 97G</v>
          </cell>
          <cell r="D5067">
            <v>5891</v>
          </cell>
          <cell r="E5067">
            <v>25722.11</v>
          </cell>
          <cell r="F5067">
            <v>4.9339644033271099</v>
          </cell>
        </row>
        <row r="5068">
          <cell r="B5068" t="str">
            <v>70291296</v>
          </cell>
          <cell r="C5068" t="str">
            <v>陈昌银 麻花七子装 300G</v>
          </cell>
          <cell r="D5068">
            <v>17</v>
          </cell>
          <cell r="E5068">
            <v>195.6</v>
          </cell>
          <cell r="F5068">
            <v>13.001647058823499</v>
          </cell>
        </row>
        <row r="5069">
          <cell r="B5069" t="str">
            <v>70299618</v>
          </cell>
          <cell r="C5069" t="str">
            <v>稻香村 小麻花(麻辣味) 120G</v>
          </cell>
          <cell r="D5069">
            <v>1697</v>
          </cell>
          <cell r="E5069">
            <v>9135.31</v>
          </cell>
          <cell r="F5069">
            <v>6.0830290512669398</v>
          </cell>
        </row>
        <row r="5070">
          <cell r="B5070" t="str">
            <v>70299619</v>
          </cell>
          <cell r="C5070" t="str">
            <v>稻香村 小麻花(黑糖) 120G</v>
          </cell>
          <cell r="D5070">
            <v>1103</v>
          </cell>
          <cell r="E5070">
            <v>6200.74</v>
          </cell>
          <cell r="F5070">
            <v>6.3525260199456</v>
          </cell>
        </row>
        <row r="5071">
          <cell r="B5071" t="str">
            <v>70299620</v>
          </cell>
          <cell r="C5071" t="str">
            <v>稻香村 小麻花(五香味) 120G</v>
          </cell>
          <cell r="D5071">
            <v>1401</v>
          </cell>
          <cell r="E5071">
            <v>7897.76</v>
          </cell>
          <cell r="F5071">
            <v>6.3700705210563902</v>
          </cell>
        </row>
        <row r="5072">
          <cell r="B5072" t="str">
            <v>70300454</v>
          </cell>
          <cell r="C5072" t="str">
            <v>NABATI 软心趣布朗尼风味曲奇饼干 112G</v>
          </cell>
          <cell r="D5072">
            <v>208</v>
          </cell>
          <cell r="E5072">
            <v>856.57</v>
          </cell>
          <cell r="F5072">
            <v>4.6534812499999996</v>
          </cell>
        </row>
        <row r="5073">
          <cell r="B5073" t="str">
            <v>70302225</v>
          </cell>
          <cell r="C5073" t="str">
            <v>百草味 原味肉松饼 260G</v>
          </cell>
          <cell r="D5073">
            <v>4</v>
          </cell>
          <cell r="E5073">
            <v>30.8</v>
          </cell>
          <cell r="F5073">
            <v>8.7010000000000005</v>
          </cell>
        </row>
        <row r="5074">
          <cell r="B5074" t="str">
            <v>70305073</v>
          </cell>
          <cell r="C5074" t="str">
            <v>法丽兹 抹茶慕斯巧克力味曲奇 70G</v>
          </cell>
          <cell r="D5074">
            <v>3425</v>
          </cell>
          <cell r="E5074">
            <v>8317.7999999999993</v>
          </cell>
          <cell r="F5074">
            <v>2.7442668613138701</v>
          </cell>
        </row>
        <row r="5075">
          <cell r="B5075" t="str">
            <v>70305074</v>
          </cell>
          <cell r="C5075" t="str">
            <v>法丽兹 酸奶巧克力味曲奇 70G</v>
          </cell>
          <cell r="D5075">
            <v>4200</v>
          </cell>
          <cell r="E5075">
            <v>10110.51</v>
          </cell>
          <cell r="F5075">
            <v>2.7202086428571399</v>
          </cell>
        </row>
        <row r="5076">
          <cell r="B5076" t="str">
            <v>70305251</v>
          </cell>
          <cell r="C5076" t="str">
            <v>法丽兹 醇香黑巧克力曲奇 70G</v>
          </cell>
          <cell r="D5076">
            <v>1</v>
          </cell>
          <cell r="E5076">
            <v>2.48</v>
          </cell>
          <cell r="F5076">
            <v>2.8024</v>
          </cell>
        </row>
        <row r="5077">
          <cell r="B5077" t="str">
            <v>70309448</v>
          </cell>
          <cell r="C5077" t="str">
            <v>嘉士利 嘉士利蓝莓果酱味夹心 85G</v>
          </cell>
          <cell r="D5077">
            <v>1190</v>
          </cell>
          <cell r="E5077">
            <v>4435.58</v>
          </cell>
          <cell r="F5077">
            <v>4.2119373109243696</v>
          </cell>
        </row>
        <row r="5078">
          <cell r="B5078" t="str">
            <v>70309449</v>
          </cell>
          <cell r="C5078" t="str">
            <v>嘉士利 嘉士利草莓果酱味夹心饼干 85G</v>
          </cell>
          <cell r="D5078">
            <v>1391</v>
          </cell>
          <cell r="E5078">
            <v>5186.74</v>
          </cell>
          <cell r="F5078">
            <v>4.2135271028037398</v>
          </cell>
        </row>
        <row r="5079">
          <cell r="B5079" t="str">
            <v>70311108</v>
          </cell>
          <cell r="C5079" t="str">
            <v>开心时间 草莓味巧克趣 25G</v>
          </cell>
          <cell r="D5079">
            <v>0</v>
          </cell>
          <cell r="E5079">
            <v>0</v>
          </cell>
          <cell r="F5079" t="e">
            <v>#DIV/0!</v>
          </cell>
        </row>
        <row r="5080">
          <cell r="B5080" t="str">
            <v>70312094</v>
          </cell>
          <cell r="C5080" t="str">
            <v>康元 燕麦早餐饼 140G</v>
          </cell>
          <cell r="D5080">
            <v>36</v>
          </cell>
          <cell r="E5080">
            <v>89.24</v>
          </cell>
          <cell r="F5080">
            <v>2.8011444444444402</v>
          </cell>
        </row>
        <row r="5081">
          <cell r="B5081" t="str">
            <v>70313945</v>
          </cell>
          <cell r="C5081" t="str">
            <v>稻香村 小米煎饼(香葱味) 120G</v>
          </cell>
          <cell r="D5081">
            <v>532</v>
          </cell>
          <cell r="E5081">
            <v>3639.92</v>
          </cell>
          <cell r="F5081">
            <v>7.7314090225563898</v>
          </cell>
        </row>
        <row r="5082">
          <cell r="B5082" t="str">
            <v>70313946</v>
          </cell>
          <cell r="C5082" t="str">
            <v>稻香村 小米煎饼(麻辣味) 120G</v>
          </cell>
          <cell r="D5082">
            <v>753</v>
          </cell>
          <cell r="E5082">
            <v>5148.54</v>
          </cell>
          <cell r="F5082">
            <v>7.7262286852589597</v>
          </cell>
        </row>
        <row r="5083">
          <cell r="B5083" t="str">
            <v>70313949</v>
          </cell>
          <cell r="C5083" t="str">
            <v>稻香村 沙琪玛(蛋酥味) 508G</v>
          </cell>
          <cell r="D5083">
            <v>793</v>
          </cell>
          <cell r="E5083">
            <v>10992.25</v>
          </cell>
          <cell r="F5083">
            <v>15.6636097099622</v>
          </cell>
        </row>
        <row r="5084">
          <cell r="B5084" t="str">
            <v>70313950</v>
          </cell>
          <cell r="C5084" t="str">
            <v>稻香村 沙琪玛(黑糖味) 508G</v>
          </cell>
          <cell r="D5084">
            <v>654</v>
          </cell>
          <cell r="E5084">
            <v>9064.9599999999991</v>
          </cell>
          <cell r="F5084">
            <v>15.662698470947999</v>
          </cell>
        </row>
        <row r="5085">
          <cell r="B5085" t="str">
            <v>70313951</v>
          </cell>
          <cell r="C5085" t="str">
            <v>稻香村 爆浆麻薯(芒果) 210G</v>
          </cell>
          <cell r="D5085">
            <v>330</v>
          </cell>
          <cell r="E5085">
            <v>3433.44</v>
          </cell>
          <cell r="F5085">
            <v>11.756930909090901</v>
          </cell>
        </row>
        <row r="5086">
          <cell r="B5086" t="str">
            <v>70313952</v>
          </cell>
          <cell r="C5086" t="str">
            <v>稻香村 爆浆麻薯(椰丝牛奶) 210G</v>
          </cell>
          <cell r="D5086">
            <v>283</v>
          </cell>
          <cell r="E5086">
            <v>2933.64</v>
          </cell>
          <cell r="F5086">
            <v>11.713827561837499</v>
          </cell>
        </row>
        <row r="5087">
          <cell r="B5087" t="str">
            <v>70315750</v>
          </cell>
          <cell r="C5087" t="str">
            <v>莎布蕾 火山小曲奇芒果蔓越莓味 100G</v>
          </cell>
          <cell r="D5087">
            <v>12</v>
          </cell>
          <cell r="E5087">
            <v>71.67</v>
          </cell>
          <cell r="F5087">
            <v>6.7489249999999998</v>
          </cell>
        </row>
        <row r="5088">
          <cell r="B5088" t="str">
            <v>70315751</v>
          </cell>
          <cell r="C5088" t="str">
            <v>莎布蕾 火山小曲奇蛋奶椰蓉味 100G</v>
          </cell>
          <cell r="D5088">
            <v>13</v>
          </cell>
          <cell r="E5088">
            <v>77.489999999999995</v>
          </cell>
          <cell r="F5088">
            <v>6.7356692307692301</v>
          </cell>
        </row>
        <row r="5089">
          <cell r="B5089" t="str">
            <v>70316502</v>
          </cell>
          <cell r="C5089" t="str">
            <v>华美 每日粗粮无糖 170G</v>
          </cell>
          <cell r="D5089">
            <v>535</v>
          </cell>
          <cell r="E5089">
            <v>2752.47</v>
          </cell>
          <cell r="F5089">
            <v>5.8136282242990598</v>
          </cell>
        </row>
        <row r="5090">
          <cell r="B5090" t="str">
            <v>70320408</v>
          </cell>
          <cell r="C5090" t="str">
            <v>谷焙奇 坚果世面沙琪玛(黑芝麻味) 380G</v>
          </cell>
          <cell r="D5090">
            <v>3</v>
          </cell>
          <cell r="E5090">
            <v>23.91</v>
          </cell>
          <cell r="F5090">
            <v>9.0061</v>
          </cell>
        </row>
        <row r="5091">
          <cell r="B5091" t="str">
            <v>70329087</v>
          </cell>
          <cell r="C5091" t="str">
            <v>钙芝 奶酪味高钙威化饼干芝士味 351G</v>
          </cell>
          <cell r="D5091">
            <v>11</v>
          </cell>
          <cell r="E5091">
            <v>225.06</v>
          </cell>
          <cell r="F5091">
            <v>23.119800000000001</v>
          </cell>
        </row>
        <row r="5092">
          <cell r="B5092" t="str">
            <v>70329534</v>
          </cell>
          <cell r="C5092" t="str">
            <v>TATAWA  蓝莓味果酱曲奇饼干 70g</v>
          </cell>
          <cell r="D5092">
            <v>0</v>
          </cell>
          <cell r="E5092">
            <v>0</v>
          </cell>
          <cell r="F5092" t="e">
            <v>#DIV/0!</v>
          </cell>
        </row>
        <row r="5093">
          <cell r="B5093" t="str">
            <v>70350306</v>
          </cell>
          <cell r="C5093" t="str">
            <v>旺旺 泡芙草莓 56G</v>
          </cell>
          <cell r="D5093">
            <v>1922</v>
          </cell>
          <cell r="E5093">
            <v>8486.2999999999993</v>
          </cell>
          <cell r="F5093">
            <v>4.9893439125910497</v>
          </cell>
        </row>
        <row r="5094">
          <cell r="B5094" t="str">
            <v>70350641</v>
          </cell>
          <cell r="C5094" t="str">
            <v>奥利奥 白桃乌龙味 97G</v>
          </cell>
          <cell r="D5094">
            <v>7002</v>
          </cell>
          <cell r="E5094">
            <v>31367.72</v>
          </cell>
          <cell r="F5094">
            <v>5.0621998857469297</v>
          </cell>
        </row>
        <row r="5095">
          <cell r="B5095" t="str">
            <v>70351905</v>
          </cell>
          <cell r="C5095" t="str">
            <v>波路梦 咖啡蛋塔曲奇 56G</v>
          </cell>
          <cell r="D5095">
            <v>142</v>
          </cell>
          <cell r="E5095">
            <v>528.95000000000005</v>
          </cell>
          <cell r="F5095">
            <v>4.2092499999999999</v>
          </cell>
        </row>
        <row r="5096">
          <cell r="B5096" t="str">
            <v>70356146</v>
          </cell>
          <cell r="C5096" t="str">
            <v>稻香村 绿豆冰糕 120G</v>
          </cell>
          <cell r="D5096">
            <v>250</v>
          </cell>
          <cell r="E5096">
            <v>2957.49</v>
          </cell>
          <cell r="F5096">
            <v>13.3678548</v>
          </cell>
        </row>
        <row r="5097">
          <cell r="B5097" t="str">
            <v>70356221</v>
          </cell>
          <cell r="C5097" t="str">
            <v>濠润坊 老婆饼 230G</v>
          </cell>
          <cell r="D5097">
            <v>210</v>
          </cell>
          <cell r="E5097">
            <v>2638.93</v>
          </cell>
          <cell r="F5097">
            <v>14.199956666666701</v>
          </cell>
        </row>
        <row r="5098">
          <cell r="B5098" t="str">
            <v>70356222</v>
          </cell>
          <cell r="C5098" t="str">
            <v>濠润坊 榴莲饼 230G</v>
          </cell>
          <cell r="D5098">
            <v>179</v>
          </cell>
          <cell r="E5098">
            <v>1801.78</v>
          </cell>
          <cell r="F5098">
            <v>11.374365363128501</v>
          </cell>
        </row>
        <row r="5099">
          <cell r="B5099" t="str">
            <v>70360381</v>
          </cell>
          <cell r="C5099" t="str">
            <v>每日生机 海盐饼（黄油味） 110G</v>
          </cell>
          <cell r="D5099">
            <v>26</v>
          </cell>
          <cell r="E5099">
            <v>144.99</v>
          </cell>
          <cell r="F5099">
            <v>6.3014884615384599</v>
          </cell>
        </row>
        <row r="5100">
          <cell r="B5100" t="str">
            <v>70360385</v>
          </cell>
          <cell r="C5100" t="str">
            <v>每日生机 海盐饼（香葱味） 110G</v>
          </cell>
          <cell r="D5100">
            <v>39</v>
          </cell>
          <cell r="E5100">
            <v>217.46</v>
          </cell>
          <cell r="F5100">
            <v>6.3007641025641004</v>
          </cell>
        </row>
        <row r="5101">
          <cell r="B5101" t="str">
            <v>70364339</v>
          </cell>
          <cell r="C5101" t="str">
            <v>奥利奥 威化小方焙烤榛果巧克力味 42G</v>
          </cell>
          <cell r="D5101">
            <v>3</v>
          </cell>
          <cell r="E5101">
            <v>13.29</v>
          </cell>
          <cell r="F5101">
            <v>5.0058999999999996</v>
          </cell>
        </row>
        <row r="5102">
          <cell r="B5102" t="str">
            <v>70364341</v>
          </cell>
          <cell r="C5102" t="str">
            <v>奥利奥 威化小方优选牛乳香草味 42G</v>
          </cell>
          <cell r="D5102">
            <v>11</v>
          </cell>
          <cell r="E5102">
            <v>48.73</v>
          </cell>
          <cell r="F5102">
            <v>5.0058999999999996</v>
          </cell>
        </row>
        <row r="5103">
          <cell r="B5103" t="str">
            <v>70365158</v>
          </cell>
          <cell r="C5103" t="str">
            <v>陈昌银 麻花原味 200G</v>
          </cell>
          <cell r="D5103">
            <v>13</v>
          </cell>
          <cell r="E5103">
            <v>75.94</v>
          </cell>
          <cell r="F5103">
            <v>6.6009384615384601</v>
          </cell>
        </row>
        <row r="5104">
          <cell r="B5104" t="str">
            <v>70367337</v>
          </cell>
          <cell r="C5104" t="str">
            <v>法丽兹 提拉米苏咖啡味 可可黑曲奇 62g</v>
          </cell>
          <cell r="D5104">
            <v>3</v>
          </cell>
          <cell r="E5104">
            <v>7.24</v>
          </cell>
          <cell r="F5104">
            <v>2.7270666666666701</v>
          </cell>
        </row>
        <row r="5105">
          <cell r="B5105" t="str">
            <v>70367338</v>
          </cell>
          <cell r="C5105" t="str">
            <v>法丽兹 可可黑曲奇布朗尼巧克力味 62g</v>
          </cell>
          <cell r="D5105">
            <v>11</v>
          </cell>
          <cell r="E5105">
            <v>26.19</v>
          </cell>
          <cell r="F5105">
            <v>2.6904272727272698</v>
          </cell>
        </row>
        <row r="5106">
          <cell r="B5106" t="str">
            <v>70368907</v>
          </cell>
          <cell r="C5106" t="str">
            <v>峄阳坊 蛋酥卷（古镇黑芝麻味） 108G/盒</v>
          </cell>
          <cell r="D5106">
            <v>268</v>
          </cell>
          <cell r="E5106">
            <v>1660.7</v>
          </cell>
          <cell r="F5106">
            <v>7.0022052238806003</v>
          </cell>
        </row>
        <row r="5107">
          <cell r="B5107" t="str">
            <v>70368908</v>
          </cell>
          <cell r="C5107" t="str">
            <v>峄阳坊 蛋酥卷（江南水乡原味） 108G/盒</v>
          </cell>
          <cell r="D5107">
            <v>238</v>
          </cell>
          <cell r="E5107">
            <v>1474.89</v>
          </cell>
          <cell r="F5107">
            <v>7.00262899159664</v>
          </cell>
        </row>
        <row r="5108">
          <cell r="B5108" t="str">
            <v>70368912</v>
          </cell>
          <cell r="C5108" t="str">
            <v>峄阳坊 蛋酥卷（古镇黑芝麻味） 54G/盒</v>
          </cell>
          <cell r="D5108">
            <v>524</v>
          </cell>
          <cell r="E5108">
            <v>2049.1</v>
          </cell>
          <cell r="F5108">
            <v>4.4188606870229004</v>
          </cell>
        </row>
        <row r="5109">
          <cell r="B5109" t="str">
            <v>70368913</v>
          </cell>
          <cell r="C5109" t="str">
            <v>峄阳坊 蛋酥卷（江南水乡原味） 54G/盒</v>
          </cell>
          <cell r="D5109">
            <v>462</v>
          </cell>
          <cell r="E5109">
            <v>1807.46</v>
          </cell>
          <cell r="F5109">
            <v>4.4208437229437196</v>
          </cell>
        </row>
        <row r="5110">
          <cell r="B5110" t="str">
            <v>70368914</v>
          </cell>
          <cell r="C5110" t="str">
            <v>峄阳坊 无添加杂粮饼干 380G/盒</v>
          </cell>
          <cell r="D5110">
            <v>347</v>
          </cell>
          <cell r="E5110">
            <v>2922.61</v>
          </cell>
          <cell r="F5110">
            <v>9.5174331412103701</v>
          </cell>
        </row>
        <row r="5111">
          <cell r="B5111" t="str">
            <v>70368917</v>
          </cell>
          <cell r="C5111" t="str">
            <v>峄阳坊 黑芝麻杂粮饼干 380G/盒</v>
          </cell>
          <cell r="D5111">
            <v>239</v>
          </cell>
          <cell r="E5111">
            <v>2017.37</v>
          </cell>
          <cell r="F5111">
            <v>9.5381928870292896</v>
          </cell>
        </row>
        <row r="5112">
          <cell r="B5112" t="str">
            <v>70371760</v>
          </cell>
          <cell r="C5112" t="str">
            <v>波路梦 普奇夹心小饼芝士味 47G</v>
          </cell>
          <cell r="D5112">
            <v>138</v>
          </cell>
          <cell r="E5112">
            <v>515.59</v>
          </cell>
          <cell r="F5112">
            <v>4.2218601449275397</v>
          </cell>
        </row>
        <row r="5113">
          <cell r="B5113" t="str">
            <v>70373608</v>
          </cell>
          <cell r="C5113" t="str">
            <v>法丽兹 布朗尼巧克力味可可黑曲奇 85G</v>
          </cell>
          <cell r="D5113">
            <v>5</v>
          </cell>
          <cell r="E5113">
            <v>19.5</v>
          </cell>
          <cell r="F5113">
            <v>4.407</v>
          </cell>
        </row>
        <row r="5114">
          <cell r="B5114" t="str">
            <v>70374024</v>
          </cell>
          <cell r="C5114" t="str">
            <v>TOTASTE(土斯) 豆乳流心蛋卷 178G</v>
          </cell>
          <cell r="D5114">
            <v>25</v>
          </cell>
          <cell r="E5114">
            <v>210.29</v>
          </cell>
          <cell r="F5114">
            <v>9.5051079999999999</v>
          </cell>
        </row>
        <row r="5115">
          <cell r="B5115" t="str">
            <v>70375813</v>
          </cell>
          <cell r="C5115" t="str">
            <v>咔啰卡曼 咸蛋黄酥蛋卷 308G</v>
          </cell>
          <cell r="D5115">
            <v>24</v>
          </cell>
          <cell r="E5115">
            <v>554.45000000000005</v>
          </cell>
          <cell r="F5115">
            <v>26.1053541666667</v>
          </cell>
        </row>
        <row r="5116">
          <cell r="B5116" t="str">
            <v>70381181</v>
          </cell>
          <cell r="C5116" t="str">
            <v>康元 椰子奶油饼干 300G</v>
          </cell>
          <cell r="D5116">
            <v>0</v>
          </cell>
          <cell r="E5116">
            <v>0</v>
          </cell>
          <cell r="F5116" t="e">
            <v>#DIV/0!</v>
          </cell>
        </row>
        <row r="5117">
          <cell r="B5117" t="str">
            <v>70381182</v>
          </cell>
          <cell r="C5117" t="str">
            <v>康元 香橙味夹心饼干 285G</v>
          </cell>
          <cell r="D5117">
            <v>0</v>
          </cell>
          <cell r="E5117">
            <v>0</v>
          </cell>
          <cell r="F5117" t="e">
            <v>#DIV/0!</v>
          </cell>
        </row>
        <row r="5118">
          <cell r="B5118" t="str">
            <v>70381270</v>
          </cell>
          <cell r="C5118" t="str">
            <v>好客湘 葡萄夹层饼干 140G</v>
          </cell>
          <cell r="D5118">
            <v>338</v>
          </cell>
          <cell r="E5118">
            <v>1247.51</v>
          </cell>
          <cell r="F5118">
            <v>4.1706695266272202</v>
          </cell>
        </row>
        <row r="5119">
          <cell r="B5119" t="str">
            <v>70381271</v>
          </cell>
          <cell r="C5119" t="str">
            <v>好客湘 高钙香浓牛乳饼干 130G</v>
          </cell>
          <cell r="D5119">
            <v>626</v>
          </cell>
          <cell r="E5119">
            <v>2321.69</v>
          </cell>
          <cell r="F5119">
            <v>4.1909100638977597</v>
          </cell>
        </row>
        <row r="5120">
          <cell r="B5120" t="str">
            <v>70381272</v>
          </cell>
          <cell r="C5120" t="str">
            <v>好客湘 海盐苏打饼干 125G</v>
          </cell>
          <cell r="D5120">
            <v>755</v>
          </cell>
          <cell r="E5120">
            <v>2192.75</v>
          </cell>
          <cell r="F5120">
            <v>3.2818642384105998</v>
          </cell>
        </row>
        <row r="5121">
          <cell r="B5121" t="str">
            <v>70381273</v>
          </cell>
          <cell r="C5121" t="str">
            <v>好客湘 柠檬夹心苏打饼干 135G</v>
          </cell>
          <cell r="D5121">
            <v>922</v>
          </cell>
          <cell r="E5121">
            <v>3402.67</v>
          </cell>
          <cell r="F5121">
            <v>4.1703005422993504</v>
          </cell>
        </row>
        <row r="5122">
          <cell r="B5122" t="str">
            <v>70385223</v>
          </cell>
          <cell r="C5122" t="str">
            <v>阿尔曼 爱乐芬威化巧克力 35G/个</v>
          </cell>
          <cell r="D5122">
            <v>13062</v>
          </cell>
          <cell r="E5122">
            <v>11715.47</v>
          </cell>
          <cell r="F5122">
            <v>1.0135110320012199</v>
          </cell>
        </row>
        <row r="5123">
          <cell r="B5123" t="str">
            <v>70386258</v>
          </cell>
          <cell r="C5123" t="str">
            <v>良品铺子 咸蛋黄麦芽饼干 102G</v>
          </cell>
          <cell r="D5123">
            <v>0</v>
          </cell>
          <cell r="E5123">
            <v>0</v>
          </cell>
          <cell r="F5123" t="e">
            <v>#DIV/0!</v>
          </cell>
        </row>
        <row r="5124">
          <cell r="B5124" t="str">
            <v>70390760</v>
          </cell>
          <cell r="C5124" t="str">
            <v>卧龙 猫耳酥甜辣味 138G</v>
          </cell>
          <cell r="D5124">
            <v>2533</v>
          </cell>
          <cell r="E5124">
            <v>9482.9</v>
          </cell>
          <cell r="F5124">
            <v>4.2304291354125496</v>
          </cell>
        </row>
        <row r="5125">
          <cell r="B5125" t="str">
            <v>70395567</v>
          </cell>
          <cell r="C5125" t="str">
            <v>法丽兹 可可黑曲奇乳酸菌草莓味 62g</v>
          </cell>
          <cell r="D5125">
            <v>3357</v>
          </cell>
          <cell r="E5125">
            <v>7955.1</v>
          </cell>
          <cell r="F5125">
            <v>2.6777667560321698</v>
          </cell>
        </row>
        <row r="5126">
          <cell r="B5126" t="str">
            <v>70399824</v>
          </cell>
          <cell r="C5126" t="str">
            <v>嘉士利 凤梨果酱味夹心饼干 85G</v>
          </cell>
          <cell r="D5126">
            <v>899</v>
          </cell>
          <cell r="E5126">
            <v>3347.08</v>
          </cell>
          <cell r="F5126">
            <v>4.2071194660734097</v>
          </cell>
        </row>
        <row r="5127">
          <cell r="B5127" t="str">
            <v>70401236</v>
          </cell>
          <cell r="C5127" t="str">
            <v>TOTASTE土斯 咸蛋黄流心蛋卷 178G</v>
          </cell>
          <cell r="D5127">
            <v>25</v>
          </cell>
          <cell r="E5127">
            <v>209.49</v>
          </cell>
          <cell r="F5127">
            <v>9.4689479999999993</v>
          </cell>
        </row>
        <row r="5128">
          <cell r="B5128" t="str">
            <v>70403801</v>
          </cell>
          <cell r="C5128" t="str">
            <v>卡啰咔曼 巧克力味脆皮蛋卷100G 盒</v>
          </cell>
          <cell r="D5128">
            <v>38</v>
          </cell>
          <cell r="E5128">
            <v>191.06</v>
          </cell>
          <cell r="F5128">
            <v>5.68152105263158</v>
          </cell>
        </row>
        <row r="5129">
          <cell r="B5129" t="str">
            <v>70403803</v>
          </cell>
          <cell r="C5129" t="str">
            <v>卡啰咔曼 榴莲味脆皮蛋卷100G 盒</v>
          </cell>
          <cell r="D5129">
            <v>44</v>
          </cell>
          <cell r="E5129">
            <v>239.72</v>
          </cell>
          <cell r="F5129">
            <v>6.1564454545454499</v>
          </cell>
        </row>
        <row r="5130">
          <cell r="B5130" t="str">
            <v>70403805</v>
          </cell>
          <cell r="C5130" t="str">
            <v>卡啰咔曼 蛋黄味脆皮蛋卷100G 盒</v>
          </cell>
          <cell r="D5130">
            <v>14</v>
          </cell>
          <cell r="E5130">
            <v>76.94</v>
          </cell>
          <cell r="F5130">
            <v>6.21015714285714</v>
          </cell>
        </row>
        <row r="5131">
          <cell r="B5131" t="str">
            <v>70405500</v>
          </cell>
          <cell r="C5131" t="str">
            <v>AJI 草莓味跳跳糖马卡龙饼干糕点零食小吃 133G</v>
          </cell>
          <cell r="D5131">
            <v>803</v>
          </cell>
          <cell r="E5131">
            <v>5240.1899999999996</v>
          </cell>
          <cell r="F5131">
            <v>7.3741154420921502</v>
          </cell>
        </row>
        <row r="5132">
          <cell r="B5132" t="str">
            <v>70405501</v>
          </cell>
          <cell r="C5132" t="str">
            <v>AJI 奶油味跳跳糖马卡龙饼干糕点零食小吃 133G</v>
          </cell>
          <cell r="D5132">
            <v>844</v>
          </cell>
          <cell r="E5132">
            <v>5509.53</v>
          </cell>
          <cell r="F5132">
            <v>7.3765034360189601</v>
          </cell>
        </row>
        <row r="5133">
          <cell r="B5133" t="str">
            <v>70405914</v>
          </cell>
          <cell r="C5133" t="str">
            <v>百诺 草莓味夹心饼干 112G</v>
          </cell>
          <cell r="D5133">
            <v>0</v>
          </cell>
          <cell r="E5133">
            <v>0</v>
          </cell>
          <cell r="F5133" t="e">
            <v>#DIV/0!</v>
          </cell>
        </row>
        <row r="5134">
          <cell r="B5134" t="str">
            <v>70407197</v>
          </cell>
          <cell r="C5134" t="str">
            <v>丽芝士 纳宝帝草莓芝士蛋糕味威化饼干 145G</v>
          </cell>
          <cell r="D5134">
            <v>522</v>
          </cell>
          <cell r="E5134">
            <v>2799.73</v>
          </cell>
          <cell r="F5134">
            <v>6.0607181992337198</v>
          </cell>
        </row>
        <row r="5135">
          <cell r="B5135" t="str">
            <v>70407198</v>
          </cell>
          <cell r="C5135" t="str">
            <v>丽芝士 纳宝帝草莓芝士蛋糕味威化饼干 56G</v>
          </cell>
          <cell r="D5135">
            <v>279</v>
          </cell>
          <cell r="E5135">
            <v>549.29999999999995</v>
          </cell>
          <cell r="F5135">
            <v>2.2247634408602099</v>
          </cell>
        </row>
        <row r="5136">
          <cell r="B5136" t="str">
            <v>70409158</v>
          </cell>
          <cell r="C5136" t="str">
            <v>泽拉木夏 牛奶小馕 1000G/盒</v>
          </cell>
          <cell r="D5136">
            <v>9</v>
          </cell>
          <cell r="E5136">
            <v>215.06</v>
          </cell>
          <cell r="F5136">
            <v>27.0019777777778</v>
          </cell>
        </row>
        <row r="5137">
          <cell r="B5137" t="str">
            <v>70411603</v>
          </cell>
          <cell r="C5137" t="str">
            <v>AJI 跳跳糖马卡龙饼干（抹茶味） 133G</v>
          </cell>
          <cell r="D5137">
            <v>275</v>
          </cell>
          <cell r="E5137">
            <v>1789.24</v>
          </cell>
          <cell r="F5137">
            <v>7.3521498181818199</v>
          </cell>
        </row>
        <row r="5138">
          <cell r="B5138" t="str">
            <v>70413402</v>
          </cell>
          <cell r="C5138" t="str">
            <v>乐贝鲜 手撕麻花 128G</v>
          </cell>
          <cell r="D5138">
            <v>10</v>
          </cell>
          <cell r="E5138">
            <v>18.96</v>
          </cell>
          <cell r="F5138">
            <v>2.1424799999999999</v>
          </cell>
        </row>
        <row r="5139">
          <cell r="B5139" t="str">
            <v>70415593</v>
          </cell>
          <cell r="C5139" t="str">
            <v>咔啰卡曼 卡曼脆皮蛋卷 308G</v>
          </cell>
          <cell r="D5139">
            <v>4</v>
          </cell>
          <cell r="E5139">
            <v>93.83</v>
          </cell>
          <cell r="F5139">
            <v>26.506975000000001</v>
          </cell>
        </row>
        <row r="5140">
          <cell r="B5140" t="str">
            <v>70415594</v>
          </cell>
          <cell r="C5140" t="str">
            <v>咔啰卡曼 咔哆酥威化饼干草莓味盒装 120G</v>
          </cell>
          <cell r="D5140">
            <v>3</v>
          </cell>
          <cell r="E5140">
            <v>22.4</v>
          </cell>
          <cell r="F5140">
            <v>8.4373333333333296</v>
          </cell>
        </row>
        <row r="5141">
          <cell r="B5141" t="str">
            <v>70415601</v>
          </cell>
          <cell r="C5141" t="str">
            <v>咔啰卡曼 小黄鸭海苔蛋卷罐装 80G</v>
          </cell>
          <cell r="D5141">
            <v>5</v>
          </cell>
          <cell r="E5141">
            <v>43.73</v>
          </cell>
          <cell r="F5141">
            <v>9.8829799999999999</v>
          </cell>
        </row>
        <row r="5142">
          <cell r="B5142" t="str">
            <v>70415602</v>
          </cell>
          <cell r="C5142" t="str">
            <v>咔啰卡曼 小黄鸭海苔蛋卷盒装 72G</v>
          </cell>
          <cell r="D5142">
            <v>16</v>
          </cell>
          <cell r="E5142">
            <v>105.68</v>
          </cell>
          <cell r="F5142">
            <v>7.4636500000000003</v>
          </cell>
        </row>
        <row r="5143">
          <cell r="B5143" t="str">
            <v>70415617</v>
          </cell>
          <cell r="C5143" t="str">
            <v>咔啰卡曼 小黄鸭蛋卷榴莲味盒装 64G</v>
          </cell>
          <cell r="D5143">
            <v>534</v>
          </cell>
          <cell r="E5143">
            <v>1588.17</v>
          </cell>
          <cell r="F5143">
            <v>3.3607342696629199</v>
          </cell>
        </row>
        <row r="5144">
          <cell r="B5144" t="str">
            <v>70415618</v>
          </cell>
          <cell r="C5144" t="str">
            <v>咔啰卡曼 小黄鸭蛋卷冰淇淋味盒装 64G</v>
          </cell>
          <cell r="D5144">
            <v>486</v>
          </cell>
          <cell r="E5144">
            <v>1445.06</v>
          </cell>
          <cell r="F5144">
            <v>3.35991316872428</v>
          </cell>
        </row>
        <row r="5145">
          <cell r="B5145" t="str">
            <v>70417265</v>
          </cell>
          <cell r="C5145" t="str">
            <v>900 芝麻口味压缩饼干 120G</v>
          </cell>
          <cell r="D5145">
            <v>1876</v>
          </cell>
          <cell r="E5145">
            <v>4949.97</v>
          </cell>
          <cell r="F5145">
            <v>2.98159173773987</v>
          </cell>
        </row>
        <row r="5146">
          <cell r="B5146" t="str">
            <v>70424725</v>
          </cell>
          <cell r="C5146" t="str">
            <v>奥利奥 0糖夹心饼干 97G</v>
          </cell>
          <cell r="D5146">
            <v>422</v>
          </cell>
          <cell r="E5146">
            <v>2198.73</v>
          </cell>
          <cell r="F5146">
            <v>5.8875945497630298</v>
          </cell>
        </row>
        <row r="5147">
          <cell r="B5147" t="str">
            <v>70428322</v>
          </cell>
          <cell r="C5147" t="str">
            <v>江中 玄米抹茶酥性饼干 144G</v>
          </cell>
          <cell r="D5147">
            <v>52</v>
          </cell>
          <cell r="E5147">
            <v>671.87</v>
          </cell>
          <cell r="F5147">
            <v>14.6002519230769</v>
          </cell>
        </row>
        <row r="5148">
          <cell r="B5148" t="str">
            <v>70428326</v>
          </cell>
          <cell r="C5148" t="str">
            <v>江中 椰蓉牛奶酥性饼干 144G</v>
          </cell>
          <cell r="D5148">
            <v>9</v>
          </cell>
          <cell r="E5148">
            <v>116.29</v>
          </cell>
          <cell r="F5148">
            <v>14.600855555555601</v>
          </cell>
        </row>
        <row r="5149">
          <cell r="B5149" t="str">
            <v>70434236</v>
          </cell>
          <cell r="C5149" t="str">
            <v>EDO 木糖醇苏打饼（五谷味） 280G</v>
          </cell>
          <cell r="D5149">
            <v>10</v>
          </cell>
          <cell r="E5149">
            <v>84.07</v>
          </cell>
          <cell r="F5149">
            <v>9.4999099999999999</v>
          </cell>
        </row>
        <row r="5150">
          <cell r="B5150" t="str">
            <v>70434255</v>
          </cell>
          <cell r="C5150" t="str">
            <v>不二家 牛奶妹夹芯小圆（巧克力） 100G</v>
          </cell>
          <cell r="D5150">
            <v>1</v>
          </cell>
          <cell r="E5150">
            <v>9.18</v>
          </cell>
          <cell r="F5150">
            <v>10.3734</v>
          </cell>
        </row>
        <row r="5151">
          <cell r="B5151" t="str">
            <v>70439232</v>
          </cell>
          <cell r="C5151" t="str">
            <v>雀巢 脆脆鲨威化葡萄味 123G</v>
          </cell>
          <cell r="D5151">
            <v>8</v>
          </cell>
          <cell r="E5151">
            <v>57.36</v>
          </cell>
          <cell r="F5151">
            <v>8.1021000000000001</v>
          </cell>
        </row>
        <row r="5152">
          <cell r="B5152" t="str">
            <v>70439329</v>
          </cell>
          <cell r="C5152" t="str">
            <v>趣多多 香脆曲奇巧克力味 170G</v>
          </cell>
          <cell r="D5152">
            <v>5</v>
          </cell>
          <cell r="E5152">
            <v>53.1</v>
          </cell>
          <cell r="F5152">
            <v>12.0006</v>
          </cell>
        </row>
        <row r="5153">
          <cell r="B5153" t="str">
            <v>70439563</v>
          </cell>
          <cell r="C5153" t="str">
            <v>峄阳坊 黑芝麻杂粮饼干 168G</v>
          </cell>
          <cell r="D5153">
            <v>527</v>
          </cell>
          <cell r="E5153">
            <v>2235.13</v>
          </cell>
          <cell r="F5153">
            <v>4.79259373814042</v>
          </cell>
        </row>
        <row r="5154">
          <cell r="B5154" t="str">
            <v>70440117</v>
          </cell>
          <cell r="C5154" t="str">
            <v>乾清门 一口酥点新疆核桃味 145G</v>
          </cell>
          <cell r="D5154">
            <v>0</v>
          </cell>
          <cell r="E5154">
            <v>0</v>
          </cell>
          <cell r="F5154" t="e">
            <v>#DIV/0!</v>
          </cell>
        </row>
        <row r="5155">
          <cell r="B5155" t="str">
            <v>70440118</v>
          </cell>
          <cell r="C5155" t="str">
            <v>乾清门 一口酥点咸蛋黄味 170G</v>
          </cell>
          <cell r="D5155">
            <v>13</v>
          </cell>
          <cell r="E5155">
            <v>233.55</v>
          </cell>
          <cell r="F5155">
            <v>20.3008846153846</v>
          </cell>
        </row>
        <row r="5156">
          <cell r="B5156" t="str">
            <v>70440120</v>
          </cell>
          <cell r="C5156" t="str">
            <v>乾清门 坚果桃酥 175G</v>
          </cell>
          <cell r="D5156">
            <v>5</v>
          </cell>
          <cell r="E5156">
            <v>44.7</v>
          </cell>
          <cell r="F5156">
            <v>10.1022</v>
          </cell>
        </row>
        <row r="5157">
          <cell r="B5157" t="str">
            <v>70440123</v>
          </cell>
          <cell r="C5157" t="str">
            <v>乾清门 黄油曲奇 120G</v>
          </cell>
          <cell r="D5157">
            <v>6</v>
          </cell>
          <cell r="E5157">
            <v>66.48</v>
          </cell>
          <cell r="F5157">
            <v>12.5204</v>
          </cell>
        </row>
        <row r="5158">
          <cell r="B5158" t="str">
            <v>70442253</v>
          </cell>
          <cell r="C5158" t="str">
            <v>峄阳坊 木糖醇杂粮饼干 168G</v>
          </cell>
          <cell r="D5158">
            <v>590</v>
          </cell>
          <cell r="E5158">
            <v>2486.0700000000002</v>
          </cell>
          <cell r="F5158">
            <v>4.76145610169492</v>
          </cell>
        </row>
        <row r="5159">
          <cell r="B5159" t="str">
            <v>70442711</v>
          </cell>
          <cell r="C5159" t="str">
            <v>雀巢 脆脆鲨一口脆浓醇可可味威化饼干 45g</v>
          </cell>
          <cell r="D5159">
            <v>618</v>
          </cell>
          <cell r="E5159">
            <v>3014.02</v>
          </cell>
          <cell r="F5159">
            <v>5.5110721682847901</v>
          </cell>
        </row>
        <row r="5160">
          <cell r="B5160" t="str">
            <v>70442712</v>
          </cell>
          <cell r="C5160" t="str">
            <v>雀巢 脆脆鲨一口脆半熟芝士味威化饼干 45g</v>
          </cell>
          <cell r="D5160">
            <v>553</v>
          </cell>
          <cell r="E5160">
            <v>2692.58</v>
          </cell>
          <cell r="F5160">
            <v>5.5020169981916798</v>
          </cell>
        </row>
        <row r="5161">
          <cell r="B5161" t="str">
            <v>70445563</v>
          </cell>
          <cell r="C5161" t="str">
            <v>优斯麦尔 南瓜籽酥 108G/袋</v>
          </cell>
          <cell r="D5161">
            <v>626</v>
          </cell>
          <cell r="E5161">
            <v>4990.2299999999996</v>
          </cell>
          <cell r="F5161">
            <v>9.0079231629392993</v>
          </cell>
        </row>
        <row r="5162">
          <cell r="B5162" t="str">
            <v>70445565</v>
          </cell>
          <cell r="C5162" t="str">
            <v>优斯麦尔 核桃酥 108G/袋</v>
          </cell>
          <cell r="D5162">
            <v>634</v>
          </cell>
          <cell r="E5162">
            <v>5342.48</v>
          </cell>
          <cell r="F5162">
            <v>9.5220858044164007</v>
          </cell>
        </row>
        <row r="5163">
          <cell r="B5163" t="str">
            <v>70445570</v>
          </cell>
          <cell r="C5163" t="str">
            <v>优斯麦尔 芝麻红枣糕 108G/袋</v>
          </cell>
          <cell r="D5163">
            <v>29</v>
          </cell>
          <cell r="E5163">
            <v>220.04</v>
          </cell>
          <cell r="F5163">
            <v>8.5739724137931006</v>
          </cell>
        </row>
        <row r="5164">
          <cell r="B5164" t="str">
            <v>70452338</v>
          </cell>
          <cell r="C5164" t="str">
            <v>红谷林 花椒小石子饼（藤椒味） 100G</v>
          </cell>
          <cell r="D5164">
            <v>27</v>
          </cell>
          <cell r="E5164">
            <v>88.51</v>
          </cell>
          <cell r="F5164">
            <v>3.70430740740741</v>
          </cell>
        </row>
        <row r="5165">
          <cell r="B5165" t="str">
            <v>70452339</v>
          </cell>
          <cell r="C5165" t="str">
            <v>红谷林 花椒小石子饼（爆辣味） 100G</v>
          </cell>
          <cell r="D5165">
            <v>215</v>
          </cell>
          <cell r="E5165">
            <v>704.37</v>
          </cell>
          <cell r="F5165">
            <v>3.7020376744185999</v>
          </cell>
        </row>
        <row r="5166">
          <cell r="B5166" t="str">
            <v>70452735</v>
          </cell>
          <cell r="C5166" t="str">
            <v>亿滋 趣多多 大块曲奇脏脏黑巧克力味中包装 144G</v>
          </cell>
          <cell r="D5166">
            <v>1035</v>
          </cell>
          <cell r="E5166">
            <v>7916.51</v>
          </cell>
          <cell r="F5166">
            <v>8.6431461835748795</v>
          </cell>
        </row>
        <row r="5167">
          <cell r="B5167" t="str">
            <v>70458126</v>
          </cell>
          <cell r="C5167" t="str">
            <v>丽芝士 纳宝帝柠檬味威化饼干 145G</v>
          </cell>
          <cell r="D5167">
            <v>714</v>
          </cell>
          <cell r="E5167">
            <v>3508.36</v>
          </cell>
          <cell r="F5167">
            <v>5.5524464985994397</v>
          </cell>
        </row>
        <row r="5168">
          <cell r="B5168" t="str">
            <v>70458224</v>
          </cell>
          <cell r="C5168" t="str">
            <v>徐福记 沙琪玛混合果仁 25G</v>
          </cell>
          <cell r="D5168">
            <v>7</v>
          </cell>
          <cell r="E5168">
            <v>9.8000000000000007</v>
          </cell>
          <cell r="F5168">
            <v>1.5820000000000001</v>
          </cell>
        </row>
        <row r="5169">
          <cell r="B5169" t="str">
            <v>70459047</v>
          </cell>
          <cell r="C5169" t="str">
            <v>趣多多 迷你曲奇饼干满满巧克力味 -</v>
          </cell>
          <cell r="D5169">
            <v>2208</v>
          </cell>
          <cell r="E5169">
            <v>8539.89</v>
          </cell>
          <cell r="F5169">
            <v>4.3705052989130397</v>
          </cell>
        </row>
        <row r="5170">
          <cell r="B5170" t="str">
            <v>70462322</v>
          </cell>
          <cell r="C5170" t="str">
            <v>法丽兹 减糖夹心曲奇红丝绒草莓味 70G</v>
          </cell>
          <cell r="D5170">
            <v>2634</v>
          </cell>
          <cell r="E5170">
            <v>6813.72</v>
          </cell>
          <cell r="F5170">
            <v>2.9231220956719799</v>
          </cell>
        </row>
        <row r="5171">
          <cell r="B5171" t="str">
            <v>70464760</v>
          </cell>
          <cell r="C5171" t="str">
            <v>AJI 椰子卷 150G</v>
          </cell>
          <cell r="D5171">
            <v>222</v>
          </cell>
          <cell r="E5171">
            <v>1690.55</v>
          </cell>
          <cell r="F5171">
            <v>8.6050518018017996</v>
          </cell>
        </row>
        <row r="5172">
          <cell r="B5172" t="str">
            <v>70470961</v>
          </cell>
          <cell r="C5172" t="str">
            <v>百草味 小圆饼干海盐味 100G/袋</v>
          </cell>
          <cell r="D5172">
            <v>8</v>
          </cell>
          <cell r="E5172">
            <v>21.6</v>
          </cell>
          <cell r="F5172">
            <v>3.0510000000000002</v>
          </cell>
        </row>
        <row r="5173">
          <cell r="B5173" t="str">
            <v>70470962</v>
          </cell>
          <cell r="C5173" t="str">
            <v>李轻轻 水果奶盖沙琪玛 380G/袋</v>
          </cell>
          <cell r="D5173">
            <v>1</v>
          </cell>
          <cell r="E5173">
            <v>9.56</v>
          </cell>
          <cell r="F5173">
            <v>10.8028</v>
          </cell>
        </row>
        <row r="5174">
          <cell r="B5174" t="str">
            <v>70470963</v>
          </cell>
          <cell r="C5174" t="str">
            <v>李轻轻 杏仁奶盖沙琪玛 380G/袋</v>
          </cell>
          <cell r="D5174">
            <v>1</v>
          </cell>
          <cell r="E5174">
            <v>9.56</v>
          </cell>
          <cell r="F5174">
            <v>10.8028</v>
          </cell>
        </row>
        <row r="5175">
          <cell r="B5175" t="str">
            <v>70474199</v>
          </cell>
          <cell r="C5175" t="str">
            <v>阿孔特 小农庄奶酪味威化饼干 408G</v>
          </cell>
          <cell r="D5175">
            <v>2</v>
          </cell>
          <cell r="E5175">
            <v>44.25</v>
          </cell>
          <cell r="F5175">
            <v>25.001249999999999</v>
          </cell>
        </row>
        <row r="5176">
          <cell r="B5176" t="str">
            <v>70474202</v>
          </cell>
          <cell r="C5176" t="str">
            <v>阿孔特 安布列利瓦夫饼 408G</v>
          </cell>
          <cell r="D5176">
            <v>7</v>
          </cell>
          <cell r="E5176">
            <v>138.77000000000001</v>
          </cell>
          <cell r="F5176">
            <v>22.4014428571429</v>
          </cell>
        </row>
        <row r="5177">
          <cell r="B5177" t="str">
            <v>70476883</v>
          </cell>
          <cell r="C5177" t="str">
            <v>法丽兹 蔓越莓果仁曲奇棒 93G</v>
          </cell>
          <cell r="D5177">
            <v>0</v>
          </cell>
          <cell r="E5177">
            <v>0</v>
          </cell>
          <cell r="F5177" t="e">
            <v>#DIV/0!</v>
          </cell>
        </row>
        <row r="5178">
          <cell r="B5178" t="str">
            <v>70476884</v>
          </cell>
          <cell r="C5178" t="str">
            <v>法丽兹 奇亚籽果仁曲奇棒 93G</v>
          </cell>
          <cell r="D5178">
            <v>6</v>
          </cell>
          <cell r="E5178">
            <v>29.22</v>
          </cell>
          <cell r="F5178">
            <v>5.5030999999999999</v>
          </cell>
        </row>
        <row r="5179">
          <cell r="B5179" t="str">
            <v>70476888</v>
          </cell>
          <cell r="C5179" t="str">
            <v>法丽兹 椰蓉雪芙球 84G</v>
          </cell>
          <cell r="D5179">
            <v>23</v>
          </cell>
          <cell r="E5179">
            <v>111.99</v>
          </cell>
          <cell r="F5179">
            <v>5.50211739130435</v>
          </cell>
        </row>
        <row r="5180">
          <cell r="B5180" t="str">
            <v>70482740</v>
          </cell>
          <cell r="C5180" t="str">
            <v>奥利奥 薄脆抹茶无花果味 95G</v>
          </cell>
          <cell r="D5180">
            <v>5050</v>
          </cell>
          <cell r="E5180">
            <v>26988.67</v>
          </cell>
          <cell r="F5180">
            <v>6.0390489306930704</v>
          </cell>
        </row>
        <row r="5181">
          <cell r="B5181" t="str">
            <v>70482741</v>
          </cell>
          <cell r="C5181" t="str">
            <v>奥利奥 薄脆香草奥碎味 95G</v>
          </cell>
          <cell r="D5181">
            <v>4963</v>
          </cell>
          <cell r="E5181">
            <v>26558.73</v>
          </cell>
          <cell r="F5181">
            <v>6.0470209349184003</v>
          </cell>
        </row>
        <row r="5182">
          <cell r="B5182" t="str">
            <v>70484222</v>
          </cell>
          <cell r="C5182" t="str">
            <v>不二家 咸脆饼干(咸柠檬味) 80G</v>
          </cell>
          <cell r="D5182">
            <v>104</v>
          </cell>
          <cell r="E5182">
            <v>517.80999999999995</v>
          </cell>
          <cell r="F5182">
            <v>5.6262048076923099</v>
          </cell>
        </row>
        <row r="5183">
          <cell r="B5183" t="str">
            <v>70484223</v>
          </cell>
          <cell r="C5183" t="str">
            <v>不二家 咸脆饼干(咸黄油味) 80G</v>
          </cell>
          <cell r="D5183">
            <v>26</v>
          </cell>
          <cell r="E5183">
            <v>129.86000000000001</v>
          </cell>
          <cell r="F5183">
            <v>5.6439153846153802</v>
          </cell>
        </row>
        <row r="5184">
          <cell r="B5184" t="str">
            <v>70484224</v>
          </cell>
          <cell r="C5184" t="str">
            <v>不二家 咸脆饼干(咸焦糖味) 80G</v>
          </cell>
          <cell r="D5184">
            <v>37</v>
          </cell>
          <cell r="E5184">
            <v>184.89</v>
          </cell>
          <cell r="F5184">
            <v>5.64664054054054</v>
          </cell>
        </row>
        <row r="5185">
          <cell r="B5185" t="str">
            <v>70484891</v>
          </cell>
          <cell r="C5185" t="str">
            <v>山姆 MM黄油华夫饼 1.02KG</v>
          </cell>
          <cell r="D5185">
            <v>31</v>
          </cell>
          <cell r="E5185">
            <v>1541.07</v>
          </cell>
          <cell r="F5185">
            <v>56.1744870967742</v>
          </cell>
        </row>
        <row r="5186">
          <cell r="B5186" t="str">
            <v>70485529</v>
          </cell>
          <cell r="C5186" t="str">
            <v>山姆 MM海盐苏打饼干 1.5KG</v>
          </cell>
          <cell r="D5186">
            <v>2</v>
          </cell>
          <cell r="E5186">
            <v>82.18</v>
          </cell>
          <cell r="F5186">
            <v>46.431699999999999</v>
          </cell>
        </row>
        <row r="5187">
          <cell r="B5187" t="str">
            <v>70486102</v>
          </cell>
          <cell r="C5187" t="str">
            <v>乐之 七层厚切威化海盐芝士味 77G</v>
          </cell>
          <cell r="D5187">
            <v>13</v>
          </cell>
          <cell r="E5187">
            <v>119.79</v>
          </cell>
          <cell r="F5187">
            <v>10.4125153846154</v>
          </cell>
        </row>
        <row r="5188">
          <cell r="B5188" t="str">
            <v>70486103</v>
          </cell>
          <cell r="C5188" t="str">
            <v>奥利奥 夹心云朵蛋糕香草牛乳味4枚装 88G</v>
          </cell>
          <cell r="D5188">
            <v>20</v>
          </cell>
          <cell r="E5188">
            <v>181.65</v>
          </cell>
          <cell r="F5188">
            <v>10.263225</v>
          </cell>
        </row>
        <row r="5189">
          <cell r="B5189" t="str">
            <v>70486104</v>
          </cell>
          <cell r="C5189" t="str">
            <v>奥利奥 夹心云朵蛋糕粒粒草莓味4枚装 88G</v>
          </cell>
          <cell r="D5189">
            <v>23</v>
          </cell>
          <cell r="E5189">
            <v>202.35</v>
          </cell>
          <cell r="F5189">
            <v>9.9415434782608703</v>
          </cell>
        </row>
        <row r="5190">
          <cell r="B5190" t="str">
            <v>70486105</v>
          </cell>
          <cell r="C5190" t="str">
            <v>太平 三层高钙梳打香葱鸡汁味饼干 400G</v>
          </cell>
          <cell r="D5190">
            <v>0</v>
          </cell>
          <cell r="E5190">
            <v>0</v>
          </cell>
          <cell r="F5190" t="e">
            <v>#DIV/0!</v>
          </cell>
        </row>
        <row r="5191">
          <cell r="B5191" t="str">
            <v>70488167</v>
          </cell>
          <cell r="C5191" t="str">
            <v>徐福记 沙琪玛酥香肉松 25G</v>
          </cell>
          <cell r="D5191">
            <v>17</v>
          </cell>
          <cell r="E5191">
            <v>23.8</v>
          </cell>
          <cell r="F5191">
            <v>1.5820000000000001</v>
          </cell>
        </row>
        <row r="5192">
          <cell r="B5192" t="str">
            <v>70489300</v>
          </cell>
          <cell r="C5192" t="str">
            <v>奥利奥 经典原味夹心饼干 48.5G</v>
          </cell>
          <cell r="D5192">
            <v>2957</v>
          </cell>
          <cell r="E5192">
            <v>8260.11</v>
          </cell>
          <cell r="F5192">
            <v>3.1565520121745001</v>
          </cell>
        </row>
        <row r="5193">
          <cell r="B5193" t="str">
            <v>70489301</v>
          </cell>
          <cell r="C5193" t="str">
            <v>奥利奥 浓醇巧克力味夹心饼干 48.5G</v>
          </cell>
          <cell r="D5193">
            <v>2281</v>
          </cell>
          <cell r="E5193">
            <v>6424.92</v>
          </cell>
          <cell r="F5193">
            <v>3.1828845243314299</v>
          </cell>
        </row>
        <row r="5194">
          <cell r="B5194" t="str">
            <v>70489302</v>
          </cell>
          <cell r="C5194" t="str">
            <v>奥利奥 经典原味夹心饼干 194G</v>
          </cell>
          <cell r="D5194">
            <v>2081</v>
          </cell>
          <cell r="E5194">
            <v>22227.41</v>
          </cell>
          <cell r="F5194">
            <v>12.069665209034101</v>
          </cell>
        </row>
        <row r="5195">
          <cell r="B5195" t="str">
            <v>70489303</v>
          </cell>
          <cell r="C5195" t="str">
            <v>奥利奥 清新草莓味夹心饼干 194G</v>
          </cell>
          <cell r="D5195">
            <v>1762</v>
          </cell>
          <cell r="E5195">
            <v>18796.09</v>
          </cell>
          <cell r="F5195">
            <v>12.0542461407491</v>
          </cell>
        </row>
        <row r="5196">
          <cell r="B5196" t="str">
            <v>70489304</v>
          </cell>
          <cell r="C5196" t="str">
            <v>奥利奥 浓醇巧克力味夹心饼干 194G</v>
          </cell>
          <cell r="D5196">
            <v>1662</v>
          </cell>
          <cell r="E5196">
            <v>17750.849999999999</v>
          </cell>
          <cell r="F5196">
            <v>12.068869133573999</v>
          </cell>
        </row>
        <row r="5197">
          <cell r="B5197" t="str">
            <v>70489305</v>
          </cell>
          <cell r="C5197" t="str">
            <v>奥利奥 可可脆卷浓郁巧克力味 50G</v>
          </cell>
          <cell r="D5197">
            <v>2119</v>
          </cell>
          <cell r="E5197">
            <v>7330.85</v>
          </cell>
          <cell r="F5197">
            <v>3.9093253893345898</v>
          </cell>
        </row>
        <row r="5198">
          <cell r="B5198" t="str">
            <v>70489306</v>
          </cell>
          <cell r="C5198" t="str">
            <v>奥利奥 可可脆卷香草慕斯味 50G</v>
          </cell>
          <cell r="D5198">
            <v>2173</v>
          </cell>
          <cell r="E5198">
            <v>7507.81</v>
          </cell>
          <cell r="F5198">
            <v>3.90419940174873</v>
          </cell>
        </row>
        <row r="5199">
          <cell r="B5199" t="str">
            <v>70489307</v>
          </cell>
          <cell r="C5199" t="str">
            <v>奥利奥 经典原味夹心饼干高原装 97G</v>
          </cell>
          <cell r="D5199">
            <v>2574</v>
          </cell>
          <cell r="E5199">
            <v>14111.31</v>
          </cell>
          <cell r="F5199">
            <v>6.1949418414918398</v>
          </cell>
        </row>
        <row r="5200">
          <cell r="B5200" t="str">
            <v>70489308</v>
          </cell>
          <cell r="C5200" t="str">
            <v>奥利奥 清新草莓味夹心饼干高原装 97G</v>
          </cell>
          <cell r="D5200">
            <v>2469</v>
          </cell>
          <cell r="E5200">
            <v>13504.91</v>
          </cell>
          <cell r="F5200">
            <v>6.1808620089104904</v>
          </cell>
        </row>
        <row r="5201">
          <cell r="B5201" t="str">
            <v>70489309</v>
          </cell>
          <cell r="C5201" t="str">
            <v>奥利奥 浓醇巧克力味夹心饼干高原装 97G</v>
          </cell>
          <cell r="D5201">
            <v>2403</v>
          </cell>
          <cell r="E5201">
            <v>12849.04</v>
          </cell>
          <cell r="F5201">
            <v>6.0422035788597599</v>
          </cell>
        </row>
        <row r="5202">
          <cell r="B5202" t="str">
            <v>70489310</v>
          </cell>
          <cell r="C5202" t="str">
            <v>趣多多 香脆曲奇浓浓巧克力味单条装 85G</v>
          </cell>
          <cell r="D5202">
            <v>863</v>
          </cell>
          <cell r="E5202">
            <v>3821.04</v>
          </cell>
          <cell r="F5202">
            <v>5.0032157589802999</v>
          </cell>
        </row>
        <row r="5203">
          <cell r="B5203" t="str">
            <v>70490015</v>
          </cell>
          <cell r="C5203" t="str">
            <v>MEMBER'S MARK 椰香脆卷 400G</v>
          </cell>
          <cell r="D5203">
            <v>45</v>
          </cell>
          <cell r="E5203">
            <v>2218.87</v>
          </cell>
          <cell r="F5203">
            <v>55.7182911111111</v>
          </cell>
        </row>
        <row r="5204">
          <cell r="B5204" t="str">
            <v>70490716</v>
          </cell>
          <cell r="C5204" t="str">
            <v>CODEX 提拉米苏风味软心曲奇 105G</v>
          </cell>
          <cell r="D5204">
            <v>34</v>
          </cell>
          <cell r="E5204">
            <v>246.84</v>
          </cell>
          <cell r="F5204">
            <v>8.2037999999999993</v>
          </cell>
        </row>
        <row r="5205">
          <cell r="B5205" t="str">
            <v>70490719</v>
          </cell>
          <cell r="C5205" t="str">
            <v>CODEX 榛子巧克力风味软心曲奇 105G</v>
          </cell>
          <cell r="D5205">
            <v>47</v>
          </cell>
          <cell r="E5205">
            <v>341.22</v>
          </cell>
          <cell r="F5205">
            <v>8.2037999999999993</v>
          </cell>
        </row>
        <row r="5206">
          <cell r="B5206" t="str">
            <v>70490722</v>
          </cell>
          <cell r="C5206" t="str">
            <v>CODEX 双重巧克力风味软心曲奇 105G</v>
          </cell>
          <cell r="D5206">
            <v>9</v>
          </cell>
          <cell r="E5206">
            <v>65.34</v>
          </cell>
          <cell r="F5206">
            <v>8.2037999999999993</v>
          </cell>
        </row>
        <row r="5207">
          <cell r="B5207" t="str">
            <v>70490725</v>
          </cell>
          <cell r="C5207" t="str">
            <v>CODEX 扁桃仁巧克力风味软心曲奇 105G</v>
          </cell>
          <cell r="D5207">
            <v>12</v>
          </cell>
          <cell r="E5207">
            <v>87.12</v>
          </cell>
          <cell r="F5207">
            <v>8.2037999999999993</v>
          </cell>
        </row>
        <row r="5208">
          <cell r="B5208" t="str">
            <v>70491173</v>
          </cell>
          <cell r="C5208" t="str">
            <v>MEMBER'S MARK 芝士夹心饼干 1KG</v>
          </cell>
          <cell r="D5208">
            <v>74</v>
          </cell>
          <cell r="E5208">
            <v>3816.55</v>
          </cell>
          <cell r="F5208">
            <v>58.27975</v>
          </cell>
        </row>
        <row r="5209">
          <cell r="B5209" t="str">
            <v>70491910</v>
          </cell>
          <cell r="C5209" t="str">
            <v>南达 牛奶馕 1KG</v>
          </cell>
          <cell r="D5209">
            <v>24</v>
          </cell>
          <cell r="E5209">
            <v>488.55</v>
          </cell>
          <cell r="F5209">
            <v>23.0025625</v>
          </cell>
        </row>
        <row r="5210">
          <cell r="B5210" t="str">
            <v>70491911</v>
          </cell>
          <cell r="C5210" t="str">
            <v>南达 胡萝卜牛奶馕 1KG</v>
          </cell>
          <cell r="D5210">
            <v>5</v>
          </cell>
          <cell r="E5210">
            <v>101.8</v>
          </cell>
          <cell r="F5210">
            <v>23.006799999999998</v>
          </cell>
        </row>
        <row r="5211">
          <cell r="B5211" t="str">
            <v>70491912</v>
          </cell>
          <cell r="C5211" t="str">
            <v>南达 鹰嘴豆牛奶馕 1KG</v>
          </cell>
          <cell r="D5211">
            <v>13</v>
          </cell>
          <cell r="E5211">
            <v>437.17</v>
          </cell>
          <cell r="F5211">
            <v>38.000161538461498</v>
          </cell>
        </row>
        <row r="5212">
          <cell r="B5212" t="str">
            <v>70491913</v>
          </cell>
          <cell r="C5212" t="str">
            <v>南达 玫瑰花牛奶馕 800G</v>
          </cell>
          <cell r="D5212">
            <v>17</v>
          </cell>
          <cell r="E5212">
            <v>361.08</v>
          </cell>
          <cell r="F5212">
            <v>24.001200000000001</v>
          </cell>
        </row>
        <row r="5213">
          <cell r="B5213" t="str">
            <v>70494843</v>
          </cell>
          <cell r="C5213" t="str">
            <v>美丹白 苏打饼干鲜葱味 袋</v>
          </cell>
          <cell r="D5213">
            <v>339</v>
          </cell>
          <cell r="E5213">
            <v>903.81</v>
          </cell>
          <cell r="F5213">
            <v>3.0127000000000002</v>
          </cell>
        </row>
        <row r="5214">
          <cell r="B5214" t="str">
            <v>70494879</v>
          </cell>
          <cell r="C5214" t="str">
            <v>可可街 威化饼干 300G</v>
          </cell>
          <cell r="D5214">
            <v>0</v>
          </cell>
          <cell r="E5214">
            <v>0</v>
          </cell>
          <cell r="F5214" t="e">
            <v>#DIV/0!</v>
          </cell>
        </row>
        <row r="5215">
          <cell r="B5215" t="str">
            <v>70496877</v>
          </cell>
          <cell r="C5215" t="str">
            <v>康欢园 木糖醇沙琪玛藜麦奇亚籽 盒</v>
          </cell>
          <cell r="D5215">
            <v>0</v>
          </cell>
          <cell r="E5215">
            <v>0</v>
          </cell>
          <cell r="F5215" t="e">
            <v>#DIV/0!</v>
          </cell>
        </row>
        <row r="5216">
          <cell r="B5216" t="str">
            <v>70496884</v>
          </cell>
          <cell r="C5216" t="str">
            <v>康欢园 无蔗糖沙琪玛芝麻味 包</v>
          </cell>
          <cell r="D5216">
            <v>0</v>
          </cell>
          <cell r="E5216">
            <v>0</v>
          </cell>
          <cell r="F5216" t="e">
            <v>#DIV/0!</v>
          </cell>
        </row>
        <row r="5217">
          <cell r="B5217" t="str">
            <v>70496994</v>
          </cell>
          <cell r="C5217" t="str">
            <v>康欢园 无蔗糖沙琪玛蛋香味 包</v>
          </cell>
          <cell r="D5217">
            <v>0</v>
          </cell>
          <cell r="E5217">
            <v>0</v>
          </cell>
          <cell r="F5217" t="e">
            <v>#DIV/0!</v>
          </cell>
        </row>
        <row r="5218">
          <cell r="B5218" t="str">
            <v>70497726</v>
          </cell>
          <cell r="C5218" t="str">
            <v>莎布蕾 软心曲奇（浓巧风味） 64G</v>
          </cell>
          <cell r="D5218">
            <v>0</v>
          </cell>
          <cell r="E5218">
            <v>0</v>
          </cell>
          <cell r="F5218" t="e">
            <v>#DIV/0!</v>
          </cell>
        </row>
        <row r="5219">
          <cell r="B5219" t="str">
            <v>70497729</v>
          </cell>
          <cell r="C5219" t="str">
            <v>莎布蕾 脆皮软心曲奇（巴斯克白巧味） 60G</v>
          </cell>
          <cell r="D5219">
            <v>4</v>
          </cell>
          <cell r="E5219">
            <v>21.24</v>
          </cell>
          <cell r="F5219">
            <v>6.0003000000000002</v>
          </cell>
        </row>
        <row r="5220">
          <cell r="B5220" t="str">
            <v>70498351</v>
          </cell>
          <cell r="C5220" t="str">
            <v>康师傅 3＋2苏打夹心海盐芝士 100G</v>
          </cell>
          <cell r="D5220">
            <v>871</v>
          </cell>
          <cell r="E5220">
            <v>5067.5</v>
          </cell>
          <cell r="F5220">
            <v>6.5743685419058497</v>
          </cell>
        </row>
        <row r="5221">
          <cell r="B5221" t="str">
            <v>70498352</v>
          </cell>
          <cell r="C5221" t="str">
            <v>趣多多 香脆曲奇真香!咖啡味 85G</v>
          </cell>
          <cell r="D5221">
            <v>1023</v>
          </cell>
          <cell r="E5221">
            <v>4256.7</v>
          </cell>
          <cell r="F5221">
            <v>4.7019266862170097</v>
          </cell>
        </row>
        <row r="5222">
          <cell r="B5222" t="str">
            <v>70498400</v>
          </cell>
          <cell r="C5222" t="str">
            <v>咔啰卡曼 榴莲味威化饼干袋装 218G</v>
          </cell>
          <cell r="D5222">
            <v>254</v>
          </cell>
          <cell r="E5222">
            <v>2142.21</v>
          </cell>
          <cell r="F5222">
            <v>9.5303043307086597</v>
          </cell>
        </row>
        <row r="5223">
          <cell r="B5223" t="str">
            <v>70498404</v>
          </cell>
          <cell r="C5223" t="str">
            <v>咔啰卡曼 牛奶巧克力威化饼干袋装 218G</v>
          </cell>
          <cell r="D5223">
            <v>89</v>
          </cell>
          <cell r="E5223">
            <v>754.71</v>
          </cell>
          <cell r="F5223">
            <v>9.5822730337078692</v>
          </cell>
        </row>
        <row r="5224">
          <cell r="B5224" t="str">
            <v>70498408</v>
          </cell>
          <cell r="C5224" t="str">
            <v>咔啰卡曼 威化饼干牛奶巧克力盒装 108G</v>
          </cell>
          <cell r="D5224">
            <v>806</v>
          </cell>
          <cell r="E5224">
            <v>4648.43</v>
          </cell>
          <cell r="F5224">
            <v>6.5170296526054603</v>
          </cell>
        </row>
        <row r="5225">
          <cell r="B5225" t="str">
            <v>70498412</v>
          </cell>
          <cell r="C5225" t="str">
            <v>咔啰卡曼 威化饼干冰淇淋香草盒装 108G</v>
          </cell>
          <cell r="D5225">
            <v>942</v>
          </cell>
          <cell r="E5225">
            <v>5431.4</v>
          </cell>
          <cell r="F5225">
            <v>6.5153736730360903</v>
          </cell>
        </row>
        <row r="5226">
          <cell r="B5226" t="str">
            <v>70498416</v>
          </cell>
          <cell r="C5226" t="str">
            <v>咔啰卡曼 威化饼干白桃盒装 108G</v>
          </cell>
          <cell r="D5226">
            <v>635</v>
          </cell>
          <cell r="E5226">
            <v>3665.81</v>
          </cell>
          <cell r="F5226">
            <v>6.52340992125984</v>
          </cell>
        </row>
        <row r="5227">
          <cell r="B5227" t="str">
            <v>70498419</v>
          </cell>
          <cell r="C5227" t="str">
            <v>盐津铺子 黄油鸡蛋卷方罐 228G</v>
          </cell>
          <cell r="D5227">
            <v>20</v>
          </cell>
          <cell r="E5227">
            <v>464.11</v>
          </cell>
          <cell r="F5227">
            <v>26.222214999999998</v>
          </cell>
        </row>
        <row r="5228">
          <cell r="B5228" t="str">
            <v>70498422</v>
          </cell>
          <cell r="C5228" t="str">
            <v>盐津铺子 黄油椰子卷方罐 228G</v>
          </cell>
          <cell r="D5228">
            <v>16</v>
          </cell>
          <cell r="E5228">
            <v>363.97</v>
          </cell>
          <cell r="F5228">
            <v>25.705381249999999</v>
          </cell>
        </row>
        <row r="5229">
          <cell r="B5229" t="str">
            <v>70498500</v>
          </cell>
          <cell r="C5229" t="str">
            <v>康师傅 3＋2苏打夹心青梅芝士 100G</v>
          </cell>
          <cell r="D5229">
            <v>1644</v>
          </cell>
          <cell r="E5229">
            <v>9583.4699999999993</v>
          </cell>
          <cell r="F5229">
            <v>6.5871782846715297</v>
          </cell>
        </row>
        <row r="5230">
          <cell r="B5230" t="str">
            <v>70498582</v>
          </cell>
          <cell r="C5230" t="str">
            <v>百草味 海苔肉松蛋卷罐装 100G</v>
          </cell>
          <cell r="D5230">
            <v>4</v>
          </cell>
          <cell r="E5230">
            <v>25.15</v>
          </cell>
          <cell r="F5230">
            <v>7.1048749999999998</v>
          </cell>
        </row>
        <row r="5231">
          <cell r="B5231" t="str">
            <v>70499042</v>
          </cell>
          <cell r="C5231" t="str">
            <v>万益蓝 WONDERLAB柠檬橙子味双层脆心谷物棒 25G</v>
          </cell>
          <cell r="D5231">
            <v>0</v>
          </cell>
          <cell r="E5231">
            <v>0</v>
          </cell>
          <cell r="F5231" t="e">
            <v>#DIV/0!</v>
          </cell>
        </row>
        <row r="5232">
          <cell r="B5232" t="str">
            <v>70499045</v>
          </cell>
          <cell r="C5232" t="str">
            <v>万益蓝 WONDERLAB可可榛果味双层脆心谷物棒 25G</v>
          </cell>
          <cell r="D5232">
            <v>1</v>
          </cell>
          <cell r="E5232">
            <v>6.41</v>
          </cell>
          <cell r="F5232">
            <v>7.2432999999999996</v>
          </cell>
        </row>
        <row r="5233">
          <cell r="B5233" t="str">
            <v>70499116</v>
          </cell>
          <cell r="C5233" t="str">
            <v>AJI 坚果沙琪玛原味 320G</v>
          </cell>
          <cell r="D5233">
            <v>536</v>
          </cell>
          <cell r="E5233">
            <v>7199.77</v>
          </cell>
          <cell r="F5233">
            <v>15.1786195895522</v>
          </cell>
        </row>
        <row r="5234">
          <cell r="B5234" t="str">
            <v>70499120</v>
          </cell>
          <cell r="C5234" t="str">
            <v>AJI 坚果沙琪玛黑糖味 320G</v>
          </cell>
          <cell r="D5234">
            <v>469</v>
          </cell>
          <cell r="E5234">
            <v>6298.3</v>
          </cell>
          <cell r="F5234">
            <v>15.1750085287846</v>
          </cell>
        </row>
        <row r="5235">
          <cell r="B5235" t="str">
            <v>70499220</v>
          </cell>
          <cell r="C5235" t="str">
            <v>莎布蕾 曲奇软心蓝莓乳酸味 50G</v>
          </cell>
          <cell r="D5235">
            <v>35</v>
          </cell>
          <cell r="E5235">
            <v>193.89</v>
          </cell>
          <cell r="F5235">
            <v>6.2598771428571398</v>
          </cell>
        </row>
        <row r="5236">
          <cell r="B5236" t="str">
            <v>70499221</v>
          </cell>
          <cell r="C5236" t="str">
            <v>莎布蕾 曲奇软心抹茶味 50G</v>
          </cell>
          <cell r="D5236">
            <v>84</v>
          </cell>
          <cell r="E5236">
            <v>467.79</v>
          </cell>
          <cell r="F5236">
            <v>6.2928892857142902</v>
          </cell>
        </row>
        <row r="5237">
          <cell r="B5237" t="str">
            <v>70499222</v>
          </cell>
          <cell r="C5237" t="str">
            <v>莎布蕾 曲奇软心巧克力味 50G</v>
          </cell>
          <cell r="D5237">
            <v>16</v>
          </cell>
          <cell r="E5237">
            <v>90.25</v>
          </cell>
          <cell r="F5237">
            <v>6.3739062500000001</v>
          </cell>
        </row>
        <row r="5238">
          <cell r="B5238" t="str">
            <v>70499227</v>
          </cell>
          <cell r="C5238" t="str">
            <v>AJI 肉松蛋皮酥 108G</v>
          </cell>
          <cell r="D5238">
            <v>313</v>
          </cell>
          <cell r="E5238">
            <v>1948.83</v>
          </cell>
          <cell r="F5238">
            <v>7.0357121405750798</v>
          </cell>
        </row>
        <row r="5239">
          <cell r="B5239" t="str">
            <v>70499228</v>
          </cell>
          <cell r="C5239" t="str">
            <v>AJI 榴莲蛋皮酥 108G</v>
          </cell>
          <cell r="D5239">
            <v>371</v>
          </cell>
          <cell r="E5239">
            <v>2313.88</v>
          </cell>
          <cell r="F5239">
            <v>7.0476668463611896</v>
          </cell>
        </row>
        <row r="5240">
          <cell r="B5240" t="str">
            <v>70499229</v>
          </cell>
          <cell r="C5240" t="str">
            <v>AJI 牛奶蛋皮酥 108G</v>
          </cell>
          <cell r="D5240">
            <v>481</v>
          </cell>
          <cell r="E5240">
            <v>2990.93</v>
          </cell>
          <cell r="F5240">
            <v>7.0265091476091497</v>
          </cell>
        </row>
        <row r="5241">
          <cell r="B5241" t="str">
            <v>70499246</v>
          </cell>
          <cell r="C5241" t="str">
            <v>奥利奥 奥利奥可可脆卷50GX24日式抹茶味 50G</v>
          </cell>
          <cell r="D5241">
            <v>111</v>
          </cell>
          <cell r="E5241">
            <v>433.8</v>
          </cell>
          <cell r="F5241">
            <v>4.4161621621621601</v>
          </cell>
        </row>
        <row r="5242">
          <cell r="B5242" t="str">
            <v>70499247</v>
          </cell>
          <cell r="C5242" t="str">
            <v>奥利奥 奥利奥可可脆卷50GX24草莓奶昔口味 50G</v>
          </cell>
          <cell r="D5242">
            <v>10</v>
          </cell>
          <cell r="E5242">
            <v>39</v>
          </cell>
          <cell r="F5242">
            <v>4.407</v>
          </cell>
        </row>
        <row r="5243">
          <cell r="B5243" t="str">
            <v>70499248</v>
          </cell>
          <cell r="C5243" t="str">
            <v>奥利奥 奥利奥迷你可可酥40GX24熔岩巧克力味 40G</v>
          </cell>
          <cell r="D5243">
            <v>16</v>
          </cell>
          <cell r="E5243">
            <v>65.209999999999994</v>
          </cell>
          <cell r="F5243">
            <v>4.6054562499999996</v>
          </cell>
        </row>
        <row r="5244">
          <cell r="B5244" t="str">
            <v>70499249</v>
          </cell>
          <cell r="C5244" t="str">
            <v>奥利奥 奥利奥迷你可可酥40GX24爆汁草莓味 40G</v>
          </cell>
          <cell r="D5244">
            <v>21</v>
          </cell>
          <cell r="E5244">
            <v>85.56</v>
          </cell>
          <cell r="F5244">
            <v>4.6039428571428598</v>
          </cell>
        </row>
        <row r="5245">
          <cell r="B5245" t="str">
            <v>70499250</v>
          </cell>
          <cell r="C5245" t="str">
            <v>奥利奥 奥利奥迷你可可酥40GX24爆汁蜜桃味 40G</v>
          </cell>
          <cell r="D5245">
            <v>13</v>
          </cell>
          <cell r="E5245">
            <v>52.99</v>
          </cell>
          <cell r="F5245">
            <v>4.6060538461538503</v>
          </cell>
        </row>
        <row r="5246">
          <cell r="B5246" t="str">
            <v>70499251</v>
          </cell>
          <cell r="C5246" t="str">
            <v>奥利奥 奥利奥迷你可可酥40GX24香草奶昔味 40G</v>
          </cell>
          <cell r="D5246">
            <v>12</v>
          </cell>
          <cell r="E5246">
            <v>48.93</v>
          </cell>
          <cell r="F5246">
            <v>4.6075749999999998</v>
          </cell>
        </row>
        <row r="5247">
          <cell r="B5247" t="str">
            <v>70499252</v>
          </cell>
          <cell r="C5247" t="str">
            <v>奥利奥 迷你奥利奥经典原味 40G</v>
          </cell>
          <cell r="D5247">
            <v>1029</v>
          </cell>
          <cell r="E5247">
            <v>4302.7299999999996</v>
          </cell>
          <cell r="F5247">
            <v>4.7250582118561697</v>
          </cell>
        </row>
        <row r="5248">
          <cell r="B5248" t="str">
            <v>70499253</v>
          </cell>
          <cell r="C5248" t="str">
            <v>奥利奥 奥利奥太平华夫饼特浓牛乳 60G</v>
          </cell>
          <cell r="D5248">
            <v>18</v>
          </cell>
          <cell r="E5248">
            <v>79.64</v>
          </cell>
          <cell r="F5248">
            <v>4.9996222222222197</v>
          </cell>
        </row>
        <row r="5249">
          <cell r="B5249" t="str">
            <v>70499254</v>
          </cell>
          <cell r="C5249" t="str">
            <v>AJI 椰子卷生椰拿铁味 150G</v>
          </cell>
          <cell r="D5249">
            <v>240</v>
          </cell>
          <cell r="E5249">
            <v>1827.74</v>
          </cell>
          <cell r="F5249">
            <v>8.6056091666666692</v>
          </cell>
        </row>
        <row r="5250">
          <cell r="B5250" t="str">
            <v>70499255</v>
          </cell>
          <cell r="C5250" t="str">
            <v>AJI 椰子卷芝麻味 150G</v>
          </cell>
          <cell r="D5250">
            <v>242</v>
          </cell>
          <cell r="E5250">
            <v>1854.07</v>
          </cell>
          <cell r="F5250">
            <v>8.6574342975206608</v>
          </cell>
        </row>
        <row r="5251">
          <cell r="B5251" t="str">
            <v>70499262</v>
          </cell>
          <cell r="C5251" t="str">
            <v>稻香村 爆浆麻薯咸蛋黄味 210G</v>
          </cell>
          <cell r="D5251">
            <v>4</v>
          </cell>
          <cell r="E5251">
            <v>41.43</v>
          </cell>
          <cell r="F5251">
            <v>11.703975</v>
          </cell>
        </row>
        <row r="5252">
          <cell r="B5252" t="str">
            <v>70504901</v>
          </cell>
          <cell r="C5252" t="str">
            <v>好丽友 Q帝榛子两枚 56G</v>
          </cell>
          <cell r="D5252">
            <v>4368</v>
          </cell>
          <cell r="E5252">
            <v>10027</v>
          </cell>
          <cell r="F5252">
            <v>2.5939812271062301</v>
          </cell>
        </row>
        <row r="5253">
          <cell r="B5253" t="str">
            <v>70510986</v>
          </cell>
          <cell r="C5253" t="str">
            <v>EDO 3＋2S金桔柠檬味夹心饼干 560G</v>
          </cell>
          <cell r="D5253">
            <v>11</v>
          </cell>
          <cell r="E5253">
            <v>45.76</v>
          </cell>
          <cell r="F5253">
            <v>4.7008000000000001</v>
          </cell>
        </row>
        <row r="5254">
          <cell r="B5254" t="str">
            <v>70513116</v>
          </cell>
          <cell r="C5254" t="str">
            <v>MEMBER'S MARK 黑松露火腿苏打饼干 1.16KG</v>
          </cell>
          <cell r="D5254">
            <v>84</v>
          </cell>
          <cell r="E5254">
            <v>3351.6</v>
          </cell>
          <cell r="F5254">
            <v>45.087000000000003</v>
          </cell>
        </row>
        <row r="5255">
          <cell r="B5255" t="str">
            <v>70514216</v>
          </cell>
          <cell r="C5255" t="str">
            <v>徐福记 沙琪玛松软蛋黄味分销袋装 416G*12袋</v>
          </cell>
          <cell r="D5255">
            <v>3</v>
          </cell>
          <cell r="E5255">
            <v>29.22</v>
          </cell>
          <cell r="F5255">
            <v>11.0062</v>
          </cell>
        </row>
        <row r="5256">
          <cell r="B5256" t="str">
            <v>70515858</v>
          </cell>
          <cell r="C5256" t="str">
            <v>南国 椰子能量棒 108G</v>
          </cell>
          <cell r="D5256">
            <v>1</v>
          </cell>
          <cell r="E5256">
            <v>10.62</v>
          </cell>
          <cell r="F5256">
            <v>12.0006</v>
          </cell>
        </row>
        <row r="5257">
          <cell r="B5257" t="str">
            <v>70516927</v>
          </cell>
          <cell r="C5257" t="str">
            <v>濠润坊 老公饼 230G</v>
          </cell>
          <cell r="D5257">
            <v>206</v>
          </cell>
          <cell r="E5257">
            <v>2612.75</v>
          </cell>
          <cell r="F5257">
            <v>14.3320752427184</v>
          </cell>
        </row>
        <row r="5258">
          <cell r="B5258" t="str">
            <v>70516933</v>
          </cell>
          <cell r="C5258" t="str">
            <v>濠润坊 咸蛋黄小饼 130G</v>
          </cell>
          <cell r="D5258">
            <v>144</v>
          </cell>
          <cell r="E5258">
            <v>1543.86</v>
          </cell>
          <cell r="F5258">
            <v>12.115012500000001</v>
          </cell>
        </row>
        <row r="5259">
          <cell r="B5259" t="str">
            <v>70516939</v>
          </cell>
          <cell r="C5259" t="str">
            <v>濠润坊 黄油蛋卷仔 188G</v>
          </cell>
          <cell r="D5259">
            <v>105</v>
          </cell>
          <cell r="E5259">
            <v>908.4</v>
          </cell>
          <cell r="F5259">
            <v>9.7761142857142804</v>
          </cell>
        </row>
        <row r="5260">
          <cell r="B5260" t="str">
            <v>70516945</v>
          </cell>
          <cell r="C5260" t="str">
            <v>濠润坊 咸蛋黄味蛋卷仔 188G</v>
          </cell>
          <cell r="D5260">
            <v>193</v>
          </cell>
          <cell r="E5260">
            <v>1740.19</v>
          </cell>
          <cell r="F5260">
            <v>10.188677202072499</v>
          </cell>
        </row>
        <row r="5261">
          <cell r="B5261" t="str">
            <v>70516951</v>
          </cell>
          <cell r="C5261" t="str">
            <v>濠润坊 海苔味蛋卷仔 188G</v>
          </cell>
          <cell r="D5261">
            <v>199</v>
          </cell>
          <cell r="E5261">
            <v>1626.17</v>
          </cell>
          <cell r="F5261">
            <v>9.2340306532663305</v>
          </cell>
        </row>
        <row r="5262">
          <cell r="B5262" t="str">
            <v>70517658</v>
          </cell>
          <cell r="C5262" t="str">
            <v>金苹果贝贝 草莓虎皮卷 100G</v>
          </cell>
          <cell r="D5262">
            <v>4</v>
          </cell>
          <cell r="E5262">
            <v>18.71</v>
          </cell>
          <cell r="F5262">
            <v>5.2855749999999997</v>
          </cell>
        </row>
        <row r="5263">
          <cell r="B5263" t="str">
            <v>70517678</v>
          </cell>
          <cell r="C5263" t="str">
            <v>金苹果贝贝 酸奶麻花 170G</v>
          </cell>
          <cell r="D5263">
            <v>11</v>
          </cell>
          <cell r="E5263">
            <v>51.44</v>
          </cell>
          <cell r="F5263">
            <v>5.2842909090909096</v>
          </cell>
        </row>
        <row r="5264">
          <cell r="B5264" t="str">
            <v>70521636</v>
          </cell>
          <cell r="C5264" t="str">
            <v>阿华田 雪绒蛋糕 88G</v>
          </cell>
          <cell r="D5264">
            <v>5</v>
          </cell>
          <cell r="E5264">
            <v>33.19</v>
          </cell>
          <cell r="F5264">
            <v>7.5009399999999999</v>
          </cell>
        </row>
        <row r="5265">
          <cell r="B5265" t="str">
            <v>70523486</v>
          </cell>
          <cell r="C5265" t="str">
            <v>太平 咔咔脆混合蔬菜味 100G</v>
          </cell>
          <cell r="D5265">
            <v>50</v>
          </cell>
          <cell r="E5265">
            <v>509.22</v>
          </cell>
          <cell r="F5265">
            <v>11.508372</v>
          </cell>
        </row>
        <row r="5266">
          <cell r="B5266" t="str">
            <v>70524436</v>
          </cell>
          <cell r="C5266" t="str">
            <v>奥利奥 经典原味夹心饼干CVS装 97G</v>
          </cell>
          <cell r="D5266">
            <v>4374</v>
          </cell>
          <cell r="E5266">
            <v>21715.360000000001</v>
          </cell>
          <cell r="F5266">
            <v>5.6100495656150002</v>
          </cell>
        </row>
        <row r="5267">
          <cell r="B5267" t="str">
            <v>70524437</v>
          </cell>
          <cell r="C5267" t="str">
            <v>奥利奥 清新草莓味夹心饼干CVS装 97G</v>
          </cell>
          <cell r="D5267">
            <v>4543</v>
          </cell>
          <cell r="E5267">
            <v>22123.81</v>
          </cell>
          <cell r="F5267">
            <v>5.5029507594100799</v>
          </cell>
        </row>
        <row r="5268">
          <cell r="B5268" t="str">
            <v>70524438</v>
          </cell>
          <cell r="C5268" t="str">
            <v>奥利奥 浓醇巧克力味夹心饼干CVS装 97G</v>
          </cell>
          <cell r="D5268">
            <v>3719</v>
          </cell>
          <cell r="E5268">
            <v>18461.7</v>
          </cell>
          <cell r="F5268">
            <v>5.6094974455498798</v>
          </cell>
        </row>
        <row r="5269">
          <cell r="B5269" t="str">
            <v>70524439</v>
          </cell>
          <cell r="C5269" t="str">
            <v>太平 梳打咔咔脆酸乳酪洋葱味 100G</v>
          </cell>
          <cell r="D5269">
            <v>25</v>
          </cell>
          <cell r="E5269">
            <v>257.55</v>
          </cell>
          <cell r="F5269">
            <v>11.641260000000001</v>
          </cell>
        </row>
        <row r="5270">
          <cell r="B5270" t="str">
            <v>70524440</v>
          </cell>
          <cell r="C5270" t="str">
            <v>奥利奥 五款口味混合装 388G</v>
          </cell>
          <cell r="D5270">
            <v>270</v>
          </cell>
          <cell r="E5270">
            <v>4323.5</v>
          </cell>
          <cell r="F5270">
            <v>18.094648148148099</v>
          </cell>
        </row>
        <row r="5271">
          <cell r="B5271" t="str">
            <v>70525578</v>
          </cell>
          <cell r="C5271" t="str">
            <v>法丽兹 臻采香芋牛乳味夹心蛋酥 100G</v>
          </cell>
          <cell r="D5271">
            <v>745</v>
          </cell>
          <cell r="E5271">
            <v>2912.92</v>
          </cell>
          <cell r="F5271">
            <v>4.4182544966442903</v>
          </cell>
        </row>
        <row r="5272">
          <cell r="B5272" t="str">
            <v>70530163</v>
          </cell>
          <cell r="C5272" t="str">
            <v>徐福记 沙琪玛香酥鸡蛋味 200G*8</v>
          </cell>
          <cell r="D5272">
            <v>88</v>
          </cell>
          <cell r="E5272">
            <v>391.65</v>
          </cell>
          <cell r="F5272">
            <v>5.0291420454545399</v>
          </cell>
        </row>
        <row r="5273">
          <cell r="B5273" t="str">
            <v>70531578</v>
          </cell>
          <cell r="C5273" t="str">
            <v>优乐麦 干烙蛋糕原味 125G</v>
          </cell>
          <cell r="D5273">
            <v>40</v>
          </cell>
          <cell r="E5273">
            <v>167.96</v>
          </cell>
          <cell r="F5273">
            <v>4.7448699999999997</v>
          </cell>
        </row>
        <row r="5274">
          <cell r="B5274" t="str">
            <v>70531579</v>
          </cell>
          <cell r="C5274" t="str">
            <v>优乐麦 干烙蛋糕生椰味 125G</v>
          </cell>
          <cell r="D5274">
            <v>37</v>
          </cell>
          <cell r="E5274">
            <v>156</v>
          </cell>
          <cell r="F5274">
            <v>4.7643243243243196</v>
          </cell>
        </row>
        <row r="5275">
          <cell r="B5275" t="str">
            <v>70534451</v>
          </cell>
          <cell r="C5275" t="str">
            <v>北戴河 巧G力口味压缩饼干 120G</v>
          </cell>
          <cell r="D5275">
            <v>1104</v>
          </cell>
          <cell r="E5275">
            <v>2926.03</v>
          </cell>
          <cell r="F5275">
            <v>2.9949401268115898</v>
          </cell>
        </row>
        <row r="5276">
          <cell r="B5276" t="str">
            <v>70534518</v>
          </cell>
          <cell r="C5276" t="str">
            <v>趣多多 香脆曲奇真香咖啡味中包装 170G</v>
          </cell>
          <cell r="D5276">
            <v>0</v>
          </cell>
          <cell r="E5276">
            <v>0</v>
          </cell>
          <cell r="F5276" t="e">
            <v>#DIV/0!</v>
          </cell>
        </row>
        <row r="5277">
          <cell r="B5277" t="str">
            <v>70534547</v>
          </cell>
          <cell r="C5277" t="str">
            <v>煌记 蟹黄肉松双层脆 48G</v>
          </cell>
          <cell r="D5277">
            <v>2</v>
          </cell>
          <cell r="E5277">
            <v>8.32</v>
          </cell>
          <cell r="F5277">
            <v>4.7008000000000001</v>
          </cell>
        </row>
        <row r="5278">
          <cell r="B5278" t="str">
            <v>70534655</v>
          </cell>
          <cell r="C5278" t="str">
            <v>乾清门 新疆软酥核桃杂粮 150G</v>
          </cell>
          <cell r="D5278">
            <v>7</v>
          </cell>
          <cell r="E5278">
            <v>46.77</v>
          </cell>
          <cell r="F5278">
            <v>7.5500142857142896</v>
          </cell>
        </row>
        <row r="5279">
          <cell r="B5279" t="str">
            <v>70534659</v>
          </cell>
          <cell r="C5279" t="str">
            <v>乾清门 新疆软酥奶皮子蔓越莓 150G</v>
          </cell>
          <cell r="D5279">
            <v>21</v>
          </cell>
          <cell r="E5279">
            <v>140.31</v>
          </cell>
          <cell r="F5279">
            <v>7.5500142857142896</v>
          </cell>
        </row>
        <row r="5280">
          <cell r="B5280" t="str">
            <v>70534661</v>
          </cell>
          <cell r="C5280" t="str">
            <v>乾清门 新疆软酥藜麦糖醇 150G</v>
          </cell>
          <cell r="D5280">
            <v>9</v>
          </cell>
          <cell r="E5280">
            <v>60.15</v>
          </cell>
          <cell r="F5280">
            <v>7.55216666666667</v>
          </cell>
        </row>
        <row r="5281">
          <cell r="B5281" t="str">
            <v>70534666</v>
          </cell>
          <cell r="C5281" t="str">
            <v>乾清门 新疆软酥新疆辣皮子 150G</v>
          </cell>
          <cell r="D5281">
            <v>4</v>
          </cell>
          <cell r="E5281">
            <v>26.74</v>
          </cell>
          <cell r="F5281">
            <v>7.5540500000000002</v>
          </cell>
        </row>
        <row r="5282">
          <cell r="B5282" t="str">
            <v>70534668</v>
          </cell>
          <cell r="C5282" t="str">
            <v>乾清门 新疆软酥黑糖桑葚 150G</v>
          </cell>
          <cell r="D5282">
            <v>11</v>
          </cell>
          <cell r="E5282">
            <v>73.510000000000005</v>
          </cell>
          <cell r="F5282">
            <v>7.55148181818182</v>
          </cell>
        </row>
        <row r="5283">
          <cell r="B5283" t="str">
            <v>70534670</v>
          </cell>
          <cell r="C5283" t="str">
            <v>乾清门 新疆软酥和田玫瑰花 150G</v>
          </cell>
          <cell r="D5283">
            <v>4</v>
          </cell>
          <cell r="E5283">
            <v>26.73</v>
          </cell>
          <cell r="F5283">
            <v>7.5512249999999996</v>
          </cell>
        </row>
        <row r="5284">
          <cell r="B5284" t="str">
            <v>70534759</v>
          </cell>
          <cell r="C5284" t="str">
            <v>利拉 巧逗曲奇大黄油味 55G</v>
          </cell>
          <cell r="D5284">
            <v>0</v>
          </cell>
          <cell r="E5284">
            <v>0</v>
          </cell>
          <cell r="F5284" t="e">
            <v>#DIV/0!</v>
          </cell>
        </row>
        <row r="5285">
          <cell r="B5285" t="str">
            <v>70534760</v>
          </cell>
          <cell r="C5285" t="str">
            <v>煌记 榴莲芝士双层脆 48G</v>
          </cell>
          <cell r="D5285">
            <v>0</v>
          </cell>
          <cell r="E5285">
            <v>0</v>
          </cell>
          <cell r="F5285" t="e">
            <v>#DIV/0!</v>
          </cell>
        </row>
        <row r="5286">
          <cell r="B5286" t="str">
            <v>70534769</v>
          </cell>
          <cell r="C5286" t="str">
            <v>煌记 岩烧芝士脆饼干 52G</v>
          </cell>
          <cell r="D5286">
            <v>0</v>
          </cell>
          <cell r="E5286">
            <v>0</v>
          </cell>
          <cell r="F5286" t="e">
            <v>#DIV/0!</v>
          </cell>
        </row>
        <row r="5287">
          <cell r="B5287" t="str">
            <v>70534772</v>
          </cell>
          <cell r="C5287" t="str">
            <v>煌记 黑麦海盐苏打饼干0蔗糖 66G</v>
          </cell>
          <cell r="D5287">
            <v>1</v>
          </cell>
          <cell r="E5287">
            <v>4.16</v>
          </cell>
          <cell r="F5287">
            <v>4.7008000000000001</v>
          </cell>
        </row>
        <row r="5288">
          <cell r="B5288" t="str">
            <v>70534778</v>
          </cell>
          <cell r="C5288" t="str">
            <v>康师傅 蛋黄也酥酥 48G</v>
          </cell>
          <cell r="D5288">
            <v>0</v>
          </cell>
          <cell r="E5288">
            <v>0</v>
          </cell>
          <cell r="F5288" t="e">
            <v>#DIV/0!</v>
          </cell>
        </row>
        <row r="5289">
          <cell r="B5289" t="str">
            <v>70534821</v>
          </cell>
          <cell r="C5289" t="str">
            <v>北戴河 花生口味压缩饼干 120G</v>
          </cell>
          <cell r="D5289">
            <v>2041</v>
          </cell>
          <cell r="E5289">
            <v>5384.1</v>
          </cell>
          <cell r="F5289">
            <v>2.9809078882900502</v>
          </cell>
        </row>
        <row r="5290">
          <cell r="B5290" t="str">
            <v>70534848</v>
          </cell>
          <cell r="C5290" t="str">
            <v>马大姐 肉松饼原味 70G</v>
          </cell>
          <cell r="D5290">
            <v>68</v>
          </cell>
          <cell r="E5290">
            <v>258.87</v>
          </cell>
          <cell r="F5290">
            <v>4.3018102941176499</v>
          </cell>
        </row>
        <row r="5291">
          <cell r="B5291" t="str">
            <v>70535004</v>
          </cell>
          <cell r="C5291" t="str">
            <v>可拉熊 尚宬牛乳味芝士曲奇 60G</v>
          </cell>
          <cell r="D5291">
            <v>0</v>
          </cell>
          <cell r="E5291">
            <v>0</v>
          </cell>
          <cell r="F5291" t="e">
            <v>#DIV/0!</v>
          </cell>
        </row>
        <row r="5292">
          <cell r="B5292" t="str">
            <v>70535007</v>
          </cell>
          <cell r="C5292" t="str">
            <v>可拉熊 尚宬牛乳味芝士曲奇 128G</v>
          </cell>
          <cell r="D5292">
            <v>0</v>
          </cell>
          <cell r="E5292">
            <v>0</v>
          </cell>
          <cell r="F5292" t="e">
            <v>#DIV/0!</v>
          </cell>
        </row>
        <row r="5293">
          <cell r="B5293" t="str">
            <v>70535017</v>
          </cell>
          <cell r="C5293" t="str">
            <v>明治 你好熊猫香草味夹心饼干 50G</v>
          </cell>
          <cell r="D5293">
            <v>123</v>
          </cell>
          <cell r="E5293">
            <v>973.63</v>
          </cell>
          <cell r="F5293">
            <v>8.9447308943089396</v>
          </cell>
        </row>
        <row r="5294">
          <cell r="B5294" t="str">
            <v>70535018</v>
          </cell>
          <cell r="C5294" t="str">
            <v>明治 你好熊猫双重巧G力味夹心饼干 50G</v>
          </cell>
          <cell r="D5294">
            <v>72</v>
          </cell>
          <cell r="E5294">
            <v>561.30999999999995</v>
          </cell>
          <cell r="F5294">
            <v>8.8094486111111099</v>
          </cell>
        </row>
        <row r="5295">
          <cell r="B5295" t="str">
            <v>70535019</v>
          </cell>
          <cell r="C5295" t="str">
            <v>明治 你好熊猫咖啡味夹心饼干 50G</v>
          </cell>
          <cell r="D5295">
            <v>101</v>
          </cell>
          <cell r="E5295">
            <v>800.47</v>
          </cell>
          <cell r="F5295">
            <v>8.9557534653465307</v>
          </cell>
        </row>
        <row r="5296">
          <cell r="B5296" t="str">
            <v>70535116</v>
          </cell>
          <cell r="C5296" t="str">
            <v>明治 你好熊猫巧G力味夹心饼干 50G</v>
          </cell>
          <cell r="D5296">
            <v>141</v>
          </cell>
          <cell r="E5296">
            <v>1158.51</v>
          </cell>
          <cell r="F5296">
            <v>9.2845127659574498</v>
          </cell>
        </row>
        <row r="5297">
          <cell r="B5297" t="str">
            <v>70535117</v>
          </cell>
          <cell r="C5297" t="str">
            <v>明治 你好熊猫草莓味夹心饼干 50G</v>
          </cell>
          <cell r="D5297">
            <v>91</v>
          </cell>
          <cell r="E5297">
            <v>732.94</v>
          </cell>
          <cell r="F5297">
            <v>9.1013428571428605</v>
          </cell>
        </row>
        <row r="5298">
          <cell r="B5298" t="str">
            <v>70535905</v>
          </cell>
          <cell r="C5298" t="str">
            <v>利拉 肉茸味压缩干粮 66G</v>
          </cell>
          <cell r="D5298">
            <v>0</v>
          </cell>
          <cell r="E5298">
            <v>0</v>
          </cell>
          <cell r="F5298" t="e">
            <v>#DIV/0!</v>
          </cell>
        </row>
        <row r="5299">
          <cell r="B5299" t="str">
            <v>70535906</v>
          </cell>
          <cell r="C5299" t="str">
            <v>利拉 花生味压缩干粮 66G</v>
          </cell>
          <cell r="D5299">
            <v>74</v>
          </cell>
          <cell r="E5299">
            <v>223.65</v>
          </cell>
          <cell r="F5299">
            <v>3.4151959459459502</v>
          </cell>
        </row>
        <row r="5300">
          <cell r="B5300" t="str">
            <v>70535907</v>
          </cell>
          <cell r="C5300" t="str">
            <v>稻香村 蛋卷抹茶108G盒装 108G</v>
          </cell>
          <cell r="D5300">
            <v>438</v>
          </cell>
          <cell r="E5300">
            <v>4478.0600000000004</v>
          </cell>
          <cell r="F5300">
            <v>11.5529858447489</v>
          </cell>
        </row>
        <row r="5301">
          <cell r="B5301" t="str">
            <v>70535908</v>
          </cell>
          <cell r="C5301" t="str">
            <v>稻香村 蛋卷巧克力108克盒装 108G</v>
          </cell>
          <cell r="D5301">
            <v>384</v>
          </cell>
          <cell r="E5301">
            <v>3936.65</v>
          </cell>
          <cell r="F5301">
            <v>11.584412760416701</v>
          </cell>
        </row>
        <row r="5302">
          <cell r="B5302" t="str">
            <v>70535938</v>
          </cell>
          <cell r="C5302" t="str">
            <v>滨崎 夹心饼干提拉米苏味 150G</v>
          </cell>
          <cell r="D5302">
            <v>20</v>
          </cell>
          <cell r="E5302">
            <v>119.15</v>
          </cell>
          <cell r="F5302">
            <v>6.7319750000000003</v>
          </cell>
        </row>
        <row r="5303">
          <cell r="B5303" t="str">
            <v>70535957</v>
          </cell>
          <cell r="C5303" t="str">
            <v>滨崎 注心饼干草莓味 150G</v>
          </cell>
          <cell r="D5303">
            <v>10</v>
          </cell>
          <cell r="E5303">
            <v>59.36</v>
          </cell>
          <cell r="F5303">
            <v>6.7076799999999999</v>
          </cell>
        </row>
        <row r="5304">
          <cell r="B5304" t="str">
            <v>70535961</v>
          </cell>
          <cell r="C5304" t="str">
            <v>滨崎 夹心饼干草莓酸奶味 150G</v>
          </cell>
          <cell r="D5304">
            <v>17</v>
          </cell>
          <cell r="E5304">
            <v>101.08</v>
          </cell>
          <cell r="F5304">
            <v>6.7188470588235303</v>
          </cell>
        </row>
        <row r="5305">
          <cell r="B5305" t="str">
            <v>70535977</v>
          </cell>
          <cell r="C5305" t="str">
            <v>滨崎 夹心饼干牛油果味 150G</v>
          </cell>
          <cell r="D5305">
            <v>2</v>
          </cell>
          <cell r="E5305">
            <v>11.92</v>
          </cell>
          <cell r="F5305">
            <v>6.7347999999999999</v>
          </cell>
        </row>
        <row r="5306">
          <cell r="B5306" t="str">
            <v>70535985</v>
          </cell>
          <cell r="C5306" t="str">
            <v>米老头 沙琪玛黑糖味 320G</v>
          </cell>
          <cell r="D5306">
            <v>826</v>
          </cell>
          <cell r="E5306">
            <v>5151.13</v>
          </cell>
          <cell r="F5306">
            <v>7.0469453995157396</v>
          </cell>
        </row>
        <row r="5307">
          <cell r="B5307" t="str">
            <v>70535988</v>
          </cell>
          <cell r="C5307" t="str">
            <v>米老头 沙琪玛蛋酥味 320G</v>
          </cell>
          <cell r="D5307">
            <v>1239</v>
          </cell>
          <cell r="E5307">
            <v>7998.83</v>
          </cell>
          <cell r="F5307">
            <v>7.2951395480225996</v>
          </cell>
        </row>
        <row r="5308">
          <cell r="B5308" t="str">
            <v>70535992</v>
          </cell>
          <cell r="C5308" t="str">
            <v>法丽兹 芝士黄油曲奇 100G</v>
          </cell>
          <cell r="D5308">
            <v>1</v>
          </cell>
          <cell r="E5308">
            <v>4.3</v>
          </cell>
          <cell r="F5308">
            <v>4.859</v>
          </cell>
        </row>
        <row r="5309">
          <cell r="B5309" t="str">
            <v>70535994</v>
          </cell>
          <cell r="C5309" t="str">
            <v>法丽兹 抹茶黄油曲奇 100G</v>
          </cell>
          <cell r="D5309">
            <v>0</v>
          </cell>
          <cell r="E5309">
            <v>0</v>
          </cell>
          <cell r="F5309" t="e">
            <v>#DIV/0!</v>
          </cell>
        </row>
        <row r="5310">
          <cell r="B5310" t="str">
            <v>70536006</v>
          </cell>
          <cell r="C5310" t="str">
            <v>如水 坚果红枣小桃酥 90G</v>
          </cell>
          <cell r="D5310">
            <v>14</v>
          </cell>
          <cell r="E5310">
            <v>124.82</v>
          </cell>
          <cell r="F5310">
            <v>10.0747571428571</v>
          </cell>
        </row>
        <row r="5311">
          <cell r="B5311" t="str">
            <v>70536008</v>
          </cell>
          <cell r="C5311" t="str">
            <v>如水 坚果黄油小曲奇 80G</v>
          </cell>
          <cell r="D5311">
            <v>3</v>
          </cell>
          <cell r="E5311">
            <v>28.92</v>
          </cell>
          <cell r="F5311">
            <v>10.8932</v>
          </cell>
        </row>
        <row r="5312">
          <cell r="B5312" t="str">
            <v>70536022</v>
          </cell>
          <cell r="C5312" t="str">
            <v>咔啰卡曼 咸蛋黄味威化饼干袋装 218G</v>
          </cell>
          <cell r="D5312">
            <v>5</v>
          </cell>
          <cell r="E5312">
            <v>42.05</v>
          </cell>
          <cell r="F5312">
            <v>9.5032999999999994</v>
          </cell>
        </row>
        <row r="5313">
          <cell r="B5313" t="str">
            <v>70536027</v>
          </cell>
          <cell r="C5313" t="str">
            <v>咔啰卡曼 脆角米果牛奶味 145G</v>
          </cell>
          <cell r="D5313">
            <v>208</v>
          </cell>
          <cell r="E5313">
            <v>2007.09</v>
          </cell>
          <cell r="F5313">
            <v>10.9039024038462</v>
          </cell>
        </row>
        <row r="5314">
          <cell r="B5314" t="str">
            <v>70536035</v>
          </cell>
          <cell r="C5314" t="str">
            <v>咔啰卡曼 脆角米果花生味 145G</v>
          </cell>
          <cell r="D5314">
            <v>128</v>
          </cell>
          <cell r="E5314">
            <v>1235.2</v>
          </cell>
          <cell r="F5314">
            <v>10.904500000000001</v>
          </cell>
        </row>
        <row r="5315">
          <cell r="B5315" t="str">
            <v>70536058</v>
          </cell>
          <cell r="C5315" t="str">
            <v>徐福记 沙琪玛芝士味 108G</v>
          </cell>
          <cell r="D5315">
            <v>78</v>
          </cell>
          <cell r="E5315">
            <v>517.87</v>
          </cell>
          <cell r="F5315">
            <v>7.5024756410256401</v>
          </cell>
        </row>
        <row r="5316">
          <cell r="B5316" t="str">
            <v>70536060</v>
          </cell>
          <cell r="C5316" t="str">
            <v>徐福记 沙琪玛蔓越莓酸奶味 108G</v>
          </cell>
          <cell r="D5316">
            <v>6</v>
          </cell>
          <cell r="E5316">
            <v>39.840000000000003</v>
          </cell>
          <cell r="F5316">
            <v>7.5031999999999996</v>
          </cell>
        </row>
        <row r="5317">
          <cell r="B5317" t="str">
            <v>70536063</v>
          </cell>
          <cell r="C5317" t="str">
            <v>徐福记 沙琪酥香肉松味 108G</v>
          </cell>
          <cell r="D5317">
            <v>140</v>
          </cell>
          <cell r="E5317">
            <v>932.78</v>
          </cell>
          <cell r="F5317">
            <v>7.5288671428571403</v>
          </cell>
        </row>
        <row r="5318">
          <cell r="B5318" t="str">
            <v>70536065</v>
          </cell>
          <cell r="C5318" t="str">
            <v>徐福记 沙琪玛芝士味 42G</v>
          </cell>
          <cell r="D5318">
            <v>14</v>
          </cell>
          <cell r="E5318">
            <v>37.21</v>
          </cell>
          <cell r="F5318">
            <v>3.0033785714285699</v>
          </cell>
        </row>
        <row r="5319">
          <cell r="B5319" t="str">
            <v>70536095</v>
          </cell>
          <cell r="C5319" t="str">
            <v>草原情 鲜奶酥饼 100G</v>
          </cell>
          <cell r="D5319">
            <v>8</v>
          </cell>
          <cell r="E5319">
            <v>48.88</v>
          </cell>
          <cell r="F5319">
            <v>6.9043000000000001</v>
          </cell>
        </row>
        <row r="5320">
          <cell r="B5320" t="str">
            <v>70536796</v>
          </cell>
          <cell r="C5320" t="str">
            <v>雀巢威化 脆脆鲨草莓味威化饼干 36G</v>
          </cell>
          <cell r="D5320">
            <v>17</v>
          </cell>
          <cell r="E5320">
            <v>52.7</v>
          </cell>
          <cell r="F5320">
            <v>3.5030000000000001</v>
          </cell>
        </row>
        <row r="5321">
          <cell r="B5321" t="str">
            <v>70536797</v>
          </cell>
          <cell r="C5321" t="str">
            <v>雀巢威化 脆脆鲨巧克力味威化饼干 36G</v>
          </cell>
          <cell r="D5321">
            <v>3175</v>
          </cell>
          <cell r="E5321">
            <v>9869.7900000000009</v>
          </cell>
          <cell r="F5321">
            <v>3.5127126614173201</v>
          </cell>
        </row>
        <row r="5322">
          <cell r="B5322" t="str">
            <v>70539173</v>
          </cell>
          <cell r="C5322" t="str">
            <v>趣多多 迷你曲奇橙皮黑巧味 41G</v>
          </cell>
          <cell r="D5322">
            <v>39</v>
          </cell>
          <cell r="E5322">
            <v>203.7</v>
          </cell>
          <cell r="F5322">
            <v>5.9020769230769199</v>
          </cell>
        </row>
        <row r="5323">
          <cell r="B5323" t="str">
            <v>70539174</v>
          </cell>
          <cell r="C5323" t="str">
            <v>趣多多 迷你曲奇摩卡榛子味 41G</v>
          </cell>
          <cell r="D5323">
            <v>40</v>
          </cell>
          <cell r="E5323">
            <v>208.93</v>
          </cell>
          <cell r="F5323">
            <v>5.9022724999999996</v>
          </cell>
        </row>
        <row r="5324">
          <cell r="B5324" t="str">
            <v>70539698</v>
          </cell>
          <cell r="C5324" t="str">
            <v>纳宝帝 奶酪味夹心饼干 80G</v>
          </cell>
          <cell r="D5324">
            <v>1191</v>
          </cell>
          <cell r="E5324">
            <v>3455.09</v>
          </cell>
          <cell r="F5324">
            <v>3.2781290512174599</v>
          </cell>
        </row>
        <row r="5325">
          <cell r="B5325" t="str">
            <v>70539699</v>
          </cell>
          <cell r="C5325" t="str">
            <v>纳宝帝 巧克力味夹心饼干 80G</v>
          </cell>
          <cell r="D5325">
            <v>1104</v>
          </cell>
          <cell r="E5325">
            <v>3191.48</v>
          </cell>
          <cell r="F5325">
            <v>3.2666416666666702</v>
          </cell>
        </row>
        <row r="5326">
          <cell r="B5326" t="str">
            <v>70539701</v>
          </cell>
          <cell r="C5326" t="str">
            <v>纳宝帝 草莓味夹心饼干 80G</v>
          </cell>
          <cell r="D5326">
            <v>1051</v>
          </cell>
          <cell r="E5326">
            <v>3036.41</v>
          </cell>
          <cell r="F5326">
            <v>3.2646463368220702</v>
          </cell>
        </row>
        <row r="5327">
          <cell r="B5327" t="str">
            <v>70542422</v>
          </cell>
          <cell r="C5327" t="str">
            <v>盼盼 梅尼耶干蛋糕奶香味 120G</v>
          </cell>
          <cell r="D5327">
            <v>13</v>
          </cell>
          <cell r="E5327">
            <v>93.46</v>
          </cell>
          <cell r="F5327">
            <v>8.1238307692307696</v>
          </cell>
        </row>
        <row r="5328">
          <cell r="B5328" t="str">
            <v>70542830</v>
          </cell>
          <cell r="C5328" t="str">
            <v>盼盼 梅尼耶巧克力派 260G</v>
          </cell>
          <cell r="D5328">
            <v>371</v>
          </cell>
          <cell r="E5328">
            <v>2790.23</v>
          </cell>
          <cell r="F5328">
            <v>8.4985442048517505</v>
          </cell>
        </row>
        <row r="5329">
          <cell r="B5329" t="str">
            <v>70543587</v>
          </cell>
          <cell r="C5329" t="str">
            <v>法丽兹 咸蛋黄奶酪味蛋酥卷减糖 100G</v>
          </cell>
          <cell r="D5329">
            <v>670</v>
          </cell>
          <cell r="E5329">
            <v>2629.73</v>
          </cell>
          <cell r="F5329">
            <v>4.4352162686567196</v>
          </cell>
        </row>
        <row r="5330">
          <cell r="B5330" t="str">
            <v>70547525</v>
          </cell>
          <cell r="C5330" t="str">
            <v>每日生机 12种蔬菜饼干(原味) 180G</v>
          </cell>
          <cell r="D5330">
            <v>24</v>
          </cell>
          <cell r="E5330">
            <v>201.82</v>
          </cell>
          <cell r="F5330">
            <v>9.5023583333333299</v>
          </cell>
        </row>
        <row r="5331">
          <cell r="B5331" t="str">
            <v>70547528</v>
          </cell>
          <cell r="C5331" t="str">
            <v>每日生机 12种蔬菜饼干（鸡汁味) 180G</v>
          </cell>
          <cell r="D5331">
            <v>31</v>
          </cell>
          <cell r="E5331">
            <v>260.7</v>
          </cell>
          <cell r="F5331">
            <v>9.5029354838709708</v>
          </cell>
        </row>
        <row r="5332">
          <cell r="B5332" t="str">
            <v>70547755</v>
          </cell>
          <cell r="C5332" t="str">
            <v>EDO PACK多庆屋黑松露黑麦苏打饼干（黄油风味） 630G</v>
          </cell>
          <cell r="D5332">
            <v>13</v>
          </cell>
          <cell r="E5332">
            <v>144.96</v>
          </cell>
          <cell r="F5332">
            <v>12.6003692307692</v>
          </cell>
        </row>
        <row r="5333">
          <cell r="B5333" t="str">
            <v>70547760</v>
          </cell>
          <cell r="C5333" t="str">
            <v>雀巢 脆脆鲨巧克力味涂层威化饼干双碗欢享礼盒 425G</v>
          </cell>
          <cell r="D5333">
            <v>0</v>
          </cell>
          <cell r="E5333">
            <v>0</v>
          </cell>
          <cell r="F5333" t="e">
            <v>#DIV/0!</v>
          </cell>
        </row>
        <row r="5334">
          <cell r="B5334" t="str">
            <v>70547778</v>
          </cell>
          <cell r="C5334" t="str">
            <v>EDO PACK黑松露鲍鱼苏打饼干（藜麦奇亚籽风味） 630G</v>
          </cell>
          <cell r="D5334">
            <v>10</v>
          </cell>
          <cell r="E5334">
            <v>111.52</v>
          </cell>
          <cell r="F5334">
            <v>12.601760000000001</v>
          </cell>
        </row>
        <row r="5335">
          <cell r="B5335" t="str">
            <v>70550140</v>
          </cell>
          <cell r="C5335" t="str">
            <v>MEMBER'SMARK 低糖蛋黄酥 660G</v>
          </cell>
          <cell r="D5335">
            <v>0</v>
          </cell>
          <cell r="E5335">
            <v>0</v>
          </cell>
          <cell r="F5335" t="e">
            <v>#DIV/0!</v>
          </cell>
        </row>
        <row r="5336">
          <cell r="B5336" t="str">
            <v>70551063</v>
          </cell>
          <cell r="C5336" t="str">
            <v>山姆 小花黄油曲奇饼干 580G</v>
          </cell>
          <cell r="D5336">
            <v>25</v>
          </cell>
          <cell r="E5336">
            <v>1997.5</v>
          </cell>
          <cell r="F5336">
            <v>90.287000000000006</v>
          </cell>
        </row>
        <row r="5337">
          <cell r="B5337" t="str">
            <v>70551064</v>
          </cell>
          <cell r="C5337" t="str">
            <v>山姆 苹果干 560G</v>
          </cell>
          <cell r="D5337">
            <v>74</v>
          </cell>
          <cell r="E5337">
            <v>4210.6000000000004</v>
          </cell>
          <cell r="F5337">
            <v>64.296999999999997</v>
          </cell>
        </row>
        <row r="5338">
          <cell r="B5338" t="str">
            <v>70551080</v>
          </cell>
          <cell r="C5338" t="str">
            <v>法丽兹 缤纷美味曲奇桶 405G</v>
          </cell>
          <cell r="D5338">
            <v>491</v>
          </cell>
          <cell r="E5338">
            <v>13989.16</v>
          </cell>
          <cell r="F5338">
            <v>32.1950118126273</v>
          </cell>
        </row>
        <row r="5339">
          <cell r="B5339" t="str">
            <v>70551874</v>
          </cell>
          <cell r="C5339" t="str">
            <v>安达 苏打饼干黑松露 105G</v>
          </cell>
          <cell r="D5339">
            <v>0</v>
          </cell>
          <cell r="E5339">
            <v>0</v>
          </cell>
          <cell r="F5339" t="e">
            <v>#DIV/0!</v>
          </cell>
        </row>
        <row r="5340">
          <cell r="B5340" t="str">
            <v>70551885</v>
          </cell>
          <cell r="C5340" t="str">
            <v>维巧 透明小立袋厚切芒果糕 130G</v>
          </cell>
          <cell r="D5340">
            <v>0</v>
          </cell>
          <cell r="E5340">
            <v>0</v>
          </cell>
          <cell r="F5340" t="e">
            <v>#DIV/0!</v>
          </cell>
        </row>
        <row r="5341">
          <cell r="B5341" t="str">
            <v>70553221</v>
          </cell>
          <cell r="C5341" t="str">
            <v>盼盼 低GI无糖燕麦高纤饼干 216G</v>
          </cell>
          <cell r="D5341">
            <v>2</v>
          </cell>
          <cell r="E5341">
            <v>14.38</v>
          </cell>
          <cell r="F5341">
            <v>8.1247000000000007</v>
          </cell>
        </row>
        <row r="5342">
          <cell r="B5342" t="str">
            <v>70553475</v>
          </cell>
          <cell r="C5342" t="str">
            <v>FIXXBODY 抵GI奇亚籽多谷物饼干 160G</v>
          </cell>
          <cell r="D5342">
            <v>144</v>
          </cell>
          <cell r="E5342">
            <v>2153.9499999999998</v>
          </cell>
          <cell r="F5342">
            <v>16.902524305555598</v>
          </cell>
        </row>
        <row r="5343">
          <cell r="B5343" t="str">
            <v>70553476</v>
          </cell>
          <cell r="C5343" t="str">
            <v>FIXXBODY 奇亚籽高蛋白威化可可豆乳味 96G</v>
          </cell>
          <cell r="D5343">
            <v>311</v>
          </cell>
          <cell r="E5343">
            <v>2459.1799999999998</v>
          </cell>
          <cell r="F5343">
            <v>8.9352842443729905</v>
          </cell>
        </row>
        <row r="5344">
          <cell r="B5344" t="str">
            <v>70553477</v>
          </cell>
          <cell r="C5344" t="str">
            <v>FIXXBODY 奇亚籽高蛋白威化抹茶红豆味 96G</v>
          </cell>
          <cell r="D5344">
            <v>294</v>
          </cell>
          <cell r="E5344">
            <v>2324.83</v>
          </cell>
          <cell r="F5344">
            <v>8.9355710884353705</v>
          </cell>
        </row>
        <row r="5345">
          <cell r="B5345" t="str">
            <v>70553478</v>
          </cell>
          <cell r="C5345" t="str">
            <v>FIXXBODY 低GI南瓜籽藜麦饼干 160G</v>
          </cell>
          <cell r="D5345">
            <v>105</v>
          </cell>
          <cell r="E5345">
            <v>1567.02</v>
          </cell>
          <cell r="F5345">
            <v>16.86412</v>
          </cell>
        </row>
        <row r="5346">
          <cell r="B5346" t="str">
            <v>70553479</v>
          </cell>
          <cell r="C5346" t="str">
            <v>FIXXBODY 燕麦夹心卷浓厚黑巧味 32G</v>
          </cell>
          <cell r="D5346">
            <v>698</v>
          </cell>
          <cell r="E5346">
            <v>4532.0200000000004</v>
          </cell>
          <cell r="F5346">
            <v>7.3369378223495696</v>
          </cell>
        </row>
        <row r="5347">
          <cell r="B5347" t="str">
            <v>70553480</v>
          </cell>
          <cell r="C5347" t="str">
            <v>FIXXBODY 燕麦夹心卷醇香红酒味 32G</v>
          </cell>
          <cell r="D5347">
            <v>380</v>
          </cell>
          <cell r="E5347">
            <v>2383.7199999999998</v>
          </cell>
          <cell r="F5347">
            <v>7.0884305263157898</v>
          </cell>
        </row>
        <row r="5348">
          <cell r="B5348" t="str">
            <v>70553498</v>
          </cell>
          <cell r="C5348" t="str">
            <v>乾清门 新疆软酥礼盒 718G</v>
          </cell>
          <cell r="D5348">
            <v>0</v>
          </cell>
          <cell r="E5348">
            <v>0</v>
          </cell>
          <cell r="F5348" t="e">
            <v>#DIV/0!</v>
          </cell>
        </row>
        <row r="5349">
          <cell r="B5349" t="str">
            <v>70553506</v>
          </cell>
          <cell r="C5349" t="str">
            <v>红谷林 海盐黑麦苏打饼干 208G</v>
          </cell>
          <cell r="D5349">
            <v>197</v>
          </cell>
          <cell r="E5349">
            <v>1362.15</v>
          </cell>
          <cell r="F5349">
            <v>7.8133477157360396</v>
          </cell>
        </row>
        <row r="5350">
          <cell r="B5350" t="str">
            <v>70553508</v>
          </cell>
          <cell r="C5350" t="str">
            <v>红谷林 奇亚籽三色藜麦苏打饼干 208G</v>
          </cell>
          <cell r="D5350">
            <v>181</v>
          </cell>
          <cell r="E5350">
            <v>1250.0999999999999</v>
          </cell>
          <cell r="F5350">
            <v>7.80449171270718</v>
          </cell>
        </row>
        <row r="5351">
          <cell r="B5351" t="str">
            <v>70553510</v>
          </cell>
          <cell r="C5351" t="str">
            <v>红谷林 黑芝麻黑全麦苏打饼干 208G</v>
          </cell>
          <cell r="D5351">
            <v>198</v>
          </cell>
          <cell r="E5351">
            <v>1371.03</v>
          </cell>
          <cell r="F5351">
            <v>7.8245651515151504</v>
          </cell>
        </row>
        <row r="5352">
          <cell r="B5352" t="str">
            <v>70553512</v>
          </cell>
          <cell r="C5352" t="str">
            <v>红谷林 黑松露火腿苏打饼干 208G</v>
          </cell>
          <cell r="D5352">
            <v>173</v>
          </cell>
          <cell r="E5352">
            <v>1194.79</v>
          </cell>
          <cell r="F5352">
            <v>7.8041196531791899</v>
          </cell>
        </row>
        <row r="5353">
          <cell r="B5353" t="str">
            <v>70553514</v>
          </cell>
          <cell r="C5353" t="str">
            <v>红谷林 无糖9黑藜麦谷物饼干 208G</v>
          </cell>
          <cell r="D5353">
            <v>7</v>
          </cell>
          <cell r="E5353">
            <v>48.34</v>
          </cell>
          <cell r="F5353">
            <v>7.8034571428571402</v>
          </cell>
        </row>
        <row r="5354">
          <cell r="B5354" t="str">
            <v>70553515</v>
          </cell>
          <cell r="C5354" t="str">
            <v>红谷林 无蔗糖9红藜麦谷物饼干 208G</v>
          </cell>
          <cell r="D5354">
            <v>209</v>
          </cell>
          <cell r="E5354">
            <v>1442.93</v>
          </cell>
          <cell r="F5354">
            <v>7.80148755980861</v>
          </cell>
        </row>
        <row r="5355">
          <cell r="B5355" t="str">
            <v>70554216</v>
          </cell>
          <cell r="C5355" t="str">
            <v>裕和果 草莓慕斯大福 30G</v>
          </cell>
          <cell r="D5355">
            <v>15</v>
          </cell>
          <cell r="E5355">
            <v>265.5</v>
          </cell>
          <cell r="F5355">
            <v>20.001000000000001</v>
          </cell>
        </row>
        <row r="5356">
          <cell r="B5356" t="str">
            <v>70554322</v>
          </cell>
          <cell r="C5356" t="str">
            <v>广州酒家 海苔味薯脆薄饼干 198G</v>
          </cell>
          <cell r="D5356">
            <v>34</v>
          </cell>
          <cell r="E5356">
            <v>324.69</v>
          </cell>
          <cell r="F5356">
            <v>10.791167647058799</v>
          </cell>
        </row>
        <row r="5357">
          <cell r="B5357" t="str">
            <v>70554323</v>
          </cell>
          <cell r="C5357" t="str">
            <v>广州酒家 香酥椰子卷 150G</v>
          </cell>
          <cell r="D5357">
            <v>80</v>
          </cell>
          <cell r="E5357">
            <v>528.53</v>
          </cell>
          <cell r="F5357">
            <v>7.4654862499999997</v>
          </cell>
        </row>
        <row r="5358">
          <cell r="B5358" t="str">
            <v>70554326</v>
          </cell>
          <cell r="C5358" t="str">
            <v>广州酒家 传统鸡蛋卷 454G</v>
          </cell>
          <cell r="D5358">
            <v>32</v>
          </cell>
          <cell r="E5358">
            <v>1028.04</v>
          </cell>
          <cell r="F5358">
            <v>36.302662499999997</v>
          </cell>
        </row>
        <row r="5359">
          <cell r="B5359" t="str">
            <v>70556409</v>
          </cell>
          <cell r="C5359" t="str">
            <v>金富士 团圆好礼什锦礼盒 618G</v>
          </cell>
          <cell r="D5359">
            <v>74</v>
          </cell>
          <cell r="E5359">
            <v>1881.39</v>
          </cell>
          <cell r="F5359">
            <v>28.729333783783801</v>
          </cell>
        </row>
        <row r="5360">
          <cell r="B5360" t="str">
            <v>70556410</v>
          </cell>
          <cell r="C5360" t="str">
            <v>金富士 年年有礼什锦礼盒 618G</v>
          </cell>
          <cell r="D5360">
            <v>59</v>
          </cell>
          <cell r="E5360">
            <v>1500.1</v>
          </cell>
          <cell r="F5360">
            <v>28.730728813559299</v>
          </cell>
        </row>
        <row r="5361">
          <cell r="B5361" t="str">
            <v>70556643</v>
          </cell>
          <cell r="C5361" t="str">
            <v>濠润坊 老式鸡仔饼 100G</v>
          </cell>
          <cell r="D5361">
            <v>290</v>
          </cell>
          <cell r="E5361">
            <v>1852.39</v>
          </cell>
          <cell r="F5361">
            <v>7.2179334482758604</v>
          </cell>
        </row>
        <row r="5362">
          <cell r="B5362" t="str">
            <v>70556654</v>
          </cell>
          <cell r="C5362" t="str">
            <v>濠润坊 葡式椰蓉酥 95G</v>
          </cell>
          <cell r="D5362">
            <v>453</v>
          </cell>
          <cell r="E5362">
            <v>2889.2</v>
          </cell>
          <cell r="F5362">
            <v>7.2070551876379696</v>
          </cell>
        </row>
        <row r="5363">
          <cell r="B5363" t="str">
            <v>70556735</v>
          </cell>
          <cell r="C5363" t="str">
            <v>濠润坊 紫菜凤凰卷 70G</v>
          </cell>
          <cell r="D5363">
            <v>55</v>
          </cell>
          <cell r="E5363">
            <v>350.58</v>
          </cell>
          <cell r="F5363">
            <v>7.20282545454545</v>
          </cell>
        </row>
        <row r="5364">
          <cell r="B5364" t="str">
            <v>70556737</v>
          </cell>
          <cell r="C5364" t="str">
            <v>濠润坊 软芯凤梨酥 120G</v>
          </cell>
          <cell r="D5364">
            <v>283</v>
          </cell>
          <cell r="E5364">
            <v>1803.6</v>
          </cell>
          <cell r="F5364">
            <v>7.2016537102473501</v>
          </cell>
        </row>
        <row r="5365">
          <cell r="B5365" t="str">
            <v>70556857</v>
          </cell>
          <cell r="C5365" t="str">
            <v>阿尔曼 葡萄干鹰嘴豆酥 120G</v>
          </cell>
          <cell r="D5365">
            <v>1132</v>
          </cell>
          <cell r="E5365">
            <v>4224.9799999999996</v>
          </cell>
          <cell r="F5365">
            <v>4.2175153710247297</v>
          </cell>
        </row>
        <row r="5366">
          <cell r="B5366" t="str">
            <v>70556858</v>
          </cell>
          <cell r="C5366" t="str">
            <v>阿尔曼 巴旦木鹰嘴豆酥 120G</v>
          </cell>
          <cell r="D5366">
            <v>1021</v>
          </cell>
          <cell r="E5366">
            <v>3816.29</v>
          </cell>
          <cell r="F5366">
            <v>4.2237097943192898</v>
          </cell>
        </row>
        <row r="5367">
          <cell r="B5367" t="str">
            <v>70556859</v>
          </cell>
          <cell r="C5367" t="str">
            <v>阿尔曼 核桃鹰嘴豆酥 120G</v>
          </cell>
          <cell r="D5367">
            <v>1050</v>
          </cell>
          <cell r="E5367">
            <v>3949.11</v>
          </cell>
          <cell r="F5367">
            <v>4.2499945714285703</v>
          </cell>
        </row>
        <row r="5368">
          <cell r="B5368" t="str">
            <v>70556860</v>
          </cell>
          <cell r="C5368" t="str">
            <v>阿尔曼 玉米鹰嘴豆酥 120G</v>
          </cell>
          <cell r="D5368">
            <v>784</v>
          </cell>
          <cell r="E5368">
            <v>2932.46</v>
          </cell>
          <cell r="F5368">
            <v>4.2266323979591798</v>
          </cell>
        </row>
        <row r="5369">
          <cell r="B5369" t="str">
            <v>70558137</v>
          </cell>
          <cell r="C5369" t="str">
            <v>奥利奥 夹心云朵蛋糕香草牛乳味2枚装 44G/盒</v>
          </cell>
          <cell r="D5369">
            <v>2042</v>
          </cell>
          <cell r="E5369">
            <v>4766.92</v>
          </cell>
          <cell r="F5369">
            <v>2.63791361410382</v>
          </cell>
        </row>
        <row r="5370">
          <cell r="B5370" t="str">
            <v>70558875</v>
          </cell>
          <cell r="C5370" t="str">
            <v>乾清门 蛋黄一口酥 125G</v>
          </cell>
          <cell r="D5370">
            <v>3</v>
          </cell>
          <cell r="E5370">
            <v>31.41</v>
          </cell>
          <cell r="F5370">
            <v>11.831099999999999</v>
          </cell>
        </row>
        <row r="5371">
          <cell r="B5371" t="str">
            <v>70558878</v>
          </cell>
          <cell r="C5371" t="str">
            <v>乾清门 核桃一口酥 125G</v>
          </cell>
          <cell r="D5371">
            <v>14</v>
          </cell>
          <cell r="E5371">
            <v>93.99</v>
          </cell>
          <cell r="F5371">
            <v>7.5863357142857097</v>
          </cell>
        </row>
        <row r="5372">
          <cell r="B5372" t="str">
            <v>70558881</v>
          </cell>
          <cell r="C5372" t="str">
            <v>乾清门 坚果桃酥 150G</v>
          </cell>
          <cell r="D5372">
            <v>12</v>
          </cell>
          <cell r="E5372">
            <v>544.51</v>
          </cell>
          <cell r="F5372">
            <v>51.274691666666698</v>
          </cell>
        </row>
        <row r="5373">
          <cell r="B5373" t="str">
            <v>70574108</v>
          </cell>
          <cell r="C5373" t="str">
            <v>江中食疗 杏仁百合薄脆饼干 72G</v>
          </cell>
          <cell r="D5373">
            <v>339</v>
          </cell>
          <cell r="E5373">
            <v>2670.74</v>
          </cell>
          <cell r="F5373">
            <v>8.9024666666666707</v>
          </cell>
        </row>
        <row r="5374">
          <cell r="B5374" t="str">
            <v>70574109</v>
          </cell>
          <cell r="C5374" t="str">
            <v>江中食疗 赤小豆茯苓薄脆饼干 72G</v>
          </cell>
          <cell r="D5374">
            <v>304</v>
          </cell>
          <cell r="E5374">
            <v>2396.9499999999998</v>
          </cell>
          <cell r="F5374">
            <v>8.9097154605263107</v>
          </cell>
        </row>
        <row r="5375">
          <cell r="B5375" t="str">
            <v>70574110</v>
          </cell>
          <cell r="C5375" t="str">
            <v>江中食疗 红枣当归薄脆饼干 72G</v>
          </cell>
          <cell r="D5375">
            <v>305</v>
          </cell>
          <cell r="E5375">
            <v>2402.91</v>
          </cell>
          <cell r="F5375">
            <v>8.9025845901639293</v>
          </cell>
        </row>
        <row r="5376">
          <cell r="B5376" t="str">
            <v>70574182</v>
          </cell>
          <cell r="C5376" t="str">
            <v>徐福记 沙琪玛蛋酥味袋装 416G</v>
          </cell>
          <cell r="D5376">
            <v>248</v>
          </cell>
          <cell r="E5376">
            <v>2469.9699999999998</v>
          </cell>
          <cell r="F5376">
            <v>11.254298790322601</v>
          </cell>
        </row>
        <row r="5377">
          <cell r="B5377" t="str">
            <v>70575651</v>
          </cell>
          <cell r="C5377" t="str">
            <v>雀巢 美禄运动力量饼干PRO 630G</v>
          </cell>
          <cell r="D5377">
            <v>13</v>
          </cell>
          <cell r="E5377">
            <v>506.66</v>
          </cell>
          <cell r="F5377">
            <v>44.040446153846098</v>
          </cell>
        </row>
        <row r="5378">
          <cell r="B5378" t="str">
            <v>70575689</v>
          </cell>
          <cell r="C5378" t="str">
            <v>MM 牛肉馅酥脆饼干 1KG</v>
          </cell>
          <cell r="D5378">
            <v>105</v>
          </cell>
          <cell r="E5378">
            <v>6289.5</v>
          </cell>
          <cell r="F5378">
            <v>67.686999999999998</v>
          </cell>
        </row>
        <row r="5379">
          <cell r="B5379" t="str">
            <v>70576059</v>
          </cell>
          <cell r="C5379" t="str">
            <v>法丽兹 轻甜黄油曲奇芝士原味 54.6G</v>
          </cell>
          <cell r="D5379">
            <v>62</v>
          </cell>
          <cell r="E5379">
            <v>149.07</v>
          </cell>
          <cell r="F5379">
            <v>2.7169209677419301</v>
          </cell>
        </row>
        <row r="5380">
          <cell r="B5380" t="str">
            <v>70582298</v>
          </cell>
          <cell r="C5380" t="str">
            <v>阿娜扎曼 无花果奶皮酥 210G</v>
          </cell>
          <cell r="D5380">
            <v>15</v>
          </cell>
          <cell r="E5380">
            <v>314.62</v>
          </cell>
          <cell r="F5380">
            <v>23.701373333333301</v>
          </cell>
        </row>
        <row r="5381">
          <cell r="B5381" t="str">
            <v>70582316</v>
          </cell>
          <cell r="C5381" t="str">
            <v>阿娜扎曼 八角梨子奶皮酥 210G</v>
          </cell>
          <cell r="D5381">
            <v>13</v>
          </cell>
          <cell r="E5381">
            <v>272.66000000000003</v>
          </cell>
          <cell r="F5381">
            <v>23.700446153846201</v>
          </cell>
        </row>
        <row r="5382">
          <cell r="B5382" t="str">
            <v>70582320</v>
          </cell>
          <cell r="C5382" t="str">
            <v>阿娜扎曼 杏子奶皮酥 210G</v>
          </cell>
          <cell r="D5382">
            <v>18</v>
          </cell>
          <cell r="E5382">
            <v>377.55</v>
          </cell>
          <cell r="F5382">
            <v>23.701750000000001</v>
          </cell>
        </row>
        <row r="5383">
          <cell r="B5383" t="str">
            <v>70582324</v>
          </cell>
          <cell r="C5383" t="str">
            <v>阿娜扎曼 玫瑰花奶皮酥 210G</v>
          </cell>
          <cell r="D5383">
            <v>12</v>
          </cell>
          <cell r="E5383">
            <v>251.7</v>
          </cell>
          <cell r="F5383">
            <v>23.701750000000001</v>
          </cell>
        </row>
        <row r="5384">
          <cell r="B5384" t="str">
            <v>70582327</v>
          </cell>
          <cell r="C5384" t="str">
            <v>阿娜扎曼 黑枸杞奶皮酥 210G</v>
          </cell>
          <cell r="D5384">
            <v>9</v>
          </cell>
          <cell r="E5384">
            <v>188.77</v>
          </cell>
          <cell r="F5384">
            <v>23.7011222222222</v>
          </cell>
        </row>
        <row r="5385">
          <cell r="B5385" t="str">
            <v>70582331</v>
          </cell>
          <cell r="C5385" t="str">
            <v>阿娜扎曼 蓝宝石提子奶皮酥 210G</v>
          </cell>
          <cell r="D5385">
            <v>13</v>
          </cell>
          <cell r="E5385">
            <v>272.67</v>
          </cell>
          <cell r="F5385">
            <v>23.701315384615398</v>
          </cell>
        </row>
        <row r="5386">
          <cell r="B5386" t="str">
            <v>70582334</v>
          </cell>
          <cell r="C5386" t="str">
            <v>阿娜扎曼 天山蟠桃奶皮酥 210G</v>
          </cell>
          <cell r="D5386">
            <v>11</v>
          </cell>
          <cell r="E5386">
            <v>230.74</v>
          </cell>
          <cell r="F5386">
            <v>23.703290909090899</v>
          </cell>
        </row>
        <row r="5387">
          <cell r="B5387" t="str">
            <v>70582339</v>
          </cell>
          <cell r="C5387" t="str">
            <v>阿娜扎曼 沙棘奶皮酥 210G</v>
          </cell>
          <cell r="D5387">
            <v>8</v>
          </cell>
          <cell r="E5387">
            <v>167.81</v>
          </cell>
          <cell r="F5387">
            <v>23.703162500000001</v>
          </cell>
        </row>
        <row r="5388">
          <cell r="B5388" t="str">
            <v>70582341</v>
          </cell>
          <cell r="C5388" t="str">
            <v>阿娜扎曼 无花果酥 420G</v>
          </cell>
          <cell r="D5388">
            <v>0</v>
          </cell>
          <cell r="E5388">
            <v>-0.01</v>
          </cell>
          <cell r="F5388" t="e">
            <v>#DIV/0!</v>
          </cell>
        </row>
        <row r="5389">
          <cell r="B5389" t="str">
            <v>70582399</v>
          </cell>
          <cell r="C5389" t="str">
            <v>阿娜扎曼 喀什帕哈那瓦糕点 210G</v>
          </cell>
          <cell r="D5389">
            <v>18</v>
          </cell>
          <cell r="E5389">
            <v>377.55</v>
          </cell>
          <cell r="F5389">
            <v>23.701750000000001</v>
          </cell>
        </row>
        <row r="5390">
          <cell r="B5390" t="str">
            <v>70582400</v>
          </cell>
          <cell r="C5390" t="str">
            <v>阿娜扎曼 沙棘酥 420G</v>
          </cell>
          <cell r="D5390">
            <v>1</v>
          </cell>
          <cell r="E5390">
            <v>20.97</v>
          </cell>
          <cell r="F5390">
            <v>23.696100000000001</v>
          </cell>
        </row>
        <row r="5391">
          <cell r="B5391" t="str">
            <v>70582401</v>
          </cell>
          <cell r="C5391" t="str">
            <v>阿娜扎曼 玫瑰酥 420G</v>
          </cell>
          <cell r="D5391">
            <v>0</v>
          </cell>
          <cell r="E5391">
            <v>0</v>
          </cell>
          <cell r="F5391" t="e">
            <v>#DIV/0!</v>
          </cell>
        </row>
        <row r="5392">
          <cell r="B5392" t="str">
            <v>70582402</v>
          </cell>
          <cell r="C5392" t="str">
            <v>阿娜扎曼 巴旦木酥 420G</v>
          </cell>
          <cell r="D5392">
            <v>1</v>
          </cell>
          <cell r="E5392">
            <v>20.99</v>
          </cell>
          <cell r="F5392">
            <v>23.718699999999998</v>
          </cell>
        </row>
        <row r="5393">
          <cell r="B5393" t="str">
            <v>70582403</v>
          </cell>
          <cell r="C5393" t="str">
            <v>阿娜扎曼 香妃酥 120G</v>
          </cell>
          <cell r="D5393">
            <v>5</v>
          </cell>
          <cell r="E5393">
            <v>92.92</v>
          </cell>
          <cell r="F5393">
            <v>20.999919999999999</v>
          </cell>
        </row>
        <row r="5394">
          <cell r="B5394" t="str">
            <v>70582404</v>
          </cell>
          <cell r="C5394" t="str">
            <v>阿娜扎曼 玫瑰花小馕饼 300G</v>
          </cell>
          <cell r="D5394">
            <v>6</v>
          </cell>
          <cell r="E5394">
            <v>111.51</v>
          </cell>
          <cell r="F5394">
            <v>21.001049999999999</v>
          </cell>
        </row>
        <row r="5395">
          <cell r="B5395" t="str">
            <v>70582405</v>
          </cell>
          <cell r="C5395" t="str">
            <v>阿娜扎曼 无花果小馕饼 300G</v>
          </cell>
          <cell r="D5395">
            <v>6</v>
          </cell>
          <cell r="E5395">
            <v>111.5</v>
          </cell>
          <cell r="F5395">
            <v>20.999166666666699</v>
          </cell>
        </row>
        <row r="5396">
          <cell r="B5396" t="str">
            <v>70582407</v>
          </cell>
          <cell r="C5396" t="str">
            <v>阿娜扎曼 牛乳小馕饼 300G</v>
          </cell>
          <cell r="D5396">
            <v>3</v>
          </cell>
          <cell r="E5396">
            <v>55.75</v>
          </cell>
          <cell r="F5396">
            <v>20.999166666666699</v>
          </cell>
        </row>
        <row r="5397">
          <cell r="B5397" t="str">
            <v>70582408</v>
          </cell>
          <cell r="C5397" t="str">
            <v>阿娜扎曼 新疆特色糕点骆驼奶饼 300G</v>
          </cell>
          <cell r="D5397">
            <v>0</v>
          </cell>
          <cell r="E5397">
            <v>0.01</v>
          </cell>
          <cell r="F5397" t="e">
            <v>#DIV/0!</v>
          </cell>
        </row>
        <row r="5398">
          <cell r="B5398" t="str">
            <v>70582418</v>
          </cell>
          <cell r="C5398" t="str">
            <v>安居尔 牛乳的小馕 480G</v>
          </cell>
          <cell r="D5398">
            <v>0</v>
          </cell>
          <cell r="E5398">
            <v>0</v>
          </cell>
          <cell r="F5398" t="e">
            <v>#DIV/0!</v>
          </cell>
        </row>
        <row r="5399">
          <cell r="B5399" t="str">
            <v>70582880</v>
          </cell>
          <cell r="C5399" t="str">
            <v>深田一彬 松塔千层酥 45G</v>
          </cell>
          <cell r="D5399">
            <v>34</v>
          </cell>
          <cell r="E5399">
            <v>122</v>
          </cell>
          <cell r="F5399">
            <v>4.0547058823529403</v>
          </cell>
        </row>
        <row r="5400">
          <cell r="B5400" t="str">
            <v>70583088</v>
          </cell>
          <cell r="C5400" t="str">
            <v>深田一彬 蝴蝶酥原味 46G</v>
          </cell>
          <cell r="D5400">
            <v>9</v>
          </cell>
          <cell r="E5400">
            <v>32.29</v>
          </cell>
          <cell r="F5400">
            <v>4.0541888888888904</v>
          </cell>
        </row>
        <row r="5401">
          <cell r="B5401" t="str">
            <v>70583089</v>
          </cell>
          <cell r="C5401" t="str">
            <v>深田一彬 巧克力味曲奇饼干可可味 60G</v>
          </cell>
          <cell r="D5401">
            <v>9</v>
          </cell>
          <cell r="E5401">
            <v>32.29</v>
          </cell>
          <cell r="F5401">
            <v>4.0541888888888904</v>
          </cell>
        </row>
        <row r="5402">
          <cell r="B5402" t="str">
            <v>70585149</v>
          </cell>
          <cell r="C5402" t="str">
            <v>盼盼 低GI无糖燕麦饼干 108G</v>
          </cell>
          <cell r="D5402">
            <v>2</v>
          </cell>
          <cell r="E5402">
            <v>8.5</v>
          </cell>
          <cell r="F5402">
            <v>4.8025000000000002</v>
          </cell>
        </row>
        <row r="5403">
          <cell r="B5403" t="str">
            <v>70594648</v>
          </cell>
          <cell r="C5403" t="str">
            <v>阿娜扎曼 无花果酥 200G</v>
          </cell>
          <cell r="D5403">
            <v>2</v>
          </cell>
          <cell r="E5403">
            <v>20.71</v>
          </cell>
          <cell r="F5403">
            <v>11.70115</v>
          </cell>
        </row>
        <row r="5404">
          <cell r="B5404" t="str">
            <v>70594651</v>
          </cell>
          <cell r="C5404" t="str">
            <v>阿娜扎曼 玫瑰酥 200G</v>
          </cell>
          <cell r="D5404">
            <v>3</v>
          </cell>
          <cell r="E5404">
            <v>31.07</v>
          </cell>
          <cell r="F5404">
            <v>11.7030333333333</v>
          </cell>
        </row>
        <row r="5405">
          <cell r="B5405" t="str">
            <v>70601971</v>
          </cell>
          <cell r="C5405" t="str">
            <v>广州酒家 黑松露腊肠苏打饼干 260G</v>
          </cell>
          <cell r="D5405">
            <v>38</v>
          </cell>
          <cell r="E5405">
            <v>376.74</v>
          </cell>
          <cell r="F5405">
            <v>11.2030578947368</v>
          </cell>
        </row>
        <row r="5406">
          <cell r="B5406" t="str">
            <v>70601972</v>
          </cell>
          <cell r="C5406" t="str">
            <v>广州酒家 黑松露腊肠苏打饼干 520G</v>
          </cell>
          <cell r="D5406">
            <v>14</v>
          </cell>
          <cell r="E5406">
            <v>272.58</v>
          </cell>
          <cell r="F5406">
            <v>22.001100000000001</v>
          </cell>
        </row>
        <row r="5407">
          <cell r="B5407" t="str">
            <v>70639568</v>
          </cell>
          <cell r="C5407" t="str">
            <v>MEMBER'S MARK 鲜牛乳饼干动物造型 1.2KG</v>
          </cell>
          <cell r="D5407">
            <v>157</v>
          </cell>
          <cell r="E5407">
            <v>260.62</v>
          </cell>
          <cell r="F5407">
            <v>1.8757999999999999</v>
          </cell>
        </row>
        <row r="5408">
          <cell r="B5408" t="str">
            <v>70639569</v>
          </cell>
          <cell r="C5408" t="str">
            <v>MEMBER'S MARK 抹茶牛乳绿豆沙 180G*12</v>
          </cell>
          <cell r="D5408">
            <v>10</v>
          </cell>
          <cell r="E5408">
            <v>749</v>
          </cell>
          <cell r="F5408">
            <v>84.637</v>
          </cell>
        </row>
        <row r="5409">
          <cell r="B5409" t="str">
            <v>70639594</v>
          </cell>
          <cell r="C5409" t="str">
            <v>美心生活 抹茶黄油迷你酥饼糕点 403G</v>
          </cell>
          <cell r="D5409">
            <v>3</v>
          </cell>
          <cell r="E5409">
            <v>209.7</v>
          </cell>
          <cell r="F5409">
            <v>78.986999999999995</v>
          </cell>
        </row>
        <row r="5410">
          <cell r="B5410" t="str">
            <v>70640106</v>
          </cell>
          <cell r="C5410" t="str">
            <v>煌记 蔓越莓坚果燕麦曲奇 52G</v>
          </cell>
          <cell r="D5410">
            <v>41</v>
          </cell>
          <cell r="E5410">
            <v>108.96</v>
          </cell>
          <cell r="F5410">
            <v>3.0030439024390199</v>
          </cell>
        </row>
        <row r="5411">
          <cell r="B5411" t="str">
            <v>70640110</v>
          </cell>
          <cell r="C5411" t="str">
            <v>亿智 IP高钙牛乳饼 80G</v>
          </cell>
          <cell r="D5411">
            <v>3</v>
          </cell>
          <cell r="E5411">
            <v>13.29</v>
          </cell>
          <cell r="F5411">
            <v>5.0058999999999996</v>
          </cell>
        </row>
        <row r="5412">
          <cell r="B5412" t="str">
            <v>70640120</v>
          </cell>
          <cell r="C5412" t="str">
            <v>煌记 黑巧克力坚果燕麦曲奇 52G</v>
          </cell>
          <cell r="D5412">
            <v>17</v>
          </cell>
          <cell r="E5412">
            <v>45.21</v>
          </cell>
          <cell r="F5412">
            <v>3.0051352941176499</v>
          </cell>
        </row>
        <row r="5413">
          <cell r="B5413" t="str">
            <v>70640128</v>
          </cell>
          <cell r="C5413" t="str">
            <v>煌记 榛子花生酱夹心薄饼干 52G</v>
          </cell>
          <cell r="D5413">
            <v>44</v>
          </cell>
          <cell r="E5413">
            <v>116.95</v>
          </cell>
          <cell r="F5413">
            <v>3.0034886363636399</v>
          </cell>
        </row>
        <row r="5414">
          <cell r="B5414" t="str">
            <v>70640134</v>
          </cell>
          <cell r="C5414" t="str">
            <v>百草味 甜辣小麻花 120G</v>
          </cell>
          <cell r="D5414">
            <v>2</v>
          </cell>
          <cell r="E5414">
            <v>7.44</v>
          </cell>
          <cell r="F5414">
            <v>4.2035999999999998</v>
          </cell>
        </row>
        <row r="5415">
          <cell r="B5415" t="str">
            <v>70640143</v>
          </cell>
          <cell r="C5415" t="str">
            <v>咔啰卡曼 三色藜麦奇亚籽威化饼干（茉莉雪芽味） 208G</v>
          </cell>
          <cell r="D5415">
            <v>8</v>
          </cell>
          <cell r="E5415">
            <v>60.21</v>
          </cell>
          <cell r="F5415">
            <v>8.5046625000000002</v>
          </cell>
        </row>
        <row r="5416">
          <cell r="B5416" t="str">
            <v>70640151</v>
          </cell>
          <cell r="C5416" t="str">
            <v>格力高 百力滋复古黄油味装饰饼干 41G</v>
          </cell>
          <cell r="D5416">
            <v>10</v>
          </cell>
          <cell r="E5416">
            <v>37.19</v>
          </cell>
          <cell r="F5416">
            <v>4.2024699999999999</v>
          </cell>
        </row>
        <row r="5417">
          <cell r="B5417" t="str">
            <v>70640156</v>
          </cell>
          <cell r="C5417" t="str">
            <v>红谷林 小石子饼原味 100G</v>
          </cell>
          <cell r="D5417">
            <v>65</v>
          </cell>
          <cell r="E5417">
            <v>189.82</v>
          </cell>
          <cell r="F5417">
            <v>3.2999476923076898</v>
          </cell>
        </row>
        <row r="5418">
          <cell r="B5418" t="str">
            <v>70640163</v>
          </cell>
          <cell r="C5418" t="str">
            <v>格力高 百力滋海盐柠檬味装饰饼干 41G</v>
          </cell>
          <cell r="D5418">
            <v>2</v>
          </cell>
          <cell r="E5418">
            <v>7.44</v>
          </cell>
          <cell r="F5418">
            <v>4.2035999999999998</v>
          </cell>
        </row>
        <row r="5419">
          <cell r="B5419" t="str">
            <v>70640168</v>
          </cell>
          <cell r="C5419" t="str">
            <v>红谷林 小石子饼麻辣味 100G</v>
          </cell>
          <cell r="D5419">
            <v>58</v>
          </cell>
          <cell r="E5419">
            <v>169.42</v>
          </cell>
          <cell r="F5419">
            <v>3.3007689655172401</v>
          </cell>
        </row>
        <row r="5420">
          <cell r="B5420" t="str">
            <v>70640174</v>
          </cell>
          <cell r="C5420" t="str">
            <v>小王子 鲜贝酥香葱味 72G</v>
          </cell>
          <cell r="D5420">
            <v>2</v>
          </cell>
          <cell r="E5420">
            <v>4.78</v>
          </cell>
          <cell r="F5420">
            <v>2.7006999999999999</v>
          </cell>
        </row>
        <row r="5421">
          <cell r="B5421" t="str">
            <v>70640181</v>
          </cell>
          <cell r="C5421" t="str">
            <v>红谷林 小石子饼番茄味 100G</v>
          </cell>
          <cell r="D5421">
            <v>15</v>
          </cell>
          <cell r="E5421">
            <v>43.81</v>
          </cell>
          <cell r="F5421">
            <v>3.3003533333333301</v>
          </cell>
        </row>
        <row r="5422">
          <cell r="B5422" t="str">
            <v>70640191</v>
          </cell>
          <cell r="C5422" t="str">
            <v>红谷林 小石子饼海苔味 100G</v>
          </cell>
          <cell r="D5422">
            <v>71</v>
          </cell>
          <cell r="E5422">
            <v>207.37</v>
          </cell>
          <cell r="F5422">
            <v>3.3003957746478898</v>
          </cell>
        </row>
        <row r="5423">
          <cell r="B5423" t="str">
            <v>70640246</v>
          </cell>
          <cell r="C5423" t="str">
            <v>咔啰卡曼 三色藜麦奇亚籽威化饼干（豆乳味 ） 208G</v>
          </cell>
          <cell r="D5423">
            <v>8</v>
          </cell>
          <cell r="E5423">
            <v>61.14</v>
          </cell>
          <cell r="F5423">
            <v>8.6360250000000001</v>
          </cell>
        </row>
        <row r="5424">
          <cell r="B5424" t="str">
            <v>70640273</v>
          </cell>
          <cell r="C5424" t="str">
            <v>徐福记 沙琪玛香酥芝麻味袋装 100G</v>
          </cell>
          <cell r="D5424">
            <v>723</v>
          </cell>
          <cell r="E5424">
            <v>2249.9899999999998</v>
          </cell>
          <cell r="F5424">
            <v>3.5165818810511702</v>
          </cell>
        </row>
        <row r="5425">
          <cell r="B5425" t="str">
            <v>70640274</v>
          </cell>
          <cell r="C5425" t="str">
            <v>徐福记 沙琪玛香酥鸡蛋味袋装 100G</v>
          </cell>
          <cell r="D5425">
            <v>44</v>
          </cell>
          <cell r="E5425">
            <v>136.36000000000001</v>
          </cell>
          <cell r="F5425">
            <v>3.5019727272727299</v>
          </cell>
        </row>
        <row r="5426">
          <cell r="B5426" t="str">
            <v>70640296</v>
          </cell>
          <cell r="C5426" t="str">
            <v>阿孔特 牌牛奶味威化饼干 408G</v>
          </cell>
          <cell r="D5426">
            <v>4</v>
          </cell>
          <cell r="E5426">
            <v>83.19</v>
          </cell>
          <cell r="F5426">
            <v>23.501175</v>
          </cell>
        </row>
        <row r="5427">
          <cell r="B5427" t="str">
            <v>70640432</v>
          </cell>
          <cell r="C5427" t="str">
            <v>优乐麦 干烙蛋糕恋奶味 500G</v>
          </cell>
          <cell r="D5427">
            <v>5</v>
          </cell>
          <cell r="E5427">
            <v>58.2</v>
          </cell>
          <cell r="F5427">
            <v>13.1532</v>
          </cell>
        </row>
        <row r="5428">
          <cell r="B5428" t="str">
            <v>70640433</v>
          </cell>
          <cell r="C5428" t="str">
            <v>优乐麦 肉桂拿铁风味饼干 96G</v>
          </cell>
          <cell r="D5428">
            <v>5</v>
          </cell>
          <cell r="E5428">
            <v>18.600000000000001</v>
          </cell>
          <cell r="F5428">
            <v>4.2035999999999998</v>
          </cell>
        </row>
        <row r="5429">
          <cell r="B5429" t="str">
            <v>70640435</v>
          </cell>
          <cell r="C5429" t="str">
            <v>优乐麦 观音拿铁风味饼干 96G</v>
          </cell>
          <cell r="D5429">
            <v>4</v>
          </cell>
          <cell r="E5429">
            <v>14.88</v>
          </cell>
          <cell r="F5429">
            <v>4.2035999999999998</v>
          </cell>
        </row>
        <row r="5430">
          <cell r="B5430" t="str">
            <v>70640451</v>
          </cell>
          <cell r="C5430" t="str">
            <v>法丽兹 茉莉抹茶曲奇 54.6G</v>
          </cell>
          <cell r="D5430">
            <v>2462</v>
          </cell>
          <cell r="E5430">
            <v>5913.34</v>
          </cell>
          <cell r="F5430">
            <v>2.7140837530463</v>
          </cell>
        </row>
        <row r="5431">
          <cell r="B5431" t="str">
            <v>70640496</v>
          </cell>
          <cell r="C5431" t="str">
            <v>好丽友 燕麦曲奇饼干燕麦提子味 85G</v>
          </cell>
          <cell r="D5431">
            <v>81</v>
          </cell>
          <cell r="E5431">
            <v>493.83</v>
          </cell>
          <cell r="F5431">
            <v>6.8892333333333298</v>
          </cell>
        </row>
        <row r="5432">
          <cell r="B5432" t="str">
            <v>70640497</v>
          </cell>
          <cell r="C5432" t="str">
            <v>好丽友 燕麦曲奇饼干燕麦巧克力味 85G</v>
          </cell>
          <cell r="D5432">
            <v>53</v>
          </cell>
          <cell r="E5432">
            <v>321.91000000000003</v>
          </cell>
          <cell r="F5432">
            <v>6.8633641509433998</v>
          </cell>
        </row>
        <row r="5433">
          <cell r="B5433" t="str">
            <v>70640521</v>
          </cell>
          <cell r="C5433" t="str">
            <v>法丽兹 臻采原味牛肉馅酥脆饼干 96G</v>
          </cell>
          <cell r="D5433">
            <v>737</v>
          </cell>
          <cell r="E5433">
            <v>3057.54</v>
          </cell>
          <cell r="F5433">
            <v>4.6879514246947096</v>
          </cell>
        </row>
        <row r="5434">
          <cell r="B5434" t="str">
            <v>70640559</v>
          </cell>
          <cell r="C5434" t="str">
            <v>煌记 金蒜牛肉苏打饼干 64G</v>
          </cell>
          <cell r="D5434">
            <v>20</v>
          </cell>
          <cell r="E5434">
            <v>53.16</v>
          </cell>
          <cell r="F5434">
            <v>3.0035400000000001</v>
          </cell>
        </row>
        <row r="5435">
          <cell r="B5435" t="str">
            <v>70640560</v>
          </cell>
          <cell r="C5435" t="str">
            <v>煌记 青柠三文鱼苏打饼干 64G</v>
          </cell>
          <cell r="D5435">
            <v>26</v>
          </cell>
          <cell r="E5435">
            <v>69.06</v>
          </cell>
          <cell r="F5435">
            <v>3.0014538461538498</v>
          </cell>
        </row>
        <row r="5436">
          <cell r="B5436" t="str">
            <v>70640561</v>
          </cell>
          <cell r="C5436" t="str">
            <v>煌记 黑松露火腿苏打饼干(藜麦奇亚籽风味） 64G</v>
          </cell>
          <cell r="D5436">
            <v>4</v>
          </cell>
          <cell r="E5436">
            <v>10.64</v>
          </cell>
          <cell r="F5436">
            <v>3.0057999999999998</v>
          </cell>
        </row>
        <row r="5437">
          <cell r="B5437" t="str">
            <v>70640562</v>
          </cell>
          <cell r="C5437" t="str">
            <v>煌记 青柠鳕鱼馅饼干 45G</v>
          </cell>
          <cell r="D5437">
            <v>11</v>
          </cell>
          <cell r="E5437">
            <v>29.22</v>
          </cell>
          <cell r="F5437">
            <v>3.0016909090909101</v>
          </cell>
        </row>
        <row r="5438">
          <cell r="B5438" t="str">
            <v>70640563</v>
          </cell>
          <cell r="C5438" t="str">
            <v>煌记 香菜牛肉馅饼干 45G</v>
          </cell>
          <cell r="D5438">
            <v>3</v>
          </cell>
          <cell r="E5438">
            <v>7.98</v>
          </cell>
          <cell r="F5438">
            <v>3.0057999999999998</v>
          </cell>
        </row>
        <row r="5439">
          <cell r="B5439" t="str">
            <v>70640564</v>
          </cell>
          <cell r="C5439" t="str">
            <v>莎布蕾 豆豆曲奇-蓝莓乳酸菌味（盒装) 96G</v>
          </cell>
          <cell r="D5439">
            <v>11</v>
          </cell>
          <cell r="E5439">
            <v>64.790000000000006</v>
          </cell>
          <cell r="F5439">
            <v>6.6557000000000004</v>
          </cell>
        </row>
        <row r="5440">
          <cell r="B5440" t="str">
            <v>70640565</v>
          </cell>
          <cell r="C5440" t="str">
            <v>莎布蕾 豆豆曲奇-粒粒巧克力味（盒装) 96G</v>
          </cell>
          <cell r="D5440">
            <v>1</v>
          </cell>
          <cell r="E5440">
            <v>5.89</v>
          </cell>
          <cell r="F5440">
            <v>6.6557000000000004</v>
          </cell>
        </row>
        <row r="5441">
          <cell r="B5441" t="str">
            <v>70640566</v>
          </cell>
          <cell r="C5441" t="str">
            <v>莎布蕾 豆豆曲奇-和风抹茶味（盒装) 96G</v>
          </cell>
          <cell r="D5441">
            <v>32</v>
          </cell>
          <cell r="E5441">
            <v>188.47</v>
          </cell>
          <cell r="F5441">
            <v>6.6553468750000002</v>
          </cell>
        </row>
        <row r="5442">
          <cell r="B5442" t="str">
            <v>70640895</v>
          </cell>
          <cell r="C5442" t="str">
            <v>雀巢 黄油鸡蛋味酥脆饼干 46G</v>
          </cell>
          <cell r="D5442">
            <v>466</v>
          </cell>
          <cell r="E5442">
            <v>1538.44</v>
          </cell>
          <cell r="F5442">
            <v>3.7305519313304698</v>
          </cell>
        </row>
        <row r="5443">
          <cell r="B5443" t="str">
            <v>70640910</v>
          </cell>
          <cell r="C5443" t="str">
            <v>雀巢 焦糖味酥脆饼干 46G</v>
          </cell>
          <cell r="D5443">
            <v>53</v>
          </cell>
          <cell r="E5443">
            <v>175.52</v>
          </cell>
          <cell r="F5443">
            <v>3.7422188679245298</v>
          </cell>
        </row>
        <row r="5444">
          <cell r="B5444" t="str">
            <v>70649256</v>
          </cell>
          <cell r="C5444" t="str">
            <v>谷焙奇 厚蛋沙琪玛（芝麻味）   42G</v>
          </cell>
          <cell r="D5444">
            <v>6934</v>
          </cell>
          <cell r="E5444">
            <v>4920.74</v>
          </cell>
          <cell r="F5444">
            <v>0.80190888376117697</v>
          </cell>
        </row>
        <row r="5445">
          <cell r="B5445" t="str">
            <v>70649740</v>
          </cell>
          <cell r="C5445" t="str">
            <v>谷焙奇 厚蛋沙琪玛（黑糖味）  42G</v>
          </cell>
          <cell r="D5445">
            <v>6219</v>
          </cell>
          <cell r="E5445">
            <v>4418.95</v>
          </cell>
          <cell r="F5445">
            <v>0.80292868628396796</v>
          </cell>
        </row>
        <row r="5446">
          <cell r="B5446" t="str">
            <v>70649741</v>
          </cell>
          <cell r="C5446" t="str">
            <v>谷焙奇 厚蛋沙琪玛（红提味）  42G</v>
          </cell>
          <cell r="D5446">
            <v>6255</v>
          </cell>
          <cell r="E5446">
            <v>4440.87</v>
          </cell>
          <cell r="F5446">
            <v>0.80226748201438802</v>
          </cell>
        </row>
        <row r="5447">
          <cell r="B5447" t="str">
            <v>70657966</v>
          </cell>
          <cell r="C5447" t="str">
            <v>奥利奥 薄脆低糖黑芝麻味 62G</v>
          </cell>
          <cell r="D5447">
            <v>1326</v>
          </cell>
          <cell r="E5447">
            <v>4748.26</v>
          </cell>
          <cell r="F5447">
            <v>4.0464055806938202</v>
          </cell>
        </row>
        <row r="5448">
          <cell r="B5448" t="str">
            <v>70657976</v>
          </cell>
          <cell r="C5448" t="str">
            <v>太平 苏打欧芹鲜蒜 100G</v>
          </cell>
          <cell r="D5448">
            <v>120</v>
          </cell>
          <cell r="E5448">
            <v>347.27</v>
          </cell>
          <cell r="F5448">
            <v>3.2701258333333301</v>
          </cell>
        </row>
        <row r="5449">
          <cell r="B5449" t="str">
            <v>70657981</v>
          </cell>
          <cell r="C5449" t="str">
            <v>太平 苏打黑胡椒和牛 100G</v>
          </cell>
          <cell r="D5449">
            <v>175</v>
          </cell>
          <cell r="E5449">
            <v>533.96</v>
          </cell>
          <cell r="F5449">
            <v>3.4478559999999998</v>
          </cell>
        </row>
        <row r="5450">
          <cell r="B5450" t="str">
            <v>70657987</v>
          </cell>
          <cell r="C5450" t="str">
            <v>奥利奥 薄脆0糖黑巧味 62G</v>
          </cell>
          <cell r="D5450">
            <v>927</v>
          </cell>
          <cell r="E5450">
            <v>3933.59</v>
          </cell>
          <cell r="F5450">
            <v>4.7949910463861896</v>
          </cell>
        </row>
        <row r="5451">
          <cell r="B5451" t="str">
            <v>70668914</v>
          </cell>
          <cell r="C5451" t="str">
            <v>MM 每日坚果 30克*30包/箱</v>
          </cell>
          <cell r="D5451">
            <v>9</v>
          </cell>
          <cell r="E5451">
            <v>719.1</v>
          </cell>
          <cell r="F5451">
            <v>90.287000000000006</v>
          </cell>
        </row>
        <row r="5452">
          <cell r="B5452" t="str">
            <v>70679141</v>
          </cell>
          <cell r="C5452" t="str">
            <v>南达 辣皮子牛奶馕 800G/箱</v>
          </cell>
          <cell r="D5452">
            <v>12</v>
          </cell>
          <cell r="E5452">
            <v>318.60000000000002</v>
          </cell>
          <cell r="F5452">
            <v>30.0015</v>
          </cell>
        </row>
        <row r="5453">
          <cell r="B5453" t="str">
            <v>70679217</v>
          </cell>
          <cell r="C5453" t="str">
            <v>南达 西梅牛奶馕 800G/箱</v>
          </cell>
          <cell r="D5453">
            <v>25</v>
          </cell>
          <cell r="E5453">
            <v>663.74</v>
          </cell>
          <cell r="F5453">
            <v>30.001048000000001</v>
          </cell>
        </row>
        <row r="5454">
          <cell r="B5454" t="str">
            <v>70680345</v>
          </cell>
          <cell r="C5454" t="str">
            <v>春光 椰乡榴莲酥卷 150G</v>
          </cell>
          <cell r="D5454">
            <v>49</v>
          </cell>
          <cell r="E5454">
            <v>559.45000000000005</v>
          </cell>
          <cell r="F5454">
            <v>12.9016020408163</v>
          </cell>
        </row>
        <row r="5455">
          <cell r="B5455" t="str">
            <v>70680346</v>
          </cell>
          <cell r="C5455" t="str">
            <v>春光 小椰块（海盐味） 128G</v>
          </cell>
          <cell r="D5455">
            <v>5</v>
          </cell>
          <cell r="E5455">
            <v>79.650000000000006</v>
          </cell>
          <cell r="F5455">
            <v>18.000900000000001</v>
          </cell>
        </row>
        <row r="5456">
          <cell r="B5456" t="str">
            <v>70680348</v>
          </cell>
          <cell r="C5456" t="str">
            <v>红谷林 空空脆小饼干（挪威芥末鳕鱼味) 68G</v>
          </cell>
          <cell r="D5456">
            <v>272</v>
          </cell>
          <cell r="E5456">
            <v>1035.5</v>
          </cell>
          <cell r="F5456">
            <v>4.3018933823529402</v>
          </cell>
        </row>
        <row r="5457">
          <cell r="B5457" t="str">
            <v>70680349</v>
          </cell>
          <cell r="C5457" t="str">
            <v>春光 小椰块（海盐味） 60G</v>
          </cell>
          <cell r="D5457">
            <v>133</v>
          </cell>
          <cell r="E5457">
            <v>1062.01</v>
          </cell>
          <cell r="F5457">
            <v>9.02309248120301</v>
          </cell>
        </row>
        <row r="5458">
          <cell r="B5458" t="str">
            <v>70680350</v>
          </cell>
          <cell r="C5458" t="str">
            <v>红谷林 无糖山药猴头菇饼干 208G</v>
          </cell>
          <cell r="D5458">
            <v>134</v>
          </cell>
          <cell r="E5458">
            <v>925.13</v>
          </cell>
          <cell r="F5458">
            <v>7.8014694029850702</v>
          </cell>
        </row>
        <row r="5459">
          <cell r="B5459" t="str">
            <v>70680351</v>
          </cell>
          <cell r="C5459" t="str">
            <v>红谷林 (原味)黄油曲奇 100G</v>
          </cell>
          <cell r="D5459">
            <v>155</v>
          </cell>
          <cell r="E5459">
            <v>1015.9</v>
          </cell>
          <cell r="F5459">
            <v>7.40623870967742</v>
          </cell>
        </row>
        <row r="5460">
          <cell r="B5460" t="str">
            <v>70680353</v>
          </cell>
          <cell r="C5460" t="str">
            <v>红谷林 (巧克力味)黄油曲奇 100G</v>
          </cell>
          <cell r="D5460">
            <v>170</v>
          </cell>
          <cell r="E5460">
            <v>1119.44</v>
          </cell>
          <cell r="F5460">
            <v>7.4409835294117697</v>
          </cell>
        </row>
        <row r="5461">
          <cell r="B5461" t="str">
            <v>70680355</v>
          </cell>
          <cell r="C5461" t="str">
            <v>阿尔曼 金坚果花生酥 88G</v>
          </cell>
          <cell r="D5461">
            <v>718</v>
          </cell>
          <cell r="E5461">
            <v>2868.13</v>
          </cell>
          <cell r="F5461">
            <v>4.5139093314763201</v>
          </cell>
        </row>
        <row r="5462">
          <cell r="B5462" t="str">
            <v>70680356</v>
          </cell>
          <cell r="C5462" t="str">
            <v>阿尔曼 金坚果南瓜子酥 88G</v>
          </cell>
          <cell r="D5462">
            <v>761</v>
          </cell>
          <cell r="E5462">
            <v>3367.83</v>
          </cell>
          <cell r="F5462">
            <v>5.0008513797634704</v>
          </cell>
        </row>
        <row r="5463">
          <cell r="B5463" t="str">
            <v>70680357</v>
          </cell>
          <cell r="C5463" t="str">
            <v>阿尔曼 金坚果坚果酥 88G</v>
          </cell>
          <cell r="D5463">
            <v>522</v>
          </cell>
          <cell r="E5463">
            <v>2584.44</v>
          </cell>
          <cell r="F5463">
            <v>5.5946689655172399</v>
          </cell>
        </row>
        <row r="5464">
          <cell r="B5464" t="str">
            <v>70680824</v>
          </cell>
          <cell r="C5464" t="str">
            <v>红谷林 空空脆小饼干（安格斯照烧牛肉味) 68G</v>
          </cell>
          <cell r="D5464">
            <v>279</v>
          </cell>
          <cell r="E5464">
            <v>1062.07</v>
          </cell>
          <cell r="F5464">
            <v>4.30157383512545</v>
          </cell>
        </row>
        <row r="5465">
          <cell r="B5465" t="str">
            <v>70680825</v>
          </cell>
          <cell r="C5465" t="str">
            <v>春光 椰子脆片(海盐味） 60G</v>
          </cell>
          <cell r="D5465">
            <v>238</v>
          </cell>
          <cell r="E5465">
            <v>1390.15</v>
          </cell>
          <cell r="F5465">
            <v>6.6002920168067201</v>
          </cell>
        </row>
        <row r="5466">
          <cell r="B5466" t="str">
            <v>70681303</v>
          </cell>
          <cell r="C5466" t="str">
            <v>MM 泸溪河坚果桃酥 28×30G</v>
          </cell>
          <cell r="D5466">
            <v>116</v>
          </cell>
          <cell r="E5466">
            <v>5672.4</v>
          </cell>
          <cell r="F5466">
            <v>55.256999999999998</v>
          </cell>
        </row>
        <row r="5467">
          <cell r="B5467" t="str">
            <v>70681959</v>
          </cell>
          <cell r="C5467" t="str">
            <v>盖能 喜提蔓越莓燕麦曲奇饼干 1180G</v>
          </cell>
          <cell r="D5467">
            <v>30</v>
          </cell>
          <cell r="E5467">
            <v>860.22</v>
          </cell>
          <cell r="F5467">
            <v>32.401620000000001</v>
          </cell>
        </row>
        <row r="5468">
          <cell r="B5468" t="str">
            <v>70681960</v>
          </cell>
          <cell r="C5468" t="str">
            <v>盖能 喜乐全开蔓越莓燕麦曲奇饼干 1180G</v>
          </cell>
          <cell r="D5468">
            <v>44</v>
          </cell>
          <cell r="E5468">
            <v>1261.6600000000001</v>
          </cell>
          <cell r="F5468">
            <v>32.401722727272698</v>
          </cell>
        </row>
        <row r="5469">
          <cell r="B5469" t="str">
            <v>70681961</v>
          </cell>
          <cell r="C5469" t="str">
            <v>盖能 猴福气九制陈皮味苏打饼干 1180G</v>
          </cell>
          <cell r="D5469">
            <v>46</v>
          </cell>
          <cell r="E5469">
            <v>1319</v>
          </cell>
          <cell r="F5469">
            <v>32.401521739130402</v>
          </cell>
        </row>
        <row r="5470">
          <cell r="B5470" t="str">
            <v>70681963</v>
          </cell>
          <cell r="C5470" t="str">
            <v>臻味 上新了故宫宫廷菁点·八喜临门礼盒 640G</v>
          </cell>
          <cell r="D5470">
            <v>12</v>
          </cell>
          <cell r="E5470">
            <v>672.86</v>
          </cell>
          <cell r="F5470">
            <v>63.360983333333301</v>
          </cell>
        </row>
        <row r="5471">
          <cell r="B5471" t="str">
            <v>70681964</v>
          </cell>
          <cell r="C5471" t="str">
            <v>迪士尼LOTSO 什锦礼盒 488G</v>
          </cell>
          <cell r="D5471">
            <v>14</v>
          </cell>
          <cell r="E5471">
            <v>623.55999999999995</v>
          </cell>
          <cell r="F5471">
            <v>50.330199999999998</v>
          </cell>
        </row>
        <row r="5472">
          <cell r="B5472" t="str">
            <v>70681967</v>
          </cell>
          <cell r="C5472" t="str">
            <v>夏十一 龙井茉莉茶萃沙琪玛 1.25KG</v>
          </cell>
          <cell r="D5472">
            <v>40</v>
          </cell>
          <cell r="E5472">
            <v>981.28</v>
          </cell>
          <cell r="F5472">
            <v>27.721160000000001</v>
          </cell>
        </row>
        <row r="5473">
          <cell r="B5473" t="str">
            <v>70682046</v>
          </cell>
          <cell r="C5473" t="str">
            <v>盖能 上上签坚果桃酥 1180G</v>
          </cell>
          <cell r="D5473">
            <v>25</v>
          </cell>
          <cell r="E5473">
            <v>716.85</v>
          </cell>
          <cell r="F5473">
            <v>32.401620000000001</v>
          </cell>
        </row>
        <row r="5474">
          <cell r="B5474" t="str">
            <v>70682047</v>
          </cell>
          <cell r="C5474" t="str">
            <v>盖能 吉祥拉满黄油曲奇 1180G</v>
          </cell>
          <cell r="D5474">
            <v>52</v>
          </cell>
          <cell r="E5474">
            <v>1491.06</v>
          </cell>
          <cell r="F5474">
            <v>32.4018807692308</v>
          </cell>
        </row>
        <row r="5475">
          <cell r="B5475" t="str">
            <v>70682048</v>
          </cell>
          <cell r="C5475" t="str">
            <v>煌记 祥运宝盒（玫瑰红茶薄脆饼干） 274G</v>
          </cell>
          <cell r="D5475">
            <v>575</v>
          </cell>
          <cell r="E5475">
            <v>7313.66</v>
          </cell>
          <cell r="F5475">
            <v>14.372931826086999</v>
          </cell>
        </row>
        <row r="5476">
          <cell r="B5476" t="str">
            <v>70682049</v>
          </cell>
          <cell r="C5476" t="str">
            <v>迪斯尼LOTSO 好运连连 515G</v>
          </cell>
          <cell r="D5476">
            <v>48</v>
          </cell>
          <cell r="E5476">
            <v>2143.12</v>
          </cell>
          <cell r="F5476">
            <v>50.4526166666667</v>
          </cell>
        </row>
        <row r="5477">
          <cell r="B5477" t="str">
            <v>70682050</v>
          </cell>
          <cell r="C5477" t="str">
            <v>煌记 香港吉吉如意（薄脆饼干礼盒） 600G</v>
          </cell>
          <cell r="D5477">
            <v>89</v>
          </cell>
          <cell r="E5477">
            <v>3915.67</v>
          </cell>
          <cell r="F5477">
            <v>49.715810112359499</v>
          </cell>
        </row>
        <row r="5478">
          <cell r="B5478" t="str">
            <v>70682052</v>
          </cell>
          <cell r="C5478" t="str">
            <v>夏十一 青提茉莉茶萃沙琪玛 1.25KG</v>
          </cell>
          <cell r="D5478">
            <v>49</v>
          </cell>
          <cell r="E5478">
            <v>1202.03</v>
          </cell>
          <cell r="F5478">
            <v>27.7202836734694</v>
          </cell>
        </row>
        <row r="5479">
          <cell r="B5479" t="str">
            <v>70682880</v>
          </cell>
          <cell r="C5479" t="str">
            <v>米多奇 五黑雪饼 220G</v>
          </cell>
          <cell r="D5479">
            <v>10</v>
          </cell>
          <cell r="E5479">
            <v>79.819999999999993</v>
          </cell>
          <cell r="F5479">
            <v>9.01966</v>
          </cell>
        </row>
        <row r="5480">
          <cell r="B5480" t="str">
            <v>70687014</v>
          </cell>
          <cell r="C5480" t="str">
            <v>MM 港式什锦礼盒 1×650克</v>
          </cell>
          <cell r="D5480">
            <v>8</v>
          </cell>
          <cell r="E5480">
            <v>799.2</v>
          </cell>
          <cell r="F5480">
            <v>112.887</v>
          </cell>
        </row>
        <row r="5481">
          <cell r="B5481" t="str">
            <v>70687016</v>
          </cell>
          <cell r="C5481" t="str">
            <v>MM 丹麦黄油曲奇饼干 1.6KG</v>
          </cell>
          <cell r="D5481">
            <v>4</v>
          </cell>
          <cell r="E5481">
            <v>439.6</v>
          </cell>
          <cell r="F5481">
            <v>124.187</v>
          </cell>
        </row>
        <row r="5482">
          <cell r="B5482" t="str">
            <v>70687019</v>
          </cell>
          <cell r="C5482" t="str">
            <v>MM 莱家薄片混合味威化饼干 1×1250G</v>
          </cell>
          <cell r="D5482">
            <v>9</v>
          </cell>
          <cell r="E5482">
            <v>1169.0999999999999</v>
          </cell>
          <cell r="F5482">
            <v>146.78700000000001</v>
          </cell>
        </row>
        <row r="5483">
          <cell r="B5483" t="str">
            <v>70687115</v>
          </cell>
          <cell r="C5483" t="str">
            <v>MM 英式黄油饼干 1×1000G</v>
          </cell>
          <cell r="D5483">
            <v>17</v>
          </cell>
          <cell r="E5483">
            <v>2361.3000000000002</v>
          </cell>
          <cell r="F5483">
            <v>156.95699999999999</v>
          </cell>
        </row>
        <row r="5484">
          <cell r="B5484" t="str">
            <v>70710902</v>
          </cell>
          <cell r="C5484" t="str">
            <v>EDO PACK牛肉芥末味苏打饼干 252G</v>
          </cell>
          <cell r="D5484">
            <v>23</v>
          </cell>
          <cell r="E5484">
            <v>193.42</v>
          </cell>
          <cell r="F5484">
            <v>9.5028086956521705</v>
          </cell>
        </row>
        <row r="5485">
          <cell r="B5485" t="str">
            <v>70710903</v>
          </cell>
          <cell r="C5485" t="str">
            <v>每日生机 奶盐梳打饼 540G</v>
          </cell>
          <cell r="D5485">
            <v>35</v>
          </cell>
          <cell r="E5485">
            <v>487.86</v>
          </cell>
          <cell r="F5485">
            <v>15.750908571428599</v>
          </cell>
        </row>
        <row r="5486">
          <cell r="B5486" t="str">
            <v>70710904</v>
          </cell>
          <cell r="C5486" t="str">
            <v>EDO 3＋2S香蕉牛奶夹心 120G</v>
          </cell>
          <cell r="D5486">
            <v>16</v>
          </cell>
          <cell r="E5486">
            <v>66.56</v>
          </cell>
          <cell r="F5486">
            <v>4.7008000000000001</v>
          </cell>
        </row>
        <row r="5487">
          <cell r="B5487" t="str">
            <v>70710912</v>
          </cell>
          <cell r="C5487" t="str">
            <v>爱优新生 12种蔬菜薄脆饼干(鲜奶蔬菜味) 208G</v>
          </cell>
          <cell r="D5487">
            <v>26</v>
          </cell>
          <cell r="E5487">
            <v>211.91</v>
          </cell>
          <cell r="F5487">
            <v>9.2099346153846096</v>
          </cell>
        </row>
        <row r="5488">
          <cell r="B5488" t="str">
            <v>70710915</v>
          </cell>
          <cell r="C5488" t="str">
            <v>超有味 花生酱夹心薄饼 128G</v>
          </cell>
          <cell r="D5488">
            <v>41</v>
          </cell>
          <cell r="E5488">
            <v>272.93</v>
          </cell>
          <cell r="F5488">
            <v>7.5222170731707303</v>
          </cell>
        </row>
        <row r="5489">
          <cell r="B5489" t="str">
            <v>70710936</v>
          </cell>
          <cell r="C5489" t="str">
            <v>米多奇 仙贝 438G</v>
          </cell>
          <cell r="D5489">
            <v>33</v>
          </cell>
          <cell r="E5489">
            <v>263.51</v>
          </cell>
          <cell r="F5489">
            <v>9.0232212121212108</v>
          </cell>
        </row>
        <row r="5490">
          <cell r="B5490" t="str">
            <v>70711006</v>
          </cell>
          <cell r="C5490" t="str">
            <v>EDO PACK木糖醇苏打饼（芝麻味） 280G</v>
          </cell>
          <cell r="D5490">
            <v>20</v>
          </cell>
          <cell r="E5490">
            <v>168.17</v>
          </cell>
          <cell r="F5490">
            <v>9.5016049999999996</v>
          </cell>
        </row>
        <row r="5491">
          <cell r="B5491" t="str">
            <v>70711010</v>
          </cell>
          <cell r="C5491" t="str">
            <v>每日生机 低糖苏打饼（黑麦味） 215G</v>
          </cell>
          <cell r="D5491">
            <v>10</v>
          </cell>
          <cell r="E5491">
            <v>111.5</v>
          </cell>
          <cell r="F5491">
            <v>12.599500000000001</v>
          </cell>
        </row>
        <row r="5492">
          <cell r="B5492" t="str">
            <v>70711011</v>
          </cell>
          <cell r="C5492" t="str">
            <v>每日生机 水果粗粮饼干 210G</v>
          </cell>
          <cell r="D5492">
            <v>17</v>
          </cell>
          <cell r="E5492">
            <v>142.97</v>
          </cell>
          <cell r="F5492">
            <v>9.5032999999999994</v>
          </cell>
        </row>
        <row r="5493">
          <cell r="B5493" t="str">
            <v>70711012</v>
          </cell>
          <cell r="C5493" t="str">
            <v>每日生机 坚果粗粮饼干 210G</v>
          </cell>
          <cell r="D5493">
            <v>12</v>
          </cell>
          <cell r="E5493">
            <v>100.9</v>
          </cell>
          <cell r="F5493">
            <v>9.5014166666666693</v>
          </cell>
        </row>
        <row r="5494">
          <cell r="B5494" t="str">
            <v>70711013</v>
          </cell>
          <cell r="C5494" t="str">
            <v>米多奇 五红雪饼 220G</v>
          </cell>
          <cell r="D5494">
            <v>27</v>
          </cell>
          <cell r="E5494">
            <v>215.55</v>
          </cell>
          <cell r="F5494">
            <v>9.0211666666666694</v>
          </cell>
        </row>
        <row r="5495">
          <cell r="B5495" t="str">
            <v>70711962</v>
          </cell>
          <cell r="C5495" t="str">
            <v>EDO PACK黑松露山药苏打饼干 252G</v>
          </cell>
          <cell r="D5495">
            <v>45</v>
          </cell>
          <cell r="E5495">
            <v>378.41</v>
          </cell>
          <cell r="F5495">
            <v>9.5022955555555608</v>
          </cell>
        </row>
        <row r="5496">
          <cell r="B5496" t="str">
            <v>70711963</v>
          </cell>
          <cell r="C5496" t="str">
            <v>EDO PACK 多庆屋黄油鸡蛋卷 480G</v>
          </cell>
          <cell r="D5496">
            <v>19</v>
          </cell>
          <cell r="E5496">
            <v>860.89</v>
          </cell>
          <cell r="F5496">
            <v>51.200299999999999</v>
          </cell>
        </row>
        <row r="5497">
          <cell r="B5497" t="str">
            <v>70711965</v>
          </cell>
          <cell r="C5497" t="str">
            <v>米多奇 馍片 400G</v>
          </cell>
          <cell r="D5497">
            <v>12</v>
          </cell>
          <cell r="E5497">
            <v>95.8</v>
          </cell>
          <cell r="F5497">
            <v>9.0211666666666694</v>
          </cell>
        </row>
        <row r="5498">
          <cell r="B5498" t="str">
            <v>70711966</v>
          </cell>
          <cell r="C5498" t="str">
            <v>米多奇 馍丁（奶香）300G</v>
          </cell>
          <cell r="D5498">
            <v>11</v>
          </cell>
          <cell r="E5498">
            <v>87.82</v>
          </cell>
          <cell r="F5498">
            <v>9.02150909090909</v>
          </cell>
        </row>
        <row r="5499">
          <cell r="B5499" t="str">
            <v>70711973</v>
          </cell>
          <cell r="C5499" t="str">
            <v>超有味 可可花生酱夹心薄饼 128G</v>
          </cell>
          <cell r="D5499">
            <v>37</v>
          </cell>
          <cell r="E5499">
            <v>246.37</v>
          </cell>
          <cell r="F5499">
            <v>7.5242729729729696</v>
          </cell>
        </row>
        <row r="5500">
          <cell r="B5500" t="str">
            <v>70711975</v>
          </cell>
          <cell r="C5500" t="str">
            <v>每日生机 低糖苏打饼（燕麦味） 215G</v>
          </cell>
          <cell r="D5500">
            <v>11</v>
          </cell>
          <cell r="E5500">
            <v>122.65</v>
          </cell>
          <cell r="F5500">
            <v>12.599500000000001</v>
          </cell>
        </row>
        <row r="5501">
          <cell r="B5501" t="str">
            <v>70713679</v>
          </cell>
          <cell r="C5501" t="str">
            <v>EDO PACK黑松露猴头菇苏打饼干 252G</v>
          </cell>
          <cell r="D5501">
            <v>23</v>
          </cell>
          <cell r="E5501">
            <v>193.41</v>
          </cell>
          <cell r="F5501">
            <v>9.5023173913043504</v>
          </cell>
        </row>
        <row r="5502">
          <cell r="B5502" t="str">
            <v>70713699</v>
          </cell>
          <cell r="C5502" t="str">
            <v>爱优新生 12种蔬菜薄脆饼干(香葱鸡汤味) 208G</v>
          </cell>
          <cell r="D5502">
            <v>30</v>
          </cell>
          <cell r="E5502">
            <v>244.52</v>
          </cell>
          <cell r="F5502">
            <v>9.2102533333333305</v>
          </cell>
        </row>
        <row r="5503">
          <cell r="B5503" t="str">
            <v>70713813</v>
          </cell>
          <cell r="C5503" t="str">
            <v>阿孔特牌 蜂蜜味威化饼干 408克/袋</v>
          </cell>
          <cell r="D5503">
            <v>1</v>
          </cell>
          <cell r="E5503">
            <v>22.13</v>
          </cell>
          <cell r="F5503">
            <v>25.006900000000002</v>
          </cell>
        </row>
        <row r="5504">
          <cell r="B5504" t="str">
            <v>70727562</v>
          </cell>
          <cell r="C5504" t="str">
            <v>MM  I.比利时巧克力夹心黄油华夫 540G</v>
          </cell>
          <cell r="D5504">
            <v>26</v>
          </cell>
          <cell r="E5504">
            <v>1817.4</v>
          </cell>
          <cell r="F5504">
            <v>78.986999999999995</v>
          </cell>
        </row>
        <row r="5505">
          <cell r="B5505" t="str">
            <v>70727563</v>
          </cell>
          <cell r="C5505" t="str">
            <v>MM  姬松茸牛肉酥饼 28枚</v>
          </cell>
          <cell r="D5505">
            <v>41</v>
          </cell>
          <cell r="E5505">
            <v>2455.9</v>
          </cell>
          <cell r="F5505">
            <v>67.686999999999998</v>
          </cell>
        </row>
        <row r="5506">
          <cell r="B5506" t="str">
            <v>70727721</v>
          </cell>
          <cell r="C5506" t="str">
            <v>MM  金枪鱼饼干黄油芥末味 40包</v>
          </cell>
          <cell r="D5506">
            <v>58</v>
          </cell>
          <cell r="E5506">
            <v>3068.2</v>
          </cell>
          <cell r="F5506">
            <v>59.777000000000001</v>
          </cell>
        </row>
        <row r="5507">
          <cell r="B5507" t="str">
            <v>70000639</v>
          </cell>
          <cell r="C5507" t="str">
            <v>好丽友 蛋黄派 6枚</v>
          </cell>
          <cell r="D5507">
            <v>3847</v>
          </cell>
          <cell r="E5507">
            <v>27714.17</v>
          </cell>
          <cell r="F5507">
            <v>8.1406322069144803</v>
          </cell>
        </row>
        <row r="5508">
          <cell r="B5508" t="str">
            <v>70000641</v>
          </cell>
          <cell r="C5508" t="str">
            <v>好丽友 蛋黄派 276G</v>
          </cell>
          <cell r="D5508">
            <v>10</v>
          </cell>
          <cell r="E5508">
            <v>154.85</v>
          </cell>
          <cell r="F5508">
            <v>17.498049999999999</v>
          </cell>
        </row>
        <row r="5509">
          <cell r="B5509" t="str">
            <v>70000642</v>
          </cell>
          <cell r="C5509" t="str">
            <v>好丽友 提拉米苏派 6枚</v>
          </cell>
          <cell r="D5509">
            <v>5335</v>
          </cell>
          <cell r="E5509">
            <v>36974.21</v>
          </cell>
          <cell r="F5509">
            <v>7.8314634114339299</v>
          </cell>
        </row>
        <row r="5510">
          <cell r="B5510" t="str">
            <v>70000644</v>
          </cell>
          <cell r="C5510" t="str">
            <v>好丽友 提拉米苏 276G</v>
          </cell>
          <cell r="D5510">
            <v>23</v>
          </cell>
          <cell r="E5510">
            <v>360.44</v>
          </cell>
          <cell r="F5510">
            <v>17.708573913043502</v>
          </cell>
        </row>
        <row r="5511">
          <cell r="B5511" t="str">
            <v>70000646</v>
          </cell>
          <cell r="C5511" t="str">
            <v>好丽友 可可派 6枚 180G</v>
          </cell>
          <cell r="D5511">
            <v>3136</v>
          </cell>
          <cell r="E5511">
            <v>23830.77</v>
          </cell>
          <cell r="F5511">
            <v>8.5869802614795905</v>
          </cell>
        </row>
        <row r="5512">
          <cell r="B5512" t="str">
            <v>70000647</v>
          </cell>
          <cell r="C5512" t="str">
            <v>好丽友 可可派 336G</v>
          </cell>
          <cell r="D5512">
            <v>19</v>
          </cell>
          <cell r="E5512">
            <v>315.70999999999998</v>
          </cell>
          <cell r="F5512">
            <v>18.776436842105301</v>
          </cell>
        </row>
        <row r="5513">
          <cell r="B5513" t="str">
            <v>70000648</v>
          </cell>
          <cell r="C5513" t="str">
            <v>好丽友 双莓派原味 138g</v>
          </cell>
          <cell r="D5513">
            <v>3012</v>
          </cell>
          <cell r="E5513">
            <v>17472.96</v>
          </cell>
          <cell r="F5513">
            <v>6.5552605577689196</v>
          </cell>
        </row>
        <row r="5514">
          <cell r="B5514" t="str">
            <v>70000649</v>
          </cell>
          <cell r="C5514" t="str">
            <v>好丽友 Q蒂摩卡口味 6枚</v>
          </cell>
          <cell r="D5514">
            <v>2841</v>
          </cell>
          <cell r="E5514">
            <v>23890.7</v>
          </cell>
          <cell r="F5514">
            <v>9.5024607532558996</v>
          </cell>
        </row>
        <row r="5515">
          <cell r="B5515" t="str">
            <v>70000653</v>
          </cell>
          <cell r="C5515" t="str">
            <v>好丽友 Q蒂派 336G</v>
          </cell>
          <cell r="D5515">
            <v>2</v>
          </cell>
          <cell r="E5515">
            <v>36.46</v>
          </cell>
          <cell r="F5515">
            <v>20.599900000000002</v>
          </cell>
        </row>
        <row r="5516">
          <cell r="B5516" t="str">
            <v>70000654</v>
          </cell>
          <cell r="C5516" t="str">
            <v>好丽友 Q蒂派2粒 56G</v>
          </cell>
          <cell r="D5516">
            <v>9103</v>
          </cell>
          <cell r="E5516">
            <v>26195.88</v>
          </cell>
          <cell r="F5516">
            <v>3.2518229594639099</v>
          </cell>
        </row>
        <row r="5517">
          <cell r="B5517" t="str">
            <v>70000655</v>
          </cell>
          <cell r="C5517" t="str">
            <v>好丽友 Q蒂榛子口味 6枚</v>
          </cell>
          <cell r="D5517">
            <v>3951</v>
          </cell>
          <cell r="E5517">
            <v>30333.96</v>
          </cell>
          <cell r="F5517">
            <v>8.6756200455580892</v>
          </cell>
        </row>
        <row r="5518">
          <cell r="B5518" t="str">
            <v>70000657</v>
          </cell>
          <cell r="C5518" t="str">
            <v>好丽友 Q蒂派榛子味 12枚</v>
          </cell>
          <cell r="D5518">
            <v>2</v>
          </cell>
          <cell r="E5518">
            <v>36.450000000000003</v>
          </cell>
          <cell r="F5518">
            <v>20.594249999999999</v>
          </cell>
        </row>
        <row r="5519">
          <cell r="B5519" t="str">
            <v>70001509</v>
          </cell>
          <cell r="C5519" t="str">
            <v>盼盼 法式小面包奶香味 200g</v>
          </cell>
          <cell r="D5519">
            <v>542</v>
          </cell>
          <cell r="E5519">
            <v>3474.72</v>
          </cell>
          <cell r="F5519">
            <v>7.2443424354243504</v>
          </cell>
        </row>
        <row r="5520">
          <cell r="B5520" t="str">
            <v>70001655</v>
          </cell>
          <cell r="C5520" t="str">
            <v>好丽友 蛋黄派 2枚</v>
          </cell>
          <cell r="D5520">
            <v>11852</v>
          </cell>
          <cell r="E5520">
            <v>28564.79</v>
          </cell>
          <cell r="F5520">
            <v>2.7234401535605799</v>
          </cell>
        </row>
        <row r="5521">
          <cell r="B5521" t="str">
            <v>70007881</v>
          </cell>
          <cell r="C5521" t="str">
            <v>达利园 巧克力派 260g</v>
          </cell>
          <cell r="D5521">
            <v>1807</v>
          </cell>
          <cell r="E5521">
            <v>11158.48</v>
          </cell>
          <cell r="F5521">
            <v>6.97790946319867</v>
          </cell>
        </row>
        <row r="5522">
          <cell r="B5522" t="str">
            <v>70008136</v>
          </cell>
          <cell r="C5522" t="str">
            <v>达利 草莓派 230G（23g*10枚）</v>
          </cell>
          <cell r="D5522">
            <v>3026</v>
          </cell>
          <cell r="E5522">
            <v>16300.58</v>
          </cell>
          <cell r="F5522">
            <v>6.0871300066093896</v>
          </cell>
        </row>
        <row r="5523">
          <cell r="B5523" t="str">
            <v>70008150</v>
          </cell>
          <cell r="C5523" t="str">
            <v>达利园 蛋黄派 230G（23g*10枚）</v>
          </cell>
          <cell r="D5523">
            <v>4611</v>
          </cell>
          <cell r="E5523">
            <v>24841.13</v>
          </cell>
          <cell r="F5523">
            <v>6.0877199956625496</v>
          </cell>
        </row>
        <row r="5524">
          <cell r="B5524" t="str">
            <v>70008232</v>
          </cell>
          <cell r="C5524" t="str">
            <v>康师傅 乐芙球草莓味 50g</v>
          </cell>
          <cell r="D5524">
            <v>0</v>
          </cell>
          <cell r="E5524">
            <v>0</v>
          </cell>
          <cell r="F5524" t="e">
            <v>#DIV/0!</v>
          </cell>
        </row>
        <row r="5525">
          <cell r="B5525" t="str">
            <v>70008452</v>
          </cell>
          <cell r="C5525" t="str">
            <v>中洋宝 欧式蛋糕牛奶麦香味 192G</v>
          </cell>
          <cell r="D5525">
            <v>0</v>
          </cell>
          <cell r="E5525">
            <v>0</v>
          </cell>
          <cell r="F5525" t="e">
            <v>#DIV/0!</v>
          </cell>
        </row>
        <row r="5526">
          <cell r="B5526" t="str">
            <v>70008476</v>
          </cell>
          <cell r="C5526" t="str">
            <v>康师傅妙芙蛋糕奶油味96g</v>
          </cell>
          <cell r="D5526">
            <v>904</v>
          </cell>
          <cell r="E5526">
            <v>4813.8100000000004</v>
          </cell>
          <cell r="F5526">
            <v>6.0172625000000002</v>
          </cell>
        </row>
        <row r="5527">
          <cell r="B5527" t="str">
            <v>70008477</v>
          </cell>
          <cell r="C5527" t="str">
            <v>康师傅 妙芙蛋糕巧克力味 96G</v>
          </cell>
          <cell r="D5527">
            <v>971</v>
          </cell>
          <cell r="E5527">
            <v>5184.07</v>
          </cell>
          <cell r="F5527">
            <v>6.03295478887744</v>
          </cell>
        </row>
        <row r="5528">
          <cell r="B5528" t="str">
            <v>70008479</v>
          </cell>
          <cell r="C5528" t="str">
            <v>康师傅 妙芙蛋糕香芋牛奶味 96G</v>
          </cell>
          <cell r="D5528">
            <v>8</v>
          </cell>
          <cell r="E5528">
            <v>52.9</v>
          </cell>
          <cell r="F5528">
            <v>7.4721250000000001</v>
          </cell>
        </row>
        <row r="5529">
          <cell r="B5529" t="str">
            <v>70008485</v>
          </cell>
          <cell r="C5529" t="str">
            <v>中洋宝 欧式蛋糕牛奶麦香味 96G</v>
          </cell>
          <cell r="D5529">
            <v>6</v>
          </cell>
          <cell r="E5529">
            <v>17.53</v>
          </cell>
          <cell r="F5529">
            <v>3.30148333333333</v>
          </cell>
        </row>
        <row r="5530">
          <cell r="B5530" t="str">
            <v>70008486</v>
          </cell>
          <cell r="C5530" t="str">
            <v>中洋宝 欧式蛋糕(原味) 192G</v>
          </cell>
          <cell r="D5530">
            <v>0</v>
          </cell>
          <cell r="E5530">
            <v>0</v>
          </cell>
          <cell r="F5530" t="e">
            <v>#DIV/0!</v>
          </cell>
        </row>
        <row r="5531">
          <cell r="B5531" t="str">
            <v>70008499</v>
          </cell>
          <cell r="C5531" t="str">
            <v>达利园 法式面包 400G</v>
          </cell>
          <cell r="D5531">
            <v>1431</v>
          </cell>
          <cell r="E5531">
            <v>11978.87</v>
          </cell>
          <cell r="F5531">
            <v>9.4592055206149492</v>
          </cell>
        </row>
        <row r="5532">
          <cell r="B5532" t="str">
            <v>70019139</v>
          </cell>
          <cell r="C5532" t="str">
            <v>达利园 法式软面包香橙味 160G</v>
          </cell>
          <cell r="D5532">
            <v>4221</v>
          </cell>
          <cell r="E5532">
            <v>17225.88</v>
          </cell>
          <cell r="F5532">
            <v>4.6115243781094497</v>
          </cell>
        </row>
        <row r="5533">
          <cell r="B5533" t="str">
            <v>70019952</v>
          </cell>
          <cell r="C5533" t="str">
            <v>达利园 法式软面包香奶味 160G</v>
          </cell>
          <cell r="D5533">
            <v>2900</v>
          </cell>
          <cell r="E5533">
            <v>11833.45</v>
          </cell>
          <cell r="F5533">
            <v>4.6109650000000002</v>
          </cell>
        </row>
        <row r="5534">
          <cell r="B5534" t="str">
            <v>70019953</v>
          </cell>
          <cell r="C5534" t="str">
            <v>达利园 法式软面包香奶味200G 200G</v>
          </cell>
          <cell r="D5534">
            <v>2107</v>
          </cell>
          <cell r="E5534">
            <v>10207.620000000001</v>
          </cell>
          <cell r="F5534">
            <v>5.4744236355007097</v>
          </cell>
        </row>
        <row r="5535">
          <cell r="B5535" t="str">
            <v>70019954</v>
          </cell>
          <cell r="C5535" t="str">
            <v>达利园 法式软面包香橙味 200G</v>
          </cell>
          <cell r="D5535">
            <v>2065</v>
          </cell>
          <cell r="E5535">
            <v>10030.17</v>
          </cell>
          <cell r="F5535">
            <v>5.4886644552058099</v>
          </cell>
        </row>
        <row r="5536">
          <cell r="B5536" t="str">
            <v>70021471</v>
          </cell>
          <cell r="C5536" t="str">
            <v>达利园 法式软面包 360G</v>
          </cell>
          <cell r="D5536">
            <v>1718</v>
          </cell>
          <cell r="E5536">
            <v>14349.35</v>
          </cell>
          <cell r="F5536">
            <v>9.4381638533178105</v>
          </cell>
        </row>
        <row r="5537">
          <cell r="B5537" t="str">
            <v>70021565</v>
          </cell>
          <cell r="C5537" t="str">
            <v>达利园 法式软面包香奶味 360G</v>
          </cell>
          <cell r="D5537">
            <v>1217</v>
          </cell>
          <cell r="E5537">
            <v>10170.950000000001</v>
          </cell>
          <cell r="F5537">
            <v>9.4438566146261298</v>
          </cell>
        </row>
        <row r="5538">
          <cell r="B5538" t="str">
            <v>70035922</v>
          </cell>
          <cell r="C5538" t="str">
            <v>好丽友 鲜莓派蛋糕 276G</v>
          </cell>
          <cell r="D5538">
            <v>19</v>
          </cell>
          <cell r="E5538">
            <v>256.2</v>
          </cell>
          <cell r="F5538">
            <v>15.2371578947368</v>
          </cell>
        </row>
        <row r="5539">
          <cell r="B5539" t="str">
            <v>70045151</v>
          </cell>
          <cell r="C5539" t="str">
            <v>盼盼 香橙味 软面包 200G</v>
          </cell>
          <cell r="D5539">
            <v>1338</v>
          </cell>
          <cell r="E5539">
            <v>8482.89</v>
          </cell>
          <cell r="F5539">
            <v>7.1641746636771302</v>
          </cell>
        </row>
        <row r="5540">
          <cell r="B5540" t="str">
            <v>70045575</v>
          </cell>
          <cell r="C5540" t="str">
            <v>盼盼 软面包奶香味 200G</v>
          </cell>
          <cell r="D5540">
            <v>1543</v>
          </cell>
          <cell r="E5540">
            <v>9718.36</v>
          </cell>
          <cell r="F5540">
            <v>7.1171398574206099</v>
          </cell>
        </row>
        <row r="5541">
          <cell r="B5541" t="str">
            <v>70137026</v>
          </cell>
          <cell r="C5541" t="str">
            <v>好丽友 巧克力派 74g</v>
          </cell>
          <cell r="D5541">
            <v>9053</v>
          </cell>
          <cell r="E5541">
            <v>22457.599999999999</v>
          </cell>
          <cell r="F5541">
            <v>2.8031688942891901</v>
          </cell>
        </row>
        <row r="5542">
          <cell r="B5542" t="str">
            <v>70137064</v>
          </cell>
          <cell r="C5542" t="str">
            <v>好丽友 巧克力派6枚 204g</v>
          </cell>
          <cell r="D5542">
            <v>3443</v>
          </cell>
          <cell r="E5542">
            <v>24837.68</v>
          </cell>
          <cell r="F5542">
            <v>8.1517799593377909</v>
          </cell>
        </row>
        <row r="5543">
          <cell r="B5543" t="str">
            <v>70186815</v>
          </cell>
          <cell r="C5543" t="str">
            <v>盼盼 软华夫蛋糕原味 168g</v>
          </cell>
          <cell r="D5543">
            <v>8</v>
          </cell>
          <cell r="E5543">
            <v>66.56</v>
          </cell>
          <cell r="F5543">
            <v>9.4016000000000002</v>
          </cell>
        </row>
        <row r="5544">
          <cell r="B5544" t="str">
            <v>70186816</v>
          </cell>
          <cell r="C5544" t="str">
            <v>盼盼软华夫蛋糕(奶香味)168G</v>
          </cell>
          <cell r="D5544">
            <v>141</v>
          </cell>
          <cell r="E5544">
            <v>1173.57</v>
          </cell>
          <cell r="F5544">
            <v>9.4052063829787205</v>
          </cell>
        </row>
        <row r="5545">
          <cell r="B5545" t="str">
            <v>70191479</v>
          </cell>
          <cell r="C5545" t="str">
            <v>妙芙 浓情巧克力法式蛋糕二枚装 100G</v>
          </cell>
          <cell r="D5545">
            <v>1239</v>
          </cell>
          <cell r="E5545">
            <v>6609.55</v>
          </cell>
          <cell r="F5545">
            <v>6.0280803066989499</v>
          </cell>
        </row>
        <row r="5546">
          <cell r="B5546" t="str">
            <v>70191480</v>
          </cell>
          <cell r="C5546" t="str">
            <v>妙芙 牛奶红豆法式蛋糕二枚装 100G</v>
          </cell>
          <cell r="D5546">
            <v>1436</v>
          </cell>
          <cell r="E5546">
            <v>7669</v>
          </cell>
          <cell r="F5546">
            <v>6.0347980501392797</v>
          </cell>
        </row>
        <row r="5547">
          <cell r="B5547" t="str">
            <v>70205085</v>
          </cell>
          <cell r="C5547" t="str">
            <v>达利园 欧式蛋糕鸡蛋味 225G</v>
          </cell>
          <cell r="D5547">
            <v>1238</v>
          </cell>
          <cell r="E5547">
            <v>6742.95</v>
          </cell>
          <cell r="F5547">
            <v>6.1547120355411904</v>
          </cell>
        </row>
        <row r="5548">
          <cell r="B5548" t="str">
            <v>70205086</v>
          </cell>
          <cell r="C5548" t="str">
            <v>达利园 欧式蛋糕香橙味 225G</v>
          </cell>
          <cell r="D5548">
            <v>1192</v>
          </cell>
          <cell r="E5548">
            <v>6479.73</v>
          </cell>
          <cell r="F5548">
            <v>6.1426970637583898</v>
          </cell>
        </row>
        <row r="5549">
          <cell r="B5549" t="str">
            <v>70215004</v>
          </cell>
          <cell r="C5549" t="str">
            <v>盼盼 梅尼耶干蛋糕(奶香味) 100G</v>
          </cell>
          <cell r="D5549">
            <v>7</v>
          </cell>
          <cell r="E5549">
            <v>51.45</v>
          </cell>
          <cell r="F5549">
            <v>8.3055000000000003</v>
          </cell>
        </row>
        <row r="5550">
          <cell r="B5550" t="str">
            <v>70265526</v>
          </cell>
          <cell r="C5550" t="str">
            <v>好丽友 巧克力派抹茶味 216G</v>
          </cell>
          <cell r="D5550">
            <v>4015</v>
          </cell>
          <cell r="E5550">
            <v>28281.119999999999</v>
          </cell>
          <cell r="F5550">
            <v>7.9595680199252801</v>
          </cell>
        </row>
        <row r="5551">
          <cell r="B5551" t="str">
            <v>70265527</v>
          </cell>
          <cell r="C5551" t="str">
            <v>好丽友 巧克力派抹茶味 12*36G</v>
          </cell>
          <cell r="D5551">
            <v>16</v>
          </cell>
          <cell r="E5551">
            <v>264.16000000000003</v>
          </cell>
          <cell r="F5551">
            <v>18.656300000000002</v>
          </cell>
        </row>
        <row r="5552">
          <cell r="B5552" t="str">
            <v>70265671</v>
          </cell>
          <cell r="C5552" t="str">
            <v>稻香村 老面包 310G</v>
          </cell>
          <cell r="D5552">
            <v>1046</v>
          </cell>
          <cell r="E5552">
            <v>8641.17</v>
          </cell>
          <cell r="F5552">
            <v>9.3351071701720798</v>
          </cell>
        </row>
        <row r="5553">
          <cell r="B5553" t="str">
            <v>70265922</v>
          </cell>
          <cell r="C5553" t="str">
            <v>中洋宝 手撕面包原味 168G</v>
          </cell>
          <cell r="D5553">
            <v>0</v>
          </cell>
          <cell r="E5553">
            <v>0</v>
          </cell>
          <cell r="F5553" t="e">
            <v>#DIV/0!</v>
          </cell>
        </row>
        <row r="5554">
          <cell r="B5554" t="str">
            <v>70265923</v>
          </cell>
          <cell r="C5554" t="str">
            <v>中洋宝 手撕面包奶香味 168G</v>
          </cell>
          <cell r="D5554">
            <v>0</v>
          </cell>
          <cell r="E5554">
            <v>0</v>
          </cell>
          <cell r="F5554" t="e">
            <v>#DIV/0!</v>
          </cell>
        </row>
        <row r="5555">
          <cell r="B5555" t="str">
            <v>70282586</v>
          </cell>
          <cell r="C5555" t="str">
            <v>稻香村 豆沙味酵母面包 105G</v>
          </cell>
          <cell r="D5555">
            <v>2438</v>
          </cell>
          <cell r="E5555">
            <v>9755.5</v>
          </cell>
          <cell r="F5555">
            <v>4.5216222313371599</v>
          </cell>
        </row>
        <row r="5556">
          <cell r="B5556" t="str">
            <v>70284987</v>
          </cell>
          <cell r="C5556" t="str">
            <v>稻香村 手撕面包 258G</v>
          </cell>
          <cell r="D5556">
            <v>898</v>
          </cell>
          <cell r="E5556">
            <v>8663.32</v>
          </cell>
          <cell r="F5556">
            <v>10.901505122494401</v>
          </cell>
        </row>
        <row r="5557">
          <cell r="B5557" t="str">
            <v>70286065</v>
          </cell>
          <cell r="C5557" t="str">
            <v>达利园 早餐包(5枚) 200G</v>
          </cell>
          <cell r="D5557">
            <v>1218</v>
          </cell>
          <cell r="E5557">
            <v>6451.81</v>
          </cell>
          <cell r="F5557">
            <v>5.9856693760262702</v>
          </cell>
        </row>
        <row r="5558">
          <cell r="B5558" t="str">
            <v>70286076</v>
          </cell>
          <cell r="C5558" t="str">
            <v>达利园 蔓越莓提子面包 120G</v>
          </cell>
          <cell r="D5558">
            <v>823</v>
          </cell>
          <cell r="E5558">
            <v>2879.94</v>
          </cell>
          <cell r="F5558">
            <v>3.9542311057108099</v>
          </cell>
        </row>
        <row r="5559">
          <cell r="B5559" t="str">
            <v>70287328</v>
          </cell>
          <cell r="C5559" t="str">
            <v>爱乡亲 八枚手撕面包奶香 338G</v>
          </cell>
          <cell r="D5559">
            <v>18</v>
          </cell>
          <cell r="E5559">
            <v>140.19999999999999</v>
          </cell>
          <cell r="F5559">
            <v>8.8014444444444404</v>
          </cell>
        </row>
        <row r="5560">
          <cell r="B5560" t="str">
            <v>70287592</v>
          </cell>
          <cell r="C5560" t="str">
            <v>稻香村 酵母面包 105G</v>
          </cell>
          <cell r="D5560">
            <v>1898</v>
          </cell>
          <cell r="E5560">
            <v>7669.19</v>
          </cell>
          <cell r="F5560">
            <v>4.5659561116965204</v>
          </cell>
        </row>
        <row r="5561">
          <cell r="B5561" t="str">
            <v>70290243</v>
          </cell>
          <cell r="C5561" t="str">
            <v>品质早餐 早餐包(10枚) 400G</v>
          </cell>
          <cell r="D5561">
            <v>425</v>
          </cell>
          <cell r="E5561">
            <v>4473.54</v>
          </cell>
          <cell r="F5561">
            <v>11.894353411764699</v>
          </cell>
        </row>
        <row r="5562">
          <cell r="B5562" t="str">
            <v>70290974</v>
          </cell>
          <cell r="C5562" t="str">
            <v>波路梦 迷你蛋糕卷巧克力味 70G</v>
          </cell>
          <cell r="D5562">
            <v>516</v>
          </cell>
          <cell r="E5562">
            <v>2864.77</v>
          </cell>
          <cell r="F5562">
            <v>6.2736242248062002</v>
          </cell>
        </row>
        <row r="5563">
          <cell r="B5563" t="str">
            <v>70290975</v>
          </cell>
          <cell r="C5563" t="str">
            <v>波路梦 迷你蛋糕卷牛奶味 70G</v>
          </cell>
          <cell r="D5563">
            <v>613</v>
          </cell>
          <cell r="E5563">
            <v>3408.16</v>
          </cell>
          <cell r="F5563">
            <v>6.2825787928221901</v>
          </cell>
        </row>
        <row r="5564">
          <cell r="B5564" t="str">
            <v>70291105</v>
          </cell>
          <cell r="C5564" t="str">
            <v>盼盼 真食惠铜锣烧-巧克力味 144G</v>
          </cell>
          <cell r="D5564">
            <v>0</v>
          </cell>
          <cell r="E5564">
            <v>0</v>
          </cell>
          <cell r="F5564" t="e">
            <v>#DIV/0!</v>
          </cell>
        </row>
        <row r="5565">
          <cell r="B5565" t="str">
            <v>70291354</v>
          </cell>
          <cell r="C5565" t="str">
            <v>好丽友 巧克力派抹茶2片 72G</v>
          </cell>
          <cell r="D5565">
            <v>8232</v>
          </cell>
          <cell r="E5565">
            <v>24367.61</v>
          </cell>
          <cell r="F5565">
            <v>3.3449221695821199</v>
          </cell>
        </row>
        <row r="5566">
          <cell r="B5566" t="str">
            <v>70294966</v>
          </cell>
          <cell r="C5566" t="str">
            <v>爱乡亲 唱片面包 90G</v>
          </cell>
          <cell r="D5566">
            <v>781</v>
          </cell>
          <cell r="E5566">
            <v>1948.81</v>
          </cell>
          <cell r="F5566">
            <v>2.81966107554417</v>
          </cell>
        </row>
        <row r="5567">
          <cell r="B5567" t="str">
            <v>70295615</v>
          </cell>
          <cell r="C5567" t="str">
            <v>好丽友 Q蒂红丝绒莓莓味 168G</v>
          </cell>
          <cell r="D5567">
            <v>3257</v>
          </cell>
          <cell r="E5567">
            <v>27053.71</v>
          </cell>
          <cell r="F5567">
            <v>9.3861505373042693</v>
          </cell>
        </row>
        <row r="5568">
          <cell r="B5568" t="str">
            <v>70298764</v>
          </cell>
          <cell r="C5568" t="str">
            <v>盼盼 老面包奶香味 155g</v>
          </cell>
          <cell r="D5568">
            <v>348</v>
          </cell>
          <cell r="E5568">
            <v>1486.92</v>
          </cell>
          <cell r="F5568">
            <v>4.8282172413793099</v>
          </cell>
        </row>
        <row r="5569">
          <cell r="B5569" t="str">
            <v>70321293</v>
          </cell>
          <cell r="C5569" t="str">
            <v>优斯麦尔 红枣黑麦坚果列巴 个</v>
          </cell>
          <cell r="D5569">
            <v>0</v>
          </cell>
          <cell r="E5569">
            <v>0</v>
          </cell>
          <cell r="F5569" t="e">
            <v>#DIV/0!</v>
          </cell>
        </row>
        <row r="5570">
          <cell r="B5570" t="str">
            <v>70322588</v>
          </cell>
          <cell r="C5570" t="str">
            <v>乐贝鲜 黄金唱片90G 1*90</v>
          </cell>
          <cell r="D5570">
            <v>4665</v>
          </cell>
          <cell r="E5570">
            <v>9982.66</v>
          </cell>
          <cell r="F5570">
            <v>2.4180934190782399</v>
          </cell>
        </row>
        <row r="5571">
          <cell r="B5571" t="str">
            <v>70322589</v>
          </cell>
          <cell r="C5571" t="str">
            <v>乐贝鲜 手撕面包(红豆馅)110G 1*110</v>
          </cell>
          <cell r="D5571">
            <v>3168</v>
          </cell>
          <cell r="E5571">
            <v>7330.84</v>
          </cell>
          <cell r="F5571">
            <v>2.6148513888888898</v>
          </cell>
        </row>
        <row r="5572">
          <cell r="B5572" t="str">
            <v>70332720</v>
          </cell>
          <cell r="C5572" t="str">
            <v>麦趣尔 俄罗斯列巴面包黑麦 500G</v>
          </cell>
          <cell r="D5572">
            <v>1</v>
          </cell>
          <cell r="E5572">
            <v>22.57</v>
          </cell>
          <cell r="F5572">
            <v>25.504100000000001</v>
          </cell>
        </row>
        <row r="5573">
          <cell r="B5573" t="str">
            <v>70332729</v>
          </cell>
          <cell r="C5573" t="str">
            <v>麦趣尔 俄罗斯列巴切片面包黑麦 880G</v>
          </cell>
          <cell r="D5573">
            <v>5</v>
          </cell>
          <cell r="E5573">
            <v>250</v>
          </cell>
          <cell r="F5573">
            <v>56.5</v>
          </cell>
        </row>
        <row r="5574">
          <cell r="B5574" t="str">
            <v>70345821</v>
          </cell>
          <cell r="C5574" t="str">
            <v>乐锦记 奶香原味撕棒面包 380G</v>
          </cell>
          <cell r="D5574">
            <v>24</v>
          </cell>
          <cell r="E5574">
            <v>255.11</v>
          </cell>
          <cell r="F5574">
            <v>12.0114291666667</v>
          </cell>
        </row>
        <row r="5575">
          <cell r="B5575" t="str">
            <v>70345822</v>
          </cell>
          <cell r="C5575" t="str">
            <v>乐锦记 蔓越莓味撕棒面包 380G</v>
          </cell>
          <cell r="D5575">
            <v>25</v>
          </cell>
          <cell r="E5575">
            <v>265.67</v>
          </cell>
          <cell r="F5575">
            <v>12.008284</v>
          </cell>
        </row>
        <row r="5576">
          <cell r="B5576" t="str">
            <v>70345823</v>
          </cell>
          <cell r="C5576" t="str">
            <v>乐锦记 乳酪味软心棒面包 380G</v>
          </cell>
          <cell r="D5576">
            <v>13</v>
          </cell>
          <cell r="E5576">
            <v>138.66</v>
          </cell>
          <cell r="F5576">
            <v>12.0527538461538</v>
          </cell>
        </row>
        <row r="5577">
          <cell r="B5577" t="str">
            <v>70357917</v>
          </cell>
          <cell r="C5577" t="str">
            <v>盼盼 手撕棒面包 210G</v>
          </cell>
          <cell r="D5577">
            <v>0</v>
          </cell>
          <cell r="E5577">
            <v>0</v>
          </cell>
          <cell r="F5577" t="e">
            <v>#DIV/0!</v>
          </cell>
        </row>
        <row r="5578">
          <cell r="B5578" t="str">
            <v>70358036</v>
          </cell>
          <cell r="C5578" t="str">
            <v>好丽友 小鱼糯糯红豆味6枚 168G</v>
          </cell>
          <cell r="D5578">
            <v>10</v>
          </cell>
          <cell r="E5578">
            <v>81.569999999999993</v>
          </cell>
          <cell r="F5578">
            <v>9.2174099999999992</v>
          </cell>
        </row>
        <row r="5579">
          <cell r="B5579" t="str">
            <v>70360090</v>
          </cell>
          <cell r="C5579" t="str">
            <v>好丽友 轻雪草莓派 210G</v>
          </cell>
          <cell r="D5579">
            <v>3952</v>
          </cell>
          <cell r="E5579">
            <v>30257.55</v>
          </cell>
          <cell r="F5579">
            <v>8.6515767965587003</v>
          </cell>
        </row>
        <row r="5580">
          <cell r="B5580" t="str">
            <v>70361796</v>
          </cell>
          <cell r="C5580" t="str">
            <v>稻香村 香味手撕棒 186G</v>
          </cell>
          <cell r="D5580">
            <v>387</v>
          </cell>
          <cell r="E5580">
            <v>3478.24</v>
          </cell>
          <cell r="F5580">
            <v>10.1561012919897</v>
          </cell>
        </row>
        <row r="5581">
          <cell r="B5581" t="str">
            <v>70369077</v>
          </cell>
          <cell r="C5581" t="str">
            <v>美食主义 手撕面包棒蔓越莓味 398G/包</v>
          </cell>
          <cell r="D5581">
            <v>414</v>
          </cell>
          <cell r="E5581">
            <v>4136.8999999999996</v>
          </cell>
          <cell r="F5581">
            <v>11.291538647343</v>
          </cell>
        </row>
        <row r="5582">
          <cell r="B5582" t="str">
            <v>70369080</v>
          </cell>
          <cell r="C5582" t="str">
            <v>美食主义 手撕面包棒原味 398G/包</v>
          </cell>
          <cell r="D5582">
            <v>385</v>
          </cell>
          <cell r="E5582">
            <v>3839.86</v>
          </cell>
          <cell r="F5582">
            <v>11.2702384415584</v>
          </cell>
        </row>
        <row r="5583">
          <cell r="B5583" t="str">
            <v>70369083</v>
          </cell>
          <cell r="C5583" t="str">
            <v>美食主义 手撕面包棒原味 218G/包</v>
          </cell>
          <cell r="D5583">
            <v>1853</v>
          </cell>
          <cell r="E5583">
            <v>10843.33</v>
          </cell>
          <cell r="F5583">
            <v>6.6125002158661603</v>
          </cell>
        </row>
        <row r="5584">
          <cell r="B5584" t="str">
            <v>70369086</v>
          </cell>
          <cell r="C5584" t="str">
            <v>美食主义 手撕面包棒蔓越莓味 218G/包</v>
          </cell>
          <cell r="D5584">
            <v>1956</v>
          </cell>
          <cell r="E5584">
            <v>11190.14</v>
          </cell>
          <cell r="F5584">
            <v>6.4646514314928396</v>
          </cell>
        </row>
        <row r="5585">
          <cell r="B5585" t="str">
            <v>70388920</v>
          </cell>
          <cell r="C5585" t="str">
            <v>爱乡亲 爱格华夫饼 230G</v>
          </cell>
          <cell r="D5585">
            <v>213</v>
          </cell>
          <cell r="E5585">
            <v>1663.63</v>
          </cell>
          <cell r="F5585">
            <v>8.8258305164319193</v>
          </cell>
        </row>
        <row r="5586">
          <cell r="B5586" t="str">
            <v>70388924</v>
          </cell>
          <cell r="C5586" t="str">
            <v>爱乡亲 黄油华夫饼 230G</v>
          </cell>
          <cell r="D5586">
            <v>236</v>
          </cell>
          <cell r="E5586">
            <v>1842.71</v>
          </cell>
          <cell r="F5586">
            <v>8.8231453389830499</v>
          </cell>
        </row>
        <row r="5587">
          <cell r="B5587" t="str">
            <v>70393596</v>
          </cell>
          <cell r="C5587" t="str">
            <v>好丽友 松松蛋糕12枚 240G</v>
          </cell>
          <cell r="D5587">
            <v>6</v>
          </cell>
          <cell r="E5587">
            <v>72</v>
          </cell>
          <cell r="F5587">
            <v>13.56</v>
          </cell>
        </row>
        <row r="5588">
          <cell r="B5588" t="str">
            <v>70394652</v>
          </cell>
          <cell r="C5588" t="str">
            <v>乐锦记 黄油年轮面包 320G/袋</v>
          </cell>
          <cell r="D5588">
            <v>1538</v>
          </cell>
          <cell r="E5588">
            <v>11881.01</v>
          </cell>
          <cell r="F5588">
            <v>8.7292206111833508</v>
          </cell>
        </row>
        <row r="5589">
          <cell r="B5589" t="str">
            <v>70394654</v>
          </cell>
          <cell r="C5589" t="str">
            <v>乐锦记 黄油注心面包 320G/袋</v>
          </cell>
          <cell r="D5589">
            <v>2283</v>
          </cell>
          <cell r="E5589">
            <v>17620.5</v>
          </cell>
          <cell r="F5589">
            <v>8.7214914586070993</v>
          </cell>
        </row>
        <row r="5590">
          <cell r="B5590" t="str">
            <v>70409749</v>
          </cell>
          <cell r="C5590" t="str">
            <v>每食主义 手撕面包棒原味 308G</v>
          </cell>
          <cell r="D5590">
            <v>705</v>
          </cell>
          <cell r="E5590">
            <v>5508.44</v>
          </cell>
          <cell r="F5590">
            <v>8.8291307801418402</v>
          </cell>
        </row>
        <row r="5591">
          <cell r="B5591" t="str">
            <v>70409750</v>
          </cell>
          <cell r="C5591" t="str">
            <v>每食主义 手撕面包棒蔓越莓味 308G</v>
          </cell>
          <cell r="D5591">
            <v>591</v>
          </cell>
          <cell r="E5591">
            <v>4618.37</v>
          </cell>
          <cell r="F5591">
            <v>8.8303859560067703</v>
          </cell>
        </row>
        <row r="5592">
          <cell r="B5592" t="str">
            <v>70413401</v>
          </cell>
          <cell r="C5592" t="str">
            <v>乐贝鲜 手撕面包奶酪味 110G</v>
          </cell>
          <cell r="D5592">
            <v>3734</v>
          </cell>
          <cell r="E5592">
            <v>8658.16</v>
          </cell>
          <cell r="F5592">
            <v>2.6201716122121002</v>
          </cell>
        </row>
        <row r="5593">
          <cell r="B5593" t="str">
            <v>70413403</v>
          </cell>
          <cell r="C5593" t="str">
            <v>乐贝鲜 岩烧吐司 108G</v>
          </cell>
          <cell r="D5593">
            <v>4100</v>
          </cell>
          <cell r="E5593">
            <v>11316.2</v>
          </cell>
          <cell r="F5593">
            <v>3.1188551219512202</v>
          </cell>
        </row>
        <row r="5594">
          <cell r="B5594" t="str">
            <v>70418184</v>
          </cell>
          <cell r="C5594" t="str">
            <v>乐天 巧克派(原味)(6枚装) 168G</v>
          </cell>
          <cell r="D5594">
            <v>0</v>
          </cell>
          <cell r="E5594">
            <v>0</v>
          </cell>
          <cell r="F5594" t="e">
            <v>#DIV/0!</v>
          </cell>
        </row>
        <row r="5595">
          <cell r="B5595" t="str">
            <v>70442692</v>
          </cell>
          <cell r="C5595" t="str">
            <v>达利园 黑全麦小面包 160G</v>
          </cell>
          <cell r="D5595">
            <v>2164</v>
          </cell>
          <cell r="E5595">
            <v>8847.51</v>
          </cell>
          <cell r="F5595">
            <v>4.62000291127542</v>
          </cell>
        </row>
        <row r="5596">
          <cell r="B5596" t="str">
            <v>70444335</v>
          </cell>
          <cell r="C5596" t="str">
            <v>乐锦记 蔓越莓味撕棒面包 260G</v>
          </cell>
          <cell r="D5596">
            <v>2031</v>
          </cell>
          <cell r="E5596">
            <v>13334.21</v>
          </cell>
          <cell r="F5596">
            <v>7.4188366814377096</v>
          </cell>
        </row>
        <row r="5597">
          <cell r="B5597" t="str">
            <v>70444356</v>
          </cell>
          <cell r="C5597" t="str">
            <v>百草味 手撕面包 280G</v>
          </cell>
          <cell r="D5597">
            <v>367</v>
          </cell>
          <cell r="E5597">
            <v>2352.52</v>
          </cell>
          <cell r="F5597">
            <v>7.2434539509536799</v>
          </cell>
        </row>
        <row r="5598">
          <cell r="B5598" t="str">
            <v>70444574</v>
          </cell>
          <cell r="C5598" t="str">
            <v>宏图 肉松奶心吐司 102G</v>
          </cell>
          <cell r="D5598">
            <v>13</v>
          </cell>
          <cell r="E5598">
            <v>58.73</v>
          </cell>
          <cell r="F5598">
            <v>5.10499230769231</v>
          </cell>
        </row>
        <row r="5599">
          <cell r="B5599" t="str">
            <v>70468195</v>
          </cell>
          <cell r="C5599" t="str">
            <v>好丽友 派醇厚牛乳味6枚 198G</v>
          </cell>
          <cell r="D5599">
            <v>3</v>
          </cell>
          <cell r="E5599">
            <v>26.04</v>
          </cell>
          <cell r="F5599">
            <v>9.8084000000000007</v>
          </cell>
        </row>
        <row r="5600">
          <cell r="B5600" t="str">
            <v>70468814</v>
          </cell>
          <cell r="C5600" t="str">
            <v>乐锦 记奶香原味撕棒面包 260G</v>
          </cell>
          <cell r="D5600">
            <v>659</v>
          </cell>
          <cell r="E5600">
            <v>4330</v>
          </cell>
          <cell r="F5600">
            <v>7.4247344461304996</v>
          </cell>
        </row>
        <row r="5601">
          <cell r="B5601" t="str">
            <v>70474864</v>
          </cell>
          <cell r="C5601" t="str">
            <v>布鲁托 海盐黄油小面包 108G</v>
          </cell>
          <cell r="D5601">
            <v>45</v>
          </cell>
          <cell r="E5601">
            <v>179.31</v>
          </cell>
          <cell r="F5601">
            <v>4.5026733333333304</v>
          </cell>
        </row>
        <row r="5602">
          <cell r="B5602" t="str">
            <v>70474866</v>
          </cell>
          <cell r="C5602" t="str">
            <v>布鲁托 薄切蛋糕 108G</v>
          </cell>
          <cell r="D5602">
            <v>476</v>
          </cell>
          <cell r="E5602">
            <v>1905.41</v>
          </cell>
          <cell r="F5602">
            <v>4.5233472689075596</v>
          </cell>
        </row>
        <row r="5603">
          <cell r="B5603" t="str">
            <v>70487712</v>
          </cell>
          <cell r="C5603" t="str">
            <v>爱彼依 果子吐司 个</v>
          </cell>
          <cell r="D5603">
            <v>358</v>
          </cell>
          <cell r="E5603">
            <v>1774.73</v>
          </cell>
          <cell r="F5603">
            <v>5.6018013966480398</v>
          </cell>
        </row>
        <row r="5604">
          <cell r="B5604" t="str">
            <v>70490548</v>
          </cell>
          <cell r="C5604" t="str">
            <v>松松 糕点原味6枚 180G</v>
          </cell>
          <cell r="D5604">
            <v>26</v>
          </cell>
          <cell r="E5604">
            <v>171</v>
          </cell>
          <cell r="F5604">
            <v>7.4319230769230797</v>
          </cell>
        </row>
        <row r="5605">
          <cell r="B5605" t="str">
            <v>70490556</v>
          </cell>
          <cell r="C5605" t="str">
            <v>松松 糕点鲜香咸蛋黄味6枚 204G</v>
          </cell>
          <cell r="D5605">
            <v>35</v>
          </cell>
          <cell r="E5605">
            <v>230.22</v>
          </cell>
          <cell r="F5605">
            <v>7.4328171428571403</v>
          </cell>
        </row>
        <row r="5606">
          <cell r="B5606" t="str">
            <v>70490560</v>
          </cell>
          <cell r="C5606" t="str">
            <v>好丽友 果滋果姿草莓味 60G</v>
          </cell>
          <cell r="D5606">
            <v>3386</v>
          </cell>
          <cell r="E5606">
            <v>8269.6</v>
          </cell>
          <cell r="F5606">
            <v>2.7597897223863002</v>
          </cell>
        </row>
        <row r="5607">
          <cell r="B5607" t="str">
            <v>70490889</v>
          </cell>
          <cell r="C5607" t="str">
            <v>爱乡亲 手撕包原味8枚 338G</v>
          </cell>
          <cell r="D5607">
            <v>123</v>
          </cell>
          <cell r="E5607">
            <v>961.84</v>
          </cell>
          <cell r="F5607">
            <v>8.8364162601626006</v>
          </cell>
        </row>
        <row r="5608">
          <cell r="B5608" t="str">
            <v>70490890</v>
          </cell>
          <cell r="C5608" t="str">
            <v>爱乡亲 10枚肉松手撕棒面包 338G</v>
          </cell>
          <cell r="D5608">
            <v>23</v>
          </cell>
          <cell r="E5608">
            <v>179.17</v>
          </cell>
          <cell r="F5608">
            <v>8.8026999999999997</v>
          </cell>
        </row>
        <row r="5609">
          <cell r="B5609" t="str">
            <v>70491907</v>
          </cell>
          <cell r="C5609" t="str">
            <v>南达 手工酸奶包 500G</v>
          </cell>
          <cell r="D5609">
            <v>8</v>
          </cell>
          <cell r="E5609">
            <v>254.88</v>
          </cell>
          <cell r="F5609">
            <v>36.001800000000003</v>
          </cell>
        </row>
        <row r="5610">
          <cell r="B5610" t="str">
            <v>70491914</v>
          </cell>
          <cell r="C5610" t="str">
            <v>南达 新疆牛奶鸡蛋糕 800G</v>
          </cell>
          <cell r="D5610">
            <v>6</v>
          </cell>
          <cell r="E5610">
            <v>177.88</v>
          </cell>
          <cell r="F5610">
            <v>33.500733333333301</v>
          </cell>
        </row>
        <row r="5611">
          <cell r="B5611" t="str">
            <v>70493645</v>
          </cell>
          <cell r="C5611" t="str">
            <v>盼盼 三明治蛋糕白桃风味 144G</v>
          </cell>
          <cell r="D5611">
            <v>671</v>
          </cell>
          <cell r="E5611">
            <v>4239.87</v>
          </cell>
          <cell r="F5611">
            <v>7.1401685543964204</v>
          </cell>
        </row>
        <row r="5612">
          <cell r="B5612" t="str">
            <v>70494555</v>
          </cell>
          <cell r="C5612" t="str">
            <v>阿华田 熔岩蛋糕麦芽可可风味 80G</v>
          </cell>
          <cell r="D5612">
            <v>18</v>
          </cell>
          <cell r="E5612">
            <v>71.69</v>
          </cell>
          <cell r="F5612">
            <v>4.5005388888888902</v>
          </cell>
        </row>
        <row r="5613">
          <cell r="B5613" t="str">
            <v>70495416</v>
          </cell>
          <cell r="C5613" t="str">
            <v>布鲁托 蛋皮能量卷 80G</v>
          </cell>
          <cell r="D5613">
            <v>107</v>
          </cell>
          <cell r="E5613">
            <v>378.78</v>
          </cell>
          <cell r="F5613">
            <v>4.0002000000000004</v>
          </cell>
        </row>
        <row r="5614">
          <cell r="B5614" t="str">
            <v>70498544</v>
          </cell>
          <cell r="C5614" t="str">
            <v>乐锦记 乳酪夹心撕棒面包 256G</v>
          </cell>
          <cell r="D5614">
            <v>1881</v>
          </cell>
          <cell r="E5614">
            <v>12355.78</v>
          </cell>
          <cell r="F5614">
            <v>7.4226642211589597</v>
          </cell>
        </row>
        <row r="5615">
          <cell r="B5615" t="str">
            <v>70498547</v>
          </cell>
          <cell r="C5615" t="str">
            <v>乐锦记 魔方吐司面包 320G</v>
          </cell>
          <cell r="D5615">
            <v>1539</v>
          </cell>
          <cell r="E5615">
            <v>12028.93</v>
          </cell>
          <cell r="F5615">
            <v>8.8321578297595806</v>
          </cell>
        </row>
        <row r="5616">
          <cell r="B5616" t="str">
            <v>70500298</v>
          </cell>
          <cell r="C5616" t="str">
            <v>盼盼 三明治蛋糕（奶香味） 144G</v>
          </cell>
          <cell r="D5616">
            <v>842</v>
          </cell>
          <cell r="E5616">
            <v>5316.37</v>
          </cell>
          <cell r="F5616">
            <v>7.1347958432303997</v>
          </cell>
        </row>
        <row r="5617">
          <cell r="B5617" t="str">
            <v>70504877</v>
          </cell>
          <cell r="C5617" t="str">
            <v>爱乡亲 乳酪手撕棒338G*10 包</v>
          </cell>
          <cell r="D5617">
            <v>22</v>
          </cell>
          <cell r="E5617">
            <v>171.35</v>
          </cell>
          <cell r="F5617">
            <v>8.8011590909090902</v>
          </cell>
        </row>
        <row r="5618">
          <cell r="B5618" t="str">
            <v>70509089</v>
          </cell>
          <cell r="C5618" t="str">
            <v>金苹果贝贝 提拉米苏蛋糕 120G</v>
          </cell>
          <cell r="D5618">
            <v>15</v>
          </cell>
          <cell r="E5618">
            <v>80.400000000000006</v>
          </cell>
          <cell r="F5618">
            <v>6.0568</v>
          </cell>
        </row>
        <row r="5619">
          <cell r="B5619" t="str">
            <v>70509092</v>
          </cell>
          <cell r="C5619" t="str">
            <v>金苹果贝贝 巴哈力蛋糕 120G</v>
          </cell>
          <cell r="D5619">
            <v>34</v>
          </cell>
          <cell r="E5619">
            <v>182.2</v>
          </cell>
          <cell r="F5619">
            <v>6.0554705882352904</v>
          </cell>
        </row>
        <row r="5620">
          <cell r="B5620" t="str">
            <v>70509107</v>
          </cell>
          <cell r="C5620" t="str">
            <v>金苹果贝贝 丹麦手撕面包 100G</v>
          </cell>
          <cell r="D5620">
            <v>0</v>
          </cell>
          <cell r="E5620">
            <v>0</v>
          </cell>
          <cell r="F5620" t="e">
            <v>#DIV/0!</v>
          </cell>
        </row>
        <row r="5621">
          <cell r="B5621" t="str">
            <v>70509113</v>
          </cell>
          <cell r="C5621" t="str">
            <v>金苹果贝贝 全麦核桃吐司 100G</v>
          </cell>
          <cell r="D5621">
            <v>4</v>
          </cell>
          <cell r="E5621">
            <v>15.95</v>
          </cell>
          <cell r="F5621">
            <v>4.5058749999999996</v>
          </cell>
        </row>
        <row r="5622">
          <cell r="B5622" t="str">
            <v>70517665</v>
          </cell>
          <cell r="C5622" t="str">
            <v>金苹果贝贝 奶油毛虫面包 130G</v>
          </cell>
          <cell r="D5622">
            <v>17</v>
          </cell>
          <cell r="E5622">
            <v>79.56</v>
          </cell>
          <cell r="F5622">
            <v>5.2884000000000002</v>
          </cell>
        </row>
        <row r="5623">
          <cell r="B5623" t="str">
            <v>70517668</v>
          </cell>
          <cell r="C5623" t="str">
            <v>金苹果贝贝 豆沙圈面包 110G</v>
          </cell>
          <cell r="D5623">
            <v>2</v>
          </cell>
          <cell r="E5623">
            <v>7.98</v>
          </cell>
          <cell r="F5623">
            <v>4.5087000000000002</v>
          </cell>
        </row>
        <row r="5624">
          <cell r="B5624" t="str">
            <v>70521934</v>
          </cell>
          <cell r="C5624" t="str">
            <v>布鲁托 0蔗糖全麦五零吐司 98G</v>
          </cell>
          <cell r="D5624">
            <v>15</v>
          </cell>
          <cell r="E5624">
            <v>59.78</v>
          </cell>
          <cell r="F5624">
            <v>4.5034266666666696</v>
          </cell>
        </row>
        <row r="5625">
          <cell r="B5625" t="str">
            <v>70522629</v>
          </cell>
          <cell r="C5625" t="str">
            <v>爱彼依 红豆吐司 268G</v>
          </cell>
          <cell r="D5625">
            <v>422</v>
          </cell>
          <cell r="E5625">
            <v>2097.5700000000002</v>
          </cell>
          <cell r="F5625">
            <v>5.61671587677725</v>
          </cell>
        </row>
        <row r="5626">
          <cell r="B5626" t="str">
            <v>70535001</v>
          </cell>
          <cell r="C5626" t="str">
            <v>芭米 贝果面包全麦奇亚籽味 75G</v>
          </cell>
          <cell r="D5626">
            <v>20</v>
          </cell>
          <cell r="E5626">
            <v>61.95</v>
          </cell>
          <cell r="F5626">
            <v>3.500175</v>
          </cell>
        </row>
        <row r="5627">
          <cell r="B5627" t="str">
            <v>70535909</v>
          </cell>
          <cell r="C5627" t="str">
            <v>稻香村 软撕千层面包原味 120G</v>
          </cell>
          <cell r="D5627">
            <v>1151</v>
          </cell>
          <cell r="E5627">
            <v>6459.22</v>
          </cell>
          <cell r="F5627">
            <v>6.34137150304083</v>
          </cell>
        </row>
        <row r="5628">
          <cell r="B5628" t="str">
            <v>70535910</v>
          </cell>
          <cell r="C5628" t="str">
            <v>稻香村 软撕千层面包椰蓉 120G</v>
          </cell>
          <cell r="D5628">
            <v>1050</v>
          </cell>
          <cell r="E5628">
            <v>5902.35</v>
          </cell>
          <cell r="F5628">
            <v>6.3520528571428603</v>
          </cell>
        </row>
        <row r="5629">
          <cell r="B5629" t="str">
            <v>70535911</v>
          </cell>
          <cell r="C5629" t="str">
            <v>稻香村 牛奶拉丝老面包 200G</v>
          </cell>
          <cell r="D5629">
            <v>715</v>
          </cell>
          <cell r="E5629">
            <v>4021.86</v>
          </cell>
          <cell r="F5629">
            <v>6.3562262937062899</v>
          </cell>
        </row>
        <row r="5630">
          <cell r="B5630" t="str">
            <v>70535912</v>
          </cell>
          <cell r="C5630" t="str">
            <v>稻香村 蔓越莓椰香牛乳面包 90G</v>
          </cell>
          <cell r="D5630">
            <v>1140</v>
          </cell>
          <cell r="E5630">
            <v>3967.66</v>
          </cell>
          <cell r="F5630">
            <v>3.9328559649122798</v>
          </cell>
        </row>
        <row r="5631">
          <cell r="B5631" t="str">
            <v>70535928</v>
          </cell>
          <cell r="C5631" t="str">
            <v>阿华田 蛋糕卷 220G</v>
          </cell>
          <cell r="D5631">
            <v>11</v>
          </cell>
          <cell r="E5631">
            <v>92.51</v>
          </cell>
          <cell r="F5631">
            <v>9.5032999999999994</v>
          </cell>
        </row>
        <row r="5632">
          <cell r="B5632" t="str">
            <v>70536028</v>
          </cell>
          <cell r="C5632" t="str">
            <v>阿华田 魔力方 120G</v>
          </cell>
          <cell r="D5632">
            <v>3</v>
          </cell>
          <cell r="E5632">
            <v>19.920000000000002</v>
          </cell>
          <cell r="F5632">
            <v>7.5031999999999996</v>
          </cell>
        </row>
        <row r="5633">
          <cell r="B5633" t="str">
            <v>70536029</v>
          </cell>
          <cell r="C5633" t="str">
            <v>阿华田 生可可千层吐司 80G</v>
          </cell>
          <cell r="D5633">
            <v>18</v>
          </cell>
          <cell r="E5633">
            <v>59.76</v>
          </cell>
          <cell r="F5633">
            <v>3.7515999999999998</v>
          </cell>
        </row>
        <row r="5634">
          <cell r="B5634" t="str">
            <v>70543595</v>
          </cell>
          <cell r="C5634" t="str">
            <v>布鲁托 牛乳焗肉松面包 90G</v>
          </cell>
          <cell r="D5634">
            <v>392</v>
          </cell>
          <cell r="E5634">
            <v>1393.94</v>
          </cell>
          <cell r="F5634">
            <v>4.0182454081632697</v>
          </cell>
        </row>
        <row r="5635">
          <cell r="B5635" t="str">
            <v>70554324</v>
          </cell>
          <cell r="C5635" t="str">
            <v>广州酒家 豆乳餐包 320G</v>
          </cell>
          <cell r="D5635">
            <v>5</v>
          </cell>
          <cell r="E5635">
            <v>70.8</v>
          </cell>
          <cell r="F5635">
            <v>16.000800000000002</v>
          </cell>
        </row>
        <row r="5636">
          <cell r="B5636" t="str">
            <v>70556432</v>
          </cell>
          <cell r="C5636" t="str">
            <v>好丽友 12枚巧克力派 445G</v>
          </cell>
          <cell r="D5636">
            <v>0</v>
          </cell>
          <cell r="E5636">
            <v>0</v>
          </cell>
          <cell r="F5636" t="e">
            <v>#DIV/0!</v>
          </cell>
        </row>
        <row r="5637">
          <cell r="B5637" t="str">
            <v>70574039</v>
          </cell>
          <cell r="C5637" t="str">
            <v>泓一 黄油千层吐司 1KG</v>
          </cell>
          <cell r="D5637">
            <v>15</v>
          </cell>
          <cell r="E5637">
            <v>748.5</v>
          </cell>
          <cell r="F5637">
            <v>56.387</v>
          </cell>
        </row>
        <row r="5638">
          <cell r="B5638" t="str">
            <v>70579299</v>
          </cell>
          <cell r="C5638" t="str">
            <v>无品牌 袋装现烤面包 袋</v>
          </cell>
          <cell r="D5638">
            <v>23</v>
          </cell>
          <cell r="E5638">
            <v>244.26</v>
          </cell>
          <cell r="F5638">
            <v>12.0006</v>
          </cell>
        </row>
        <row r="5639">
          <cell r="B5639" t="str">
            <v>70581051</v>
          </cell>
          <cell r="C5639" t="str">
            <v>无品牌 新疆奶酪包 个</v>
          </cell>
          <cell r="D5639">
            <v>561</v>
          </cell>
          <cell r="E5639">
            <v>5957.82</v>
          </cell>
          <cell r="F5639">
            <v>12.0006</v>
          </cell>
        </row>
        <row r="5640">
          <cell r="B5640" t="str">
            <v>70581483</v>
          </cell>
          <cell r="C5640" t="str">
            <v>盼盼 梅尼耶巧克力味·派（草莓味） 260G</v>
          </cell>
          <cell r="D5640">
            <v>4</v>
          </cell>
          <cell r="E5640">
            <v>30.11</v>
          </cell>
          <cell r="F5640">
            <v>8.5060749999999992</v>
          </cell>
        </row>
        <row r="5641">
          <cell r="B5641" t="str">
            <v>70582767</v>
          </cell>
          <cell r="C5641" t="str">
            <v>金苹果贝贝 原味吐司 200G</v>
          </cell>
          <cell r="D5641">
            <v>0</v>
          </cell>
          <cell r="E5641">
            <v>0</v>
          </cell>
          <cell r="F5641" t="e">
            <v>#DIV/0!</v>
          </cell>
        </row>
        <row r="5642">
          <cell r="B5642" t="str">
            <v>70582774</v>
          </cell>
          <cell r="C5642" t="str">
            <v>金苹果贝贝 全麦吐司 200G</v>
          </cell>
          <cell r="D5642">
            <v>0</v>
          </cell>
          <cell r="E5642">
            <v>0</v>
          </cell>
          <cell r="F5642" t="e">
            <v>#DIV/0!</v>
          </cell>
        </row>
        <row r="5643">
          <cell r="B5643" t="str">
            <v>70582780</v>
          </cell>
          <cell r="C5643" t="str">
            <v>金苹果贝贝 巧克力面包 120G</v>
          </cell>
          <cell r="D5643">
            <v>0</v>
          </cell>
          <cell r="E5643">
            <v>0</v>
          </cell>
          <cell r="F5643" t="e">
            <v>#DIV/0!</v>
          </cell>
        </row>
        <row r="5644">
          <cell r="B5644" t="str">
            <v>70582802</v>
          </cell>
          <cell r="C5644" t="str">
            <v>金苹果贝贝 椰心面包 120G</v>
          </cell>
          <cell r="D5644">
            <v>0</v>
          </cell>
          <cell r="E5644">
            <v>0</v>
          </cell>
          <cell r="F5644" t="e">
            <v>#DIV/0!</v>
          </cell>
        </row>
        <row r="5645">
          <cell r="B5645" t="str">
            <v>70583127</v>
          </cell>
          <cell r="C5645" t="str">
            <v>金苹果贝贝 脆皮肉松面包 120G</v>
          </cell>
          <cell r="D5645">
            <v>5</v>
          </cell>
          <cell r="E5645">
            <v>19.920000000000002</v>
          </cell>
          <cell r="F5645">
            <v>4.5019200000000001</v>
          </cell>
        </row>
        <row r="5646">
          <cell r="B5646" t="str">
            <v>70583128</v>
          </cell>
          <cell r="C5646" t="str">
            <v>金苹果贝贝 酸奶椰香包 110G</v>
          </cell>
          <cell r="D5646">
            <v>0</v>
          </cell>
          <cell r="E5646">
            <v>0</v>
          </cell>
          <cell r="F5646" t="e">
            <v>#DIV/0!</v>
          </cell>
        </row>
        <row r="5647">
          <cell r="B5647" t="str">
            <v>70583136</v>
          </cell>
          <cell r="C5647" t="str">
            <v>金苹果贝贝 紫米奶酪面包 120G</v>
          </cell>
          <cell r="D5647">
            <v>6</v>
          </cell>
          <cell r="E5647">
            <v>23.91</v>
          </cell>
          <cell r="F5647">
            <v>4.50305</v>
          </cell>
        </row>
        <row r="5648">
          <cell r="B5648" t="str">
            <v>70583137</v>
          </cell>
          <cell r="C5648" t="str">
            <v>金苹果贝贝 红豆沙面包 200G</v>
          </cell>
          <cell r="D5648">
            <v>3</v>
          </cell>
          <cell r="E5648">
            <v>18.329999999999998</v>
          </cell>
          <cell r="F5648">
            <v>6.9043000000000001</v>
          </cell>
        </row>
        <row r="5649">
          <cell r="B5649" t="str">
            <v>70639832</v>
          </cell>
          <cell r="C5649" t="str">
            <v>华美 全蛋戚风蛋糕 240克</v>
          </cell>
          <cell r="D5649">
            <v>19</v>
          </cell>
          <cell r="E5649">
            <v>948.1</v>
          </cell>
          <cell r="F5649">
            <v>56.387</v>
          </cell>
        </row>
        <row r="5650">
          <cell r="B5650" t="str">
            <v>70640271</v>
          </cell>
          <cell r="C5650" t="str">
            <v>爱乡亲 0蔗糖全麦手撕包 338G</v>
          </cell>
          <cell r="D5650">
            <v>29</v>
          </cell>
          <cell r="E5650">
            <v>225.89</v>
          </cell>
          <cell r="F5650">
            <v>8.8019206896551694</v>
          </cell>
        </row>
        <row r="5651">
          <cell r="B5651" t="str">
            <v>70640272</v>
          </cell>
          <cell r="C5651" t="str">
            <v>布鲁托 燕麦坚果吐司 80G</v>
          </cell>
          <cell r="D5651">
            <v>272</v>
          </cell>
          <cell r="E5651">
            <v>967.01</v>
          </cell>
          <cell r="F5651">
            <v>4.0173577205882296</v>
          </cell>
        </row>
        <row r="5652">
          <cell r="B5652" t="str">
            <v>70640277</v>
          </cell>
          <cell r="C5652" t="str">
            <v>布鲁托 手撕面包 336G</v>
          </cell>
          <cell r="D5652">
            <v>4</v>
          </cell>
          <cell r="E5652">
            <v>33.159999999999997</v>
          </cell>
          <cell r="F5652">
            <v>9.3676999999999992</v>
          </cell>
        </row>
        <row r="5653">
          <cell r="B5653" t="str">
            <v>70640550</v>
          </cell>
          <cell r="C5653" t="str">
            <v>盼盼 卷心小面包-巧克力味 110G</v>
          </cell>
          <cell r="D5653">
            <v>57</v>
          </cell>
          <cell r="E5653">
            <v>196.89</v>
          </cell>
          <cell r="F5653">
            <v>3.9032578947368402</v>
          </cell>
        </row>
        <row r="5654">
          <cell r="B5654" t="str">
            <v>70681309</v>
          </cell>
          <cell r="C5654" t="str">
            <v>MM 肉松戚风蛋糕 30×1枚</v>
          </cell>
          <cell r="D5654">
            <v>21</v>
          </cell>
          <cell r="E5654">
            <v>1047.9000000000001</v>
          </cell>
          <cell r="F5654">
            <v>56.387</v>
          </cell>
        </row>
        <row r="5655">
          <cell r="B5655" t="str">
            <v>70681310</v>
          </cell>
          <cell r="C5655" t="str">
            <v>MM 黄油千层吐司 24×1个</v>
          </cell>
          <cell r="D5655">
            <v>8</v>
          </cell>
          <cell r="E5655">
            <v>493.08</v>
          </cell>
          <cell r="F5655">
            <v>69.647549999999995</v>
          </cell>
        </row>
        <row r="5656">
          <cell r="B5656" t="str">
            <v>70686779</v>
          </cell>
          <cell r="C5656" t="str">
            <v>山姆 小南瓜面包 1.1KG</v>
          </cell>
          <cell r="D5656">
            <v>17</v>
          </cell>
          <cell r="E5656">
            <v>1047.79</v>
          </cell>
          <cell r="F5656">
            <v>69.647217647058795</v>
          </cell>
        </row>
        <row r="5657">
          <cell r="B5657" t="str">
            <v>70687017</v>
          </cell>
          <cell r="C5657" t="str">
            <v>MM 黑松露牛肉小面包 20×1袋</v>
          </cell>
          <cell r="D5657">
            <v>19</v>
          </cell>
          <cell r="E5657">
            <v>1138.0999999999999</v>
          </cell>
          <cell r="F5657">
            <v>67.686999999999998</v>
          </cell>
        </row>
        <row r="5658">
          <cell r="B5658" t="str">
            <v>70689203</v>
          </cell>
          <cell r="C5658" t="str">
            <v>好丽友 派浓郁可可味 192g</v>
          </cell>
          <cell r="D5658">
            <v>2794</v>
          </cell>
          <cell r="E5658">
            <v>21536.28</v>
          </cell>
          <cell r="F5658">
            <v>8.7100917680744399</v>
          </cell>
        </row>
        <row r="5659">
          <cell r="B5659" t="str">
            <v>70712751</v>
          </cell>
          <cell r="C5659" t="str">
            <v>好丽友 派浓郁可可味 56G</v>
          </cell>
          <cell r="D5659">
            <v>3388</v>
          </cell>
          <cell r="E5659">
            <v>8060.33</v>
          </cell>
          <cell r="F5659">
            <v>2.6883627213695398</v>
          </cell>
        </row>
        <row r="5660">
          <cell r="B5660" t="str">
            <v>70720664</v>
          </cell>
          <cell r="C5660" t="str">
            <v>相遇好客 田园鸡蔬堡 个</v>
          </cell>
          <cell r="D5660">
            <v>239</v>
          </cell>
          <cell r="E5660">
            <v>2507.0700000000002</v>
          </cell>
          <cell r="F5660">
            <v>11.853510878661099</v>
          </cell>
        </row>
        <row r="5661">
          <cell r="B5661" t="str">
            <v>70720665</v>
          </cell>
          <cell r="C5661" t="str">
            <v>相遇好客 芝士牛肉堡套餐 个</v>
          </cell>
          <cell r="D5661">
            <v>184</v>
          </cell>
          <cell r="E5661">
            <v>4554.62</v>
          </cell>
          <cell r="F5661">
            <v>27.9713076086956</v>
          </cell>
        </row>
        <row r="5662">
          <cell r="B5662" t="str">
            <v>70720666</v>
          </cell>
          <cell r="C5662" t="str">
            <v>相遇好客 至臻七虾堡套餐 个</v>
          </cell>
          <cell r="D5662">
            <v>177</v>
          </cell>
          <cell r="E5662">
            <v>4255.3999999999996</v>
          </cell>
          <cell r="F5662">
            <v>27.1672429378531</v>
          </cell>
        </row>
        <row r="5663">
          <cell r="B5663" t="str">
            <v>70720667</v>
          </cell>
          <cell r="C5663" t="str">
            <v>相遇好客 至臻七虾堡 个</v>
          </cell>
          <cell r="D5663">
            <v>204</v>
          </cell>
          <cell r="E5663">
            <v>2609.21</v>
          </cell>
          <cell r="F5663">
            <v>14.4529769607843</v>
          </cell>
        </row>
        <row r="5664">
          <cell r="B5664" t="str">
            <v>70720730</v>
          </cell>
          <cell r="C5664" t="str">
            <v>相遇好客 香辣鸡腿堡套餐 个</v>
          </cell>
          <cell r="D5664">
            <v>148</v>
          </cell>
          <cell r="E5664">
            <v>3575.59</v>
          </cell>
          <cell r="F5664">
            <v>27.300112837837801</v>
          </cell>
        </row>
        <row r="5665">
          <cell r="B5665" t="str">
            <v>70720732</v>
          </cell>
          <cell r="C5665" t="str">
            <v>相遇好客 全家桶 个</v>
          </cell>
          <cell r="D5665">
            <v>149</v>
          </cell>
          <cell r="E5665">
            <v>9746.98</v>
          </cell>
          <cell r="F5665">
            <v>73.920049664429499</v>
          </cell>
        </row>
        <row r="5666">
          <cell r="B5666" t="str">
            <v>70720735</v>
          </cell>
          <cell r="C5666" t="str">
            <v>相遇好客 藤椒鸡肉堡 个</v>
          </cell>
          <cell r="D5666">
            <v>178</v>
          </cell>
          <cell r="E5666">
            <v>2027.94</v>
          </cell>
          <cell r="F5666">
            <v>12.8740011235955</v>
          </cell>
        </row>
        <row r="5667">
          <cell r="B5667" t="str">
            <v>70720736</v>
          </cell>
          <cell r="C5667" t="str">
            <v>相遇好客 芝士牛肉堡 个</v>
          </cell>
          <cell r="D5667">
            <v>171</v>
          </cell>
          <cell r="E5667">
            <v>2243.5500000000002</v>
          </cell>
          <cell r="F5667">
            <v>14.825798245613999</v>
          </cell>
        </row>
        <row r="5668">
          <cell r="B5668" t="str">
            <v>70720761</v>
          </cell>
          <cell r="C5668" t="str">
            <v>相遇好客 香辣鸡腿堡 个</v>
          </cell>
          <cell r="D5668">
            <v>139</v>
          </cell>
          <cell r="E5668">
            <v>1653.28</v>
          </cell>
          <cell r="F5668">
            <v>13.4403338129496</v>
          </cell>
        </row>
        <row r="5669">
          <cell r="B5669" t="str">
            <v>70721238</v>
          </cell>
          <cell r="C5669" t="str">
            <v>相遇好客 田园鸡蔬堡套餐 个</v>
          </cell>
          <cell r="D5669">
            <v>197</v>
          </cell>
          <cell r="E5669">
            <v>4504.7700000000004</v>
          </cell>
          <cell r="F5669">
            <v>25.8395436548223</v>
          </cell>
        </row>
        <row r="5670">
          <cell r="B5670" t="str">
            <v>70721241</v>
          </cell>
          <cell r="C5670" t="str">
            <v>相遇好客 藤椒鸡肉堡套餐 个</v>
          </cell>
          <cell r="D5670">
            <v>176</v>
          </cell>
          <cell r="E5670">
            <v>4167.3100000000004</v>
          </cell>
          <cell r="F5670">
            <v>26.756024431818201</v>
          </cell>
        </row>
        <row r="5671">
          <cell r="B5671" t="str">
            <v>70726039</v>
          </cell>
          <cell r="C5671" t="str">
            <v>MM  三重芝士半蒸蛋糕 1KG</v>
          </cell>
          <cell r="D5671">
            <v>39</v>
          </cell>
          <cell r="E5671">
            <v>1942.2</v>
          </cell>
          <cell r="F5671">
            <v>56.274000000000001</v>
          </cell>
        </row>
        <row r="5672">
          <cell r="B5672" t="str">
            <v>70000100</v>
          </cell>
          <cell r="C5672" t="str">
            <v>乌江 微辣榨菜丝 （80＋8g）</v>
          </cell>
          <cell r="D5672">
            <v>1447</v>
          </cell>
          <cell r="E5672">
            <v>3214.81</v>
          </cell>
          <cell r="F5672">
            <v>2.5105288873531402</v>
          </cell>
        </row>
        <row r="5673">
          <cell r="B5673" t="str">
            <v>70000128</v>
          </cell>
          <cell r="C5673" t="str">
            <v>娃哈哈桂圆莲子营养八宝粥 360G</v>
          </cell>
          <cell r="D5673">
            <v>12137</v>
          </cell>
          <cell r="E5673">
            <v>32896.85</v>
          </cell>
          <cell r="F5673">
            <v>3.0628195188267302</v>
          </cell>
        </row>
        <row r="5674">
          <cell r="B5674" t="str">
            <v>70000178</v>
          </cell>
          <cell r="C5674" t="str">
            <v>双汇 王中王优级火腿肠 40g*10</v>
          </cell>
          <cell r="D5674">
            <v>0</v>
          </cell>
          <cell r="E5674">
            <v>0</v>
          </cell>
          <cell r="F5674" t="e">
            <v>#DIV/0!</v>
          </cell>
        </row>
        <row r="5675">
          <cell r="B5675" t="str">
            <v>70000181</v>
          </cell>
          <cell r="C5675" t="str">
            <v>双汇 王中王 90G</v>
          </cell>
          <cell r="D5675">
            <v>193</v>
          </cell>
          <cell r="E5675">
            <v>471.61</v>
          </cell>
          <cell r="F5675">
            <v>2.76123989637306</v>
          </cell>
        </row>
        <row r="5676">
          <cell r="B5676" t="str">
            <v>70000359</v>
          </cell>
          <cell r="C5676" t="str">
            <v>康师傅 鲜虾鱼板面 102g/桶</v>
          </cell>
          <cell r="D5676">
            <v>1253</v>
          </cell>
          <cell r="E5676">
            <v>4436.58</v>
          </cell>
          <cell r="F5676">
            <v>4.0010657621707901</v>
          </cell>
        </row>
        <row r="5677">
          <cell r="B5677" t="str">
            <v>70000864</v>
          </cell>
          <cell r="C5677" t="str">
            <v>统一 来一桶红烧牛肉面 103g</v>
          </cell>
          <cell r="D5677">
            <v>15308</v>
          </cell>
          <cell r="E5677">
            <v>40493.01</v>
          </cell>
          <cell r="F5677">
            <v>2.9890972889992198</v>
          </cell>
        </row>
        <row r="5678">
          <cell r="B5678" t="str">
            <v>70000865</v>
          </cell>
          <cell r="C5678" t="str">
            <v>统一 来一桶香辣牛肉面 104g</v>
          </cell>
          <cell r="D5678">
            <v>14366</v>
          </cell>
          <cell r="E5678">
            <v>38058.879999999997</v>
          </cell>
          <cell r="F5678">
            <v>2.9936331894751498</v>
          </cell>
        </row>
        <row r="5679">
          <cell r="B5679" t="str">
            <v>70000898</v>
          </cell>
          <cell r="C5679" t="str">
            <v>银鹭 桂圆莲子八宝粥 360G</v>
          </cell>
          <cell r="D5679">
            <v>2911</v>
          </cell>
          <cell r="E5679">
            <v>8243.0300000000007</v>
          </cell>
          <cell r="F5679">
            <v>3.1998020954998299</v>
          </cell>
        </row>
        <row r="5680">
          <cell r="B5680" t="str">
            <v>70001168</v>
          </cell>
          <cell r="C5680" t="str">
            <v>娃哈哈 木糖醇营养八宝粥 350g</v>
          </cell>
          <cell r="D5680">
            <v>11802</v>
          </cell>
          <cell r="E5680">
            <v>32052.62</v>
          </cell>
          <cell r="F5680">
            <v>3.0689256566683598</v>
          </cell>
        </row>
        <row r="5681">
          <cell r="B5681" t="str">
            <v>70001673</v>
          </cell>
          <cell r="C5681" t="str">
            <v>白家 粉丝(酸辣) 500G</v>
          </cell>
          <cell r="D5681">
            <v>36</v>
          </cell>
          <cell r="E5681">
            <v>623.99</v>
          </cell>
          <cell r="F5681">
            <v>19.586352777777801</v>
          </cell>
        </row>
        <row r="5682">
          <cell r="B5682" t="str">
            <v>70002689</v>
          </cell>
          <cell r="C5682" t="str">
            <v>康师傅经典麻辣牛肉桶面108g</v>
          </cell>
          <cell r="D5682">
            <v>7342</v>
          </cell>
          <cell r="E5682">
            <v>26037.18</v>
          </cell>
          <cell r="F5682">
            <v>4.0073567692726799</v>
          </cell>
        </row>
        <row r="5683">
          <cell r="B5683" t="str">
            <v>70003529</v>
          </cell>
          <cell r="C5683" t="str">
            <v>银鹭 桂圆八宝粥 360G</v>
          </cell>
          <cell r="D5683">
            <v>7008</v>
          </cell>
          <cell r="E5683">
            <v>19849.93</v>
          </cell>
          <cell r="F5683">
            <v>3.20068791381278</v>
          </cell>
        </row>
        <row r="5684">
          <cell r="B5684" t="str">
            <v>70006417</v>
          </cell>
          <cell r="C5684" t="str">
            <v>银鹭 桂圆莲子八宝粥礼盒（八宝添福） 360g*8</v>
          </cell>
          <cell r="D5684">
            <v>52</v>
          </cell>
          <cell r="E5684">
            <v>1220.1600000000001</v>
          </cell>
          <cell r="F5684">
            <v>26.515015384615399</v>
          </cell>
        </row>
        <row r="5685">
          <cell r="B5685" t="str">
            <v>70007014</v>
          </cell>
          <cell r="C5685" t="str">
            <v>双汇 王中王 60G</v>
          </cell>
          <cell r="D5685">
            <v>13</v>
          </cell>
          <cell r="E5685">
            <v>22.86</v>
          </cell>
          <cell r="F5685">
            <v>1.98706153846154</v>
          </cell>
        </row>
        <row r="5686">
          <cell r="B5686" t="str">
            <v>70007279</v>
          </cell>
          <cell r="C5686" t="str">
            <v>银鹭 低糖莲子八宝粥 360G</v>
          </cell>
          <cell r="D5686">
            <v>2666</v>
          </cell>
          <cell r="E5686">
            <v>7540.06</v>
          </cell>
          <cell r="F5686">
            <v>3.1958993998499601</v>
          </cell>
        </row>
        <row r="5687">
          <cell r="B5687" t="str">
            <v>70007299</v>
          </cell>
          <cell r="C5687" t="str">
            <v>金锣 清真鸡肉肠 105g</v>
          </cell>
          <cell r="D5687">
            <v>0</v>
          </cell>
          <cell r="E5687">
            <v>0</v>
          </cell>
          <cell r="F5687" t="e">
            <v>#DIV/0!</v>
          </cell>
        </row>
        <row r="5688">
          <cell r="B5688" t="str">
            <v>70008605</v>
          </cell>
          <cell r="C5688" t="str">
            <v>今麦郎 红烧牛肉桶面 108g</v>
          </cell>
          <cell r="D5688">
            <v>0</v>
          </cell>
          <cell r="E5688">
            <v>0</v>
          </cell>
          <cell r="F5688" t="e">
            <v>#DIV/0!</v>
          </cell>
        </row>
        <row r="5689">
          <cell r="B5689" t="str">
            <v>70008735</v>
          </cell>
          <cell r="C5689" t="str">
            <v>今野 拉面红烧牛肉面 24*100G</v>
          </cell>
          <cell r="D5689">
            <v>5</v>
          </cell>
          <cell r="E5689">
            <v>6.13</v>
          </cell>
          <cell r="F5689">
            <v>1.3853800000000001</v>
          </cell>
        </row>
        <row r="5690">
          <cell r="B5690" t="str">
            <v>70008800</v>
          </cell>
          <cell r="C5690" t="str">
            <v>统一 来一桶老坛酸菜牛肉面 120G</v>
          </cell>
          <cell r="D5690">
            <v>13777</v>
          </cell>
          <cell r="E5690">
            <v>36441.410000000003</v>
          </cell>
          <cell r="F5690">
            <v>2.9889521158452501</v>
          </cell>
        </row>
        <row r="5691">
          <cell r="B5691" t="str">
            <v>70008840</v>
          </cell>
          <cell r="C5691" t="str">
            <v>今麦郎 光华粉丝馆够味酸辣粉 103g</v>
          </cell>
          <cell r="D5691">
            <v>8</v>
          </cell>
          <cell r="E5691">
            <v>21.68</v>
          </cell>
          <cell r="F5691">
            <v>3.0623</v>
          </cell>
        </row>
        <row r="5692">
          <cell r="B5692" t="str">
            <v>70008862</v>
          </cell>
          <cell r="C5692" t="str">
            <v>白家 正宗酸辣粉丝 108G</v>
          </cell>
          <cell r="D5692">
            <v>377</v>
          </cell>
          <cell r="E5692">
            <v>2081.7199999999998</v>
          </cell>
          <cell r="F5692">
            <v>6.23963819628647</v>
          </cell>
        </row>
        <row r="5693">
          <cell r="B5693" t="str">
            <v>70008909</v>
          </cell>
          <cell r="C5693" t="str">
            <v>梅林 八宝饭 350G</v>
          </cell>
          <cell r="D5693">
            <v>582</v>
          </cell>
          <cell r="E5693">
            <v>4232.2700000000004</v>
          </cell>
          <cell r="F5693">
            <v>8.2172939862542993</v>
          </cell>
        </row>
        <row r="5694">
          <cell r="B5694" t="str">
            <v>70008911</v>
          </cell>
          <cell r="C5694" t="str">
            <v>双汇 王中王 130G</v>
          </cell>
          <cell r="D5694">
            <v>208</v>
          </cell>
          <cell r="E5694">
            <v>762.24</v>
          </cell>
          <cell r="F5694">
            <v>4.1410153846153799</v>
          </cell>
        </row>
        <row r="5695">
          <cell r="B5695" t="str">
            <v>70008947</v>
          </cell>
          <cell r="C5695" t="str">
            <v>风味 烤肠(原味) 180G</v>
          </cell>
          <cell r="D5695">
            <v>0</v>
          </cell>
          <cell r="E5695">
            <v>0</v>
          </cell>
          <cell r="F5695" t="e">
            <v>#DIV/0!</v>
          </cell>
        </row>
        <row r="5696">
          <cell r="B5696" t="str">
            <v>70009165</v>
          </cell>
          <cell r="C5696" t="str">
            <v>金锣 王中王 60g</v>
          </cell>
          <cell r="D5696">
            <v>15551</v>
          </cell>
          <cell r="E5696">
            <v>23794.65</v>
          </cell>
          <cell r="F5696">
            <v>1.72901771590251</v>
          </cell>
        </row>
        <row r="5697">
          <cell r="B5697" t="str">
            <v>70011454</v>
          </cell>
          <cell r="C5697" t="str">
            <v>烤肠</v>
          </cell>
          <cell r="D5697">
            <v>641</v>
          </cell>
          <cell r="E5697">
            <v>1214.04</v>
          </cell>
          <cell r="F5697">
            <v>2.1401953198127899</v>
          </cell>
        </row>
        <row r="5698">
          <cell r="B5698" t="str">
            <v>70014198</v>
          </cell>
          <cell r="C5698" t="str">
            <v>金锣 加钙特香王 90g</v>
          </cell>
          <cell r="D5698">
            <v>9834</v>
          </cell>
          <cell r="E5698">
            <v>18564.55</v>
          </cell>
          <cell r="F5698">
            <v>2.1332053589587101</v>
          </cell>
        </row>
        <row r="5699">
          <cell r="B5699" t="str">
            <v>70017661</v>
          </cell>
          <cell r="C5699" t="str">
            <v>自制茶叶蛋</v>
          </cell>
          <cell r="D5699">
            <v>1053</v>
          </cell>
          <cell r="E5699">
            <v>525.42999999999995</v>
          </cell>
          <cell r="F5699">
            <v>0.56385175688509004</v>
          </cell>
        </row>
        <row r="5700">
          <cell r="B5700" t="str">
            <v>70018521</v>
          </cell>
          <cell r="C5700" t="str">
            <v>白家 辣味肥肠味粉丝 108G</v>
          </cell>
          <cell r="D5700">
            <v>71</v>
          </cell>
          <cell r="E5700">
            <v>397.96</v>
          </cell>
          <cell r="F5700">
            <v>6.3337295774647897</v>
          </cell>
        </row>
        <row r="5701">
          <cell r="B5701" t="str">
            <v>70020551</v>
          </cell>
          <cell r="C5701" t="str">
            <v>双汇 超市马可波罗 250G</v>
          </cell>
          <cell r="D5701">
            <v>38</v>
          </cell>
          <cell r="E5701">
            <v>271.95999999999998</v>
          </cell>
          <cell r="F5701">
            <v>8.0872315789473692</v>
          </cell>
        </row>
        <row r="5702">
          <cell r="B5702" t="str">
            <v>70020778</v>
          </cell>
          <cell r="C5702" t="str">
            <v>康师傅 BIG干拌盒红烧牛肉面 147g</v>
          </cell>
          <cell r="D5702">
            <v>1589</v>
          </cell>
          <cell r="E5702">
            <v>6614.57</v>
          </cell>
          <cell r="F5702">
            <v>4.7038792322215199</v>
          </cell>
        </row>
        <row r="5703">
          <cell r="B5703" t="str">
            <v>70022131</v>
          </cell>
          <cell r="C5703" t="str">
            <v>金锣 清真牛肉风味香肠 100g</v>
          </cell>
          <cell r="D5703">
            <v>640</v>
          </cell>
          <cell r="E5703">
            <v>1048.55</v>
          </cell>
          <cell r="F5703">
            <v>1.8513460937499999</v>
          </cell>
        </row>
        <row r="5704">
          <cell r="B5704" t="str">
            <v>70030443</v>
          </cell>
          <cell r="C5704" t="str">
            <v>南街村 鲜拌面红油辣子 255g</v>
          </cell>
          <cell r="D5704">
            <v>211</v>
          </cell>
          <cell r="E5704">
            <v>916.89</v>
          </cell>
          <cell r="F5704">
            <v>4.91035876777251</v>
          </cell>
        </row>
        <row r="5705">
          <cell r="B5705" t="str">
            <v>70030446</v>
          </cell>
          <cell r="C5705" t="str">
            <v>南街村 鲜拌酱爆排骨面 255g</v>
          </cell>
          <cell r="D5705">
            <v>165</v>
          </cell>
          <cell r="E5705">
            <v>717.86</v>
          </cell>
          <cell r="F5705">
            <v>4.91625333333333</v>
          </cell>
        </row>
        <row r="5706">
          <cell r="B5706" t="str">
            <v>70033299</v>
          </cell>
          <cell r="C5706" t="str">
            <v>合味道 海鲜味杯面 76G</v>
          </cell>
          <cell r="D5706">
            <v>0</v>
          </cell>
          <cell r="E5706">
            <v>0</v>
          </cell>
          <cell r="F5706" t="e">
            <v>#DIV/0!</v>
          </cell>
        </row>
        <row r="5707">
          <cell r="B5707" t="str">
            <v>70038415</v>
          </cell>
          <cell r="C5707" t="str">
            <v>康师傅 香辣牛肉桶面 116g/桶</v>
          </cell>
          <cell r="D5707">
            <v>7439</v>
          </cell>
          <cell r="E5707">
            <v>26358.47</v>
          </cell>
          <cell r="F5707">
            <v>4.0039079311735399</v>
          </cell>
        </row>
        <row r="5708">
          <cell r="B5708" t="str">
            <v>70041633</v>
          </cell>
          <cell r="C5708" t="str">
            <v>永健 泡山椒鲜笋 120G</v>
          </cell>
          <cell r="D5708">
            <v>2828</v>
          </cell>
          <cell r="E5708">
            <v>9855.9</v>
          </cell>
          <cell r="F5708">
            <v>3.9381778642149898</v>
          </cell>
        </row>
        <row r="5709">
          <cell r="B5709" t="str">
            <v>70043479</v>
          </cell>
          <cell r="C5709" t="str">
            <v>老干妈 香辣菜 60G</v>
          </cell>
          <cell r="D5709">
            <v>128</v>
          </cell>
          <cell r="E5709">
            <v>227.11</v>
          </cell>
          <cell r="F5709">
            <v>2.00495546875</v>
          </cell>
        </row>
        <row r="5710">
          <cell r="B5710" t="str">
            <v>70043727</v>
          </cell>
          <cell r="C5710" t="str">
            <v>日清 合味道猪骨浓汤风味 77G</v>
          </cell>
          <cell r="D5710">
            <v>0</v>
          </cell>
          <cell r="E5710">
            <v>0</v>
          </cell>
          <cell r="F5710" t="e">
            <v>#DIV/0!</v>
          </cell>
        </row>
        <row r="5711">
          <cell r="B5711" t="str">
            <v>70045389</v>
          </cell>
          <cell r="C5711" t="str">
            <v>吉香居 特制牛肉酱 280G</v>
          </cell>
          <cell r="D5711">
            <v>11</v>
          </cell>
          <cell r="E5711">
            <v>115.89</v>
          </cell>
          <cell r="F5711">
            <v>11.9050636363636</v>
          </cell>
        </row>
        <row r="5712">
          <cell r="B5712" t="str">
            <v>70047847</v>
          </cell>
          <cell r="C5712" t="str">
            <v>康师傅 BIG干拌面麻辣牛肉 146g</v>
          </cell>
          <cell r="D5712">
            <v>1175</v>
          </cell>
          <cell r="E5712">
            <v>4899.1400000000003</v>
          </cell>
          <cell r="F5712">
            <v>4.7115133617021296</v>
          </cell>
        </row>
        <row r="5713">
          <cell r="B5713" t="str">
            <v>70060717</v>
          </cell>
          <cell r="C5713" t="str">
            <v>康师傅经典香辣牛肉面108g</v>
          </cell>
          <cell r="D5713">
            <v>5920</v>
          </cell>
          <cell r="E5713">
            <v>12616.49</v>
          </cell>
          <cell r="F5713">
            <v>2.4082151520270298</v>
          </cell>
        </row>
        <row r="5714">
          <cell r="B5714" t="str">
            <v>70060719</v>
          </cell>
          <cell r="C5714" t="str">
            <v>康师傅 香菇炖鸡桶面 106g</v>
          </cell>
          <cell r="D5714">
            <v>3857</v>
          </cell>
          <cell r="E5714">
            <v>13643.85</v>
          </cell>
          <cell r="F5714">
            <v>3.9972907700285201</v>
          </cell>
        </row>
        <row r="5715">
          <cell r="B5715" t="str">
            <v>70072911</v>
          </cell>
          <cell r="C5715" t="str">
            <v>康师傅 经典袋红烧牛肉面 105g</v>
          </cell>
          <cell r="D5715">
            <v>4301</v>
          </cell>
          <cell r="E5715">
            <v>9165.2800000000007</v>
          </cell>
          <cell r="F5715">
            <v>2.4079903278307402</v>
          </cell>
        </row>
        <row r="5716">
          <cell r="B5716" t="str">
            <v>70072912</v>
          </cell>
          <cell r="C5716" t="str">
            <v>康师傅经典麻辣牛肉袋面102g</v>
          </cell>
          <cell r="D5716">
            <v>5370</v>
          </cell>
          <cell r="E5716">
            <v>11452.17</v>
          </cell>
          <cell r="F5716">
            <v>2.40986072625698</v>
          </cell>
        </row>
        <row r="5717">
          <cell r="B5717" t="str">
            <v>70075901</v>
          </cell>
          <cell r="C5717" t="str">
            <v>康师傅 老坛酸菜牛肉桶面 122g</v>
          </cell>
          <cell r="D5717">
            <v>62</v>
          </cell>
          <cell r="E5717">
            <v>220.61</v>
          </cell>
          <cell r="F5717">
            <v>4.0207951612903203</v>
          </cell>
        </row>
        <row r="5718">
          <cell r="B5718" t="str">
            <v>70086209</v>
          </cell>
          <cell r="C5718" t="str">
            <v>康师傅 老坛酸菜牛肉 117g</v>
          </cell>
          <cell r="D5718">
            <v>117</v>
          </cell>
          <cell r="E5718">
            <v>251.16</v>
          </cell>
          <cell r="F5718">
            <v>2.42573333333333</v>
          </cell>
        </row>
        <row r="5719">
          <cell r="B5719" t="str">
            <v>70100024</v>
          </cell>
          <cell r="C5719" t="str">
            <v>统一 小浣熊香辣蟹 46G</v>
          </cell>
          <cell r="D5719">
            <v>20891</v>
          </cell>
          <cell r="E5719">
            <v>13944.1</v>
          </cell>
          <cell r="F5719">
            <v>0.75424024699631398</v>
          </cell>
        </row>
        <row r="5720">
          <cell r="B5720" t="str">
            <v>70100172</v>
          </cell>
          <cell r="C5720" t="str">
            <v>合味道 香辣牛肉风味 85G</v>
          </cell>
          <cell r="D5720">
            <v>0</v>
          </cell>
          <cell r="E5720">
            <v>0</v>
          </cell>
          <cell r="F5720" t="e">
            <v>#DIV/0!</v>
          </cell>
        </row>
        <row r="5721">
          <cell r="B5721" t="str">
            <v>70102098</v>
          </cell>
          <cell r="C5721" t="str">
            <v>银鹭 好粥道玉米粥 280G</v>
          </cell>
          <cell r="D5721">
            <v>3757</v>
          </cell>
          <cell r="E5721">
            <v>11851.4</v>
          </cell>
          <cell r="F5721">
            <v>3.5645680063880798</v>
          </cell>
        </row>
        <row r="5722">
          <cell r="B5722" t="str">
            <v>70102099</v>
          </cell>
          <cell r="C5722" t="str">
            <v>银鹭 好粥道黑米粥 280G</v>
          </cell>
          <cell r="D5722">
            <v>3601</v>
          </cell>
          <cell r="E5722">
            <v>11359.38</v>
          </cell>
          <cell r="F5722">
            <v>3.5645930019439001</v>
          </cell>
        </row>
        <row r="5723">
          <cell r="B5723" t="str">
            <v>70103274</v>
          </cell>
          <cell r="C5723" t="str">
            <v>统一 小浣熊维吾尔烤肉干脆面 46G</v>
          </cell>
          <cell r="D5723">
            <v>21659</v>
          </cell>
          <cell r="E5723">
            <v>14464.46</v>
          </cell>
          <cell r="F5723">
            <v>0.75464424950367004</v>
          </cell>
        </row>
        <row r="5724">
          <cell r="B5724" t="str">
            <v>70116456</v>
          </cell>
          <cell r="C5724" t="str">
            <v>南街村 盒装热干面香辣味 262g</v>
          </cell>
          <cell r="D5724">
            <v>192</v>
          </cell>
          <cell r="E5724">
            <v>731.64</v>
          </cell>
          <cell r="F5724">
            <v>4.3060062500000003</v>
          </cell>
        </row>
        <row r="5725">
          <cell r="B5725" t="str">
            <v>70116457</v>
          </cell>
          <cell r="C5725" t="str">
            <v>南街村 热干面牛肉味 262G</v>
          </cell>
          <cell r="D5725">
            <v>156</v>
          </cell>
          <cell r="E5725">
            <v>594.20000000000005</v>
          </cell>
          <cell r="F5725">
            <v>4.3041410256410302</v>
          </cell>
        </row>
        <row r="5726">
          <cell r="B5726" t="str">
            <v>70117149</v>
          </cell>
          <cell r="C5726" t="str">
            <v>南街村 热干面原味 262g</v>
          </cell>
          <cell r="D5726">
            <v>162</v>
          </cell>
          <cell r="E5726">
            <v>619.86</v>
          </cell>
          <cell r="F5726">
            <v>4.3237148148148101</v>
          </cell>
        </row>
        <row r="5727">
          <cell r="B5727" t="str">
            <v>70122359</v>
          </cell>
          <cell r="C5727" t="str">
            <v>千百度 风味豆干腊香味 130G</v>
          </cell>
          <cell r="D5727">
            <v>15</v>
          </cell>
          <cell r="E5727">
            <v>89.69</v>
          </cell>
          <cell r="F5727">
            <v>6.7566466666666702</v>
          </cell>
        </row>
        <row r="5728">
          <cell r="B5728" t="str">
            <v>70123697</v>
          </cell>
          <cell r="C5728" t="str">
            <v>宗振 野山椒泡椒蛋 80G</v>
          </cell>
          <cell r="D5728">
            <v>3145</v>
          </cell>
          <cell r="E5728">
            <v>9562.2900000000009</v>
          </cell>
          <cell r="F5728">
            <v>3.4357353577106502</v>
          </cell>
        </row>
        <row r="5729">
          <cell r="B5729" t="str">
            <v>70135006</v>
          </cell>
          <cell r="C5729" t="str">
            <v>双汇 鸡肉肠 135G</v>
          </cell>
          <cell r="D5729">
            <v>54</v>
          </cell>
          <cell r="E5729">
            <v>128.22</v>
          </cell>
          <cell r="F5729">
            <v>2.6831222222222202</v>
          </cell>
        </row>
        <row r="5730">
          <cell r="B5730" t="str">
            <v>70139821</v>
          </cell>
          <cell r="C5730" t="str">
            <v>双汇 马可波罗 65g</v>
          </cell>
          <cell r="D5730">
            <v>390</v>
          </cell>
          <cell r="E5730">
            <v>748.99</v>
          </cell>
          <cell r="F5730">
            <v>2.1701505128205101</v>
          </cell>
        </row>
        <row r="5731">
          <cell r="B5731" t="str">
            <v>70154231</v>
          </cell>
          <cell r="C5731" t="str">
            <v>银鹭 好粥道薏仁红豆粥 280G</v>
          </cell>
          <cell r="D5731">
            <v>3976</v>
          </cell>
          <cell r="E5731">
            <v>12546</v>
          </cell>
          <cell r="F5731">
            <v>3.56563883299799</v>
          </cell>
        </row>
        <row r="5732">
          <cell r="B5732" t="str">
            <v>70154232</v>
          </cell>
          <cell r="C5732" t="str">
            <v>银鹭 椰奶燕麦粥 280ML</v>
          </cell>
          <cell r="D5732">
            <v>2920</v>
          </cell>
          <cell r="E5732">
            <v>9221.36</v>
          </cell>
          <cell r="F5732">
            <v>3.56854</v>
          </cell>
        </row>
        <row r="5733">
          <cell r="B5733" t="str">
            <v>70156323</v>
          </cell>
          <cell r="C5733" t="str">
            <v>宏民 土老冒香干 150G</v>
          </cell>
          <cell r="D5733">
            <v>97</v>
          </cell>
          <cell r="E5733">
            <v>500.55</v>
          </cell>
          <cell r="F5733">
            <v>5.8311494845360796</v>
          </cell>
        </row>
        <row r="5734">
          <cell r="B5734" t="str">
            <v>70157734</v>
          </cell>
          <cell r="C5734" t="str">
            <v>无品牌 自制煮茶叶蛋 个</v>
          </cell>
          <cell r="D5734">
            <v>17400</v>
          </cell>
          <cell r="E5734">
            <v>26100</v>
          </cell>
          <cell r="F5734">
            <v>1.6950000000000001</v>
          </cell>
        </row>
        <row r="5735">
          <cell r="B5735" t="str">
            <v>70165693</v>
          </cell>
          <cell r="C5735" t="str">
            <v>宗振 八珍三粒卤蛋 120G</v>
          </cell>
          <cell r="D5735">
            <v>4688</v>
          </cell>
          <cell r="E5735">
            <v>14104.53</v>
          </cell>
          <cell r="F5735">
            <v>3.3997693899317398</v>
          </cell>
        </row>
        <row r="5736">
          <cell r="B5736" t="str">
            <v>70168723</v>
          </cell>
          <cell r="C5736" t="str">
            <v>吉香居 野山椒海带丝 88G</v>
          </cell>
          <cell r="D5736">
            <v>1067</v>
          </cell>
          <cell r="E5736">
            <v>2127.52</v>
          </cell>
          <cell r="F5736">
            <v>2.2531373945642001</v>
          </cell>
        </row>
        <row r="5737">
          <cell r="B5737" t="str">
            <v>70185111</v>
          </cell>
          <cell r="C5737" t="str">
            <v>康师傅 酸辣牛肉面桶装 124g</v>
          </cell>
          <cell r="D5737">
            <v>82</v>
          </cell>
          <cell r="E5737">
            <v>288.97000000000003</v>
          </cell>
          <cell r="F5737">
            <v>3.9821475609756098</v>
          </cell>
        </row>
        <row r="5738">
          <cell r="B5738" t="str">
            <v>70189266</v>
          </cell>
          <cell r="C5738" t="str">
            <v>友伦 野山椒泡凤爪 260G</v>
          </cell>
          <cell r="D5738">
            <v>0</v>
          </cell>
          <cell r="E5738">
            <v>0</v>
          </cell>
          <cell r="F5738" t="e">
            <v>#DIV/0!</v>
          </cell>
        </row>
        <row r="5739">
          <cell r="B5739" t="str">
            <v>70192313</v>
          </cell>
          <cell r="C5739" t="str">
            <v>卫龙 大面筋香辣味 102g</v>
          </cell>
          <cell r="D5739">
            <v>0</v>
          </cell>
          <cell r="E5739">
            <v>0</v>
          </cell>
          <cell r="F5739" t="e">
            <v>#DIV/0!</v>
          </cell>
        </row>
        <row r="5740">
          <cell r="B5740" t="str">
            <v>70195195</v>
          </cell>
          <cell r="C5740" t="str">
            <v>金锣 鸡肉肠 120G</v>
          </cell>
          <cell r="D5740">
            <v>433</v>
          </cell>
          <cell r="E5740">
            <v>839.67</v>
          </cell>
          <cell r="F5740">
            <v>2.1912866050808302</v>
          </cell>
        </row>
        <row r="5741">
          <cell r="B5741" t="str">
            <v>70211412</v>
          </cell>
          <cell r="C5741" t="str">
            <v>千百度 香卤豆干五香味 90G</v>
          </cell>
          <cell r="D5741">
            <v>1048</v>
          </cell>
          <cell r="E5741">
            <v>3060.85</v>
          </cell>
          <cell r="F5741">
            <v>3.3003439885496202</v>
          </cell>
        </row>
        <row r="5742">
          <cell r="B5742" t="str">
            <v>70219336</v>
          </cell>
          <cell r="C5742" t="str">
            <v>康师傅 干拌盒酸菜牛肉 160g</v>
          </cell>
          <cell r="D5742">
            <v>650</v>
          </cell>
          <cell r="E5742">
            <v>2715.36</v>
          </cell>
          <cell r="F5742">
            <v>4.7205489230769198</v>
          </cell>
        </row>
        <row r="5743">
          <cell r="B5743" t="str">
            <v>70220781</v>
          </cell>
          <cell r="C5743" t="str">
            <v>双汇 王中王火腿肠 68G</v>
          </cell>
          <cell r="D5743">
            <v>146</v>
          </cell>
          <cell r="E5743">
            <v>334.08</v>
          </cell>
          <cell r="F5743">
            <v>2.58568767123288</v>
          </cell>
        </row>
        <row r="5744">
          <cell r="B5744" t="str">
            <v>70226613</v>
          </cell>
          <cell r="C5744" t="str">
            <v>统一 小浣熊摇摇乐意大利红烩味干脆面 50G</v>
          </cell>
          <cell r="D5744">
            <v>12820</v>
          </cell>
          <cell r="E5744">
            <v>8572.52</v>
          </cell>
          <cell r="F5744">
            <v>0.75561213728549104</v>
          </cell>
        </row>
        <row r="5745">
          <cell r="B5745" t="str">
            <v>70227227</v>
          </cell>
          <cell r="C5745" t="str">
            <v>小白家 酸辣粉丝 425G</v>
          </cell>
          <cell r="D5745">
            <v>30</v>
          </cell>
          <cell r="E5745">
            <v>452.8</v>
          </cell>
          <cell r="F5745">
            <v>17.0554666666667</v>
          </cell>
        </row>
        <row r="5746">
          <cell r="B5746" t="str">
            <v>70236518</v>
          </cell>
          <cell r="C5746" t="str">
            <v>乌江 山椒海带丝 70G</v>
          </cell>
          <cell r="D5746">
            <v>1538</v>
          </cell>
          <cell r="E5746">
            <v>2947.19</v>
          </cell>
          <cell r="F5746">
            <v>2.1653606631989599</v>
          </cell>
        </row>
        <row r="5747">
          <cell r="B5747" t="str">
            <v>70236519</v>
          </cell>
          <cell r="C5747" t="str">
            <v>乌江 麻辣萝卜 60G</v>
          </cell>
          <cell r="D5747">
            <v>2047</v>
          </cell>
          <cell r="E5747">
            <v>2637.3</v>
          </cell>
          <cell r="F5747">
            <v>1.4558617489008301</v>
          </cell>
        </row>
        <row r="5748">
          <cell r="B5748" t="str">
            <v>70236521</v>
          </cell>
          <cell r="C5748" t="str">
            <v>乌江 鲜香海带丝 70G</v>
          </cell>
          <cell r="D5748">
            <v>1515</v>
          </cell>
          <cell r="E5748">
            <v>2895.23</v>
          </cell>
          <cell r="F5748">
            <v>2.15947848184818</v>
          </cell>
        </row>
        <row r="5749">
          <cell r="B5749" t="str">
            <v>70236530</v>
          </cell>
          <cell r="C5749" t="str">
            <v>双汇 清真牛肉肠 120G</v>
          </cell>
          <cell r="D5749">
            <v>374</v>
          </cell>
          <cell r="E5749">
            <v>668.43</v>
          </cell>
          <cell r="F5749">
            <v>2.0195879679144402</v>
          </cell>
        </row>
        <row r="5750">
          <cell r="B5750" t="str">
            <v>70242510</v>
          </cell>
          <cell r="C5750" t="str">
            <v>快餐 台式纯肉肠 60G</v>
          </cell>
          <cell r="D5750">
            <v>428</v>
          </cell>
          <cell r="E5750">
            <v>1348.39</v>
          </cell>
          <cell r="F5750">
            <v>3.5600016355140198</v>
          </cell>
        </row>
        <row r="5751">
          <cell r="B5751" t="str">
            <v>70244682</v>
          </cell>
          <cell r="C5751" t="str">
            <v>南街村 红油凉拌面 248G</v>
          </cell>
          <cell r="D5751">
            <v>0</v>
          </cell>
          <cell r="E5751">
            <v>0</v>
          </cell>
          <cell r="F5751" t="e">
            <v>#DIV/0!</v>
          </cell>
        </row>
        <row r="5752">
          <cell r="B5752" t="str">
            <v>70251154</v>
          </cell>
          <cell r="C5752" t="str">
            <v>劲仔 厚豆干泡椒味 20g</v>
          </cell>
          <cell r="D5752">
            <v>0</v>
          </cell>
          <cell r="E5752">
            <v>0</v>
          </cell>
          <cell r="F5752" t="e">
            <v>#DIV/0!</v>
          </cell>
        </row>
        <row r="5753">
          <cell r="B5753" t="str">
            <v>70253464</v>
          </cell>
          <cell r="C5753" t="str">
            <v>统一 摇摇乐干吃面烤翅 50G</v>
          </cell>
          <cell r="D5753">
            <v>17824</v>
          </cell>
          <cell r="E5753">
            <v>11905.84</v>
          </cell>
          <cell r="F5753">
            <v>0.75480246858168798</v>
          </cell>
        </row>
        <row r="5754">
          <cell r="B5754" t="str">
            <v>70253712</v>
          </cell>
          <cell r="C5754" t="str">
            <v>康师傅BIG红烧牛肉面151g</v>
          </cell>
          <cell r="D5754">
            <v>3907</v>
          </cell>
          <cell r="E5754">
            <v>16475.78</v>
          </cell>
          <cell r="F5754">
            <v>4.76519872024571</v>
          </cell>
        </row>
        <row r="5755">
          <cell r="B5755" t="str">
            <v>70253913</v>
          </cell>
          <cell r="C5755" t="str">
            <v>唐布拉 熏马肠 208G</v>
          </cell>
          <cell r="D5755">
            <v>4</v>
          </cell>
          <cell r="E5755">
            <v>79.650000000000006</v>
          </cell>
          <cell r="F5755">
            <v>22.501124999999998</v>
          </cell>
        </row>
        <row r="5756">
          <cell r="B5756" t="str">
            <v>70253917</v>
          </cell>
          <cell r="C5756" t="str">
            <v>唐布拉 熏马肉 488G</v>
          </cell>
          <cell r="D5756">
            <v>4</v>
          </cell>
          <cell r="E5756">
            <v>169.09</v>
          </cell>
          <cell r="F5756">
            <v>47.767924999999998</v>
          </cell>
        </row>
        <row r="5757">
          <cell r="B5757" t="str">
            <v>70254034</v>
          </cell>
          <cell r="C5757" t="str">
            <v>尚吧 香辣腿 95G</v>
          </cell>
          <cell r="D5757">
            <v>136</v>
          </cell>
          <cell r="E5757">
            <v>846.17</v>
          </cell>
          <cell r="F5757">
            <v>7.0306772058823501</v>
          </cell>
        </row>
        <row r="5758">
          <cell r="B5758" t="str">
            <v>70259029</v>
          </cell>
          <cell r="C5758" t="str">
            <v>康师傅 经典红烧牛肉 113g/桶</v>
          </cell>
          <cell r="D5758">
            <v>5467</v>
          </cell>
          <cell r="E5758">
            <v>19410.82</v>
          </cell>
          <cell r="F5758">
            <v>4.0121138832997998</v>
          </cell>
        </row>
        <row r="5759">
          <cell r="B5759" t="str">
            <v>70260986</v>
          </cell>
          <cell r="C5759" t="str">
            <v>乌江 涪陵榨菜鲜脆菜丝（清爽） 70g</v>
          </cell>
          <cell r="D5759">
            <v>1393</v>
          </cell>
          <cell r="E5759">
            <v>2659.29</v>
          </cell>
          <cell r="F5759">
            <v>2.1572129935391202</v>
          </cell>
        </row>
        <row r="5760">
          <cell r="B5760" t="str">
            <v>70262067</v>
          </cell>
          <cell r="C5760" t="str">
            <v>今麦郎 1桶半红烧牛肉 136g</v>
          </cell>
          <cell r="D5760">
            <v>15</v>
          </cell>
          <cell r="E5760">
            <v>46.5</v>
          </cell>
          <cell r="F5760">
            <v>3.5030000000000001</v>
          </cell>
        </row>
        <row r="5761">
          <cell r="B5761" t="str">
            <v>70263283</v>
          </cell>
          <cell r="C5761" t="str">
            <v>川南 川南经典牛肉下饭香 210G</v>
          </cell>
          <cell r="D5761">
            <v>178</v>
          </cell>
          <cell r="E5761">
            <v>1520.12</v>
          </cell>
          <cell r="F5761">
            <v>9.6501999999999999</v>
          </cell>
        </row>
        <row r="5762">
          <cell r="B5762" t="str">
            <v>70265123</v>
          </cell>
          <cell r="C5762" t="str">
            <v>卫龙 魔芋爽香辣素毛肚 150g/袋</v>
          </cell>
          <cell r="D5762">
            <v>146</v>
          </cell>
          <cell r="E5762">
            <v>1370.57</v>
          </cell>
          <cell r="F5762">
            <v>10.6078363013699</v>
          </cell>
        </row>
        <row r="5763">
          <cell r="B5763" t="str">
            <v>70269411</v>
          </cell>
          <cell r="C5763" t="str">
            <v>贤哥 盐焗鸡蛋 30G</v>
          </cell>
          <cell r="D5763">
            <v>24</v>
          </cell>
          <cell r="E5763">
            <v>36.21</v>
          </cell>
          <cell r="F5763">
            <v>1.7048874999999999</v>
          </cell>
        </row>
        <row r="5764">
          <cell r="B5764" t="str">
            <v>70271155</v>
          </cell>
          <cell r="C5764" t="str">
            <v>金锣 肉粒多特级 100G</v>
          </cell>
          <cell r="D5764">
            <v>6895</v>
          </cell>
          <cell r="E5764">
            <v>19084.349999999999</v>
          </cell>
          <cell r="F5764">
            <v>3.1276744742567102</v>
          </cell>
        </row>
        <row r="5765">
          <cell r="B5765" t="str">
            <v>70274202</v>
          </cell>
          <cell r="C5765" t="str">
            <v>双汇 清真鸡肉香肠 120G</v>
          </cell>
          <cell r="D5765">
            <v>524</v>
          </cell>
          <cell r="E5765">
            <v>1052.52</v>
          </cell>
          <cell r="F5765">
            <v>2.2697473282442702</v>
          </cell>
        </row>
        <row r="5766">
          <cell r="B5766" t="str">
            <v>70275664</v>
          </cell>
          <cell r="C5766" t="str">
            <v>南街村鲜拌面 255G</v>
          </cell>
          <cell r="D5766">
            <v>109</v>
          </cell>
          <cell r="E5766">
            <v>475.05</v>
          </cell>
          <cell r="F5766">
            <v>4.9248302752293602</v>
          </cell>
        </row>
        <row r="5767">
          <cell r="B5767" t="str">
            <v>70279331</v>
          </cell>
          <cell r="C5767" t="str">
            <v>今麦郎 刀削宽红烧面 80g</v>
          </cell>
          <cell r="D5767">
            <v>2153</v>
          </cell>
          <cell r="E5767">
            <v>7878.03</v>
          </cell>
          <cell r="F5767">
            <v>4.1347765443567104</v>
          </cell>
        </row>
        <row r="5768">
          <cell r="B5768" t="str">
            <v>70279332</v>
          </cell>
          <cell r="C5768" t="str">
            <v>今麦郎 酸辣牛肉刀削劲宽面 209G</v>
          </cell>
          <cell r="D5768">
            <v>1714</v>
          </cell>
          <cell r="E5768">
            <v>6267.03</v>
          </cell>
          <cell r="F5768">
            <v>4.1317058926487702</v>
          </cell>
        </row>
        <row r="5769">
          <cell r="B5769" t="str">
            <v>70279333</v>
          </cell>
          <cell r="C5769" t="str">
            <v>今麦郎 香辣牛肉刀削劲宽面 208G</v>
          </cell>
          <cell r="D5769">
            <v>1908</v>
          </cell>
          <cell r="E5769">
            <v>6983.07</v>
          </cell>
          <cell r="F5769">
            <v>4.1356756289308203</v>
          </cell>
        </row>
        <row r="5770">
          <cell r="B5770" t="str">
            <v>70281067</v>
          </cell>
          <cell r="C5770" t="str">
            <v>千百度 啦丝麻辣豆干 105G</v>
          </cell>
          <cell r="D5770">
            <v>696</v>
          </cell>
          <cell r="E5770">
            <v>3238.14</v>
          </cell>
          <cell r="F5770">
            <v>5.2573249999999998</v>
          </cell>
        </row>
        <row r="5771">
          <cell r="B5771" t="str">
            <v>70281101</v>
          </cell>
          <cell r="C5771" t="str">
            <v>啃馋你 辣霸天下鸭掌 46G</v>
          </cell>
          <cell r="D5771">
            <v>16</v>
          </cell>
          <cell r="E5771">
            <v>78.36</v>
          </cell>
          <cell r="F5771">
            <v>5.5341750000000003</v>
          </cell>
        </row>
        <row r="5772">
          <cell r="B5772" t="str">
            <v>70281103</v>
          </cell>
          <cell r="C5772" t="str">
            <v>啃馋你 辣霸天下鸭翅 56G</v>
          </cell>
          <cell r="D5772">
            <v>38</v>
          </cell>
          <cell r="E5772">
            <v>187.29</v>
          </cell>
          <cell r="F5772">
            <v>5.5694131578947399</v>
          </cell>
        </row>
        <row r="5773">
          <cell r="B5773" t="str">
            <v>70281104</v>
          </cell>
          <cell r="C5773" t="str">
            <v>啃馋你 辣霸天下鸭脖 42G</v>
          </cell>
          <cell r="D5773">
            <v>16</v>
          </cell>
          <cell r="E5773">
            <v>80.19</v>
          </cell>
          <cell r="F5773">
            <v>5.6634187499999999</v>
          </cell>
        </row>
        <row r="5774">
          <cell r="B5774" t="str">
            <v>70281917</v>
          </cell>
          <cell r="C5774" t="str">
            <v>无穷 虎皮爱辣鸡蛋 25g</v>
          </cell>
          <cell r="D5774">
            <v>2801</v>
          </cell>
          <cell r="E5774">
            <v>4441.04</v>
          </cell>
          <cell r="F5774">
            <v>1.79163698679043</v>
          </cell>
        </row>
        <row r="5775">
          <cell r="B5775" t="str">
            <v>70282359</v>
          </cell>
          <cell r="C5775" t="str">
            <v>今麦郎 一桶半香辣牛肉面 137g</v>
          </cell>
          <cell r="D5775">
            <v>12</v>
          </cell>
          <cell r="E5775">
            <v>37.200000000000003</v>
          </cell>
          <cell r="F5775">
            <v>3.5030000000000001</v>
          </cell>
        </row>
        <row r="5776">
          <cell r="B5776" t="str">
            <v>70282568</v>
          </cell>
          <cell r="C5776" t="str">
            <v>乌江 下饭菜红油豇豆 120G</v>
          </cell>
          <cell r="D5776">
            <v>1406</v>
          </cell>
          <cell r="E5776">
            <v>3448.83</v>
          </cell>
          <cell r="F5776">
            <v>2.7718192745376902</v>
          </cell>
        </row>
        <row r="5777">
          <cell r="B5777" t="str">
            <v>70283804</v>
          </cell>
          <cell r="C5777" t="str">
            <v>统一 藤椒牛肉桶 105G</v>
          </cell>
          <cell r="D5777">
            <v>8471</v>
          </cell>
          <cell r="E5777">
            <v>22404.14</v>
          </cell>
          <cell r="F5777">
            <v>2.9886292291346899</v>
          </cell>
        </row>
        <row r="5778">
          <cell r="B5778" t="str">
            <v>70290655</v>
          </cell>
          <cell r="C5778" t="str">
            <v>乌江 红油榨菜 80g</v>
          </cell>
          <cell r="D5778">
            <v>1487</v>
          </cell>
          <cell r="E5778">
            <v>3316.32</v>
          </cell>
          <cell r="F5778">
            <v>2.5201355749831902</v>
          </cell>
        </row>
        <row r="5779">
          <cell r="B5779" t="str">
            <v>70292037</v>
          </cell>
          <cell r="C5779" t="str">
            <v>双汇 鱼肉火腿肠 35g</v>
          </cell>
          <cell r="D5779">
            <v>185</v>
          </cell>
          <cell r="E5779">
            <v>166.55</v>
          </cell>
          <cell r="F5779">
            <v>1.01730540540541</v>
          </cell>
        </row>
        <row r="5780">
          <cell r="B5780" t="str">
            <v>70292786</v>
          </cell>
          <cell r="C5780" t="str">
            <v>康师傅 大食桶麻辣牛肉 145G</v>
          </cell>
          <cell r="D5780">
            <v>1532</v>
          </cell>
          <cell r="E5780">
            <v>6427.71</v>
          </cell>
          <cell r="F5780">
            <v>4.7410654699738899</v>
          </cell>
        </row>
        <row r="5781">
          <cell r="B5781" t="str">
            <v>70292787</v>
          </cell>
          <cell r="C5781" t="str">
            <v>康师傅 大食桶酸菜牛肉 161G</v>
          </cell>
          <cell r="D5781">
            <v>144</v>
          </cell>
          <cell r="E5781">
            <v>501.87</v>
          </cell>
          <cell r="F5781">
            <v>3.9382854166666701</v>
          </cell>
        </row>
        <row r="5782">
          <cell r="B5782" t="str">
            <v>70292788</v>
          </cell>
          <cell r="C5782" t="str">
            <v>康师傅 大食桶油泼辣子牛肉 165G</v>
          </cell>
          <cell r="D5782">
            <v>2485</v>
          </cell>
          <cell r="E5782">
            <v>10474.85</v>
          </cell>
          <cell r="F5782">
            <v>4.7632114688128802</v>
          </cell>
        </row>
        <row r="5783">
          <cell r="B5783" t="str">
            <v>70296185</v>
          </cell>
          <cell r="C5783" t="str">
            <v>海底捞 麻辣嫩牛速食自热小火锅 405g</v>
          </cell>
          <cell r="D5783">
            <v>396</v>
          </cell>
          <cell r="E5783">
            <v>9462.35</v>
          </cell>
          <cell r="F5783">
            <v>27.0011502525252</v>
          </cell>
        </row>
        <row r="5784">
          <cell r="B5784" t="str">
            <v>70296186</v>
          </cell>
          <cell r="C5784" t="str">
            <v>海底捞 番茄牛腩自煮火锅套餐 365G</v>
          </cell>
          <cell r="D5784">
            <v>309</v>
          </cell>
          <cell r="E5784">
            <v>7388.81</v>
          </cell>
          <cell r="F5784">
            <v>27.020567313915901</v>
          </cell>
        </row>
        <row r="5785">
          <cell r="B5785" t="str">
            <v>70296187</v>
          </cell>
          <cell r="C5785" t="str">
            <v>海底捞 爽脆牛肚自煮火锅套餐 435g</v>
          </cell>
          <cell r="D5785">
            <v>307</v>
          </cell>
          <cell r="E5785">
            <v>7342.52</v>
          </cell>
          <cell r="F5785">
            <v>27.026213680781801</v>
          </cell>
        </row>
        <row r="5786">
          <cell r="B5786" t="str">
            <v>70298465</v>
          </cell>
          <cell r="C5786" t="str">
            <v>康师傅 香爆脆烤羊肉串威风包45g</v>
          </cell>
          <cell r="D5786">
            <v>17081</v>
          </cell>
          <cell r="E5786">
            <v>11104.23</v>
          </cell>
          <cell r="F5786">
            <v>0.73460452549616495</v>
          </cell>
        </row>
        <row r="5787">
          <cell r="B5787" t="str">
            <v>70304332</v>
          </cell>
          <cell r="C5787" t="str">
            <v>无穷 香卤鸡蛋 30g</v>
          </cell>
          <cell r="D5787">
            <v>3770</v>
          </cell>
          <cell r="E5787">
            <v>5686.14</v>
          </cell>
          <cell r="F5787">
            <v>1.7043337400530501</v>
          </cell>
        </row>
        <row r="5788">
          <cell r="B5788" t="str">
            <v>70310532</v>
          </cell>
          <cell r="C5788" t="str">
            <v>食族人 麻辣爆肚粉 150G</v>
          </cell>
          <cell r="D5788">
            <v>324</v>
          </cell>
          <cell r="E5788">
            <v>2556.6799999999998</v>
          </cell>
          <cell r="F5788">
            <v>8.9168160493827209</v>
          </cell>
        </row>
        <row r="5789">
          <cell r="B5789" t="str">
            <v>70311002</v>
          </cell>
          <cell r="C5789" t="str">
            <v>双汇 香卤鸡蛋 30G</v>
          </cell>
          <cell r="D5789">
            <v>3452</v>
          </cell>
          <cell r="E5789">
            <v>5568.95</v>
          </cell>
          <cell r="F5789">
            <v>1.82297610081112</v>
          </cell>
        </row>
        <row r="5790">
          <cell r="B5790" t="str">
            <v>70312902</v>
          </cell>
          <cell r="C5790" t="str">
            <v>今麦郎 1袋半红烧牛肉面 133g</v>
          </cell>
          <cell r="D5790">
            <v>2</v>
          </cell>
          <cell r="E5790">
            <v>3.54</v>
          </cell>
          <cell r="F5790">
            <v>2.0001000000000002</v>
          </cell>
        </row>
        <row r="5791">
          <cell r="B5791" t="str">
            <v>70314540</v>
          </cell>
          <cell r="C5791" t="str">
            <v>南街村 鲜拌火鸡面 252G</v>
          </cell>
          <cell r="D5791">
            <v>4</v>
          </cell>
          <cell r="E5791">
            <v>17.72</v>
          </cell>
          <cell r="F5791">
            <v>5.0058999999999996</v>
          </cell>
        </row>
        <row r="5792">
          <cell r="B5792" t="str">
            <v>70315240</v>
          </cell>
          <cell r="C5792" t="str">
            <v>白家 阿宽红油面皮 420G</v>
          </cell>
          <cell r="D5792">
            <v>118</v>
          </cell>
          <cell r="E5792">
            <v>1490.79</v>
          </cell>
          <cell r="F5792">
            <v>14.2762093220339</v>
          </cell>
        </row>
        <row r="5793">
          <cell r="B5793" t="str">
            <v>70316650</v>
          </cell>
          <cell r="C5793" t="str">
            <v>时时养 燕麦片 1000G</v>
          </cell>
          <cell r="D5793">
            <v>17</v>
          </cell>
          <cell r="E5793">
            <v>528.91</v>
          </cell>
          <cell r="F5793">
            <v>35.156958823529401</v>
          </cell>
        </row>
        <row r="5794">
          <cell r="B5794" t="str">
            <v>70316652</v>
          </cell>
          <cell r="C5794" t="str">
            <v>时时养 黑麦片 450G</v>
          </cell>
          <cell r="D5794">
            <v>30</v>
          </cell>
          <cell r="E5794">
            <v>434.2</v>
          </cell>
          <cell r="F5794">
            <v>16.354866666666702</v>
          </cell>
        </row>
        <row r="5795">
          <cell r="B5795" t="str">
            <v>70316653</v>
          </cell>
          <cell r="C5795" t="str">
            <v>时时养 燕麦片 450G</v>
          </cell>
          <cell r="D5795">
            <v>51</v>
          </cell>
          <cell r="E5795">
            <v>580.99</v>
          </cell>
          <cell r="F5795">
            <v>12.872915686274499</v>
          </cell>
        </row>
        <row r="5796">
          <cell r="B5796" t="str">
            <v>70317310</v>
          </cell>
          <cell r="C5796" t="str">
            <v>石奶奶 红烧桶装方便粉丝 桶</v>
          </cell>
          <cell r="D5796">
            <v>0</v>
          </cell>
          <cell r="E5796">
            <v>0</v>
          </cell>
          <cell r="F5796" t="e">
            <v>#DIV/0!</v>
          </cell>
        </row>
        <row r="5797">
          <cell r="B5797" t="str">
            <v>70317589</v>
          </cell>
          <cell r="C5797" t="str">
            <v>正大 孜然鸡柳 500G</v>
          </cell>
          <cell r="D5797">
            <v>54</v>
          </cell>
          <cell r="E5797">
            <v>548.17999999999995</v>
          </cell>
          <cell r="F5797">
            <v>11.471174074074099</v>
          </cell>
        </row>
        <row r="5798">
          <cell r="B5798" t="str">
            <v>70317997</v>
          </cell>
          <cell r="C5798" t="str">
            <v>统一 开小灶土豆煨牛腩盒 271g</v>
          </cell>
          <cell r="D5798">
            <v>7</v>
          </cell>
          <cell r="E5798">
            <v>113.75</v>
          </cell>
          <cell r="F5798">
            <v>18.362500000000001</v>
          </cell>
        </row>
        <row r="5799">
          <cell r="B5799" t="str">
            <v>70317998</v>
          </cell>
          <cell r="C5799" t="str">
            <v>统一 开小灶宫保鸡丁盒 271g</v>
          </cell>
          <cell r="D5799">
            <v>7</v>
          </cell>
          <cell r="E5799">
            <v>113.75</v>
          </cell>
          <cell r="F5799">
            <v>18.362500000000001</v>
          </cell>
        </row>
        <row r="5800">
          <cell r="B5800" t="str">
            <v>70318123</v>
          </cell>
          <cell r="C5800" t="str">
            <v>石奶奶 大拉皮 150克/袋</v>
          </cell>
          <cell r="D5800">
            <v>3</v>
          </cell>
          <cell r="E5800">
            <v>6.78</v>
          </cell>
          <cell r="F5800">
            <v>2.5537999999999998</v>
          </cell>
        </row>
        <row r="5801">
          <cell r="B5801" t="str">
            <v>70320734</v>
          </cell>
          <cell r="C5801" t="str">
            <v>味聚特 豇豆下饭菜(香辣味) 80G</v>
          </cell>
          <cell r="D5801">
            <v>431</v>
          </cell>
          <cell r="E5801">
            <v>1054.46</v>
          </cell>
          <cell r="F5801">
            <v>2.7645935034802802</v>
          </cell>
        </row>
        <row r="5802">
          <cell r="B5802" t="str">
            <v>70322397</v>
          </cell>
          <cell r="C5802" t="str">
            <v>润成 卤蛋 30G</v>
          </cell>
          <cell r="D5802">
            <v>11404</v>
          </cell>
          <cell r="E5802">
            <v>13188.3</v>
          </cell>
          <cell r="F5802">
            <v>1.30680278849526</v>
          </cell>
        </row>
        <row r="5803">
          <cell r="B5803" t="str">
            <v>70323744</v>
          </cell>
          <cell r="C5803" t="str">
            <v>莫小仙 酸辣粉 136G</v>
          </cell>
          <cell r="D5803">
            <v>757</v>
          </cell>
          <cell r="E5803">
            <v>3491.89</v>
          </cell>
          <cell r="F5803">
            <v>5.2124645970937902</v>
          </cell>
        </row>
        <row r="5804">
          <cell r="B5804" t="str">
            <v>70325674</v>
          </cell>
          <cell r="C5804" t="str">
            <v>金锣 火腿肠（鸡肉火腿肠） 60G</v>
          </cell>
          <cell r="D5804">
            <v>39993</v>
          </cell>
          <cell r="E5804">
            <v>36600.5</v>
          </cell>
          <cell r="F5804">
            <v>1.0341451003925699</v>
          </cell>
        </row>
        <row r="5805">
          <cell r="B5805" t="str">
            <v>70326566</v>
          </cell>
          <cell r="C5805" t="str">
            <v>小龙坎 番茄牛腩版 360G</v>
          </cell>
          <cell r="D5805">
            <v>5</v>
          </cell>
          <cell r="E5805">
            <v>120.55</v>
          </cell>
          <cell r="F5805">
            <v>27.244299999999999</v>
          </cell>
        </row>
        <row r="5806">
          <cell r="B5806" t="str">
            <v>70326572</v>
          </cell>
          <cell r="C5806" t="str">
            <v>小龙坎 酸辣粉 85G</v>
          </cell>
          <cell r="D5806">
            <v>580</v>
          </cell>
          <cell r="E5806">
            <v>2891.79</v>
          </cell>
          <cell r="F5806">
            <v>5.6340046551724097</v>
          </cell>
        </row>
        <row r="5807">
          <cell r="B5807" t="str">
            <v>70327137</v>
          </cell>
          <cell r="C5807" t="str">
            <v>双汇 藤椒风味香肠 70g</v>
          </cell>
          <cell r="D5807">
            <v>61</v>
          </cell>
          <cell r="E5807">
            <v>100.46</v>
          </cell>
          <cell r="F5807">
            <v>1.8609803278688499</v>
          </cell>
        </row>
        <row r="5808">
          <cell r="B5808" t="str">
            <v>70328538</v>
          </cell>
          <cell r="C5808" t="str">
            <v>味聚特 爽口下饭菜 105G</v>
          </cell>
          <cell r="D5808">
            <v>174</v>
          </cell>
          <cell r="E5808">
            <v>391.03</v>
          </cell>
          <cell r="F5808">
            <v>2.5394477011494301</v>
          </cell>
        </row>
        <row r="5809">
          <cell r="B5809" t="str">
            <v>70335649</v>
          </cell>
          <cell r="C5809" t="str">
            <v>润成 盐焗鸡蛋 30G</v>
          </cell>
          <cell r="D5809">
            <v>9747</v>
          </cell>
          <cell r="E5809">
            <v>11254.49</v>
          </cell>
          <cell r="F5809">
            <v>1.3047680004103801</v>
          </cell>
        </row>
        <row r="5810">
          <cell r="B5810" t="str">
            <v>70337061</v>
          </cell>
          <cell r="C5810" t="str">
            <v>小龙坎 金汤肥牛粉126G 1*12</v>
          </cell>
          <cell r="D5810">
            <v>2</v>
          </cell>
          <cell r="E5810">
            <v>10.8</v>
          </cell>
          <cell r="F5810">
            <v>6.1020000000000003</v>
          </cell>
        </row>
        <row r="5811">
          <cell r="B5811" t="str">
            <v>70338884</v>
          </cell>
          <cell r="C5811" t="str">
            <v>华味坊 酸汤面叶紫菜虾米味 110G</v>
          </cell>
          <cell r="D5811">
            <v>16</v>
          </cell>
          <cell r="E5811">
            <v>78.72</v>
          </cell>
          <cell r="F5811">
            <v>5.5595999999999997</v>
          </cell>
        </row>
        <row r="5812">
          <cell r="B5812" t="str">
            <v>70338886</v>
          </cell>
          <cell r="C5812" t="str">
            <v>华味坊 菌汤面叶营养菌汤味 102G</v>
          </cell>
          <cell r="D5812">
            <v>29</v>
          </cell>
          <cell r="E5812">
            <v>142.65</v>
          </cell>
          <cell r="F5812">
            <v>5.5584310344827603</v>
          </cell>
        </row>
        <row r="5813">
          <cell r="B5813" t="str">
            <v>70339844</v>
          </cell>
          <cell r="C5813" t="str">
            <v>白象 面饼120克红烧牛肉桶面 140g</v>
          </cell>
          <cell r="D5813">
            <v>1330</v>
          </cell>
          <cell r="E5813">
            <v>4733.2299999999996</v>
          </cell>
          <cell r="F5813">
            <v>4.0214660902255597</v>
          </cell>
        </row>
        <row r="5814">
          <cell r="B5814" t="str">
            <v>70339846</v>
          </cell>
          <cell r="C5814" t="str">
            <v>白象 面饼120克香辣牛肉桶面 142g</v>
          </cell>
          <cell r="D5814">
            <v>1499</v>
          </cell>
          <cell r="E5814">
            <v>5328.19</v>
          </cell>
          <cell r="F5814">
            <v>4.0165808539025996</v>
          </cell>
        </row>
        <row r="5815">
          <cell r="B5815" t="str">
            <v>70339848</v>
          </cell>
          <cell r="C5815" t="str">
            <v>白象面饼120克老坛酸菜牛肉桶面 160g</v>
          </cell>
          <cell r="D5815">
            <v>1180</v>
          </cell>
          <cell r="E5815">
            <v>4185.1000000000004</v>
          </cell>
          <cell r="F5815">
            <v>4.0077652542372899</v>
          </cell>
        </row>
        <row r="5816">
          <cell r="B5816" t="str">
            <v>70339850</v>
          </cell>
          <cell r="C5816" t="str">
            <v>白象 汤好喝招牌猪骨汤桶面 112g</v>
          </cell>
          <cell r="D5816">
            <v>969</v>
          </cell>
          <cell r="E5816">
            <v>3399.52</v>
          </cell>
          <cell r="F5816">
            <v>3.96435252837977</v>
          </cell>
        </row>
        <row r="5817">
          <cell r="B5817" t="str">
            <v>70339852</v>
          </cell>
          <cell r="C5817" t="str">
            <v>白象 汤好喝老母鸡汤桶面116G</v>
          </cell>
          <cell r="D5817">
            <v>1930</v>
          </cell>
          <cell r="E5817">
            <v>6799.24</v>
          </cell>
          <cell r="F5817">
            <v>3.9809021761658001</v>
          </cell>
        </row>
        <row r="5818">
          <cell r="B5818" t="str">
            <v>70339854</v>
          </cell>
          <cell r="C5818" t="str">
            <v>白象 汤好喝辣牛肉汤桶面 119g</v>
          </cell>
          <cell r="D5818">
            <v>1887</v>
          </cell>
          <cell r="E5818">
            <v>6655.8</v>
          </cell>
          <cell r="F5818">
            <v>3.9857201907790101</v>
          </cell>
        </row>
        <row r="5819">
          <cell r="B5819" t="str">
            <v>70354828</v>
          </cell>
          <cell r="C5819" t="str">
            <v>川南 麻辣萝卜干 81G</v>
          </cell>
          <cell r="D5819">
            <v>1664</v>
          </cell>
          <cell r="E5819">
            <v>3702.78</v>
          </cell>
          <cell r="F5819">
            <v>2.5145080528846102</v>
          </cell>
        </row>
        <row r="5820">
          <cell r="B5820" t="str">
            <v>70356185</v>
          </cell>
          <cell r="C5820" t="str">
            <v>海底捞 酸辣牛肚粉 160G</v>
          </cell>
          <cell r="D5820">
            <v>539</v>
          </cell>
          <cell r="E5820">
            <v>4779.01</v>
          </cell>
          <cell r="F5820">
            <v>10.0190747680891</v>
          </cell>
        </row>
        <row r="5821">
          <cell r="B5821" t="str">
            <v>70356187</v>
          </cell>
          <cell r="C5821" t="str">
            <v>海底捞 酸辣什锦粉 144g</v>
          </cell>
          <cell r="D5821">
            <v>1612</v>
          </cell>
          <cell r="E5821">
            <v>9283.1200000000008</v>
          </cell>
          <cell r="F5821">
            <v>6.5073980148883397</v>
          </cell>
        </row>
        <row r="5822">
          <cell r="B5822" t="str">
            <v>70356189</v>
          </cell>
          <cell r="C5822" t="str">
            <v>海底捞 番茄牛肉粉 147g</v>
          </cell>
          <cell r="D5822">
            <v>374</v>
          </cell>
          <cell r="E5822">
            <v>2979.43</v>
          </cell>
          <cell r="F5822">
            <v>9.0020211229946501</v>
          </cell>
        </row>
        <row r="5823">
          <cell r="B5823" t="str">
            <v>70360308</v>
          </cell>
          <cell r="C5823" t="str">
            <v>双汇 马可波罗特级火腿肠 80g</v>
          </cell>
          <cell r="D5823">
            <v>8662</v>
          </cell>
          <cell r="E5823">
            <v>21580.84</v>
          </cell>
          <cell r="F5823">
            <v>2.8153254675594601</v>
          </cell>
        </row>
        <row r="5824">
          <cell r="B5824" t="str">
            <v>70361785</v>
          </cell>
          <cell r="C5824" t="str">
            <v>吉香居 榨菜真芯(鲜香) 80G</v>
          </cell>
          <cell r="D5824">
            <v>1400</v>
          </cell>
          <cell r="E5824">
            <v>2791.14</v>
          </cell>
          <cell r="F5824">
            <v>2.2528487142857099</v>
          </cell>
        </row>
        <row r="5825">
          <cell r="B5825" t="str">
            <v>70361786</v>
          </cell>
          <cell r="C5825" t="str">
            <v>吉香居 清脆双笋 106G</v>
          </cell>
          <cell r="D5825">
            <v>1108</v>
          </cell>
          <cell r="E5825">
            <v>4031.75</v>
          </cell>
          <cell r="F5825">
            <v>4.1118027978339304</v>
          </cell>
        </row>
        <row r="5826">
          <cell r="B5826" t="str">
            <v>70363853</v>
          </cell>
          <cell r="C5826" t="str">
            <v>百草味 香辣卤藕 180G</v>
          </cell>
          <cell r="D5826">
            <v>756</v>
          </cell>
          <cell r="E5826">
            <v>3963.77</v>
          </cell>
          <cell r="F5826">
            <v>5.9246826719576697</v>
          </cell>
        </row>
        <row r="5827">
          <cell r="B5827" t="str">
            <v>70363871</v>
          </cell>
          <cell r="C5827" t="str">
            <v>百草味 香辣土豆片 210G</v>
          </cell>
          <cell r="D5827">
            <v>1147</v>
          </cell>
          <cell r="E5827">
            <v>7292.32</v>
          </cell>
          <cell r="F5827">
            <v>7.1842385353095004</v>
          </cell>
        </row>
        <row r="5828">
          <cell r="B5828" t="str">
            <v>70365371</v>
          </cell>
          <cell r="C5828" t="str">
            <v>好客湘 盐焗鸡蛋 30G</v>
          </cell>
          <cell r="D5828">
            <v>235</v>
          </cell>
          <cell r="E5828">
            <v>331.31</v>
          </cell>
          <cell r="F5828">
            <v>1.59310765957447</v>
          </cell>
        </row>
        <row r="5829">
          <cell r="B5829" t="str">
            <v>70365385</v>
          </cell>
          <cell r="C5829" t="str">
            <v>好客湘 卤香鸡蛋 30G</v>
          </cell>
          <cell r="D5829">
            <v>1080</v>
          </cell>
          <cell r="E5829">
            <v>1522.26</v>
          </cell>
          <cell r="F5829">
            <v>1.592735</v>
          </cell>
        </row>
        <row r="5830">
          <cell r="B5830" t="str">
            <v>70366212</v>
          </cell>
          <cell r="C5830" t="str">
            <v>双汇 润口香甜王香肠 65G</v>
          </cell>
          <cell r="D5830">
            <v>50</v>
          </cell>
          <cell r="E5830">
            <v>79.66</v>
          </cell>
          <cell r="F5830">
            <v>1.800316</v>
          </cell>
        </row>
        <row r="5831">
          <cell r="B5831" t="str">
            <v>70368732</v>
          </cell>
          <cell r="C5831" t="str">
            <v>老北京 麻辣方便面 70G</v>
          </cell>
          <cell r="D5831">
            <v>636</v>
          </cell>
          <cell r="E5831">
            <v>915.66</v>
          </cell>
          <cell r="F5831">
            <v>1.6268801886792399</v>
          </cell>
        </row>
        <row r="5832">
          <cell r="B5832" t="str">
            <v>70368852</v>
          </cell>
          <cell r="C5832" t="str">
            <v>万冠蛋坊 客家盐焗蛋 30G/袋</v>
          </cell>
          <cell r="D5832">
            <v>5533</v>
          </cell>
          <cell r="E5832">
            <v>7148.96</v>
          </cell>
          <cell r="F5832">
            <v>1.4600261702512201</v>
          </cell>
        </row>
        <row r="5833">
          <cell r="B5833" t="str">
            <v>70368854</v>
          </cell>
          <cell r="C5833" t="str">
            <v>万冠蛋坊 五香烤蛋 28G/袋</v>
          </cell>
          <cell r="D5833">
            <v>5115</v>
          </cell>
          <cell r="E5833">
            <v>6603.35</v>
          </cell>
          <cell r="F5833">
            <v>1.4588045943304</v>
          </cell>
        </row>
        <row r="5834">
          <cell r="B5834" t="str">
            <v>70368859</v>
          </cell>
          <cell r="C5834" t="str">
            <v>万冠蛋坊 客家盐焗鹌鹑蛋 112G/袋</v>
          </cell>
          <cell r="D5834">
            <v>446</v>
          </cell>
          <cell r="E5834">
            <v>3718.78</v>
          </cell>
          <cell r="F5834">
            <v>9.4220210762331806</v>
          </cell>
        </row>
        <row r="5835">
          <cell r="B5835" t="str">
            <v>70368861</v>
          </cell>
          <cell r="C5835" t="str">
            <v>万冠蛋坊 五香鹌鹑烤蛋 108G/袋</v>
          </cell>
          <cell r="D5835">
            <v>25</v>
          </cell>
          <cell r="E5835">
            <v>216.84</v>
          </cell>
          <cell r="F5835">
            <v>9.8011680000000005</v>
          </cell>
        </row>
        <row r="5836">
          <cell r="B5836" t="str">
            <v>70372627</v>
          </cell>
          <cell r="C5836" t="str">
            <v>莫小仙 煲仔饭菌菇牛肉 265G</v>
          </cell>
          <cell r="D5836">
            <v>428</v>
          </cell>
          <cell r="E5836">
            <v>3338.79</v>
          </cell>
          <cell r="F5836">
            <v>8.8150296728972002</v>
          </cell>
        </row>
        <row r="5837">
          <cell r="B5837" t="str">
            <v>70372628</v>
          </cell>
          <cell r="C5837" t="str">
            <v>莫小仙 煲仔饭台式卤肉 275G</v>
          </cell>
          <cell r="D5837">
            <v>11</v>
          </cell>
          <cell r="E5837">
            <v>89.4</v>
          </cell>
          <cell r="F5837">
            <v>9.1838181818181805</v>
          </cell>
        </row>
        <row r="5838">
          <cell r="B5838" t="str">
            <v>70375008</v>
          </cell>
          <cell r="C5838" t="str">
            <v>润成 鹌鹑蛋（盐焗味）138G/袋</v>
          </cell>
          <cell r="D5838">
            <v>2</v>
          </cell>
          <cell r="E5838">
            <v>14.88</v>
          </cell>
          <cell r="F5838">
            <v>8.4071999999999996</v>
          </cell>
        </row>
        <row r="5839">
          <cell r="B5839" t="str">
            <v>70375478</v>
          </cell>
          <cell r="C5839" t="str">
            <v>力诚 桶装王中王 80G</v>
          </cell>
          <cell r="D5839">
            <v>1846</v>
          </cell>
          <cell r="E5839">
            <v>3618.5</v>
          </cell>
          <cell r="F5839">
            <v>2.2150081256771399</v>
          </cell>
        </row>
        <row r="5840">
          <cell r="B5840" t="str">
            <v>70377393</v>
          </cell>
          <cell r="C5840" t="str">
            <v>莫小仙 老成都火锅 300G</v>
          </cell>
          <cell r="D5840">
            <v>543</v>
          </cell>
          <cell r="E5840">
            <v>4267.7</v>
          </cell>
          <cell r="F5840">
            <v>8.8812173112338808</v>
          </cell>
        </row>
        <row r="5841">
          <cell r="B5841" t="str">
            <v>70378522</v>
          </cell>
          <cell r="C5841" t="str">
            <v>莫小仙 麻辣烫 260G</v>
          </cell>
          <cell r="D5841">
            <v>568</v>
          </cell>
          <cell r="E5841">
            <v>4452.4399999999996</v>
          </cell>
          <cell r="F5841">
            <v>8.8578471830985901</v>
          </cell>
        </row>
        <row r="5842">
          <cell r="B5842" t="str">
            <v>70379046</v>
          </cell>
          <cell r="C5842" t="str">
            <v>莫小仙 煲仔饭 广味香肠 245g</v>
          </cell>
          <cell r="D5842">
            <v>0</v>
          </cell>
          <cell r="E5842">
            <v>0</v>
          </cell>
          <cell r="F5842" t="e">
            <v>#DIV/0!</v>
          </cell>
        </row>
        <row r="5843">
          <cell r="B5843" t="str">
            <v>70385648</v>
          </cell>
          <cell r="C5843" t="str">
            <v>螺香好客 袋装螺蛳粉 310G/袋</v>
          </cell>
          <cell r="D5843">
            <v>16</v>
          </cell>
          <cell r="E5843">
            <v>103.92</v>
          </cell>
          <cell r="F5843">
            <v>7.3393499999999996</v>
          </cell>
        </row>
        <row r="5844">
          <cell r="B5844" t="str">
            <v>70390772</v>
          </cell>
          <cell r="C5844" t="str">
            <v>今麦郎 桶面老坛酸菜牛肉面 120G</v>
          </cell>
          <cell r="D5844">
            <v>0</v>
          </cell>
          <cell r="E5844">
            <v>0</v>
          </cell>
          <cell r="F5844" t="e">
            <v>#DIV/0!</v>
          </cell>
        </row>
        <row r="5845">
          <cell r="B5845" t="str">
            <v>70392548</v>
          </cell>
          <cell r="C5845" t="str">
            <v>好欢螺 螺蛳粉（加辣加臭） 400G</v>
          </cell>
          <cell r="D5845">
            <v>0</v>
          </cell>
          <cell r="E5845">
            <v>0</v>
          </cell>
          <cell r="F5845" t="e">
            <v>#DIV/0!</v>
          </cell>
        </row>
        <row r="5846">
          <cell r="B5846" t="str">
            <v>70393816</v>
          </cell>
          <cell r="C5846" t="str">
            <v>阿宽 干拌红油面皮（麻辣）115g</v>
          </cell>
          <cell r="D5846">
            <v>363</v>
          </cell>
          <cell r="E5846">
            <v>1993.92</v>
          </cell>
          <cell r="F5846">
            <v>6.20696859504132</v>
          </cell>
        </row>
        <row r="5847">
          <cell r="B5847" t="str">
            <v>70394771</v>
          </cell>
          <cell r="C5847" t="str">
            <v>莫小仙 自热火锅（毛血旺） 340G/盒</v>
          </cell>
          <cell r="D5847">
            <v>4</v>
          </cell>
          <cell r="E5847">
            <v>32.51</v>
          </cell>
          <cell r="F5847">
            <v>9.184075</v>
          </cell>
        </row>
        <row r="5848">
          <cell r="B5848" t="str">
            <v>70395778</v>
          </cell>
          <cell r="C5848" t="str">
            <v>汤好喝 五合一招牌猪骨汤面 107.5g*5</v>
          </cell>
          <cell r="D5848">
            <v>0</v>
          </cell>
          <cell r="E5848">
            <v>0</v>
          </cell>
          <cell r="F5848" t="e">
            <v>#DIV/0!</v>
          </cell>
        </row>
        <row r="5849">
          <cell r="B5849" t="str">
            <v>70395779</v>
          </cell>
          <cell r="C5849" t="str">
            <v>汤好喝 五合一辣牛肉汤面 111.5g*5</v>
          </cell>
          <cell r="D5849">
            <v>2</v>
          </cell>
          <cell r="E5849">
            <v>23.48</v>
          </cell>
          <cell r="F5849">
            <v>13.2662</v>
          </cell>
        </row>
        <row r="5850">
          <cell r="B5850" t="str">
            <v>70403729</v>
          </cell>
          <cell r="C5850" t="str">
            <v>白象 拌乐多韩式甜辣火鸡面 119G</v>
          </cell>
          <cell r="D5850">
            <v>1308</v>
          </cell>
          <cell r="E5850">
            <v>5405.94</v>
          </cell>
          <cell r="F5850">
            <v>4.6702692660550502</v>
          </cell>
        </row>
        <row r="5851">
          <cell r="B5851" t="str">
            <v>70408275</v>
          </cell>
          <cell r="C5851" t="str">
            <v>大类 速食 0.1元/个</v>
          </cell>
          <cell r="D5851">
            <v>13570</v>
          </cell>
          <cell r="E5851">
            <v>1209.83</v>
          </cell>
          <cell r="F5851">
            <v>0.10074487103905699</v>
          </cell>
        </row>
        <row r="5852">
          <cell r="B5852" t="str">
            <v>70410610</v>
          </cell>
          <cell r="C5852" t="str">
            <v>莫小仙 煲仔饭（鱼香肉丝） 275G</v>
          </cell>
          <cell r="D5852">
            <v>414</v>
          </cell>
          <cell r="E5852">
            <v>3228.88</v>
          </cell>
          <cell r="F5852">
            <v>8.8131265700483095</v>
          </cell>
        </row>
        <row r="5853">
          <cell r="B5853" t="str">
            <v>70411274</v>
          </cell>
          <cell r="C5853" t="str">
            <v>无穷 盐焗鹌鹑蛋 70g</v>
          </cell>
          <cell r="D5853">
            <v>526</v>
          </cell>
          <cell r="E5853">
            <v>3658.6</v>
          </cell>
          <cell r="F5853">
            <v>7.8597300380228097</v>
          </cell>
        </row>
        <row r="5854">
          <cell r="B5854" t="str">
            <v>70411633</v>
          </cell>
          <cell r="C5854" t="str">
            <v>统一 茄皇番茄鸡蛋面桶面 120G</v>
          </cell>
          <cell r="D5854">
            <v>5984</v>
          </cell>
          <cell r="E5854">
            <v>19784.93</v>
          </cell>
          <cell r="F5854">
            <v>3.7361248161764702</v>
          </cell>
        </row>
        <row r="5855">
          <cell r="B5855" t="str">
            <v>70412043</v>
          </cell>
          <cell r="C5855" t="str">
            <v>统一 茄皇番茄牛肉面桶面 128G</v>
          </cell>
          <cell r="D5855">
            <v>3215</v>
          </cell>
          <cell r="E5855">
            <v>10630.37</v>
          </cell>
          <cell r="F5855">
            <v>3.73633533437014</v>
          </cell>
        </row>
        <row r="5856">
          <cell r="B5856" t="str">
            <v>70414129</v>
          </cell>
          <cell r="C5856" t="str">
            <v>百开提 麻辣桶面 103G</v>
          </cell>
          <cell r="D5856">
            <v>8444</v>
          </cell>
          <cell r="E5856">
            <v>24247.88</v>
          </cell>
          <cell r="F5856">
            <v>3.2449199905258199</v>
          </cell>
        </row>
        <row r="5857">
          <cell r="B5857" t="str">
            <v>70417144</v>
          </cell>
          <cell r="C5857" t="str">
            <v>力诚 匠烤好蛋 600G</v>
          </cell>
          <cell r="D5857">
            <v>6</v>
          </cell>
          <cell r="E5857">
            <v>7.98</v>
          </cell>
          <cell r="F5857">
            <v>1.5028999999999999</v>
          </cell>
        </row>
        <row r="5858">
          <cell r="B5858" t="str">
            <v>70418494</v>
          </cell>
          <cell r="C5858" t="str">
            <v>乌江 脆口榨菜芯 88g</v>
          </cell>
          <cell r="D5858">
            <v>1766</v>
          </cell>
          <cell r="E5858">
            <v>3937.03</v>
          </cell>
          <cell r="F5858">
            <v>2.5191641562853899</v>
          </cell>
        </row>
        <row r="5859">
          <cell r="B5859" t="str">
            <v>70418612</v>
          </cell>
          <cell r="C5859" t="str">
            <v>海底捞 自热红烧牛肉方便米饭 272G</v>
          </cell>
          <cell r="D5859">
            <v>46</v>
          </cell>
          <cell r="E5859">
            <v>529.30999999999995</v>
          </cell>
          <cell r="F5859">
            <v>13.0026152173913</v>
          </cell>
        </row>
        <row r="5860">
          <cell r="B5860" t="str">
            <v>70418613</v>
          </cell>
          <cell r="C5860" t="str">
            <v>海底捞 自热咖喱牛肉方便米饭 272G</v>
          </cell>
          <cell r="D5860">
            <v>69</v>
          </cell>
          <cell r="E5860">
            <v>793.87</v>
          </cell>
          <cell r="F5860">
            <v>13.0010594202899</v>
          </cell>
        </row>
        <row r="5861">
          <cell r="B5861" t="str">
            <v>70426695</v>
          </cell>
          <cell r="C5861" t="str">
            <v>禧安 椒鲜辣椒酱 220G</v>
          </cell>
          <cell r="D5861">
            <v>13</v>
          </cell>
          <cell r="E5861">
            <v>103.69</v>
          </cell>
          <cell r="F5861">
            <v>9.0130538461538396</v>
          </cell>
        </row>
        <row r="5862">
          <cell r="B5862" t="str">
            <v>70428721</v>
          </cell>
          <cell r="C5862" t="str">
            <v>双汇鱼香肉丝拌饭150G</v>
          </cell>
          <cell r="D5862">
            <v>188</v>
          </cell>
          <cell r="E5862">
            <v>1196.6600000000001</v>
          </cell>
          <cell r="F5862">
            <v>7.19269042553191</v>
          </cell>
        </row>
        <row r="5863">
          <cell r="B5863" t="str">
            <v>70428722</v>
          </cell>
          <cell r="C5863" t="str">
            <v>双汇香菇红烧肉拌饭 150g</v>
          </cell>
          <cell r="D5863">
            <v>177</v>
          </cell>
          <cell r="E5863">
            <v>1128.24</v>
          </cell>
          <cell r="F5863">
            <v>7.2028881355932199</v>
          </cell>
        </row>
        <row r="5864">
          <cell r="B5864" t="str">
            <v>70428723</v>
          </cell>
          <cell r="C5864" t="str">
            <v>双汇笋丁拌饭 150G</v>
          </cell>
          <cell r="D5864">
            <v>135</v>
          </cell>
          <cell r="E5864">
            <v>862.8</v>
          </cell>
          <cell r="F5864">
            <v>7.2219555555555504</v>
          </cell>
        </row>
        <row r="5865">
          <cell r="B5865" t="str">
            <v>70428724</v>
          </cell>
          <cell r="C5865" t="str">
            <v>双汇藤椒鸡肉拌饭 150G</v>
          </cell>
          <cell r="D5865">
            <v>158</v>
          </cell>
          <cell r="E5865">
            <v>1007.25</v>
          </cell>
          <cell r="F5865">
            <v>7.2037500000000003</v>
          </cell>
        </row>
        <row r="5866">
          <cell r="B5866" t="str">
            <v>70429618</v>
          </cell>
          <cell r="C5866" t="str">
            <v>贤哥 盐焗味鹌鹑蛋 25G</v>
          </cell>
          <cell r="D5866">
            <v>11</v>
          </cell>
          <cell r="E5866">
            <v>16.47</v>
          </cell>
          <cell r="F5866">
            <v>1.6919181818181801</v>
          </cell>
        </row>
        <row r="5867">
          <cell r="B5867" t="str">
            <v>70435043</v>
          </cell>
          <cell r="C5867" t="str">
            <v>力诚 台式烤香肠 72G</v>
          </cell>
          <cell r="D5867">
            <v>1024</v>
          </cell>
          <cell r="E5867">
            <v>3656.09</v>
          </cell>
          <cell r="F5867">
            <v>4.0345524414062499</v>
          </cell>
        </row>
        <row r="5868">
          <cell r="B5868" t="str">
            <v>70440133</v>
          </cell>
          <cell r="C5868" t="str">
            <v>禧安骄 雪莲辣椒丝 220G</v>
          </cell>
          <cell r="D5868">
            <v>713</v>
          </cell>
          <cell r="E5868">
            <v>5563.19</v>
          </cell>
          <cell r="F5868">
            <v>8.8168368863955102</v>
          </cell>
        </row>
        <row r="5869">
          <cell r="B5869" t="str">
            <v>70440142</v>
          </cell>
          <cell r="C5869" t="str">
            <v>禧安骄 牛肉辣椒丝 220G</v>
          </cell>
          <cell r="D5869">
            <v>383</v>
          </cell>
          <cell r="E5869">
            <v>5259.2</v>
          </cell>
          <cell r="F5869">
            <v>15.5166997389034</v>
          </cell>
        </row>
        <row r="5870">
          <cell r="B5870" t="str">
            <v>70440143</v>
          </cell>
          <cell r="C5870" t="str">
            <v>禧安骄 线椒辣椒酱 220G</v>
          </cell>
          <cell r="D5870">
            <v>501</v>
          </cell>
          <cell r="E5870">
            <v>4774.13</v>
          </cell>
          <cell r="F5870">
            <v>10.7679978043912</v>
          </cell>
        </row>
        <row r="5871">
          <cell r="B5871" t="str">
            <v>70440144</v>
          </cell>
          <cell r="C5871" t="str">
            <v>禧安骄 暴躁辣子鸡 220G</v>
          </cell>
          <cell r="D5871">
            <v>317</v>
          </cell>
          <cell r="E5871">
            <v>3372.08</v>
          </cell>
          <cell r="F5871">
            <v>12.0203482649842</v>
          </cell>
        </row>
        <row r="5872">
          <cell r="B5872" t="str">
            <v>70441394</v>
          </cell>
          <cell r="C5872" t="str">
            <v>亿家馨 粤港澳风味虎皮凤爪卤香味 128G</v>
          </cell>
          <cell r="D5872">
            <v>21</v>
          </cell>
          <cell r="E5872">
            <v>167.36</v>
          </cell>
          <cell r="F5872">
            <v>9.0055619047618993</v>
          </cell>
        </row>
        <row r="5873">
          <cell r="B5873" t="str">
            <v>70441396</v>
          </cell>
          <cell r="C5873" t="str">
            <v>亿家馨 川香味泡凤爪 28G</v>
          </cell>
          <cell r="D5873">
            <v>0</v>
          </cell>
          <cell r="E5873">
            <v>0</v>
          </cell>
          <cell r="F5873" t="e">
            <v>#DIV/0!</v>
          </cell>
        </row>
        <row r="5874">
          <cell r="B5874" t="str">
            <v>70441397</v>
          </cell>
          <cell r="C5874" t="str">
            <v>亿家馨 嗨脖糖醋味 43G</v>
          </cell>
          <cell r="D5874">
            <v>40</v>
          </cell>
          <cell r="E5874">
            <v>70.8</v>
          </cell>
          <cell r="F5874">
            <v>2.0001000000000002</v>
          </cell>
        </row>
        <row r="5875">
          <cell r="B5875" t="str">
            <v>70442226</v>
          </cell>
          <cell r="C5875" t="str">
            <v>今麦郎 一桶半板面卤香牛肉板面 143G</v>
          </cell>
          <cell r="D5875">
            <v>34</v>
          </cell>
          <cell r="E5875">
            <v>122.46</v>
          </cell>
          <cell r="F5875">
            <v>4.0699941176470604</v>
          </cell>
        </row>
        <row r="5876">
          <cell r="B5876" t="str">
            <v>70443496</v>
          </cell>
          <cell r="C5876" t="str">
            <v>蔡林记 方便热干面经典原味 650G</v>
          </cell>
          <cell r="D5876">
            <v>55</v>
          </cell>
          <cell r="E5876">
            <v>1119.58</v>
          </cell>
          <cell r="F5876">
            <v>23.002279999999999</v>
          </cell>
        </row>
        <row r="5877">
          <cell r="B5877" t="str">
            <v>70443499</v>
          </cell>
          <cell r="C5877" t="str">
            <v>蔡林记 一人份系列方便热干面经典原味 150G</v>
          </cell>
          <cell r="D5877">
            <v>127</v>
          </cell>
          <cell r="E5877">
            <v>524.46</v>
          </cell>
          <cell r="F5877">
            <v>4.6664551181102398</v>
          </cell>
        </row>
        <row r="5878">
          <cell r="B5878" t="str">
            <v>70443513</v>
          </cell>
          <cell r="C5878" t="str">
            <v>蔡林记 五人份系列方便热干面经典原味 700G</v>
          </cell>
          <cell r="D5878">
            <v>352</v>
          </cell>
          <cell r="E5878">
            <v>7589.11</v>
          </cell>
          <cell r="F5878">
            <v>24.362767897727299</v>
          </cell>
        </row>
        <row r="5879">
          <cell r="B5879" t="str">
            <v>70443517</v>
          </cell>
          <cell r="C5879" t="str">
            <v>蔡林记 五人份系列方便热干面卤牛肉味 675G</v>
          </cell>
          <cell r="D5879">
            <v>86</v>
          </cell>
          <cell r="E5879">
            <v>1814.74</v>
          </cell>
          <cell r="F5879">
            <v>23.8448395348837</v>
          </cell>
        </row>
        <row r="5880">
          <cell r="B5880" t="str">
            <v>70444253</v>
          </cell>
          <cell r="C5880" t="str">
            <v>汤好喝 五合一老母鸡汤面 107.5g*5</v>
          </cell>
          <cell r="D5880">
            <v>0</v>
          </cell>
          <cell r="E5880">
            <v>0</v>
          </cell>
          <cell r="F5880" t="e">
            <v>#DIV/0!</v>
          </cell>
        </row>
        <row r="5881">
          <cell r="B5881" t="str">
            <v>70445330</v>
          </cell>
          <cell r="C5881" t="str">
            <v>海底捞 麻辣小酥肉自煮火锅套餐 275g</v>
          </cell>
          <cell r="D5881">
            <v>177</v>
          </cell>
          <cell r="E5881">
            <v>2193.7199999999998</v>
          </cell>
          <cell r="F5881">
            <v>14.0051050847458</v>
          </cell>
        </row>
        <row r="5882">
          <cell r="B5882" t="str">
            <v>70445835</v>
          </cell>
          <cell r="C5882" t="str">
            <v>白象 大辣娇桶麻辣香锅牛肉面 135G</v>
          </cell>
          <cell r="D5882">
            <v>948</v>
          </cell>
          <cell r="E5882">
            <v>2956.25</v>
          </cell>
          <cell r="F5882">
            <v>3.5238001054852299</v>
          </cell>
        </row>
        <row r="5883">
          <cell r="B5883" t="str">
            <v>70448739</v>
          </cell>
          <cell r="C5883" t="str">
            <v>白象 多半袋红烧牛肉面 144G</v>
          </cell>
          <cell r="D5883">
            <v>0</v>
          </cell>
          <cell r="E5883">
            <v>0</v>
          </cell>
          <cell r="F5883" t="e">
            <v>#DIV/0!</v>
          </cell>
        </row>
        <row r="5884">
          <cell r="B5884" t="str">
            <v>70449882</v>
          </cell>
          <cell r="C5884" t="str">
            <v>宗振 麻酱蛋 50G</v>
          </cell>
          <cell r="D5884">
            <v>2188</v>
          </cell>
          <cell r="E5884">
            <v>3611.56</v>
          </cell>
          <cell r="F5884">
            <v>1.86520237659963</v>
          </cell>
        </row>
        <row r="5885">
          <cell r="B5885" t="str">
            <v>70458832</v>
          </cell>
          <cell r="C5885" t="str">
            <v>广州酒家 利口福荷香糯米鸡 540G</v>
          </cell>
          <cell r="D5885">
            <v>5</v>
          </cell>
          <cell r="E5885">
            <v>119.19</v>
          </cell>
          <cell r="F5885">
            <v>26.93694</v>
          </cell>
        </row>
        <row r="5886">
          <cell r="B5886" t="str">
            <v>70458833</v>
          </cell>
          <cell r="C5886" t="str">
            <v>广州酒家 虾仁干蒸烧卖 210G</v>
          </cell>
          <cell r="D5886">
            <v>13</v>
          </cell>
          <cell r="E5886">
            <v>209.16</v>
          </cell>
          <cell r="F5886">
            <v>18.180830769230798</v>
          </cell>
        </row>
        <row r="5887">
          <cell r="B5887" t="str">
            <v>70465896</v>
          </cell>
          <cell r="C5887" t="str">
            <v>莫小仙 自热米饭笋尖嫩牛 275G</v>
          </cell>
          <cell r="D5887">
            <v>328</v>
          </cell>
          <cell r="E5887">
            <v>2569.19</v>
          </cell>
          <cell r="F5887">
            <v>8.8511728658536608</v>
          </cell>
        </row>
        <row r="5888">
          <cell r="B5888" t="str">
            <v>70465905</v>
          </cell>
          <cell r="C5888" t="str">
            <v>川南爽口下饭菜 271G</v>
          </cell>
          <cell r="D5888">
            <v>76</v>
          </cell>
          <cell r="E5888">
            <v>752.17</v>
          </cell>
          <cell r="F5888">
            <v>11.1835802631579</v>
          </cell>
        </row>
        <row r="5889">
          <cell r="B5889" t="str">
            <v>70467394</v>
          </cell>
          <cell r="C5889" t="str">
            <v>双汇 笋丁牛肉拌面 213G</v>
          </cell>
          <cell r="D5889">
            <v>96</v>
          </cell>
          <cell r="E5889">
            <v>583.14</v>
          </cell>
          <cell r="F5889">
            <v>6.8640437500000004</v>
          </cell>
        </row>
        <row r="5890">
          <cell r="B5890" t="str">
            <v>70467395</v>
          </cell>
          <cell r="C5890" t="str">
            <v>双汇 酱香肉丝拌面 213G</v>
          </cell>
          <cell r="D5890">
            <v>77</v>
          </cell>
          <cell r="E5890">
            <v>468.49</v>
          </cell>
          <cell r="F5890">
            <v>6.8752428571428599</v>
          </cell>
        </row>
        <row r="5891">
          <cell r="B5891" t="str">
            <v>70468338</v>
          </cell>
          <cell r="C5891" t="str">
            <v>康师傅 经典番茄鸡蛋牛肉面 126g</v>
          </cell>
          <cell r="D5891">
            <v>989</v>
          </cell>
          <cell r="E5891">
            <v>3502.28</v>
          </cell>
          <cell r="F5891">
            <v>4.0015939332659203</v>
          </cell>
        </row>
        <row r="5892">
          <cell r="B5892" t="str">
            <v>70468339</v>
          </cell>
          <cell r="C5892" t="str">
            <v>康师傅BIG番茄鸡蛋牛肉面171g</v>
          </cell>
          <cell r="D5892">
            <v>8</v>
          </cell>
          <cell r="E5892">
            <v>31.28</v>
          </cell>
          <cell r="F5892">
            <v>4.4183000000000003</v>
          </cell>
        </row>
        <row r="5893">
          <cell r="B5893" t="str">
            <v>70470983</v>
          </cell>
          <cell r="C5893" t="str">
            <v>华味坊 酸汤面叶油泼辣子味 111G/桶</v>
          </cell>
          <cell r="D5893">
            <v>186</v>
          </cell>
          <cell r="E5893">
            <v>716.45</v>
          </cell>
          <cell r="F5893">
            <v>4.35262634408602</v>
          </cell>
        </row>
        <row r="5894">
          <cell r="B5894" t="str">
            <v>70484006</v>
          </cell>
          <cell r="C5894" t="str">
            <v>南街村 新飘香拌面鸡肉味 300G</v>
          </cell>
          <cell r="D5894">
            <v>225</v>
          </cell>
          <cell r="E5894">
            <v>978.89</v>
          </cell>
          <cell r="F5894">
            <v>4.91620311111111</v>
          </cell>
        </row>
        <row r="5895">
          <cell r="B5895" t="str">
            <v>70484009</v>
          </cell>
          <cell r="C5895" t="str">
            <v>南街村 新飘香拌面排骨味 292G</v>
          </cell>
          <cell r="D5895">
            <v>120</v>
          </cell>
          <cell r="E5895">
            <v>522.29</v>
          </cell>
          <cell r="F5895">
            <v>4.9182308333333298</v>
          </cell>
        </row>
        <row r="5896">
          <cell r="B5896" t="str">
            <v>70484013</v>
          </cell>
          <cell r="C5896" t="str">
            <v>南街村 新飘香拌面香辣味 292G</v>
          </cell>
          <cell r="D5896">
            <v>188</v>
          </cell>
          <cell r="E5896">
            <v>818.07</v>
          </cell>
          <cell r="F5896">
            <v>4.9171228723404301</v>
          </cell>
        </row>
        <row r="5897">
          <cell r="B5897" t="str">
            <v>70484019</v>
          </cell>
          <cell r="C5897" t="str">
            <v>南街村 鲜面菜蛋招牌番茄牛腩味 239G</v>
          </cell>
          <cell r="D5897">
            <v>48</v>
          </cell>
          <cell r="E5897">
            <v>235</v>
          </cell>
          <cell r="F5897">
            <v>5.5322916666666702</v>
          </cell>
        </row>
        <row r="5898">
          <cell r="B5898" t="str">
            <v>70484025</v>
          </cell>
          <cell r="C5898" t="str">
            <v>南街村 鲜面菜蛋藤椒牛肉味 239G</v>
          </cell>
          <cell r="D5898">
            <v>58</v>
          </cell>
          <cell r="E5898">
            <v>284.27999999999997</v>
          </cell>
          <cell r="F5898">
            <v>5.53855862068965</v>
          </cell>
        </row>
        <row r="5899">
          <cell r="B5899" t="str">
            <v>70484030</v>
          </cell>
          <cell r="C5899" t="str">
            <v>南街村 鲜面菜蛋狮子头豚骨味 239G</v>
          </cell>
          <cell r="D5899">
            <v>58</v>
          </cell>
          <cell r="E5899">
            <v>283.91000000000003</v>
          </cell>
          <cell r="F5899">
            <v>5.5313499999999998</v>
          </cell>
        </row>
        <row r="5900">
          <cell r="B5900" t="str">
            <v>70484035</v>
          </cell>
          <cell r="C5900" t="str">
            <v>南街村 鲜面菜蛋香辣羊肉味 239G</v>
          </cell>
          <cell r="D5900">
            <v>36</v>
          </cell>
          <cell r="E5900">
            <v>176.49</v>
          </cell>
          <cell r="F5900">
            <v>5.5398250000000004</v>
          </cell>
        </row>
        <row r="5901">
          <cell r="B5901" t="str">
            <v>70484040</v>
          </cell>
          <cell r="C5901" t="str">
            <v>南街村 鲜面菜蛋金汤肥牛味 239G</v>
          </cell>
          <cell r="D5901">
            <v>86</v>
          </cell>
          <cell r="E5901">
            <v>421.02</v>
          </cell>
          <cell r="F5901">
            <v>5.5320069767441904</v>
          </cell>
        </row>
        <row r="5902">
          <cell r="B5902" t="str">
            <v>70484045</v>
          </cell>
          <cell r="C5902" t="str">
            <v>南街村 鲜面菜蛋香辣牛肉味 239G</v>
          </cell>
          <cell r="D5902">
            <v>95</v>
          </cell>
          <cell r="E5902">
            <v>465.43</v>
          </cell>
          <cell r="F5902">
            <v>5.53616736842105</v>
          </cell>
        </row>
        <row r="5903">
          <cell r="B5903" t="str">
            <v>70484299</v>
          </cell>
          <cell r="C5903" t="str">
            <v>南街村 新飘香拌面牛肉味 300G</v>
          </cell>
          <cell r="D5903">
            <v>137</v>
          </cell>
          <cell r="E5903">
            <v>596.04</v>
          </cell>
          <cell r="F5903">
            <v>4.9162423357664196</v>
          </cell>
        </row>
        <row r="5904">
          <cell r="B5904" t="str">
            <v>70484366</v>
          </cell>
          <cell r="C5904" t="str">
            <v>智仁 原味豆浆粉 320G</v>
          </cell>
          <cell r="D5904">
            <v>63</v>
          </cell>
          <cell r="E5904">
            <v>808.49</v>
          </cell>
          <cell r="F5904">
            <v>14.5014873015873</v>
          </cell>
        </row>
        <row r="5905">
          <cell r="B5905" t="str">
            <v>70484374</v>
          </cell>
          <cell r="C5905" t="str">
            <v>智力 奇亚籽坚果藕粉羹 510G</v>
          </cell>
          <cell r="D5905">
            <v>16</v>
          </cell>
          <cell r="E5905">
            <v>392.28</v>
          </cell>
          <cell r="F5905">
            <v>27.704775000000001</v>
          </cell>
        </row>
        <row r="5906">
          <cell r="B5906" t="str">
            <v>70484375</v>
          </cell>
          <cell r="C5906" t="str">
            <v>智仁 牛油果果蔬燕麦片 480G</v>
          </cell>
          <cell r="D5906">
            <v>38</v>
          </cell>
          <cell r="E5906">
            <v>840.76</v>
          </cell>
          <cell r="F5906">
            <v>25.0015473684211</v>
          </cell>
        </row>
        <row r="5907">
          <cell r="B5907" t="str">
            <v>70484376</v>
          </cell>
          <cell r="C5907" t="str">
            <v>智仁 黑麦片桶装 1KG</v>
          </cell>
          <cell r="D5907">
            <v>5</v>
          </cell>
          <cell r="E5907">
            <v>177</v>
          </cell>
          <cell r="F5907">
            <v>40.002000000000002</v>
          </cell>
        </row>
        <row r="5908">
          <cell r="B5908" t="str">
            <v>70484378</v>
          </cell>
          <cell r="C5908" t="str">
            <v>阿宽 特色四川酸辣荞麦面皮碗装 105G</v>
          </cell>
          <cell r="D5908">
            <v>8</v>
          </cell>
          <cell r="E5908">
            <v>34</v>
          </cell>
          <cell r="F5908">
            <v>4.8025000000000002</v>
          </cell>
        </row>
        <row r="5909">
          <cell r="B5909" t="str">
            <v>70485627</v>
          </cell>
          <cell r="C5909" t="str">
            <v>麦格来 原味肉块肠 570G</v>
          </cell>
          <cell r="D5909">
            <v>1068</v>
          </cell>
          <cell r="E5909">
            <v>2363.1</v>
          </cell>
          <cell r="F5909">
            <v>2.5002837078651701</v>
          </cell>
        </row>
        <row r="5910">
          <cell r="B5910" t="str">
            <v>70486143</v>
          </cell>
          <cell r="C5910" t="str">
            <v>双汇 招牌面(香菇红烧肉拌面) 213G</v>
          </cell>
          <cell r="D5910">
            <v>2</v>
          </cell>
          <cell r="E5910">
            <v>12.02</v>
          </cell>
          <cell r="F5910">
            <v>6.7912999999999997</v>
          </cell>
        </row>
        <row r="5911">
          <cell r="B5911" t="str">
            <v>70486144</v>
          </cell>
          <cell r="C5911" t="str">
            <v>双汇 招牌面(藤椒鸡肉拌面) 213G</v>
          </cell>
          <cell r="D5911">
            <v>24</v>
          </cell>
          <cell r="E5911">
            <v>144.21</v>
          </cell>
          <cell r="F5911">
            <v>6.7898874999999999</v>
          </cell>
        </row>
        <row r="5912">
          <cell r="B5912" t="str">
            <v>70486155</v>
          </cell>
          <cell r="C5912" t="str">
            <v>莫小仙 煲仔饭(黄焖鸡块) 275G</v>
          </cell>
          <cell r="D5912">
            <v>498</v>
          </cell>
          <cell r="E5912">
            <v>3910.97</v>
          </cell>
          <cell r="F5912">
            <v>8.8742893574297206</v>
          </cell>
        </row>
        <row r="5913">
          <cell r="B5913" t="str">
            <v>70488188</v>
          </cell>
          <cell r="C5913" t="str">
            <v>海底捞 番茄小酥肉自煮火锅套餐 275g</v>
          </cell>
          <cell r="D5913">
            <v>78</v>
          </cell>
          <cell r="E5913">
            <v>961.14</v>
          </cell>
          <cell r="F5913">
            <v>13.9242076923077</v>
          </cell>
        </row>
        <row r="5914">
          <cell r="B5914" t="str">
            <v>70488447</v>
          </cell>
          <cell r="C5914" t="str">
            <v>自有 脆骨烤肠 个</v>
          </cell>
          <cell r="D5914">
            <v>815</v>
          </cell>
          <cell r="E5914">
            <v>1083.1199999999999</v>
          </cell>
          <cell r="F5914">
            <v>1.50174920245399</v>
          </cell>
        </row>
        <row r="5915">
          <cell r="B5915" t="str">
            <v>70491075</v>
          </cell>
          <cell r="C5915" t="str">
            <v>吉香居 脆口豇豆 80G</v>
          </cell>
          <cell r="D5915">
            <v>1547</v>
          </cell>
          <cell r="E5915">
            <v>3083.4</v>
          </cell>
          <cell r="F5915">
            <v>2.2522572721396199</v>
          </cell>
        </row>
        <row r="5916">
          <cell r="B5916" t="str">
            <v>70491165</v>
          </cell>
          <cell r="C5916" t="str">
            <v>无品牌 脆骨肠 个</v>
          </cell>
          <cell r="D5916">
            <v>137</v>
          </cell>
          <cell r="E5916">
            <v>259.47000000000003</v>
          </cell>
          <cell r="F5916">
            <v>2.14015401459854</v>
          </cell>
        </row>
        <row r="5917">
          <cell r="B5917" t="str">
            <v>70491167</v>
          </cell>
          <cell r="C5917" t="str">
            <v>笑厨 激情椒麻鸡 138G</v>
          </cell>
          <cell r="D5917">
            <v>172</v>
          </cell>
          <cell r="E5917">
            <v>973.76</v>
          </cell>
          <cell r="F5917">
            <v>6.3973767441860501</v>
          </cell>
        </row>
        <row r="5918">
          <cell r="B5918" t="str">
            <v>70491857</v>
          </cell>
          <cell r="C5918" t="str">
            <v>无品牌 茶叶蛋 个</v>
          </cell>
          <cell r="D5918">
            <v>0</v>
          </cell>
          <cell r="E5918">
            <v>0</v>
          </cell>
          <cell r="F5918" t="e">
            <v>#DIV/0!</v>
          </cell>
        </row>
        <row r="5919">
          <cell r="B5919" t="str">
            <v>70496268</v>
          </cell>
          <cell r="C5919" t="str">
            <v>力诚 桶装香辣肠 115G</v>
          </cell>
          <cell r="D5919">
            <v>1135</v>
          </cell>
          <cell r="E5919">
            <v>4639.6499999999996</v>
          </cell>
          <cell r="F5919">
            <v>4.6192110132158604</v>
          </cell>
        </row>
        <row r="5920">
          <cell r="B5920" t="str">
            <v>70496990</v>
          </cell>
          <cell r="C5920" t="str">
            <v>海底捞 番茄粉 122G</v>
          </cell>
          <cell r="D5920">
            <v>4</v>
          </cell>
          <cell r="E5920">
            <v>25.49</v>
          </cell>
          <cell r="F5920">
            <v>7.2009249999999998</v>
          </cell>
        </row>
        <row r="5921">
          <cell r="B5921" t="str">
            <v>70496991</v>
          </cell>
          <cell r="C5921" t="str">
            <v>海底捞 自热米饭黄焖鸡饭 170G</v>
          </cell>
          <cell r="D5921">
            <v>179</v>
          </cell>
          <cell r="E5921">
            <v>1663.39</v>
          </cell>
          <cell r="F5921">
            <v>10.5007301675978</v>
          </cell>
        </row>
        <row r="5922">
          <cell r="B5922" t="str">
            <v>70496992</v>
          </cell>
          <cell r="C5922" t="str">
            <v>海底捞 自热米饭鱼香肉丝饭 170G</v>
          </cell>
          <cell r="D5922">
            <v>173</v>
          </cell>
          <cell r="E5922">
            <v>1606.96</v>
          </cell>
          <cell r="F5922">
            <v>10.4963283236994</v>
          </cell>
        </row>
        <row r="5923">
          <cell r="B5923" t="str">
            <v>70496993</v>
          </cell>
          <cell r="C5923" t="str">
            <v>海底捞 自热米饭照烧鸡饭 165G</v>
          </cell>
          <cell r="D5923">
            <v>122</v>
          </cell>
          <cell r="E5923">
            <v>1133.67</v>
          </cell>
          <cell r="F5923">
            <v>10.500386065573799</v>
          </cell>
        </row>
        <row r="5924">
          <cell r="B5924" t="str">
            <v>70497000</v>
          </cell>
          <cell r="C5924" t="str">
            <v>海底捞 自热米饭番茄牛腩饭 272G</v>
          </cell>
          <cell r="D5924">
            <v>0</v>
          </cell>
          <cell r="E5924">
            <v>0</v>
          </cell>
          <cell r="F5924" t="e">
            <v>#DIV/0!</v>
          </cell>
        </row>
        <row r="5925">
          <cell r="B5925" t="str">
            <v>70497001</v>
          </cell>
          <cell r="C5925" t="str">
            <v>海底捞 自热米饭辣子鸡饭 160G</v>
          </cell>
          <cell r="D5925">
            <v>204</v>
          </cell>
          <cell r="E5925">
            <v>1895.66</v>
          </cell>
          <cell r="F5925">
            <v>10.500469607843099</v>
          </cell>
        </row>
        <row r="5926">
          <cell r="B5926" t="str">
            <v>70497034</v>
          </cell>
          <cell r="C5926" t="str">
            <v>力诚 台式烤香肠香辣风味 72G</v>
          </cell>
          <cell r="D5926">
            <v>1107</v>
          </cell>
          <cell r="E5926">
            <v>3943.95</v>
          </cell>
          <cell r="F5926">
            <v>4.0258929539295396</v>
          </cell>
        </row>
        <row r="5927">
          <cell r="B5927" t="str">
            <v>70498139</v>
          </cell>
          <cell r="C5927" t="str">
            <v>食族人 火山肉酱酸辣粉 133G</v>
          </cell>
          <cell r="D5927">
            <v>325</v>
          </cell>
          <cell r="E5927">
            <v>2247.15</v>
          </cell>
          <cell r="F5927">
            <v>7.8131676923076903</v>
          </cell>
        </row>
        <row r="5928">
          <cell r="B5928" t="str">
            <v>70498187</v>
          </cell>
          <cell r="C5928" t="str">
            <v>吉香居 香卤海带 106G</v>
          </cell>
          <cell r="D5928">
            <v>850</v>
          </cell>
          <cell r="E5928">
            <v>3090.76</v>
          </cell>
          <cell r="F5928">
            <v>4.1088927058823499</v>
          </cell>
        </row>
        <row r="5929">
          <cell r="B5929" t="str">
            <v>70499147</v>
          </cell>
          <cell r="C5929" t="str">
            <v>西尔丹 新疆炒米粉锁鲜粉 320G</v>
          </cell>
          <cell r="D5929">
            <v>53</v>
          </cell>
          <cell r="E5929">
            <v>378.04</v>
          </cell>
          <cell r="F5929">
            <v>8.06009811320755</v>
          </cell>
        </row>
        <row r="5930">
          <cell r="B5930" t="str">
            <v>70501921</v>
          </cell>
          <cell r="C5930" t="str">
            <v>马马妈 香辣莲藕 118G</v>
          </cell>
          <cell r="D5930">
            <v>1</v>
          </cell>
          <cell r="E5930">
            <v>5.58</v>
          </cell>
          <cell r="F5930">
            <v>6.3053999999999997</v>
          </cell>
        </row>
        <row r="5931">
          <cell r="B5931" t="str">
            <v>70501973</v>
          </cell>
          <cell r="C5931" t="str">
            <v>马马妈 香辣味海带结 200G</v>
          </cell>
          <cell r="D5931">
            <v>25</v>
          </cell>
          <cell r="E5931">
            <v>141.52000000000001</v>
          </cell>
          <cell r="F5931">
            <v>6.3967039999999997</v>
          </cell>
        </row>
        <row r="5932">
          <cell r="B5932" t="str">
            <v>70504179</v>
          </cell>
          <cell r="C5932" t="str">
            <v>田小花 毛血旺 348G</v>
          </cell>
          <cell r="D5932">
            <v>0</v>
          </cell>
          <cell r="E5932">
            <v>0</v>
          </cell>
          <cell r="F5932" t="e">
            <v>#DIV/0!</v>
          </cell>
        </row>
        <row r="5933">
          <cell r="B5933" t="str">
            <v>70505049</v>
          </cell>
          <cell r="C5933" t="str">
            <v>良工坊 意式经典番茄肉酱面 1.374KG</v>
          </cell>
          <cell r="D5933">
            <v>25</v>
          </cell>
          <cell r="E5933">
            <v>1497.5</v>
          </cell>
          <cell r="F5933">
            <v>67.686999999999998</v>
          </cell>
        </row>
        <row r="5934">
          <cell r="B5934" t="str">
            <v>70506048</v>
          </cell>
          <cell r="C5934" t="str">
            <v>好客牛大 兰州牛肉面冲泡清汤原味 111G</v>
          </cell>
          <cell r="D5934">
            <v>134</v>
          </cell>
          <cell r="E5934">
            <v>511.36</v>
          </cell>
          <cell r="F5934">
            <v>4.3122149253731301</v>
          </cell>
        </row>
        <row r="5935">
          <cell r="B5935" t="str">
            <v>70506051</v>
          </cell>
          <cell r="C5935" t="str">
            <v>好客牛大 兰州牛肉面冲泡经典原味 121G</v>
          </cell>
          <cell r="D5935">
            <v>103</v>
          </cell>
          <cell r="E5935">
            <v>508.46</v>
          </cell>
          <cell r="F5935">
            <v>5.5782504854368904</v>
          </cell>
        </row>
        <row r="5936">
          <cell r="B5936" t="str">
            <v>70506334</v>
          </cell>
          <cell r="C5936" t="str">
            <v>GEMEZ小鸡 干脆面 16G</v>
          </cell>
          <cell r="D5936">
            <v>5716</v>
          </cell>
          <cell r="E5936">
            <v>9132.7099999999991</v>
          </cell>
          <cell r="F5936">
            <v>1.8054517669699099</v>
          </cell>
        </row>
        <row r="5937">
          <cell r="B5937" t="str">
            <v>70506409</v>
          </cell>
          <cell r="C5937" t="str">
            <v>GEMEZ小鸡 火辣干脆面 14G</v>
          </cell>
          <cell r="D5937">
            <v>1836</v>
          </cell>
          <cell r="E5937">
            <v>3018.18</v>
          </cell>
          <cell r="F5937">
            <v>1.8575944444444401</v>
          </cell>
        </row>
        <row r="5938">
          <cell r="B5938" t="str">
            <v>70510667</v>
          </cell>
          <cell r="C5938" t="str">
            <v>乐肴居 奥尔良鸡肉炒饭 400G</v>
          </cell>
          <cell r="D5938">
            <v>6</v>
          </cell>
          <cell r="E5938">
            <v>42.48</v>
          </cell>
          <cell r="F5938">
            <v>8.0004000000000008</v>
          </cell>
        </row>
        <row r="5939">
          <cell r="B5939" t="str">
            <v>70512587</v>
          </cell>
          <cell r="C5939" t="str">
            <v>华味坊 酸汤面叶金汤肥牛味 108G</v>
          </cell>
          <cell r="D5939">
            <v>73</v>
          </cell>
          <cell r="E5939">
            <v>296.89</v>
          </cell>
          <cell r="F5939">
            <v>4.5956945205479398</v>
          </cell>
        </row>
        <row r="5940">
          <cell r="B5940" t="str">
            <v>70514333</v>
          </cell>
          <cell r="C5940" t="str">
            <v>康师傅老母鸡汤面115g+12g</v>
          </cell>
          <cell r="D5940">
            <v>0</v>
          </cell>
          <cell r="E5940">
            <v>0</v>
          </cell>
          <cell r="F5940" t="e">
            <v>#DIV/0!</v>
          </cell>
        </row>
        <row r="5941">
          <cell r="B5941" t="str">
            <v>70514615</v>
          </cell>
          <cell r="C5941" t="str">
            <v>康师傅 香爆脆麻辣小龙虾 33G</v>
          </cell>
          <cell r="D5941">
            <v>8</v>
          </cell>
          <cell r="E5941">
            <v>5.2</v>
          </cell>
          <cell r="F5941">
            <v>0.73450000000000004</v>
          </cell>
        </row>
        <row r="5942">
          <cell r="B5942" t="str">
            <v>70523809</v>
          </cell>
          <cell r="C5942" t="str">
            <v>百成鲜食 羊肉抓饭 365G</v>
          </cell>
          <cell r="D5942">
            <v>2</v>
          </cell>
          <cell r="E5942">
            <v>22.14</v>
          </cell>
          <cell r="F5942">
            <v>12.5091</v>
          </cell>
        </row>
        <row r="5943">
          <cell r="B5943" t="str">
            <v>70523814</v>
          </cell>
          <cell r="C5943" t="str">
            <v>百成鲜食 鸡肉抓饭 365G</v>
          </cell>
          <cell r="D5943">
            <v>3</v>
          </cell>
          <cell r="E5943">
            <v>30.54</v>
          </cell>
          <cell r="F5943">
            <v>11.503399999999999</v>
          </cell>
        </row>
        <row r="5944">
          <cell r="B5944" t="str">
            <v>70523815</v>
          </cell>
          <cell r="C5944" t="str">
            <v>百成鲜食 果脯抓饭 365G</v>
          </cell>
          <cell r="D5944">
            <v>7</v>
          </cell>
          <cell r="E5944">
            <v>61.95</v>
          </cell>
          <cell r="F5944">
            <v>10.000500000000001</v>
          </cell>
        </row>
        <row r="5945">
          <cell r="B5945" t="str">
            <v>70523819</v>
          </cell>
          <cell r="C5945" t="str">
            <v>百成鲜食 羊肉汤 250G</v>
          </cell>
          <cell r="D5945">
            <v>53</v>
          </cell>
          <cell r="E5945">
            <v>692.66</v>
          </cell>
          <cell r="F5945">
            <v>14.7680339622641</v>
          </cell>
        </row>
        <row r="5946">
          <cell r="B5946" t="str">
            <v>70523821</v>
          </cell>
          <cell r="C5946" t="str">
            <v>百成鲜食 番茄牛肉汤 250G</v>
          </cell>
          <cell r="D5946">
            <v>39</v>
          </cell>
          <cell r="E5946">
            <v>524.24</v>
          </cell>
          <cell r="F5946">
            <v>15.189517948717899</v>
          </cell>
        </row>
        <row r="5947">
          <cell r="B5947" t="str">
            <v>70523823</v>
          </cell>
          <cell r="C5947" t="str">
            <v>百成鲜食 酸萝卜老鸭汤 250G</v>
          </cell>
          <cell r="D5947">
            <v>163</v>
          </cell>
          <cell r="E5947">
            <v>2090.71</v>
          </cell>
          <cell r="F5947">
            <v>14.4938791411043</v>
          </cell>
        </row>
        <row r="5948">
          <cell r="B5948" t="str">
            <v>70523825</v>
          </cell>
          <cell r="C5948" t="str">
            <v>百成鲜食 酸菜肉拌面 400G</v>
          </cell>
          <cell r="D5948">
            <v>1</v>
          </cell>
          <cell r="E5948">
            <v>9.2899999999999991</v>
          </cell>
          <cell r="F5948">
            <v>10.4977</v>
          </cell>
        </row>
        <row r="5949">
          <cell r="B5949" t="str">
            <v>70523827</v>
          </cell>
          <cell r="C5949" t="str">
            <v>百成鲜食 咖喱牛肉自热饭 280G</v>
          </cell>
          <cell r="D5949">
            <v>187</v>
          </cell>
          <cell r="E5949">
            <v>2026.41</v>
          </cell>
          <cell r="F5949">
            <v>12.245151336898401</v>
          </cell>
        </row>
        <row r="5950">
          <cell r="B5950" t="str">
            <v>70523829</v>
          </cell>
          <cell r="C5950" t="str">
            <v>百成鲜食 土豆烧牛肉自热饭 280G</v>
          </cell>
          <cell r="D5950">
            <v>158</v>
          </cell>
          <cell r="E5950">
            <v>1747.95</v>
          </cell>
          <cell r="F5950">
            <v>12.5011613924051</v>
          </cell>
        </row>
        <row r="5951">
          <cell r="B5951" t="str">
            <v>70523831</v>
          </cell>
          <cell r="C5951" t="str">
            <v>百成鲜食 红烧鱼块自热饭 280G</v>
          </cell>
          <cell r="D5951">
            <v>0</v>
          </cell>
          <cell r="E5951">
            <v>0</v>
          </cell>
          <cell r="F5951" t="e">
            <v>#DIV/0!</v>
          </cell>
        </row>
        <row r="5952">
          <cell r="B5952" t="str">
            <v>70523833</v>
          </cell>
          <cell r="C5952" t="str">
            <v>百成鲜食 大盘鸡自热饭 280G</v>
          </cell>
          <cell r="D5952">
            <v>207</v>
          </cell>
          <cell r="E5952">
            <v>2318.8200000000002</v>
          </cell>
          <cell r="F5952">
            <v>12.658292753623201</v>
          </cell>
        </row>
        <row r="5953">
          <cell r="B5953" t="str">
            <v>70523835</v>
          </cell>
          <cell r="C5953" t="str">
            <v>百成鲜食 鱼香肉丝自热饭 280G</v>
          </cell>
          <cell r="D5953">
            <v>97</v>
          </cell>
          <cell r="E5953">
            <v>1088.95</v>
          </cell>
          <cell r="F5953">
            <v>12.685706185567</v>
          </cell>
        </row>
        <row r="5954">
          <cell r="B5954" t="str">
            <v>70523837</v>
          </cell>
          <cell r="C5954" t="str">
            <v>百成鲜食 辣皮子肉拌面 400G</v>
          </cell>
          <cell r="D5954">
            <v>8</v>
          </cell>
          <cell r="E5954">
            <v>108.54</v>
          </cell>
          <cell r="F5954">
            <v>15.331275</v>
          </cell>
        </row>
        <row r="5955">
          <cell r="B5955" t="str">
            <v>70523838</v>
          </cell>
          <cell r="C5955" t="str">
            <v>百成鲜食 天麻乳鸽汤 250G</v>
          </cell>
          <cell r="D5955">
            <v>112</v>
          </cell>
          <cell r="E5955">
            <v>1547.21</v>
          </cell>
          <cell r="F5955">
            <v>15.61024375</v>
          </cell>
        </row>
        <row r="5956">
          <cell r="B5956" t="str">
            <v>70523840</v>
          </cell>
          <cell r="C5956" t="str">
            <v>百成鲜食 当归土鸡汤 250G</v>
          </cell>
          <cell r="D5956">
            <v>125</v>
          </cell>
          <cell r="E5956">
            <v>1632.37</v>
          </cell>
          <cell r="F5956">
            <v>14.756624800000001</v>
          </cell>
        </row>
        <row r="5957">
          <cell r="B5957" t="str">
            <v>70523842</v>
          </cell>
          <cell r="C5957" t="str">
            <v>百成鲜食 牛肉抓饭 365G</v>
          </cell>
          <cell r="D5957">
            <v>5</v>
          </cell>
          <cell r="E5957">
            <v>55.33</v>
          </cell>
          <cell r="F5957">
            <v>12.504580000000001</v>
          </cell>
        </row>
        <row r="5958">
          <cell r="B5958" t="str">
            <v>70523910</v>
          </cell>
          <cell r="C5958" t="str">
            <v>吉香居 萝卜真芯 80G</v>
          </cell>
          <cell r="D5958">
            <v>1404</v>
          </cell>
          <cell r="E5958">
            <v>2800.94</v>
          </cell>
          <cell r="F5958">
            <v>2.2543178062678102</v>
          </cell>
        </row>
        <row r="5959">
          <cell r="B5959" t="str">
            <v>70524304</v>
          </cell>
          <cell r="C5959" t="str">
            <v>白象 香菜面桶面 115G</v>
          </cell>
          <cell r="D5959">
            <v>0</v>
          </cell>
          <cell r="E5959">
            <v>0</v>
          </cell>
          <cell r="F5959" t="e">
            <v>#DIV/0!</v>
          </cell>
        </row>
        <row r="5960">
          <cell r="B5960" t="str">
            <v>70526324</v>
          </cell>
          <cell r="C5960" t="str">
            <v>味聚特 口口脆榨菜经典款 53g</v>
          </cell>
          <cell r="D5960">
            <v>268</v>
          </cell>
          <cell r="E5960">
            <v>285.37</v>
          </cell>
          <cell r="F5960">
            <v>1.2032391791044801</v>
          </cell>
        </row>
        <row r="5961">
          <cell r="B5961" t="str">
            <v>70531606</v>
          </cell>
          <cell r="C5961" t="str">
            <v>超有味 贡菜香辣味 100G</v>
          </cell>
          <cell r="D5961">
            <v>38</v>
          </cell>
          <cell r="E5961">
            <v>221.41</v>
          </cell>
          <cell r="F5961">
            <v>6.5840342105263101</v>
          </cell>
        </row>
        <row r="5962">
          <cell r="B5962" t="str">
            <v>70532798</v>
          </cell>
          <cell r="C5962" t="str">
            <v>盐津铺子 蛋皇鹌鹑蛋（老母鸡汤味） 30g</v>
          </cell>
          <cell r="D5962">
            <v>0</v>
          </cell>
          <cell r="E5962">
            <v>0</v>
          </cell>
          <cell r="F5962" t="e">
            <v>#DIV/0!</v>
          </cell>
        </row>
        <row r="5963">
          <cell r="B5963" t="str">
            <v>70534543</v>
          </cell>
          <cell r="C5963" t="str">
            <v>今麦郎 刀削面麻辣牛肉味 126G</v>
          </cell>
          <cell r="D5963">
            <v>1821</v>
          </cell>
          <cell r="E5963">
            <v>6649.26</v>
          </cell>
          <cell r="F5963">
            <v>4.1261196046128497</v>
          </cell>
        </row>
        <row r="5964">
          <cell r="B5964" t="str">
            <v>70534688</v>
          </cell>
          <cell r="C5964" t="str">
            <v>统一 百开提红烧牛肉味袋面 105G</v>
          </cell>
          <cell r="D5964">
            <v>5218</v>
          </cell>
          <cell r="E5964">
            <v>9272.73</v>
          </cell>
          <cell r="F5964">
            <v>2.0080844959754698</v>
          </cell>
        </row>
        <row r="5965">
          <cell r="B5965" t="str">
            <v>70535069</v>
          </cell>
          <cell r="C5965" t="str">
            <v>鲜辣食客 椒香萝卜干 260G</v>
          </cell>
          <cell r="D5965">
            <v>13</v>
          </cell>
          <cell r="E5965">
            <v>122.59</v>
          </cell>
          <cell r="F5965">
            <v>10.655900000000001</v>
          </cell>
        </row>
        <row r="5966">
          <cell r="B5966" t="str">
            <v>70535114</v>
          </cell>
          <cell r="C5966" t="str">
            <v>鲜辣食客 香辣萝卜干 260G</v>
          </cell>
          <cell r="D5966">
            <v>9</v>
          </cell>
          <cell r="E5966">
            <v>85.69</v>
          </cell>
          <cell r="F5966">
            <v>10.7588555555556</v>
          </cell>
        </row>
        <row r="5967">
          <cell r="B5967" t="str">
            <v>70535115</v>
          </cell>
          <cell r="C5967" t="str">
            <v>鲜辣食客 秘制八宝菜 318G</v>
          </cell>
          <cell r="D5967">
            <v>21</v>
          </cell>
          <cell r="E5967">
            <v>195.91</v>
          </cell>
          <cell r="F5967">
            <v>10.5418238095238</v>
          </cell>
        </row>
        <row r="5968">
          <cell r="B5968" t="str">
            <v>70535828</v>
          </cell>
          <cell r="C5968" t="str">
            <v>麻六记 酸辣粉 256G</v>
          </cell>
          <cell r="D5968">
            <v>20</v>
          </cell>
          <cell r="E5968">
            <v>184.12</v>
          </cell>
          <cell r="F5968">
            <v>10.40278</v>
          </cell>
        </row>
        <row r="5969">
          <cell r="B5969" t="str">
            <v>70536057</v>
          </cell>
          <cell r="C5969" t="str">
            <v>鲜辣食客 麻辣黄瓜 288G</v>
          </cell>
          <cell r="D5969">
            <v>0</v>
          </cell>
          <cell r="E5969">
            <v>0</v>
          </cell>
          <cell r="F5969" t="e">
            <v>#DIV/0!</v>
          </cell>
        </row>
        <row r="5970">
          <cell r="B5970" t="str">
            <v>70536084</v>
          </cell>
          <cell r="C5970" t="str">
            <v>力诚 爆脆肠 115G</v>
          </cell>
          <cell r="D5970">
            <v>1045</v>
          </cell>
          <cell r="E5970">
            <v>4268.5600000000004</v>
          </cell>
          <cell r="F5970">
            <v>4.6157634449760803</v>
          </cell>
        </row>
        <row r="5971">
          <cell r="B5971" t="str">
            <v>70536130</v>
          </cell>
          <cell r="C5971" t="str">
            <v>疆味哆哆 爆炒拉条子2人份 320G</v>
          </cell>
          <cell r="D5971">
            <v>17</v>
          </cell>
          <cell r="E5971">
            <v>188.06</v>
          </cell>
          <cell r="F5971">
            <v>12.500458823529399</v>
          </cell>
        </row>
        <row r="5972">
          <cell r="B5972" t="str">
            <v>70536131</v>
          </cell>
          <cell r="C5972" t="str">
            <v>疆味哆哆 辣子鸡拌面 248G</v>
          </cell>
          <cell r="D5972">
            <v>20</v>
          </cell>
          <cell r="E5972">
            <v>221.24</v>
          </cell>
          <cell r="F5972">
            <v>12.50006</v>
          </cell>
        </row>
        <row r="5973">
          <cell r="B5973" t="str">
            <v>70536156</v>
          </cell>
          <cell r="C5973" t="str">
            <v>玛宇 盐焗鸡蛋 30G</v>
          </cell>
          <cell r="D5973">
            <v>29</v>
          </cell>
          <cell r="E5973">
            <v>41.18</v>
          </cell>
          <cell r="F5973">
            <v>1.6046</v>
          </cell>
        </row>
        <row r="5974">
          <cell r="B5974" t="str">
            <v>70536157</v>
          </cell>
          <cell r="C5974" t="str">
            <v>玛宇 香卤鸡蛋 30G</v>
          </cell>
          <cell r="D5974">
            <v>21</v>
          </cell>
          <cell r="E5974">
            <v>29.82</v>
          </cell>
          <cell r="F5974">
            <v>1.6046</v>
          </cell>
        </row>
        <row r="5975">
          <cell r="B5975" t="str">
            <v>70536158</v>
          </cell>
          <cell r="C5975" t="str">
            <v>玛宇 盐焗鹌鹑蛋 30G</v>
          </cell>
          <cell r="D5975">
            <v>0</v>
          </cell>
          <cell r="E5975">
            <v>0</v>
          </cell>
          <cell r="F5975" t="e">
            <v>#DIV/0!</v>
          </cell>
        </row>
        <row r="5976">
          <cell r="B5976" t="str">
            <v>70536159</v>
          </cell>
          <cell r="C5976" t="str">
            <v>玛宇 香卤鹌鹑蛋 30G</v>
          </cell>
          <cell r="D5976">
            <v>6</v>
          </cell>
          <cell r="E5976">
            <v>8.52</v>
          </cell>
          <cell r="F5976">
            <v>1.6046</v>
          </cell>
        </row>
        <row r="5977">
          <cell r="B5977" t="str">
            <v>70536164</v>
          </cell>
          <cell r="C5977" t="str">
            <v>品品 撒拉铺子盐焗蛋 35G</v>
          </cell>
          <cell r="D5977">
            <v>2411</v>
          </cell>
          <cell r="E5977">
            <v>3870.13</v>
          </cell>
          <cell r="F5977">
            <v>1.81387262546661</v>
          </cell>
        </row>
        <row r="5978">
          <cell r="B5978" t="str">
            <v>70536165</v>
          </cell>
          <cell r="C5978" t="str">
            <v>品品 撒拉铺子卤蛋 35G</v>
          </cell>
          <cell r="D5978">
            <v>2679</v>
          </cell>
          <cell r="E5978">
            <v>4293.3900000000003</v>
          </cell>
          <cell r="F5978">
            <v>1.8109483762598</v>
          </cell>
        </row>
        <row r="5979">
          <cell r="B5979" t="str">
            <v>70538626</v>
          </cell>
          <cell r="C5979" t="str">
            <v>优斯麦尔 果脯抓饭 350G</v>
          </cell>
          <cell r="D5979">
            <v>1638</v>
          </cell>
          <cell r="E5979">
            <v>13837.41</v>
          </cell>
          <cell r="F5979">
            <v>9.5459543956043902</v>
          </cell>
        </row>
        <row r="5980">
          <cell r="B5980" t="str">
            <v>70538632</v>
          </cell>
          <cell r="C5980" t="str">
            <v>优斯麦尔 羊肉汤 250G</v>
          </cell>
          <cell r="D5980">
            <v>292</v>
          </cell>
          <cell r="E5980">
            <v>4053.78</v>
          </cell>
          <cell r="F5980">
            <v>15.687573287671199</v>
          </cell>
        </row>
        <row r="5981">
          <cell r="B5981" t="str">
            <v>70538637</v>
          </cell>
          <cell r="C5981" t="str">
            <v>优斯麦尔 番茄牛肉汤 250G</v>
          </cell>
          <cell r="D5981">
            <v>274</v>
          </cell>
          <cell r="E5981">
            <v>3794.85</v>
          </cell>
          <cell r="F5981">
            <v>15.650293795620399</v>
          </cell>
        </row>
        <row r="5982">
          <cell r="B5982" t="str">
            <v>70538751</v>
          </cell>
          <cell r="C5982" t="str">
            <v>优斯麦尔 牛肉抓饭 350G</v>
          </cell>
          <cell r="D5982">
            <v>2434</v>
          </cell>
          <cell r="E5982">
            <v>26002.79</v>
          </cell>
          <cell r="F5982">
            <v>12.071960846343501</v>
          </cell>
        </row>
        <row r="5983">
          <cell r="B5983" t="str">
            <v>70538752</v>
          </cell>
          <cell r="C5983" t="str">
            <v>优斯麦尔 羊肉抓饭 350G</v>
          </cell>
          <cell r="D5983">
            <v>1925</v>
          </cell>
          <cell r="E5983">
            <v>20514.509999999998</v>
          </cell>
          <cell r="F5983">
            <v>12.042283792207799</v>
          </cell>
        </row>
        <row r="5984">
          <cell r="B5984" t="str">
            <v>70539710</v>
          </cell>
          <cell r="C5984" t="str">
            <v>力诚 蒜香肠 115G</v>
          </cell>
          <cell r="D5984">
            <v>578</v>
          </cell>
          <cell r="E5984">
            <v>2364.46</v>
          </cell>
          <cell r="F5984">
            <v>4.6225602076124597</v>
          </cell>
        </row>
        <row r="5985">
          <cell r="B5985" t="str">
            <v>70540347</v>
          </cell>
          <cell r="C5985" t="str">
            <v>阿宽 土豆泥泥面孜然麻辣味 115g/盒</v>
          </cell>
          <cell r="D5985">
            <v>353</v>
          </cell>
          <cell r="E5985">
            <v>2877.49</v>
          </cell>
          <cell r="F5985">
            <v>9.2112286118980204</v>
          </cell>
        </row>
        <row r="5986">
          <cell r="B5986" t="str">
            <v>70542909</v>
          </cell>
          <cell r="C5986" t="str">
            <v>凌云 麻辣大头菜 60G</v>
          </cell>
          <cell r="D5986">
            <v>0</v>
          </cell>
          <cell r="E5986">
            <v>0</v>
          </cell>
          <cell r="F5986" t="e">
            <v>#DIV/0!</v>
          </cell>
        </row>
        <row r="5987">
          <cell r="B5987" t="str">
            <v>70542910</v>
          </cell>
          <cell r="C5987" t="str">
            <v>凌云 原味榨菜丝 60G</v>
          </cell>
          <cell r="D5987">
            <v>1</v>
          </cell>
          <cell r="E5987">
            <v>1.23</v>
          </cell>
          <cell r="F5987">
            <v>1.3898999999999999</v>
          </cell>
        </row>
        <row r="5988">
          <cell r="B5988" t="str">
            <v>70550957</v>
          </cell>
          <cell r="C5988" t="str">
            <v>江中 猴姑高钙米稀迷糊 540G</v>
          </cell>
          <cell r="D5988">
            <v>3</v>
          </cell>
          <cell r="E5988">
            <v>236.28</v>
          </cell>
          <cell r="F5988">
            <v>88.998800000000003</v>
          </cell>
        </row>
        <row r="5989">
          <cell r="B5989" t="str">
            <v>70553391</v>
          </cell>
          <cell r="C5989" t="str">
            <v>盼盼 冻干面番茄味 70G</v>
          </cell>
          <cell r="D5989">
            <v>29</v>
          </cell>
          <cell r="E5989">
            <v>150.69</v>
          </cell>
          <cell r="F5989">
            <v>5.8717137931034502</v>
          </cell>
        </row>
        <row r="5990">
          <cell r="B5990" t="str">
            <v>70553564</v>
          </cell>
          <cell r="C5990" t="str">
            <v>靓田千亩 燕窝银耳羹 盒</v>
          </cell>
          <cell r="D5990">
            <v>2</v>
          </cell>
          <cell r="E5990">
            <v>122.13</v>
          </cell>
          <cell r="F5990">
            <v>69.003450000000001</v>
          </cell>
        </row>
        <row r="5991">
          <cell r="B5991" t="str">
            <v>70556490</v>
          </cell>
          <cell r="C5991" t="str">
            <v>俄瓦斯号 肉枣肠蜜汁味 118G</v>
          </cell>
          <cell r="D5991">
            <v>0</v>
          </cell>
          <cell r="E5991">
            <v>0</v>
          </cell>
          <cell r="F5991" t="e">
            <v>#DIV/0!</v>
          </cell>
        </row>
        <row r="5992">
          <cell r="B5992" t="str">
            <v>70556509</v>
          </cell>
          <cell r="C5992" t="str">
            <v>俄瓦斯号 口福酱香肘花 230G</v>
          </cell>
          <cell r="D5992">
            <v>0</v>
          </cell>
          <cell r="E5992">
            <v>0</v>
          </cell>
          <cell r="F5992" t="e">
            <v>#DIV/0!</v>
          </cell>
        </row>
        <row r="5993">
          <cell r="B5993" t="str">
            <v>70556520</v>
          </cell>
          <cell r="C5993" t="str">
            <v>俄瓦斯号 哈尔滨风味红肠 300G</v>
          </cell>
          <cell r="D5993">
            <v>4</v>
          </cell>
          <cell r="E5993">
            <v>49.18</v>
          </cell>
          <cell r="F5993">
            <v>13.89335</v>
          </cell>
        </row>
        <row r="5994">
          <cell r="B5994" t="str">
            <v>70556532</v>
          </cell>
          <cell r="C5994" t="str">
            <v>俄瓦斯号 哈尔滨精品风味红肠 170G</v>
          </cell>
          <cell r="D5994">
            <v>6</v>
          </cell>
          <cell r="E5994">
            <v>69.349999999999994</v>
          </cell>
          <cell r="F5994">
            <v>13.060916666666699</v>
          </cell>
        </row>
        <row r="5995">
          <cell r="B5995" t="str">
            <v>70556544</v>
          </cell>
          <cell r="C5995" t="str">
            <v>俄瓦斯号 哈尔滨风味红肠 170G</v>
          </cell>
          <cell r="D5995">
            <v>0</v>
          </cell>
          <cell r="E5995">
            <v>0</v>
          </cell>
          <cell r="F5995" t="e">
            <v>#DIV/0!</v>
          </cell>
        </row>
        <row r="5996">
          <cell r="B5996" t="str">
            <v>70556555</v>
          </cell>
          <cell r="C5996" t="str">
            <v>俄瓦斯号 哈尔滨红肠藤椒味 170G</v>
          </cell>
          <cell r="D5996">
            <v>0</v>
          </cell>
          <cell r="E5996">
            <v>0</v>
          </cell>
          <cell r="F5996" t="e">
            <v>#DIV/0!</v>
          </cell>
        </row>
        <row r="5997">
          <cell r="B5997" t="str">
            <v>70556574</v>
          </cell>
          <cell r="C5997" t="str">
            <v>俄瓦斯号 哈尔滨红肠蒜香味 170G</v>
          </cell>
          <cell r="D5997">
            <v>0</v>
          </cell>
          <cell r="E5997">
            <v>0</v>
          </cell>
          <cell r="F5997" t="e">
            <v>#DIV/0!</v>
          </cell>
        </row>
        <row r="5998">
          <cell r="B5998" t="str">
            <v>70556724</v>
          </cell>
          <cell r="C5998" t="str">
            <v>海娃豆丁 鲜虾鳕鱼饼 120G</v>
          </cell>
          <cell r="D5998">
            <v>9</v>
          </cell>
          <cell r="E5998">
            <v>32.22</v>
          </cell>
          <cell r="F5998">
            <v>4.0453999999999999</v>
          </cell>
        </row>
        <row r="5999">
          <cell r="B5999" t="str">
            <v>70556997</v>
          </cell>
          <cell r="C5999" t="str">
            <v>尚上坊 烧烤牛板筋自立袋 68G</v>
          </cell>
          <cell r="D5999">
            <v>9</v>
          </cell>
          <cell r="E5999">
            <v>57.38</v>
          </cell>
          <cell r="F5999">
            <v>7.20437777777778</v>
          </cell>
        </row>
        <row r="6000">
          <cell r="B6000" t="str">
            <v>70557630</v>
          </cell>
          <cell r="C6000" t="str">
            <v>双汇 金马可减盐火腿肠 100G/个</v>
          </cell>
          <cell r="D6000">
            <v>6</v>
          </cell>
          <cell r="E6000">
            <v>22.02</v>
          </cell>
          <cell r="F6000">
            <v>4.1471</v>
          </cell>
        </row>
        <row r="6001">
          <cell r="B6001" t="str">
            <v>70560161</v>
          </cell>
          <cell r="C6001" t="str">
            <v>锦里古街 小鲜粉酸辣粉 173G/桶</v>
          </cell>
          <cell r="D6001">
            <v>176</v>
          </cell>
          <cell r="E6001">
            <v>1047.19</v>
          </cell>
          <cell r="F6001">
            <v>6.7234357954545496</v>
          </cell>
        </row>
        <row r="6002">
          <cell r="B6002" t="str">
            <v>70566583</v>
          </cell>
          <cell r="C6002" t="str">
            <v>阿宽 红油面皮红油酸辣味超大桶装 157g</v>
          </cell>
          <cell r="D6002">
            <v>318</v>
          </cell>
          <cell r="E6002">
            <v>1272</v>
          </cell>
          <cell r="F6002">
            <v>4.5199999999999996</v>
          </cell>
        </row>
        <row r="6003">
          <cell r="B6003" t="str">
            <v>70574330</v>
          </cell>
          <cell r="C6003" t="str">
            <v>阿宽 土豆泥泥面系列孜然麻辣味碗装 113g</v>
          </cell>
          <cell r="D6003">
            <v>13</v>
          </cell>
          <cell r="E6003">
            <v>106.86</v>
          </cell>
          <cell r="F6003">
            <v>9.2886000000000006</v>
          </cell>
        </row>
        <row r="6004">
          <cell r="B6004" t="str">
            <v>70574351</v>
          </cell>
          <cell r="C6004" t="str">
            <v>阿宽 红油面皮A版红油麻辣味四连包袋装 460G</v>
          </cell>
          <cell r="D6004">
            <v>79</v>
          </cell>
          <cell r="E6004">
            <v>1108.33</v>
          </cell>
          <cell r="F6004">
            <v>15.8533278481013</v>
          </cell>
        </row>
        <row r="6005">
          <cell r="B6005" t="str">
            <v>70574354</v>
          </cell>
          <cell r="C6005" t="str">
            <v>阿宽 地方特色四川绵阳米粉自立袋装 175G</v>
          </cell>
          <cell r="D6005">
            <v>130</v>
          </cell>
          <cell r="E6005">
            <v>1114.97</v>
          </cell>
          <cell r="F6005">
            <v>9.6916623076923099</v>
          </cell>
        </row>
        <row r="6006">
          <cell r="B6006" t="str">
            <v>70574356</v>
          </cell>
          <cell r="C6006" t="str">
            <v>魔小饱 阿宽魔芋凉面椒香糖醋味碗装 188G</v>
          </cell>
          <cell r="D6006">
            <v>115</v>
          </cell>
          <cell r="E6006">
            <v>644.55999999999995</v>
          </cell>
          <cell r="F6006">
            <v>6.3335026086956496</v>
          </cell>
        </row>
        <row r="6007">
          <cell r="B6007" t="str">
            <v>70574358</v>
          </cell>
          <cell r="C6007" t="str">
            <v>魔小饱 阿宽魔芋凉皮柠檬酸辣味碗装 194G</v>
          </cell>
          <cell r="D6007">
            <v>285</v>
          </cell>
          <cell r="E6007">
            <v>1606.46</v>
          </cell>
          <cell r="F6007">
            <v>6.3694729824561396</v>
          </cell>
        </row>
        <row r="6008">
          <cell r="B6008" t="str">
            <v>70574367</v>
          </cell>
          <cell r="C6008" t="str">
            <v>味聚特 纯脆学生榨菜 93G</v>
          </cell>
          <cell r="D6008">
            <v>552</v>
          </cell>
          <cell r="E6008">
            <v>1355.61</v>
          </cell>
          <cell r="F6008">
            <v>2.7750711956521701</v>
          </cell>
        </row>
        <row r="6009">
          <cell r="B6009" t="str">
            <v>70574370</v>
          </cell>
          <cell r="C6009" t="str">
            <v>味聚特 纯脆爽口菜芯 93G</v>
          </cell>
          <cell r="D6009">
            <v>452</v>
          </cell>
          <cell r="E6009">
            <v>1105.54</v>
          </cell>
          <cell r="F6009">
            <v>2.7638500000000001</v>
          </cell>
        </row>
        <row r="6010">
          <cell r="B6010" t="str">
            <v>70574371</v>
          </cell>
          <cell r="C6010" t="str">
            <v>味聚特 香菇牛肉酱 280G</v>
          </cell>
          <cell r="D6010">
            <v>24</v>
          </cell>
          <cell r="E6010">
            <v>396.96</v>
          </cell>
          <cell r="F6010">
            <v>18.690200000000001</v>
          </cell>
        </row>
        <row r="6011">
          <cell r="B6011" t="str">
            <v>70574571</v>
          </cell>
          <cell r="C6011" t="str">
            <v>川南 麻辣海带丝 81G</v>
          </cell>
          <cell r="D6011">
            <v>2205</v>
          </cell>
          <cell r="E6011">
            <v>4912.72</v>
          </cell>
          <cell r="F6011">
            <v>2.5176297505668899</v>
          </cell>
        </row>
        <row r="6012">
          <cell r="B6012" t="str">
            <v>70574668</v>
          </cell>
          <cell r="C6012" t="str">
            <v>川南 油辣子 208G</v>
          </cell>
          <cell r="D6012">
            <v>17</v>
          </cell>
          <cell r="E6012">
            <v>174.84</v>
          </cell>
          <cell r="F6012">
            <v>11.6217176470588</v>
          </cell>
        </row>
        <row r="6013">
          <cell r="B6013" t="str">
            <v>70574669</v>
          </cell>
          <cell r="C6013" t="str">
            <v>川南 黄花下饭菜 271G</v>
          </cell>
          <cell r="D6013">
            <v>459</v>
          </cell>
          <cell r="E6013">
            <v>4511.9799999999996</v>
          </cell>
          <cell r="F6013">
            <v>11.1079246187364</v>
          </cell>
        </row>
        <row r="6014">
          <cell r="B6014" t="str">
            <v>70574670</v>
          </cell>
          <cell r="C6014" t="str">
            <v>川南 学生下饭菜 271G</v>
          </cell>
          <cell r="D6014">
            <v>384</v>
          </cell>
          <cell r="E6014">
            <v>3770.94</v>
          </cell>
          <cell r="F6014">
            <v>11.096776562500001</v>
          </cell>
        </row>
        <row r="6015">
          <cell r="B6015" t="str">
            <v>70574671</v>
          </cell>
          <cell r="C6015" t="str">
            <v>味聚特 纯脆鲜脆榨菜 93G</v>
          </cell>
          <cell r="D6015">
            <v>480</v>
          </cell>
          <cell r="E6015">
            <v>1179.96</v>
          </cell>
          <cell r="F6015">
            <v>2.7778225000000001</v>
          </cell>
        </row>
        <row r="6016">
          <cell r="B6016" t="str">
            <v>70575300</v>
          </cell>
          <cell r="C6016" t="str">
            <v>双汇 家家汇牛肉风味香肠(新版) 110G</v>
          </cell>
          <cell r="D6016">
            <v>29</v>
          </cell>
          <cell r="E6016">
            <v>46.19</v>
          </cell>
          <cell r="F6016">
            <v>1.7998172413793101</v>
          </cell>
        </row>
        <row r="6017">
          <cell r="B6017" t="str">
            <v>70575301</v>
          </cell>
          <cell r="C6017" t="str">
            <v>双汇 重庆风味小面 120G</v>
          </cell>
          <cell r="D6017">
            <v>207</v>
          </cell>
          <cell r="E6017">
            <v>1228.3900000000001</v>
          </cell>
          <cell r="F6017">
            <v>6.7057038647342999</v>
          </cell>
        </row>
        <row r="6018">
          <cell r="B6018" t="str">
            <v>70575302</v>
          </cell>
          <cell r="C6018" t="str">
            <v>双汇 酸辣粉 135G</v>
          </cell>
          <cell r="D6018">
            <v>187</v>
          </cell>
          <cell r="E6018">
            <v>1107.8900000000001</v>
          </cell>
          <cell r="F6018">
            <v>6.6947363636363599</v>
          </cell>
        </row>
        <row r="6019">
          <cell r="B6019" t="str">
            <v>70575304</v>
          </cell>
          <cell r="C6019" t="str">
            <v>双汇 家家汇鸡肉香肠(新版) 120G</v>
          </cell>
          <cell r="D6019">
            <v>29</v>
          </cell>
          <cell r="E6019">
            <v>45.02</v>
          </cell>
          <cell r="F6019">
            <v>1.7542275862068999</v>
          </cell>
        </row>
        <row r="6020">
          <cell r="B6020" t="str">
            <v>70575311</v>
          </cell>
          <cell r="C6020" t="str">
            <v>双汇 卤鸡大腿（熏烤风味）160G</v>
          </cell>
          <cell r="D6020">
            <v>4</v>
          </cell>
          <cell r="E6020">
            <v>32.26</v>
          </cell>
          <cell r="F6020">
            <v>9.1134500000000003</v>
          </cell>
        </row>
        <row r="6021">
          <cell r="B6021" t="str">
            <v>70575688</v>
          </cell>
          <cell r="C6021" t="str">
            <v>康师傅 番茄鸡蛋牛肉面(辣) 125g</v>
          </cell>
          <cell r="D6021">
            <v>1142</v>
          </cell>
          <cell r="E6021">
            <v>4042.4</v>
          </cell>
          <cell r="F6021">
            <v>3.9999229422066498</v>
          </cell>
        </row>
        <row r="6022">
          <cell r="B6022" t="str">
            <v>70577474</v>
          </cell>
          <cell r="C6022" t="str">
            <v>麻六记 豌豆泥泥面 122G</v>
          </cell>
          <cell r="D6022">
            <v>47</v>
          </cell>
          <cell r="E6022">
            <v>395.15</v>
          </cell>
          <cell r="F6022">
            <v>9.5004148936170196</v>
          </cell>
        </row>
        <row r="6023">
          <cell r="B6023" t="str">
            <v>70577853</v>
          </cell>
          <cell r="C6023" t="str">
            <v>饭小馋 港式鸡丝馄饨酸辣金汤味 130G</v>
          </cell>
          <cell r="D6023">
            <v>1</v>
          </cell>
          <cell r="E6023">
            <v>5.16</v>
          </cell>
          <cell r="F6023">
            <v>5.8308</v>
          </cell>
        </row>
        <row r="6024">
          <cell r="B6024" t="str">
            <v>70577858</v>
          </cell>
          <cell r="C6024" t="str">
            <v>饭小馋 骨汤馄饨经典浓汤 77G</v>
          </cell>
          <cell r="D6024">
            <v>3</v>
          </cell>
          <cell r="E6024">
            <v>15.45</v>
          </cell>
          <cell r="F6024">
            <v>5.8194999999999997</v>
          </cell>
        </row>
        <row r="6025">
          <cell r="B6025" t="str">
            <v>70577879</v>
          </cell>
          <cell r="C6025" t="str">
            <v>饭小馋 老式小馄饨紫菜虾米味 76G</v>
          </cell>
          <cell r="D6025">
            <v>1</v>
          </cell>
          <cell r="E6025">
            <v>5.15</v>
          </cell>
          <cell r="F6025">
            <v>5.8194999999999997</v>
          </cell>
        </row>
        <row r="6026">
          <cell r="B6026" t="str">
            <v>70579125</v>
          </cell>
          <cell r="C6026" t="str">
            <v>好欢螺 麻辣素毛肚螺蛳粉 375G</v>
          </cell>
          <cell r="D6026">
            <v>0</v>
          </cell>
          <cell r="E6026">
            <v>0</v>
          </cell>
          <cell r="F6026" t="e">
            <v>#DIV/0!</v>
          </cell>
        </row>
        <row r="6027">
          <cell r="B6027" t="str">
            <v>70581434</v>
          </cell>
          <cell r="C6027" t="str">
            <v>硕昌 淳淅烤肠 个</v>
          </cell>
          <cell r="D6027">
            <v>1353</v>
          </cell>
          <cell r="E6027">
            <v>3592.64</v>
          </cell>
          <cell r="F6027">
            <v>3.00050495195861</v>
          </cell>
        </row>
        <row r="6028">
          <cell r="B6028" t="str">
            <v>70581435</v>
          </cell>
          <cell r="C6028" t="str">
            <v>硕昌 肉多多烤肠 个</v>
          </cell>
          <cell r="D6028">
            <v>800</v>
          </cell>
          <cell r="E6028">
            <v>3539.82</v>
          </cell>
          <cell r="F6028">
            <v>4.9999957500000001</v>
          </cell>
        </row>
        <row r="6029">
          <cell r="B6029" t="str">
            <v>70581436</v>
          </cell>
          <cell r="C6029" t="str">
            <v>硕昌 肉多多烤肠 个</v>
          </cell>
          <cell r="D6029">
            <v>0</v>
          </cell>
          <cell r="E6029">
            <v>0</v>
          </cell>
          <cell r="F6029" t="e">
            <v>#DIV/0!</v>
          </cell>
        </row>
        <row r="6030">
          <cell r="B6030" t="str">
            <v>70582659</v>
          </cell>
          <cell r="C6030" t="str">
            <v>起亮 肉肉脆骨肠香辣味 115G</v>
          </cell>
          <cell r="D6030">
            <v>23</v>
          </cell>
          <cell r="E6030">
            <v>14.19</v>
          </cell>
          <cell r="F6030">
            <v>0.69716086956521695</v>
          </cell>
        </row>
        <row r="6031">
          <cell r="B6031" t="str">
            <v>70582661</v>
          </cell>
          <cell r="C6031" t="str">
            <v>起亮 肉肉脆骨肠玉米味 115G</v>
          </cell>
          <cell r="D6031">
            <v>1421</v>
          </cell>
          <cell r="E6031">
            <v>4043.26</v>
          </cell>
          <cell r="F6031">
            <v>3.2152595355383502</v>
          </cell>
        </row>
        <row r="6032">
          <cell r="B6032" t="str">
            <v>70583825</v>
          </cell>
          <cell r="C6032" t="str">
            <v>山姆 广州酒家金桂铁皮石斛银耳羹 185G</v>
          </cell>
          <cell r="D6032">
            <v>0</v>
          </cell>
          <cell r="E6032">
            <v>0</v>
          </cell>
          <cell r="F6032" t="e">
            <v>#DIV/0!</v>
          </cell>
        </row>
        <row r="6033">
          <cell r="B6033" t="str">
            <v>70584543</v>
          </cell>
          <cell r="C6033" t="str">
            <v>味出疆 燕窝桃胶炖雪梨汤 250G</v>
          </cell>
          <cell r="D6033">
            <v>268</v>
          </cell>
          <cell r="E6033">
            <v>2269.06</v>
          </cell>
          <cell r="F6033">
            <v>9.5673052238806005</v>
          </cell>
        </row>
        <row r="6034">
          <cell r="B6034" t="str">
            <v>70593649</v>
          </cell>
          <cell r="C6034" t="str">
            <v>宗振 麻酱蛋 10枚</v>
          </cell>
          <cell r="D6034">
            <v>230</v>
          </cell>
          <cell r="E6034">
            <v>3054.33</v>
          </cell>
          <cell r="F6034">
            <v>15.0060560869565</v>
          </cell>
        </row>
        <row r="6035">
          <cell r="B6035" t="str">
            <v>70597443</v>
          </cell>
          <cell r="C6035" t="str">
            <v>康师傅 椒盐鸡柳香爆脆 31g</v>
          </cell>
          <cell r="D6035">
            <v>17</v>
          </cell>
          <cell r="E6035">
            <v>11.04</v>
          </cell>
          <cell r="F6035">
            <v>0.73383529411764703</v>
          </cell>
        </row>
        <row r="6036">
          <cell r="B6036" t="str">
            <v>70601963</v>
          </cell>
          <cell r="C6036" t="str">
            <v>尚吧 麻辣鹌鹑蛋 80G</v>
          </cell>
          <cell r="D6036">
            <v>40</v>
          </cell>
          <cell r="E6036">
            <v>130.74</v>
          </cell>
          <cell r="F6036">
            <v>3.6934049999999998</v>
          </cell>
        </row>
        <row r="6037">
          <cell r="B6037" t="str">
            <v>70601964</v>
          </cell>
          <cell r="C6037" t="str">
            <v>尚吧 卤香鹌鹑蛋 80G</v>
          </cell>
          <cell r="D6037">
            <v>559</v>
          </cell>
          <cell r="E6037">
            <v>1832.53</v>
          </cell>
          <cell r="F6037">
            <v>3.70439874776386</v>
          </cell>
        </row>
        <row r="6038">
          <cell r="B6038" t="str">
            <v>70601986</v>
          </cell>
          <cell r="C6038" t="str">
            <v>姚淑先 红枣银耳露 228G</v>
          </cell>
          <cell r="D6038">
            <v>15</v>
          </cell>
          <cell r="E6038">
            <v>55.8</v>
          </cell>
          <cell r="F6038">
            <v>4.2035999999999998</v>
          </cell>
        </row>
        <row r="6039">
          <cell r="B6039" t="str">
            <v>70601987</v>
          </cell>
          <cell r="C6039" t="str">
            <v>姚淑先 木瓜银耳露 228G</v>
          </cell>
          <cell r="D6039">
            <v>38</v>
          </cell>
          <cell r="E6039">
            <v>141.31</v>
          </cell>
          <cell r="F6039">
            <v>4.2021131578947397</v>
          </cell>
        </row>
        <row r="6040">
          <cell r="B6040" t="str">
            <v>70638341</v>
          </cell>
          <cell r="C6040" t="str">
            <v>金亨 清真香嫩烤肠 40G</v>
          </cell>
          <cell r="D6040">
            <v>6614</v>
          </cell>
          <cell r="E6040">
            <v>14052.43</v>
          </cell>
          <cell r="F6040">
            <v>2.4008536286664599</v>
          </cell>
        </row>
        <row r="6041">
          <cell r="B6041" t="str">
            <v>70638343</v>
          </cell>
          <cell r="C6041" t="str">
            <v>金亨 清真香嫩烤肠 55G</v>
          </cell>
          <cell r="D6041">
            <v>3247</v>
          </cell>
          <cell r="E6041">
            <v>9196.39</v>
          </cell>
          <cell r="F6041">
            <v>3.20046834000616</v>
          </cell>
        </row>
        <row r="6042">
          <cell r="B6042" t="str">
            <v>70638345</v>
          </cell>
          <cell r="C6042" t="str">
            <v>金亨 清真原味纯肉烤肠 个</v>
          </cell>
          <cell r="D6042">
            <v>1975</v>
          </cell>
          <cell r="E6042">
            <v>9788.14</v>
          </cell>
          <cell r="F6042">
            <v>5.6003028860759496</v>
          </cell>
        </row>
        <row r="6043">
          <cell r="B6043" t="str">
            <v>70640121</v>
          </cell>
          <cell r="C6043" t="str">
            <v>艾妍 魔芋贡菜（香辣味） 80G</v>
          </cell>
          <cell r="D6043">
            <v>474</v>
          </cell>
          <cell r="E6043">
            <v>2443.98</v>
          </cell>
          <cell r="F6043">
            <v>5.8263658227848101</v>
          </cell>
        </row>
        <row r="6044">
          <cell r="B6044" t="str">
            <v>70640130</v>
          </cell>
          <cell r="C6044" t="str">
            <v>艾妍 魔芋贡菜（酸辣味） 80G</v>
          </cell>
          <cell r="D6044">
            <v>275</v>
          </cell>
          <cell r="E6044">
            <v>1419.33</v>
          </cell>
          <cell r="F6044">
            <v>5.8321560000000003</v>
          </cell>
        </row>
        <row r="6045">
          <cell r="B6045" t="str">
            <v>70640137</v>
          </cell>
          <cell r="C6045" t="str">
            <v>艾妍 魔芋贡菜（蒜香味） 80G</v>
          </cell>
          <cell r="D6045">
            <v>129</v>
          </cell>
          <cell r="E6045">
            <v>665.73</v>
          </cell>
          <cell r="F6045">
            <v>5.8315883720930204</v>
          </cell>
        </row>
        <row r="6046">
          <cell r="B6046" t="str">
            <v>70640192</v>
          </cell>
          <cell r="C6046" t="str">
            <v>渔米之湘 有鱼有虾（香辣味） 12G</v>
          </cell>
          <cell r="D6046">
            <v>5563</v>
          </cell>
          <cell r="E6046">
            <v>3863.2</v>
          </cell>
          <cell r="F6046">
            <v>0.78472335071004795</v>
          </cell>
        </row>
        <row r="6047">
          <cell r="B6047" t="str">
            <v>70640204</v>
          </cell>
          <cell r="C6047" t="str">
            <v>渔米之湘 有鱼有虾（椒盐味） 12G</v>
          </cell>
          <cell r="D6047">
            <v>5023</v>
          </cell>
          <cell r="E6047">
            <v>3447.71</v>
          </cell>
          <cell r="F6047">
            <v>0.77561463268962805</v>
          </cell>
        </row>
        <row r="6048">
          <cell r="B6048" t="str">
            <v>70640250</v>
          </cell>
          <cell r="C6048" t="str">
            <v>卤门家族 手剥笋香辣味 230G</v>
          </cell>
          <cell r="D6048">
            <v>7</v>
          </cell>
          <cell r="E6048">
            <v>52.7</v>
          </cell>
          <cell r="F6048">
            <v>8.5072857142857092</v>
          </cell>
        </row>
        <row r="6049">
          <cell r="B6049" t="str">
            <v>70640251</v>
          </cell>
          <cell r="C6049" t="str">
            <v>卤门家族 手剥笋泡椒味 230G</v>
          </cell>
          <cell r="D6049">
            <v>2</v>
          </cell>
          <cell r="E6049">
            <v>15.06</v>
          </cell>
          <cell r="F6049">
            <v>8.5089000000000006</v>
          </cell>
        </row>
        <row r="6050">
          <cell r="B6050" t="str">
            <v>70640262</v>
          </cell>
          <cell r="C6050" t="str">
            <v>卤门家族 魔芋贡菜-蒜香味(10枚装) 15G</v>
          </cell>
          <cell r="D6050">
            <v>70</v>
          </cell>
          <cell r="E6050">
            <v>90.09</v>
          </cell>
          <cell r="F6050">
            <v>1.45431</v>
          </cell>
        </row>
        <row r="6051">
          <cell r="B6051" t="str">
            <v>70640331</v>
          </cell>
          <cell r="C6051" t="str">
            <v>麻六记 泡椒米线 134G</v>
          </cell>
          <cell r="D6051">
            <v>105</v>
          </cell>
          <cell r="E6051">
            <v>815.11</v>
          </cell>
          <cell r="F6051">
            <v>8.7721361904761892</v>
          </cell>
        </row>
        <row r="6052">
          <cell r="B6052" t="str">
            <v>70640332</v>
          </cell>
          <cell r="C6052" t="str">
            <v>麻六记 火锅粉 219G</v>
          </cell>
          <cell r="D6052">
            <v>53</v>
          </cell>
          <cell r="E6052">
            <v>445.63</v>
          </cell>
          <cell r="F6052">
            <v>9.5011679245282998</v>
          </cell>
        </row>
        <row r="6053">
          <cell r="B6053" t="str">
            <v>70640344</v>
          </cell>
          <cell r="C6053" t="str">
            <v>撵饭记 麻辣干拌风干萝卜干 80G</v>
          </cell>
          <cell r="D6053">
            <v>6</v>
          </cell>
          <cell r="E6053">
            <v>13.02</v>
          </cell>
          <cell r="F6053">
            <v>2.4521000000000002</v>
          </cell>
        </row>
        <row r="6054">
          <cell r="B6054" t="str">
            <v>70640345</v>
          </cell>
          <cell r="C6054" t="str">
            <v>撵饭记 香辣干拌风干萝卜干 80G</v>
          </cell>
          <cell r="D6054">
            <v>13</v>
          </cell>
          <cell r="E6054">
            <v>28.21</v>
          </cell>
          <cell r="F6054">
            <v>2.4521000000000002</v>
          </cell>
        </row>
        <row r="6055">
          <cell r="B6055" t="str">
            <v>70640346</v>
          </cell>
          <cell r="C6055" t="str">
            <v>撵饭记 酸甜脆风干萝卜干 80G</v>
          </cell>
          <cell r="D6055">
            <v>12</v>
          </cell>
          <cell r="E6055">
            <v>26.04</v>
          </cell>
          <cell r="F6055">
            <v>2.4521000000000002</v>
          </cell>
        </row>
        <row r="6056">
          <cell r="B6056" t="str">
            <v>70640347</v>
          </cell>
          <cell r="C6056" t="str">
            <v>撵饭记 劲爆野山椒味风干萝卜干 80G</v>
          </cell>
          <cell r="D6056">
            <v>2</v>
          </cell>
          <cell r="E6056">
            <v>4.34</v>
          </cell>
          <cell r="F6056">
            <v>2.4521000000000002</v>
          </cell>
        </row>
        <row r="6057">
          <cell r="B6057" t="str">
            <v>70640348</v>
          </cell>
          <cell r="C6057" t="str">
            <v>撵饭记 香辣干拌高原风干萝卜干 300G</v>
          </cell>
          <cell r="D6057">
            <v>6</v>
          </cell>
          <cell r="E6057">
            <v>59.48</v>
          </cell>
          <cell r="F6057">
            <v>11.202066666666701</v>
          </cell>
        </row>
        <row r="6058">
          <cell r="B6058" t="str">
            <v>70640349</v>
          </cell>
          <cell r="C6058" t="str">
            <v>撵饭记 口口脆高原风干萝卜干 300G</v>
          </cell>
          <cell r="D6058">
            <v>4</v>
          </cell>
          <cell r="E6058">
            <v>39.659999999999997</v>
          </cell>
          <cell r="F6058">
            <v>11.203950000000001</v>
          </cell>
        </row>
        <row r="6059">
          <cell r="B6059" t="str">
            <v>70640350</v>
          </cell>
          <cell r="C6059" t="str">
            <v>撵饭记 麻辣干拌高原风干萝卜干 300G</v>
          </cell>
          <cell r="D6059">
            <v>7</v>
          </cell>
          <cell r="E6059">
            <v>69.39</v>
          </cell>
          <cell r="F6059">
            <v>11.2015285714286</v>
          </cell>
        </row>
        <row r="6060">
          <cell r="B6060" t="str">
            <v>70640354</v>
          </cell>
          <cell r="C6060" t="str">
            <v>小龙坎 自热火锅（沸腾牛肉） 380G</v>
          </cell>
          <cell r="D6060">
            <v>10</v>
          </cell>
          <cell r="E6060">
            <v>179.53</v>
          </cell>
          <cell r="F6060">
            <v>20.28689</v>
          </cell>
        </row>
        <row r="6061">
          <cell r="B6061" t="str">
            <v>70640355</v>
          </cell>
          <cell r="C6061" t="str">
            <v>小龙坎 麻辣素什锦小火锅 280G</v>
          </cell>
          <cell r="D6061">
            <v>5</v>
          </cell>
          <cell r="E6061">
            <v>53.99</v>
          </cell>
          <cell r="F6061">
            <v>12.201739999999999</v>
          </cell>
        </row>
        <row r="6062">
          <cell r="B6062" t="str">
            <v>70640357</v>
          </cell>
          <cell r="C6062" t="str">
            <v>小龙坎 自热米饭（菌菇牛肉） 260G</v>
          </cell>
          <cell r="D6062">
            <v>1</v>
          </cell>
          <cell r="E6062">
            <v>9.1199999999999992</v>
          </cell>
          <cell r="F6062">
            <v>10.3056</v>
          </cell>
        </row>
        <row r="6063">
          <cell r="B6063" t="str">
            <v>70640501</v>
          </cell>
          <cell r="C6063" t="str">
            <v>艾妍 酱脆（麻酱） 75G</v>
          </cell>
          <cell r="D6063">
            <v>215</v>
          </cell>
          <cell r="E6063">
            <v>1111.8900000000001</v>
          </cell>
          <cell r="F6063">
            <v>5.8438869767441899</v>
          </cell>
        </row>
        <row r="6064">
          <cell r="B6064" t="str">
            <v>70640502</v>
          </cell>
          <cell r="C6064" t="str">
            <v>艾妍 酱脆（蒜酱） 75G</v>
          </cell>
          <cell r="D6064">
            <v>146</v>
          </cell>
          <cell r="E6064">
            <v>751.89</v>
          </cell>
          <cell r="F6064">
            <v>5.8194226027397304</v>
          </cell>
        </row>
        <row r="6065">
          <cell r="B6065" t="str">
            <v>70640514</v>
          </cell>
          <cell r="C6065" t="str">
            <v>北戴河 好好吃肉（辣条味） 50G</v>
          </cell>
          <cell r="D6065">
            <v>5</v>
          </cell>
          <cell r="E6065">
            <v>97.35</v>
          </cell>
          <cell r="F6065">
            <v>22.001100000000001</v>
          </cell>
        </row>
        <row r="6066">
          <cell r="B6066" t="str">
            <v>70640518</v>
          </cell>
          <cell r="C6066" t="str">
            <v>力诚 诚松叶蟹味柳 40G</v>
          </cell>
          <cell r="D6066">
            <v>2</v>
          </cell>
          <cell r="E6066">
            <v>6.74</v>
          </cell>
          <cell r="F6066">
            <v>3.8081</v>
          </cell>
        </row>
        <row r="6067">
          <cell r="B6067" t="str">
            <v>70640527</v>
          </cell>
          <cell r="C6067" t="str">
            <v>沙发猫 黑猪午餐肉原味 80G</v>
          </cell>
          <cell r="D6067">
            <v>74</v>
          </cell>
          <cell r="E6067">
            <v>507.57</v>
          </cell>
          <cell r="F6067">
            <v>7.7507310810810797</v>
          </cell>
        </row>
        <row r="6068">
          <cell r="B6068" t="str">
            <v>70640548</v>
          </cell>
          <cell r="C6068" t="str">
            <v>力诚 地道肠 240G</v>
          </cell>
          <cell r="D6068">
            <v>102</v>
          </cell>
          <cell r="E6068">
            <v>1183.08</v>
          </cell>
          <cell r="F6068">
            <v>13.1066705882353</v>
          </cell>
        </row>
        <row r="6069">
          <cell r="B6069" t="str">
            <v>70640570</v>
          </cell>
          <cell r="C6069" t="str">
            <v>飞龙 脱壳鹌鹑蛋盐焗味 58G</v>
          </cell>
          <cell r="D6069">
            <v>3</v>
          </cell>
          <cell r="E6069">
            <v>6.91</v>
          </cell>
          <cell r="F6069">
            <v>2.6027666666666698</v>
          </cell>
        </row>
        <row r="6070">
          <cell r="B6070" t="str">
            <v>70640571</v>
          </cell>
          <cell r="C6070" t="str">
            <v>飞龙 带壳鹌鹑蛋五香 178G</v>
          </cell>
          <cell r="D6070">
            <v>3</v>
          </cell>
          <cell r="E6070">
            <v>11.97</v>
          </cell>
          <cell r="F6070">
            <v>4.5087000000000002</v>
          </cell>
        </row>
        <row r="6071">
          <cell r="B6071" t="str">
            <v>70640572</v>
          </cell>
          <cell r="C6071" t="str">
            <v>飞龙 脱壳鹌鹑蛋卤香 58G</v>
          </cell>
          <cell r="D6071">
            <v>13</v>
          </cell>
          <cell r="E6071">
            <v>29.94</v>
          </cell>
          <cell r="F6071">
            <v>2.60247692307692</v>
          </cell>
        </row>
        <row r="6072">
          <cell r="B6072" t="str">
            <v>70640573</v>
          </cell>
          <cell r="C6072" t="str">
            <v>飞龙 带壳鹌鹑蛋香辣 88G</v>
          </cell>
          <cell r="D6072">
            <v>4</v>
          </cell>
          <cell r="E6072">
            <v>9.2200000000000006</v>
          </cell>
          <cell r="F6072">
            <v>2.6046499999999999</v>
          </cell>
        </row>
        <row r="6073">
          <cell r="B6073" t="str">
            <v>70640574</v>
          </cell>
          <cell r="C6073" t="str">
            <v>飞龙 带壳鹌鹑蛋五香 88G</v>
          </cell>
          <cell r="D6073">
            <v>5</v>
          </cell>
          <cell r="E6073">
            <v>11.51</v>
          </cell>
          <cell r="F6073">
            <v>2.6012599999999999</v>
          </cell>
        </row>
        <row r="6074">
          <cell r="B6074" t="str">
            <v>70656365</v>
          </cell>
          <cell r="C6074" t="str">
            <v>川南 川辣海带片 63g</v>
          </cell>
          <cell r="D6074">
            <v>249</v>
          </cell>
          <cell r="E6074">
            <v>647.95000000000005</v>
          </cell>
          <cell r="F6074">
            <v>2.9404959839357399</v>
          </cell>
        </row>
        <row r="6075">
          <cell r="B6075" t="str">
            <v>70656368</v>
          </cell>
          <cell r="C6075" t="str">
            <v>川南 酸辣海带片 63g</v>
          </cell>
          <cell r="D6075">
            <v>242</v>
          </cell>
          <cell r="E6075">
            <v>629.9</v>
          </cell>
          <cell r="F6075">
            <v>2.9412685950413202</v>
          </cell>
        </row>
        <row r="6076">
          <cell r="B6076" t="str">
            <v>70656724</v>
          </cell>
          <cell r="C6076" t="str">
            <v>川南 辣卤海带片 63g</v>
          </cell>
          <cell r="D6076">
            <v>271</v>
          </cell>
          <cell r="E6076">
            <v>705.47</v>
          </cell>
          <cell r="F6076">
            <v>2.9416276752767501</v>
          </cell>
        </row>
        <row r="6077">
          <cell r="B6077" t="str">
            <v>70656900</v>
          </cell>
          <cell r="C6077" t="str">
            <v>味聚特 脆爽萝卜丁 81g</v>
          </cell>
          <cell r="D6077">
            <v>347</v>
          </cell>
          <cell r="E6077">
            <v>908.35</v>
          </cell>
          <cell r="F6077">
            <v>2.9580273775216099</v>
          </cell>
        </row>
        <row r="6078">
          <cell r="B6078" t="str">
            <v>70656911</v>
          </cell>
          <cell r="C6078" t="str">
            <v>味聚特 麻辣海带片 63g</v>
          </cell>
          <cell r="D6078">
            <v>219</v>
          </cell>
          <cell r="E6078">
            <v>570</v>
          </cell>
          <cell r="F6078">
            <v>2.9410958904109599</v>
          </cell>
        </row>
        <row r="6079">
          <cell r="B6079" t="str">
            <v>70657946</v>
          </cell>
          <cell r="C6079" t="str">
            <v>味聚特 酸辣海带片 63G</v>
          </cell>
          <cell r="D6079">
            <v>217</v>
          </cell>
          <cell r="E6079">
            <v>566.26</v>
          </cell>
          <cell r="F6079">
            <v>2.9487271889400901</v>
          </cell>
        </row>
        <row r="6080">
          <cell r="B6080" t="str">
            <v>70657959</v>
          </cell>
          <cell r="C6080" t="str">
            <v>味聚特 味聚特 椒香萝卜丁 81g g</v>
          </cell>
          <cell r="D6080">
            <v>169</v>
          </cell>
          <cell r="E6080">
            <v>439.96</v>
          </cell>
          <cell r="F6080">
            <v>2.9417443786982198</v>
          </cell>
        </row>
        <row r="6081">
          <cell r="B6081" t="str">
            <v>70657960</v>
          </cell>
          <cell r="C6081" t="str">
            <v>味聚特 味聚特 麻辣萝卜丁 81g g</v>
          </cell>
          <cell r="D6081">
            <v>303</v>
          </cell>
          <cell r="E6081">
            <v>788.67</v>
          </cell>
          <cell r="F6081">
            <v>2.9412445544554502</v>
          </cell>
        </row>
        <row r="6082">
          <cell r="B6082" t="str">
            <v>70657962</v>
          </cell>
          <cell r="C6082" t="str">
            <v>味聚特 味聚特 辣爽海带片 63g g</v>
          </cell>
          <cell r="D6082">
            <v>201</v>
          </cell>
          <cell r="E6082">
            <v>524.20000000000005</v>
          </cell>
          <cell r="F6082">
            <v>2.94699502487562</v>
          </cell>
        </row>
        <row r="6083">
          <cell r="B6083" t="str">
            <v>70680340</v>
          </cell>
          <cell r="C6083" t="str">
            <v>三只松鼠 宝元圣桂圆莲子八宝粥 320G</v>
          </cell>
          <cell r="D6083">
            <v>502</v>
          </cell>
          <cell r="E6083">
            <v>1261.55</v>
          </cell>
          <cell r="F6083">
            <v>2.8397440239043799</v>
          </cell>
        </row>
        <row r="6084">
          <cell r="B6084" t="str">
            <v>70680830</v>
          </cell>
          <cell r="C6084" t="str">
            <v>三只松鼠 宝元圣每日坚果八宝粥 320G</v>
          </cell>
          <cell r="D6084">
            <v>561</v>
          </cell>
          <cell r="E6084">
            <v>1416.2</v>
          </cell>
          <cell r="F6084">
            <v>2.8525953654188898</v>
          </cell>
        </row>
        <row r="6085">
          <cell r="B6085" t="str">
            <v>70680831</v>
          </cell>
          <cell r="C6085" t="str">
            <v>味出疆 新疆炒米粉 380G</v>
          </cell>
          <cell r="D6085">
            <v>374</v>
          </cell>
          <cell r="E6085">
            <v>2793.17</v>
          </cell>
          <cell r="F6085">
            <v>8.4392569518716591</v>
          </cell>
        </row>
        <row r="6086">
          <cell r="B6086" t="str">
            <v>70687000</v>
          </cell>
          <cell r="C6086" t="str">
            <v>一健粤味 扬州炒饭 400G</v>
          </cell>
          <cell r="D6086">
            <v>44</v>
          </cell>
          <cell r="E6086">
            <v>299.83999999999997</v>
          </cell>
          <cell r="F6086">
            <v>7.70043636363636</v>
          </cell>
        </row>
        <row r="6087">
          <cell r="B6087" t="str">
            <v>70687020</v>
          </cell>
          <cell r="C6087" t="str">
            <v>MM 大闸蟹蟹黄拌面 3×305克</v>
          </cell>
          <cell r="D6087">
            <v>14</v>
          </cell>
          <cell r="E6087">
            <v>1538.6</v>
          </cell>
          <cell r="F6087">
            <v>124.187</v>
          </cell>
        </row>
        <row r="6088">
          <cell r="B6088" t="str">
            <v>70687077</v>
          </cell>
          <cell r="C6088" t="str">
            <v>一健粤味 黑椒牛肉炒饭 400G</v>
          </cell>
          <cell r="D6088">
            <v>50</v>
          </cell>
          <cell r="E6088">
            <v>420.38</v>
          </cell>
          <cell r="F6088">
            <v>9.5005880000000005</v>
          </cell>
        </row>
        <row r="6089">
          <cell r="B6089" t="str">
            <v>70687921</v>
          </cell>
          <cell r="C6089" t="str">
            <v>柳伍 酸菜鱼 419G</v>
          </cell>
          <cell r="D6089">
            <v>13</v>
          </cell>
          <cell r="E6089">
            <v>214.68</v>
          </cell>
          <cell r="F6089">
            <v>18.660646153846201</v>
          </cell>
        </row>
        <row r="6090">
          <cell r="B6090" t="str">
            <v>70687923</v>
          </cell>
          <cell r="C6090" t="str">
            <v>洪湖诱惑 剁椒鱼头 650G</v>
          </cell>
          <cell r="D6090">
            <v>18</v>
          </cell>
          <cell r="E6090">
            <v>247.7</v>
          </cell>
          <cell r="F6090">
            <v>15.5500555555556</v>
          </cell>
        </row>
        <row r="6091">
          <cell r="B6091" t="str">
            <v>70710924</v>
          </cell>
          <cell r="C6091" t="str">
            <v>营养小新 贵州酸汤米线 118G</v>
          </cell>
          <cell r="D6091">
            <v>27</v>
          </cell>
          <cell r="E6091">
            <v>166.32</v>
          </cell>
          <cell r="F6091">
            <v>6.9607999999999999</v>
          </cell>
        </row>
        <row r="6092">
          <cell r="B6092" t="str">
            <v>70711125</v>
          </cell>
          <cell r="C6092" t="str">
            <v>阿宽 双拼火鸡面香辣火鸡味 157G</v>
          </cell>
          <cell r="D6092">
            <v>323</v>
          </cell>
          <cell r="E6092">
            <v>1296.49</v>
          </cell>
          <cell r="F6092">
            <v>4.5357080495356001</v>
          </cell>
        </row>
        <row r="6093">
          <cell r="B6093" t="str">
            <v>70711126</v>
          </cell>
          <cell r="C6093" t="str">
            <v>阿宽 老成都铺盖面川式辣卤牛肉味大碗宽面 144G</v>
          </cell>
          <cell r="D6093">
            <v>207</v>
          </cell>
          <cell r="E6093">
            <v>828</v>
          </cell>
          <cell r="F6093">
            <v>4.5199999999999996</v>
          </cell>
        </row>
        <row r="6094">
          <cell r="B6094" t="str">
            <v>70712957</v>
          </cell>
          <cell r="C6094" t="str">
            <v>白家陈记 红薯肉臊酸辣粉 136G</v>
          </cell>
          <cell r="D6094">
            <v>269</v>
          </cell>
          <cell r="E6094">
            <v>1140.43</v>
          </cell>
          <cell r="F6094">
            <v>4.7906539033457296</v>
          </cell>
        </row>
        <row r="6095">
          <cell r="B6095" t="str">
            <v>70713870</v>
          </cell>
          <cell r="C6095" t="str">
            <v>营养小新 泰式冬阴功米线 118G</v>
          </cell>
          <cell r="D6095">
            <v>22</v>
          </cell>
          <cell r="E6095">
            <v>135.52000000000001</v>
          </cell>
          <cell r="F6095">
            <v>6.9607999999999999</v>
          </cell>
        </row>
        <row r="6096">
          <cell r="B6096" t="str">
            <v>70713878</v>
          </cell>
          <cell r="C6096" t="str">
            <v>营养小新 香辣剁椒米线 118G</v>
          </cell>
          <cell r="D6096">
            <v>27</v>
          </cell>
          <cell r="E6096">
            <v>166.32</v>
          </cell>
          <cell r="F6096">
            <v>6.9607999999999999</v>
          </cell>
        </row>
        <row r="6097">
          <cell r="B6097" t="str">
            <v>70720759</v>
          </cell>
          <cell r="C6097" t="str">
            <v>相遇好客 薯条 个</v>
          </cell>
          <cell r="D6097">
            <v>202</v>
          </cell>
          <cell r="E6097">
            <v>1609.45</v>
          </cell>
          <cell r="F6097">
            <v>9.0033589108910892</v>
          </cell>
        </row>
        <row r="6098">
          <cell r="B6098" t="str">
            <v>70726040</v>
          </cell>
          <cell r="C6098" t="str">
            <v>MM  花语酿龙眼桃胶羹 8×185G</v>
          </cell>
          <cell r="D6098">
            <v>36</v>
          </cell>
          <cell r="E6098">
            <v>2156.4</v>
          </cell>
          <cell r="F6098">
            <v>67.686999999999998</v>
          </cell>
        </row>
        <row r="6099">
          <cell r="B6099" t="str">
            <v>70726087</v>
          </cell>
          <cell r="C6099" t="str">
            <v>MM  有你一面尊品原汤红烧牛肉面 5×470G</v>
          </cell>
          <cell r="D6099">
            <v>9</v>
          </cell>
          <cell r="E6099">
            <v>719.1</v>
          </cell>
          <cell r="F6099">
            <v>90.287000000000006</v>
          </cell>
        </row>
        <row r="6100">
          <cell r="B6100" t="str">
            <v>70726088</v>
          </cell>
          <cell r="C6100" t="str">
            <v>MM  圃美多韩式泡菜鱼饼乌冬面 5×412G</v>
          </cell>
          <cell r="D6100">
            <v>17</v>
          </cell>
          <cell r="E6100">
            <v>1358.3</v>
          </cell>
          <cell r="F6100">
            <v>90.287000000000006</v>
          </cell>
        </row>
        <row r="6101">
          <cell r="B6101" t="str">
            <v>70727170</v>
          </cell>
          <cell r="C6101" t="str">
            <v>MM  高纤维玉米谷物杯 252克</v>
          </cell>
          <cell r="D6101">
            <v>25</v>
          </cell>
          <cell r="E6101">
            <v>1497.5</v>
          </cell>
          <cell r="F6101">
            <v>67.686999999999998</v>
          </cell>
        </row>
        <row r="6102">
          <cell r="B6102" t="str">
            <v>70001379</v>
          </cell>
          <cell r="C6102" t="str">
            <v>手套</v>
          </cell>
          <cell r="D6102">
            <v>77169</v>
          </cell>
          <cell r="E6102">
            <v>120199.14</v>
          </cell>
          <cell r="F6102">
            <v>1.76009833223185</v>
          </cell>
        </row>
        <row r="6103">
          <cell r="B6103" t="str">
            <v>70001893</v>
          </cell>
          <cell r="C6103" t="str">
            <v>塑料袋</v>
          </cell>
          <cell r="D6103">
            <v>24970</v>
          </cell>
          <cell r="E6103">
            <v>7466.29</v>
          </cell>
          <cell r="F6103">
            <v>0.33788176611934301</v>
          </cell>
        </row>
        <row r="6104">
          <cell r="B6104" t="str">
            <v>70009296</v>
          </cell>
          <cell r="C6104" t="str">
            <v>金号 毛巾 1</v>
          </cell>
          <cell r="D6104">
            <v>1</v>
          </cell>
          <cell r="E6104">
            <v>8.23</v>
          </cell>
          <cell r="F6104">
            <v>9.2998999999999992</v>
          </cell>
        </row>
        <row r="6105">
          <cell r="B6105" t="str">
            <v>70009373</v>
          </cell>
          <cell r="C6105" t="str">
            <v>袜子(男士)</v>
          </cell>
          <cell r="D6105">
            <v>6</v>
          </cell>
          <cell r="E6105">
            <v>20.18</v>
          </cell>
          <cell r="F6105">
            <v>3.8005666666666702</v>
          </cell>
        </row>
        <row r="6106">
          <cell r="B6106" t="str">
            <v>70012298</v>
          </cell>
          <cell r="C6106" t="str">
            <v>南孚 碱性挂卡5#2B</v>
          </cell>
          <cell r="D6106">
            <v>6302</v>
          </cell>
          <cell r="E6106">
            <v>25119.94</v>
          </cell>
          <cell r="F6106">
            <v>4.5042101237702301</v>
          </cell>
        </row>
        <row r="6107">
          <cell r="B6107" t="str">
            <v>70012299</v>
          </cell>
          <cell r="C6107" t="str">
            <v>南孚 碱性挂卡7#2B</v>
          </cell>
          <cell r="D6107">
            <v>6463</v>
          </cell>
          <cell r="E6107">
            <v>25763.42</v>
          </cell>
          <cell r="F6107">
            <v>4.5045125483521602</v>
          </cell>
        </row>
        <row r="6108">
          <cell r="B6108" t="str">
            <v>70014771</v>
          </cell>
          <cell r="C6108" t="str">
            <v>长袖</v>
          </cell>
          <cell r="D6108">
            <v>495</v>
          </cell>
          <cell r="E6108">
            <v>16208.54</v>
          </cell>
          <cell r="F6108">
            <v>37.001313535353503</v>
          </cell>
        </row>
        <row r="6109">
          <cell r="B6109" t="str">
            <v>70016209</v>
          </cell>
          <cell r="C6109" t="str">
            <v>洁丽雅 纯棉强吸水绣花男士面巾 74*34CM</v>
          </cell>
          <cell r="D6109">
            <v>97</v>
          </cell>
          <cell r="E6109">
            <v>1349.99</v>
          </cell>
          <cell r="F6109">
            <v>15.726687628865999</v>
          </cell>
        </row>
        <row r="6110">
          <cell r="B6110" t="str">
            <v>70018842</v>
          </cell>
          <cell r="C6110" t="str">
            <v>拖鞋 GB1602</v>
          </cell>
          <cell r="D6110">
            <v>1</v>
          </cell>
          <cell r="E6110">
            <v>7.53</v>
          </cell>
          <cell r="F6110">
            <v>8.5089000000000006</v>
          </cell>
        </row>
        <row r="6111">
          <cell r="B6111" t="str">
            <v>70018851</v>
          </cell>
          <cell r="C6111" t="str">
            <v>凉拖鞋 40</v>
          </cell>
          <cell r="D6111">
            <v>7</v>
          </cell>
          <cell r="E6111">
            <v>45.85</v>
          </cell>
          <cell r="F6111">
            <v>7.4015000000000004</v>
          </cell>
        </row>
        <row r="6112">
          <cell r="B6112" t="str">
            <v>70031806</v>
          </cell>
          <cell r="C6112" t="str">
            <v>妙洁 纸杯 9盎司*50只</v>
          </cell>
          <cell r="D6112">
            <v>1123</v>
          </cell>
          <cell r="E6112">
            <v>11599.04</v>
          </cell>
          <cell r="F6112">
            <v>11.6713403383793</v>
          </cell>
        </row>
        <row r="6113">
          <cell r="B6113" t="str">
            <v>70032189</v>
          </cell>
          <cell r="C6113" t="str">
            <v>妙洁 PE保鲜膜30M</v>
          </cell>
          <cell r="D6113">
            <v>1</v>
          </cell>
          <cell r="E6113">
            <v>9.89</v>
          </cell>
          <cell r="F6113">
            <v>11.175700000000001</v>
          </cell>
        </row>
        <row r="6114">
          <cell r="B6114" t="str">
            <v>70037345</v>
          </cell>
          <cell r="C6114" t="str">
            <v>金号 面巾 1</v>
          </cell>
          <cell r="D6114">
            <v>1438</v>
          </cell>
          <cell r="E6114">
            <v>8762.06</v>
          </cell>
          <cell r="F6114">
            <v>6.8853461752433898</v>
          </cell>
        </row>
        <row r="6115">
          <cell r="B6115" t="str">
            <v>70037352</v>
          </cell>
          <cell r="C6115" t="str">
            <v>金笛 面巾 A120</v>
          </cell>
          <cell r="D6115">
            <v>2</v>
          </cell>
          <cell r="E6115">
            <v>21.83</v>
          </cell>
          <cell r="F6115">
            <v>12.33395</v>
          </cell>
        </row>
        <row r="6116">
          <cell r="B6116" t="str">
            <v>70040132</v>
          </cell>
          <cell r="C6116" t="str">
            <v>洁丽雅 毛巾 8108</v>
          </cell>
          <cell r="D6116">
            <v>50</v>
          </cell>
          <cell r="E6116">
            <v>610.53</v>
          </cell>
          <cell r="F6116">
            <v>13.797978000000001</v>
          </cell>
        </row>
        <row r="6117">
          <cell r="B6117" t="str">
            <v>70043573</v>
          </cell>
          <cell r="C6117" t="str">
            <v>无纺布购物袋 大 80G</v>
          </cell>
          <cell r="D6117">
            <v>1317</v>
          </cell>
          <cell r="E6117">
            <v>0</v>
          </cell>
          <cell r="F6117">
            <v>0</v>
          </cell>
        </row>
        <row r="6118">
          <cell r="B6118" t="str">
            <v>70043574</v>
          </cell>
          <cell r="C6118" t="str">
            <v>无纺布购物袋 小 80G</v>
          </cell>
          <cell r="D6118">
            <v>1529</v>
          </cell>
          <cell r="E6118">
            <v>0</v>
          </cell>
          <cell r="F6118">
            <v>0</v>
          </cell>
        </row>
        <row r="6119">
          <cell r="B6119" t="str">
            <v>70045244</v>
          </cell>
          <cell r="C6119" t="str">
            <v>金号 毛巾(无捻双层格绣) 条</v>
          </cell>
          <cell r="D6119">
            <v>87</v>
          </cell>
          <cell r="E6119">
            <v>152.74</v>
          </cell>
          <cell r="F6119">
            <v>1.9838643678160901</v>
          </cell>
        </row>
        <row r="6120">
          <cell r="B6120" t="str">
            <v>70047020</v>
          </cell>
          <cell r="C6120" t="str">
            <v>山东金号 毛巾 RA063W</v>
          </cell>
          <cell r="D6120">
            <v>8</v>
          </cell>
          <cell r="E6120">
            <v>157.28</v>
          </cell>
          <cell r="F6120">
            <v>22.215800000000002</v>
          </cell>
        </row>
        <row r="6121">
          <cell r="B6121" t="str">
            <v>70060021</v>
          </cell>
          <cell r="C6121" t="str">
            <v>洁丽雅 毛巾 6223</v>
          </cell>
          <cell r="D6121">
            <v>105</v>
          </cell>
          <cell r="E6121">
            <v>1730.99</v>
          </cell>
          <cell r="F6121">
            <v>18.6287495238095</v>
          </cell>
        </row>
        <row r="6122">
          <cell r="B6122" t="str">
            <v>70063084</v>
          </cell>
          <cell r="C6122" t="str">
            <v>金号 100％棉提缎绣花面巾2145 76CM×34CM</v>
          </cell>
          <cell r="D6122">
            <v>18</v>
          </cell>
          <cell r="E6122">
            <v>169.56</v>
          </cell>
          <cell r="F6122">
            <v>10.644600000000001</v>
          </cell>
        </row>
        <row r="6123">
          <cell r="B6123" t="str">
            <v>70069808</v>
          </cell>
          <cell r="C6123" t="str">
            <v>金号 提缎毛巾货号RA206 78*34</v>
          </cell>
          <cell r="D6123">
            <v>151</v>
          </cell>
          <cell r="E6123">
            <v>0</v>
          </cell>
          <cell r="F6123">
            <v>0</v>
          </cell>
        </row>
        <row r="6124">
          <cell r="B6124" t="str">
            <v>70070446</v>
          </cell>
          <cell r="C6124" t="str">
            <v>无品牌 胶皮手套 双</v>
          </cell>
          <cell r="D6124">
            <v>112</v>
          </cell>
          <cell r="E6124">
            <v>148.71</v>
          </cell>
          <cell r="F6124">
            <v>1.50037767857143</v>
          </cell>
        </row>
        <row r="6125">
          <cell r="B6125" t="str">
            <v>70070505</v>
          </cell>
          <cell r="C6125" t="str">
            <v>洁丽雅 毛巾 条</v>
          </cell>
          <cell r="D6125">
            <v>273</v>
          </cell>
          <cell r="E6125">
            <v>2276.0500000000002</v>
          </cell>
          <cell r="F6125">
            <v>9.4210128205128196</v>
          </cell>
        </row>
        <row r="6126">
          <cell r="B6126" t="str">
            <v>70084091</v>
          </cell>
          <cell r="C6126" t="str">
            <v>酷博防火型插排三孔</v>
          </cell>
          <cell r="D6126">
            <v>34</v>
          </cell>
          <cell r="E6126">
            <v>812.46</v>
          </cell>
          <cell r="F6126">
            <v>27.002347058823499</v>
          </cell>
        </row>
        <row r="6127">
          <cell r="B6127" t="str">
            <v>70088247</v>
          </cell>
          <cell r="C6127" t="str">
            <v>金浩 舒特曼方巾S6131(蓝色 棕色 黄色)</v>
          </cell>
          <cell r="D6127">
            <v>583</v>
          </cell>
          <cell r="E6127">
            <v>6394.95</v>
          </cell>
          <cell r="F6127">
            <v>12.3950145797599</v>
          </cell>
        </row>
        <row r="6128">
          <cell r="B6128" t="str">
            <v>70090756</v>
          </cell>
          <cell r="C6128" t="str">
            <v>男士 布鞋 双</v>
          </cell>
          <cell r="D6128">
            <v>75</v>
          </cell>
          <cell r="E6128">
            <v>789.91</v>
          </cell>
          <cell r="F6128">
            <v>11.901310666666699</v>
          </cell>
        </row>
        <row r="6129">
          <cell r="B6129" t="str">
            <v>70095660</v>
          </cell>
          <cell r="C6129" t="str">
            <v>酷博 防火型插排 6位2米</v>
          </cell>
          <cell r="D6129">
            <v>11</v>
          </cell>
          <cell r="E6129">
            <v>389.39</v>
          </cell>
          <cell r="F6129">
            <v>40.000972727272703</v>
          </cell>
        </row>
        <row r="6130">
          <cell r="B6130" t="str">
            <v>70100661</v>
          </cell>
          <cell r="C6130" t="str">
            <v>金号 金号毛巾(RA550) 1</v>
          </cell>
          <cell r="D6130">
            <v>21</v>
          </cell>
          <cell r="E6130">
            <v>241.5</v>
          </cell>
          <cell r="F6130">
            <v>12.994999999999999</v>
          </cell>
        </row>
        <row r="6131">
          <cell r="B6131" t="str">
            <v>70102247</v>
          </cell>
          <cell r="C6131" t="str">
            <v>纯棉手套 1</v>
          </cell>
          <cell r="D6131">
            <v>32009</v>
          </cell>
          <cell r="E6131">
            <v>24676.41</v>
          </cell>
          <cell r="F6131">
            <v>0.87114071979755703</v>
          </cell>
        </row>
        <row r="6132">
          <cell r="B6132" t="str">
            <v>70102349</v>
          </cell>
          <cell r="C6132" t="str">
            <v>金号 毛巾 货号G1560A</v>
          </cell>
          <cell r="D6132">
            <v>1735</v>
          </cell>
          <cell r="E6132">
            <v>16539.03</v>
          </cell>
          <cell r="F6132">
            <v>10.7718178097983</v>
          </cell>
        </row>
        <row r="6133">
          <cell r="B6133" t="str">
            <v>70107649</v>
          </cell>
          <cell r="C6133" t="str">
            <v>金号 毛巾 RA549</v>
          </cell>
          <cell r="D6133">
            <v>7</v>
          </cell>
          <cell r="E6133">
            <v>70.7</v>
          </cell>
          <cell r="F6133">
            <v>11.413</v>
          </cell>
        </row>
        <row r="6134">
          <cell r="B6134" t="str">
            <v>70116331</v>
          </cell>
          <cell r="C6134" t="str">
            <v>苏泊尔 压力锅 个</v>
          </cell>
          <cell r="D6134">
            <v>4</v>
          </cell>
          <cell r="E6134">
            <v>1368.69</v>
          </cell>
          <cell r="F6134">
            <v>386.65492499999999</v>
          </cell>
        </row>
        <row r="6135">
          <cell r="B6135" t="str">
            <v>70117344</v>
          </cell>
          <cell r="C6135" t="str">
            <v>金号 RA599毛巾 1*10</v>
          </cell>
          <cell r="D6135">
            <v>219</v>
          </cell>
          <cell r="E6135">
            <v>3643.76</v>
          </cell>
          <cell r="F6135">
            <v>18.8011360730594</v>
          </cell>
        </row>
        <row r="6136">
          <cell r="B6136" t="str">
            <v>70127336</v>
          </cell>
          <cell r="C6136" t="str">
            <v>洁丽雅 纯棉毛巾6946(绿) 1</v>
          </cell>
          <cell r="D6136">
            <v>205</v>
          </cell>
          <cell r="E6136">
            <v>3260.01</v>
          </cell>
          <cell r="F6136">
            <v>17.969811219512199</v>
          </cell>
        </row>
        <row r="6137">
          <cell r="B6137" t="str">
            <v>70129023</v>
          </cell>
          <cell r="C6137" t="str">
            <v>金号 金号赤金100％棉毛巾78CM×35CM 98G 条</v>
          </cell>
          <cell r="D6137">
            <v>154</v>
          </cell>
          <cell r="E6137">
            <v>2364.56</v>
          </cell>
          <cell r="F6137">
            <v>17.350342857142898</v>
          </cell>
        </row>
        <row r="6138">
          <cell r="B6138" t="str">
            <v>70131229</v>
          </cell>
          <cell r="C6138" t="str">
            <v>梦耐家纺 纯棉纱手套</v>
          </cell>
          <cell r="D6138">
            <v>168565</v>
          </cell>
          <cell r="E6138">
            <v>151457.91</v>
          </cell>
          <cell r="F6138">
            <v>1.01532013347967</v>
          </cell>
        </row>
        <row r="6139">
          <cell r="B6139" t="str">
            <v>70139638</v>
          </cell>
          <cell r="C6139" t="str">
            <v>金号 花式线提缎面巾 G1745</v>
          </cell>
          <cell r="D6139">
            <v>5</v>
          </cell>
          <cell r="E6139">
            <v>47.82</v>
          </cell>
          <cell r="F6139">
            <v>10.807320000000001</v>
          </cell>
        </row>
        <row r="6140">
          <cell r="B6140" t="str">
            <v>70162071</v>
          </cell>
          <cell r="C6140" t="str">
            <v>浪莎 男士纯棉内裤 个</v>
          </cell>
          <cell r="D6140">
            <v>346</v>
          </cell>
          <cell r="E6140">
            <v>7543.02</v>
          </cell>
          <cell r="F6140">
            <v>24.634718497109802</v>
          </cell>
        </row>
        <row r="6141">
          <cell r="B6141" t="str">
            <v>70164632</v>
          </cell>
          <cell r="C6141" t="str">
            <v>苏泊尔 典雅系列铲勺五件套 T0907Q</v>
          </cell>
          <cell r="D6141">
            <v>2</v>
          </cell>
          <cell r="E6141">
            <v>377.29</v>
          </cell>
          <cell r="F6141">
            <v>213.16884999999999</v>
          </cell>
        </row>
        <row r="6142">
          <cell r="B6142" t="str">
            <v>70164929</v>
          </cell>
          <cell r="C6142" t="str">
            <v>洁丽雅 纯棉强吸水舒适男士面巾 76*34CM</v>
          </cell>
          <cell r="D6142">
            <v>71</v>
          </cell>
          <cell r="E6142">
            <v>973.64</v>
          </cell>
          <cell r="F6142">
            <v>15.495960563380301</v>
          </cell>
        </row>
        <row r="6143">
          <cell r="B6143" t="str">
            <v>70176789</v>
          </cell>
          <cell r="C6143" t="str">
            <v>伊莱克斯 电压力锅 33*16.5*18.5CM</v>
          </cell>
          <cell r="D6143">
            <v>7</v>
          </cell>
          <cell r="E6143">
            <v>3142.2</v>
          </cell>
          <cell r="F6143">
            <v>507.24085714285701</v>
          </cell>
        </row>
        <row r="6144">
          <cell r="B6144" t="str">
            <v>70183125</v>
          </cell>
          <cell r="C6144" t="str">
            <v>无品牌 高级纯棉毛巾 34*75CM</v>
          </cell>
          <cell r="D6144">
            <v>18</v>
          </cell>
          <cell r="E6144">
            <v>543.96</v>
          </cell>
          <cell r="F6144">
            <v>34.148600000000002</v>
          </cell>
        </row>
        <row r="6145">
          <cell r="B6145" t="str">
            <v>70183130</v>
          </cell>
          <cell r="C6145" t="str">
            <v>爱尔兰保罗 哈利波特魔法杯 500CC</v>
          </cell>
          <cell r="D6145">
            <v>61</v>
          </cell>
          <cell r="E6145">
            <v>3673.38</v>
          </cell>
          <cell r="F6145">
            <v>68.047859016393403</v>
          </cell>
        </row>
        <row r="6146">
          <cell r="B6146" t="str">
            <v>70183134</v>
          </cell>
          <cell r="C6146" t="str">
            <v>伊莱克斯 早餐机（三合一早餐吧） 51﹡28﹡30CM</v>
          </cell>
          <cell r="D6146">
            <v>2</v>
          </cell>
          <cell r="E6146">
            <v>604.29999999999995</v>
          </cell>
          <cell r="F6146">
            <v>341.42950000000002</v>
          </cell>
        </row>
        <row r="6147">
          <cell r="B6147" t="str">
            <v>70183135</v>
          </cell>
          <cell r="C6147" t="str">
            <v>西铁城 全自动臂式电子血压计 13.5*13*5CM</v>
          </cell>
          <cell r="D6147">
            <v>1</v>
          </cell>
          <cell r="E6147">
            <v>307.69</v>
          </cell>
          <cell r="F6147">
            <v>347.68970000000002</v>
          </cell>
        </row>
        <row r="6148">
          <cell r="B6148" t="str">
            <v>70183138</v>
          </cell>
          <cell r="C6148" t="str">
            <v>双立人 不锈钢深烧锅 24*13*22CM</v>
          </cell>
          <cell r="D6148">
            <v>3</v>
          </cell>
          <cell r="E6148">
            <v>2323.1799999999998</v>
          </cell>
          <cell r="F6148">
            <v>875.06446666666704</v>
          </cell>
        </row>
        <row r="6149">
          <cell r="B6149" t="str">
            <v>70185474</v>
          </cell>
          <cell r="C6149" t="str">
            <v>洁丽雅 纯棉强吸水舒适面巾6410 72*34</v>
          </cell>
          <cell r="D6149">
            <v>341</v>
          </cell>
          <cell r="E6149">
            <v>2956.6</v>
          </cell>
          <cell r="F6149">
            <v>9.7975307917888497</v>
          </cell>
        </row>
        <row r="6150">
          <cell r="B6150" t="str">
            <v>70185850</v>
          </cell>
          <cell r="C6150" t="str">
            <v>小太阳 强光手电筒照玉专用 1*1</v>
          </cell>
          <cell r="D6150">
            <v>53</v>
          </cell>
          <cell r="E6150">
            <v>6644.88</v>
          </cell>
          <cell r="F6150">
            <v>141.673856603774</v>
          </cell>
        </row>
        <row r="6151">
          <cell r="B6151" t="str">
            <v>70191387</v>
          </cell>
          <cell r="C6151" t="str">
            <v>金号 无捻提锻面巾 G1850WH</v>
          </cell>
          <cell r="D6151">
            <v>635</v>
          </cell>
          <cell r="E6151">
            <v>6810.51</v>
          </cell>
          <cell r="F6151">
            <v>12.1194902362205</v>
          </cell>
        </row>
        <row r="6152">
          <cell r="B6152" t="str">
            <v>70208704</v>
          </cell>
          <cell r="C6152" t="str">
            <v>富光 水晶玻璃杯702 280ML</v>
          </cell>
          <cell r="D6152">
            <v>11</v>
          </cell>
          <cell r="E6152">
            <v>462.75</v>
          </cell>
          <cell r="F6152">
            <v>47.5370454545454</v>
          </cell>
        </row>
        <row r="6153">
          <cell r="B6153" t="str">
            <v>70208705</v>
          </cell>
          <cell r="C6153" t="str">
            <v>富光 水晶玻璃杯702B 320ML</v>
          </cell>
          <cell r="D6153">
            <v>8</v>
          </cell>
          <cell r="E6153">
            <v>501.35</v>
          </cell>
          <cell r="F6153">
            <v>70.815687499999996</v>
          </cell>
        </row>
        <row r="6154">
          <cell r="B6154" t="str">
            <v>70208938</v>
          </cell>
          <cell r="C6154" t="str">
            <v>昆仑好客 购物袋(新疆)大号 个</v>
          </cell>
          <cell r="D6154">
            <v>90</v>
          </cell>
          <cell r="E6154">
            <v>27.85</v>
          </cell>
          <cell r="F6154">
            <v>0.349672222222222</v>
          </cell>
        </row>
        <row r="6155">
          <cell r="B6155" t="str">
            <v>70208939</v>
          </cell>
          <cell r="C6155" t="str">
            <v>昆仑好客 购物袋(新疆)中号 个</v>
          </cell>
          <cell r="D6155">
            <v>1153</v>
          </cell>
          <cell r="E6155">
            <v>47.62</v>
          </cell>
          <cell r="F6155">
            <v>4.6670078057242E-2</v>
          </cell>
        </row>
        <row r="6156">
          <cell r="B6156" t="str">
            <v>70217604</v>
          </cell>
          <cell r="C6156" t="str">
            <v>苏泊尔 蒸滋味多用锅 SE24SI</v>
          </cell>
          <cell r="D6156">
            <v>3</v>
          </cell>
          <cell r="E6156">
            <v>542.38</v>
          </cell>
          <cell r="F6156">
            <v>204.29646666666699</v>
          </cell>
        </row>
        <row r="6157">
          <cell r="B6157" t="str">
            <v>70231283</v>
          </cell>
          <cell r="C6157" t="str">
            <v>浪莎 臭脚克星松口男袜GB5051 1*1</v>
          </cell>
          <cell r="D6157">
            <v>684</v>
          </cell>
          <cell r="E6157">
            <v>6155.01</v>
          </cell>
          <cell r="F6157">
            <v>10.1683644736842</v>
          </cell>
        </row>
        <row r="6158">
          <cell r="B6158" t="str">
            <v>70231289</v>
          </cell>
          <cell r="C6158" t="str">
            <v>浪莎 男士全棉印花平脚裤L6817 1*1</v>
          </cell>
          <cell r="D6158">
            <v>283</v>
          </cell>
          <cell r="E6158">
            <v>6155.74</v>
          </cell>
          <cell r="F6158">
            <v>24.579456537102502</v>
          </cell>
        </row>
        <row r="6159">
          <cell r="B6159" t="str">
            <v>70231305</v>
          </cell>
          <cell r="C6159" t="str">
            <v>浪莎 精梳棉经典简约商务男袜LV6017 1*1</v>
          </cell>
          <cell r="D6159">
            <v>503</v>
          </cell>
          <cell r="E6159">
            <v>4520.42</v>
          </cell>
          <cell r="F6159">
            <v>10.155217892644099</v>
          </cell>
        </row>
        <row r="6160">
          <cell r="B6160" t="str">
            <v>70231307</v>
          </cell>
          <cell r="C6160" t="str">
            <v>浪莎 精品棉纳米抗菌男袜F8661 1*1</v>
          </cell>
          <cell r="D6160">
            <v>502</v>
          </cell>
          <cell r="E6160">
            <v>4514.1400000000003</v>
          </cell>
          <cell r="F6160">
            <v>10.161311155378501</v>
          </cell>
        </row>
        <row r="6161">
          <cell r="B6161" t="str">
            <v>70235023</v>
          </cell>
          <cell r="C6161" t="str">
            <v>美泰 托马斯朋友合金小火车BHR64 1*1</v>
          </cell>
          <cell r="D6161">
            <v>7</v>
          </cell>
          <cell r="E6161">
            <v>146.59</v>
          </cell>
          <cell r="F6161">
            <v>23.663814285714299</v>
          </cell>
        </row>
        <row r="6162">
          <cell r="B6162" t="str">
            <v>70235626</v>
          </cell>
          <cell r="C6162" t="str">
            <v>健牌 真空旅行壶 1</v>
          </cell>
          <cell r="D6162">
            <v>7</v>
          </cell>
          <cell r="E6162">
            <v>529.03</v>
          </cell>
          <cell r="F6162">
            <v>85.400557142857096</v>
          </cell>
        </row>
        <row r="6163">
          <cell r="B6163" t="str">
            <v>70236038</v>
          </cell>
          <cell r="C6163" t="str">
            <v>富光 真空旅行水壶 1800ML</v>
          </cell>
          <cell r="D6163">
            <v>2</v>
          </cell>
          <cell r="E6163">
            <v>202</v>
          </cell>
          <cell r="F6163">
            <v>114.13</v>
          </cell>
        </row>
        <row r="6164">
          <cell r="B6164" t="str">
            <v>70236896</v>
          </cell>
          <cell r="C6164" t="str">
            <v>金号 男士精梳棉休闲袜 2703A</v>
          </cell>
          <cell r="D6164">
            <v>3</v>
          </cell>
          <cell r="E6164">
            <v>29.85</v>
          </cell>
          <cell r="F6164">
            <v>11.243499999999999</v>
          </cell>
        </row>
        <row r="6165">
          <cell r="B6165" t="str">
            <v>70236899</v>
          </cell>
          <cell r="C6165" t="str">
            <v>金号 毛巾 G6827W</v>
          </cell>
          <cell r="D6165">
            <v>48</v>
          </cell>
          <cell r="E6165">
            <v>376.09</v>
          </cell>
          <cell r="F6165">
            <v>8.8537854166666694</v>
          </cell>
        </row>
        <row r="6166">
          <cell r="B6166" t="str">
            <v>70236908</v>
          </cell>
          <cell r="C6166" t="str">
            <v>金号 敏奴男竹纤平角 MN0011</v>
          </cell>
          <cell r="D6166">
            <v>12</v>
          </cell>
          <cell r="E6166">
            <v>384.66</v>
          </cell>
          <cell r="F6166">
            <v>36.222149999999999</v>
          </cell>
        </row>
        <row r="6167">
          <cell r="B6167" t="str">
            <v>70236909</v>
          </cell>
          <cell r="C6167" t="str">
            <v>金号 敏奴男弹力平角 0051 1</v>
          </cell>
          <cell r="D6167">
            <v>22</v>
          </cell>
          <cell r="E6167">
            <v>532.45000000000005</v>
          </cell>
          <cell r="F6167">
            <v>27.348568181818202</v>
          </cell>
        </row>
        <row r="6168">
          <cell r="B6168" t="str">
            <v>70236910</v>
          </cell>
          <cell r="C6168" t="str">
            <v>金号 敏奴竹纤男平角 MN1639</v>
          </cell>
          <cell r="D6168">
            <v>4</v>
          </cell>
          <cell r="E6168">
            <v>119.67</v>
          </cell>
          <cell r="F6168">
            <v>33.806775000000002</v>
          </cell>
        </row>
        <row r="6169">
          <cell r="B6169" t="str">
            <v>70236931</v>
          </cell>
          <cell r="C6169" t="str">
            <v>金号 男士棉商务休闲袜 J2091</v>
          </cell>
          <cell r="D6169">
            <v>10</v>
          </cell>
          <cell r="E6169">
            <v>122.64</v>
          </cell>
          <cell r="F6169">
            <v>13.858320000000001</v>
          </cell>
        </row>
        <row r="6170">
          <cell r="B6170" t="str">
            <v>70236932</v>
          </cell>
          <cell r="C6170" t="str">
            <v>金号 男士竹纤休闲袜 J2404</v>
          </cell>
          <cell r="D6170">
            <v>13</v>
          </cell>
          <cell r="E6170">
            <v>127.76</v>
          </cell>
          <cell r="F6170">
            <v>11.1052923076923</v>
          </cell>
        </row>
        <row r="6171">
          <cell r="B6171" t="str">
            <v>70236933</v>
          </cell>
          <cell r="C6171" t="str">
            <v>金号 男士莫代尔休闲袜 J2468</v>
          </cell>
          <cell r="D6171">
            <v>5</v>
          </cell>
          <cell r="E6171">
            <v>55</v>
          </cell>
          <cell r="F6171">
            <v>12.43</v>
          </cell>
        </row>
        <row r="6172">
          <cell r="B6172" t="str">
            <v>70236934</v>
          </cell>
          <cell r="C6172" t="str">
            <v>金号 莫代尔平角内裤 J8086</v>
          </cell>
          <cell r="D6172">
            <v>9</v>
          </cell>
          <cell r="E6172">
            <v>415.43</v>
          </cell>
          <cell r="F6172">
            <v>52.1595444444444</v>
          </cell>
        </row>
        <row r="6173">
          <cell r="B6173" t="str">
            <v>70245707</v>
          </cell>
          <cell r="C6173" t="str">
            <v>昆仑加油卡 2015年变形金刚加油卡之大黄蜂 张</v>
          </cell>
          <cell r="D6173">
            <v>4</v>
          </cell>
          <cell r="E6173">
            <v>49.56</v>
          </cell>
          <cell r="F6173">
            <v>14.0007</v>
          </cell>
        </row>
        <row r="6174">
          <cell r="B6174" t="str">
            <v>70247710</v>
          </cell>
          <cell r="C6174" t="str">
            <v>苏泊尔 雅致不锈钢汤锅ST22V1 22CM</v>
          </cell>
          <cell r="D6174">
            <v>3</v>
          </cell>
          <cell r="E6174">
            <v>730.24</v>
          </cell>
          <cell r="F6174">
            <v>275.05706666666703</v>
          </cell>
        </row>
        <row r="6175">
          <cell r="B6175" t="str">
            <v>70247724</v>
          </cell>
          <cell r="C6175" t="str">
            <v>苏泊尔 臻晶不粘无油烟炒锅·可立盖 PC32Y2</v>
          </cell>
          <cell r="D6175">
            <v>2</v>
          </cell>
          <cell r="E6175">
            <v>564.11</v>
          </cell>
          <cell r="F6175">
            <v>318.72215</v>
          </cell>
        </row>
        <row r="6176">
          <cell r="B6176" t="str">
            <v>70247888</v>
          </cell>
          <cell r="C6176" t="str">
            <v>飞利浦 榨汁搅拌机 HR1848/00</v>
          </cell>
          <cell r="D6176">
            <v>1</v>
          </cell>
          <cell r="E6176">
            <v>412.37</v>
          </cell>
          <cell r="F6176">
            <v>465.97809999999998</v>
          </cell>
        </row>
        <row r="6177">
          <cell r="B6177" t="str">
            <v>70253041</v>
          </cell>
          <cell r="C6177" t="str">
            <v>花王 蒸汽眼罩 0</v>
          </cell>
          <cell r="D6177">
            <v>11</v>
          </cell>
          <cell r="E6177">
            <v>380.57</v>
          </cell>
          <cell r="F6177">
            <v>39.094918181818201</v>
          </cell>
        </row>
        <row r="6178">
          <cell r="B6178" t="str">
            <v>70257903</v>
          </cell>
          <cell r="C6178" t="str">
            <v>柯瑞普 全自动速开野营帐篷 3-4人</v>
          </cell>
          <cell r="D6178">
            <v>1</v>
          </cell>
          <cell r="E6178">
            <v>136.75</v>
          </cell>
          <cell r="F6178">
            <v>154.5275</v>
          </cell>
        </row>
        <row r="6179">
          <cell r="B6179" t="str">
            <v>70257978</v>
          </cell>
          <cell r="C6179" t="str">
            <v>欧普 旅行者LED应急光源 （USB充电）</v>
          </cell>
          <cell r="D6179">
            <v>5</v>
          </cell>
          <cell r="E6179">
            <v>335.36</v>
          </cell>
          <cell r="F6179">
            <v>75.791359999999997</v>
          </cell>
        </row>
        <row r="6180">
          <cell r="B6180" t="str">
            <v>70259661</v>
          </cell>
          <cell r="C6180" t="str">
            <v>金号 花式线提缎绣面巾 74*36CM</v>
          </cell>
          <cell r="D6180">
            <v>150</v>
          </cell>
          <cell r="E6180">
            <v>2142.84</v>
          </cell>
          <cell r="F6180">
            <v>16.142728000000002</v>
          </cell>
        </row>
        <row r="6181">
          <cell r="B6181" t="str">
            <v>70260487</v>
          </cell>
          <cell r="C6181" t="str">
            <v>苏珀尔 晶韵系列KC28AY2 1*1</v>
          </cell>
          <cell r="D6181">
            <v>3</v>
          </cell>
          <cell r="E6181">
            <v>278.12</v>
          </cell>
          <cell r="F6181">
            <v>104.75853333333301</v>
          </cell>
        </row>
        <row r="6182">
          <cell r="B6182" t="str">
            <v>70261604</v>
          </cell>
          <cell r="C6182" t="str">
            <v>苏泊尔（SUPOR） 不粘奶锅 PT16K1</v>
          </cell>
          <cell r="D6182">
            <v>2</v>
          </cell>
          <cell r="E6182">
            <v>201.97</v>
          </cell>
          <cell r="F6182">
            <v>114.11305</v>
          </cell>
        </row>
        <row r="6183">
          <cell r="B6183" t="str">
            <v>70261663</v>
          </cell>
          <cell r="C6183" t="str">
            <v>苏泊尔（SUPOR） 烧水壶 SS35N1</v>
          </cell>
          <cell r="D6183">
            <v>8</v>
          </cell>
          <cell r="E6183">
            <v>1083.99</v>
          </cell>
          <cell r="F6183">
            <v>153.11358749999999</v>
          </cell>
        </row>
        <row r="6184">
          <cell r="B6184" t="str">
            <v>70261665</v>
          </cell>
          <cell r="C6184" t="str">
            <v>苏泊尔（SUPOR） 陶瓷煲 4.5L</v>
          </cell>
          <cell r="D6184">
            <v>1</v>
          </cell>
          <cell r="E6184">
            <v>277.2</v>
          </cell>
          <cell r="F6184">
            <v>313.23599999999999</v>
          </cell>
        </row>
        <row r="6185">
          <cell r="B6185" t="str">
            <v>70262228</v>
          </cell>
          <cell r="C6185" t="str">
            <v>鼎之域 合成树脂摇头祈福沙弥 10CM</v>
          </cell>
          <cell r="D6185">
            <v>2</v>
          </cell>
          <cell r="E6185">
            <v>59.84</v>
          </cell>
          <cell r="F6185">
            <v>33.809600000000003</v>
          </cell>
        </row>
        <row r="6186">
          <cell r="B6186" t="str">
            <v>70267555</v>
          </cell>
          <cell r="C6186" t="str">
            <v>妙洁 彩条金柔百洁布3＋1片 袋</v>
          </cell>
          <cell r="D6186">
            <v>721</v>
          </cell>
          <cell r="E6186">
            <v>4512.47</v>
          </cell>
          <cell r="F6186">
            <v>7.0722484049930596</v>
          </cell>
        </row>
        <row r="6187">
          <cell r="B6187" t="str">
            <v>70269490</v>
          </cell>
          <cell r="C6187" t="str">
            <v>滑雪 冲锋衣 套</v>
          </cell>
          <cell r="D6187">
            <v>222</v>
          </cell>
          <cell r="E6187">
            <v>18860.87</v>
          </cell>
          <cell r="F6187">
            <v>96.003527477477505</v>
          </cell>
        </row>
        <row r="6188">
          <cell r="B6188" t="str">
            <v>70272245</v>
          </cell>
          <cell r="C6188" t="str">
            <v>洁丽雅 毛巾6496 条</v>
          </cell>
          <cell r="D6188">
            <v>34</v>
          </cell>
          <cell r="E6188">
            <v>448.17</v>
          </cell>
          <cell r="F6188">
            <v>14.8950617647059</v>
          </cell>
        </row>
        <row r="6189">
          <cell r="B6189" t="str">
            <v>70272721</v>
          </cell>
          <cell r="C6189" t="str">
            <v>昆仑加油卡 2017年变形金刚加油卡之红蜘蛛 张</v>
          </cell>
          <cell r="D6189">
            <v>10</v>
          </cell>
          <cell r="E6189">
            <v>215.93</v>
          </cell>
          <cell r="F6189">
            <v>24.400089999999999</v>
          </cell>
        </row>
        <row r="6190">
          <cell r="B6190" t="str">
            <v>70272723</v>
          </cell>
          <cell r="C6190" t="str">
            <v>昆仑加油卡 2017年变形金刚加油卡之惊天雷 张</v>
          </cell>
          <cell r="D6190">
            <v>7</v>
          </cell>
          <cell r="E6190">
            <v>151.15</v>
          </cell>
          <cell r="F6190">
            <v>24.3999285714286</v>
          </cell>
        </row>
        <row r="6191">
          <cell r="B6191" t="str">
            <v>70272725</v>
          </cell>
          <cell r="C6191" t="str">
            <v>昆仑加油卡 2017年变形金刚加油卡之声波 张</v>
          </cell>
          <cell r="D6191">
            <v>9</v>
          </cell>
          <cell r="E6191">
            <v>194.34</v>
          </cell>
          <cell r="F6191">
            <v>24.400466666666699</v>
          </cell>
        </row>
        <row r="6192">
          <cell r="B6192" t="str">
            <v>70272726</v>
          </cell>
          <cell r="C6192" t="str">
            <v>昆仑加油卡 2017年变形金刚加油卡之脸谱 张</v>
          </cell>
          <cell r="D6192">
            <v>100</v>
          </cell>
          <cell r="E6192">
            <v>70221.14</v>
          </cell>
          <cell r="F6192">
            <v>793.49888199999998</v>
          </cell>
        </row>
        <row r="6193">
          <cell r="B6193" t="str">
            <v>70272727</v>
          </cell>
          <cell r="C6193" t="str">
            <v>昆仑加油卡 2017年变形金刚加油卡之大力神 套</v>
          </cell>
          <cell r="D6193">
            <v>21</v>
          </cell>
          <cell r="E6193">
            <v>2285.2800000000002</v>
          </cell>
          <cell r="F6193">
            <v>122.96982857142901</v>
          </cell>
        </row>
        <row r="6194">
          <cell r="B6194" t="str">
            <v>70272728</v>
          </cell>
          <cell r="C6194" t="str">
            <v>昆仑加油卡 2017年变形金刚加油卡之变形金刚珍藏卡册 本</v>
          </cell>
          <cell r="D6194">
            <v>244</v>
          </cell>
          <cell r="E6194">
            <v>38448.400000000001</v>
          </cell>
          <cell r="F6194">
            <v>178.06021311475399</v>
          </cell>
        </row>
        <row r="6195">
          <cell r="B6195" t="str">
            <v>70272729</v>
          </cell>
          <cell r="C6195" t="str">
            <v>昆仑加油卡 2017年变形金刚加油卡之小马宝莉珍藏卡册 本</v>
          </cell>
          <cell r="D6195">
            <v>93</v>
          </cell>
          <cell r="E6195">
            <v>12526.84</v>
          </cell>
          <cell r="F6195">
            <v>152.20784086021499</v>
          </cell>
        </row>
        <row r="6196">
          <cell r="B6196" t="str">
            <v>70273797</v>
          </cell>
          <cell r="C6196" t="str">
            <v>华象 磨砂保温杯 300ML</v>
          </cell>
          <cell r="D6196">
            <v>1</v>
          </cell>
          <cell r="E6196">
            <v>32.33</v>
          </cell>
          <cell r="F6196">
            <v>36.532899999999998</v>
          </cell>
        </row>
        <row r="6197">
          <cell r="B6197" t="str">
            <v>70273798</v>
          </cell>
          <cell r="C6197" t="str">
            <v>华象 不锈钢保温杯 380ML</v>
          </cell>
          <cell r="D6197">
            <v>8</v>
          </cell>
          <cell r="E6197">
            <v>405.78</v>
          </cell>
          <cell r="F6197">
            <v>57.316425000000002</v>
          </cell>
        </row>
        <row r="6198">
          <cell r="B6198" t="str">
            <v>70273799</v>
          </cell>
          <cell r="C6198" t="str">
            <v>华象 保冷保热旅行水壶 2000ML</v>
          </cell>
          <cell r="D6198">
            <v>15</v>
          </cell>
          <cell r="E6198">
            <v>1035.45</v>
          </cell>
          <cell r="F6198">
            <v>78.003900000000002</v>
          </cell>
        </row>
        <row r="6199">
          <cell r="B6199" t="str">
            <v>70274927</v>
          </cell>
          <cell r="C6199" t="str">
            <v>昆仑加油卡 2017年变形金刚加油卡之Online特别版 张</v>
          </cell>
          <cell r="D6199">
            <v>2</v>
          </cell>
          <cell r="E6199">
            <v>43.18</v>
          </cell>
          <cell r="F6199">
            <v>24.396699999999999</v>
          </cell>
        </row>
        <row r="6200">
          <cell r="B6200" t="str">
            <v>70283366</v>
          </cell>
          <cell r="C6200" t="str">
            <v>梦耐家纺 超细纤维毛巾 35*75CM</v>
          </cell>
          <cell r="D6200">
            <v>297</v>
          </cell>
          <cell r="E6200">
            <v>1869.28</v>
          </cell>
          <cell r="F6200">
            <v>7.1120754208754198</v>
          </cell>
        </row>
        <row r="6201">
          <cell r="B6201" t="str">
            <v>70283883</v>
          </cell>
          <cell r="C6201" t="str">
            <v>苏泊尔保温杯KC30BT2</v>
          </cell>
          <cell r="D6201">
            <v>5</v>
          </cell>
          <cell r="E6201">
            <v>420.36</v>
          </cell>
          <cell r="F6201">
            <v>95.001360000000005</v>
          </cell>
        </row>
        <row r="6202">
          <cell r="B6202" t="str">
            <v>70284806</v>
          </cell>
          <cell r="C6202" t="str">
            <v>妙洁 B型厚实垃圾袋中号 超值装</v>
          </cell>
          <cell r="D6202">
            <v>358</v>
          </cell>
          <cell r="E6202">
            <v>3962.66</v>
          </cell>
          <cell r="F6202">
            <v>12.5078374301676</v>
          </cell>
        </row>
        <row r="6203">
          <cell r="B6203" t="str">
            <v>70284807</v>
          </cell>
          <cell r="C6203" t="str">
            <v>妙洁 点断式保鲜袋 组合装</v>
          </cell>
          <cell r="D6203">
            <v>180</v>
          </cell>
          <cell r="E6203">
            <v>1871.19</v>
          </cell>
          <cell r="F6203">
            <v>11.746915</v>
          </cell>
        </row>
        <row r="6204">
          <cell r="B6204" t="str">
            <v>70284809</v>
          </cell>
          <cell r="C6204" t="str">
            <v>妙洁 金属钢丝球 6颗装</v>
          </cell>
          <cell r="D6204">
            <v>1821</v>
          </cell>
          <cell r="E6204">
            <v>10167.11</v>
          </cell>
          <cell r="F6204">
            <v>6.30907979132345</v>
          </cell>
        </row>
        <row r="6205">
          <cell r="B6205" t="str">
            <v>70284861</v>
          </cell>
          <cell r="C6205" t="str">
            <v>品胜 快充数据线 TY(小米华为魅族)</v>
          </cell>
          <cell r="D6205">
            <v>9</v>
          </cell>
          <cell r="E6205">
            <v>101.96</v>
          </cell>
          <cell r="F6205">
            <v>12.801644444444401</v>
          </cell>
        </row>
        <row r="6206">
          <cell r="B6206" t="str">
            <v>70284870</v>
          </cell>
          <cell r="C6206" t="str">
            <v>拓扑 旋转拖把 Q5</v>
          </cell>
          <cell r="D6206">
            <v>3</v>
          </cell>
          <cell r="E6206">
            <v>320.5</v>
          </cell>
          <cell r="F6206">
            <v>120.72166666666701</v>
          </cell>
        </row>
        <row r="6207">
          <cell r="B6207" t="str">
            <v>70285278</v>
          </cell>
          <cell r="C6207" t="str">
            <v>氧净 洗衣颗粒 700G</v>
          </cell>
          <cell r="D6207">
            <v>74</v>
          </cell>
          <cell r="E6207">
            <v>844.97</v>
          </cell>
          <cell r="F6207">
            <v>12.9029202702703</v>
          </cell>
        </row>
        <row r="6208">
          <cell r="B6208" t="str">
            <v>70290600</v>
          </cell>
          <cell r="C6208" t="str">
            <v>南孚 丰蓝1号电池 2粒装</v>
          </cell>
          <cell r="D6208">
            <v>418</v>
          </cell>
          <cell r="E6208">
            <v>3036.65</v>
          </cell>
          <cell r="F6208">
            <v>8.2091255980861195</v>
          </cell>
        </row>
        <row r="6209">
          <cell r="B6209" t="str">
            <v>70291730</v>
          </cell>
          <cell r="C6209" t="str">
            <v>梦耐家纺 珊瑚绒多用巾 40*40</v>
          </cell>
          <cell r="D6209">
            <v>111</v>
          </cell>
          <cell r="E6209">
            <v>924.35</v>
          </cell>
          <cell r="F6209">
            <v>9.4100495495495498</v>
          </cell>
        </row>
        <row r="6210">
          <cell r="B6210" t="str">
            <v>70297006</v>
          </cell>
          <cell r="C6210" t="str">
            <v>七匹狼 男士时尚运动风男袜 双</v>
          </cell>
          <cell r="D6210">
            <v>8</v>
          </cell>
          <cell r="E6210">
            <v>66.55</v>
          </cell>
          <cell r="F6210">
            <v>9.4001874999999995</v>
          </cell>
        </row>
        <row r="6211">
          <cell r="B6211" t="str">
            <v>70297007</v>
          </cell>
          <cell r="C6211" t="str">
            <v>七匹狼 男士时尚运动风男袜 双</v>
          </cell>
          <cell r="D6211">
            <v>196</v>
          </cell>
          <cell r="E6211">
            <v>1597.61</v>
          </cell>
          <cell r="F6211">
            <v>9.2107107142857103</v>
          </cell>
        </row>
        <row r="6212">
          <cell r="B6212" t="str">
            <v>70297008</v>
          </cell>
          <cell r="C6212" t="str">
            <v>七匹狼 男士时尚休闲男袜 双</v>
          </cell>
          <cell r="D6212">
            <v>420</v>
          </cell>
          <cell r="E6212">
            <v>2642.55</v>
          </cell>
          <cell r="F6212">
            <v>7.1097178571428596</v>
          </cell>
        </row>
        <row r="6213">
          <cell r="B6213" t="str">
            <v>70297009</v>
          </cell>
          <cell r="C6213" t="str">
            <v>七匹狼 男士基础商务休闲男袜 双</v>
          </cell>
          <cell r="D6213">
            <v>992</v>
          </cell>
          <cell r="E6213">
            <v>5275.05</v>
          </cell>
          <cell r="F6213">
            <v>6.0088775201612901</v>
          </cell>
        </row>
        <row r="6214">
          <cell r="B6214" t="str">
            <v>70297011</v>
          </cell>
          <cell r="C6214" t="str">
            <v>七匹狼 男士粘胶素色平角裤 盒</v>
          </cell>
          <cell r="D6214">
            <v>187</v>
          </cell>
          <cell r="E6214">
            <v>3823.54</v>
          </cell>
          <cell r="F6214">
            <v>23.104813903743299</v>
          </cell>
        </row>
        <row r="6215">
          <cell r="B6215" t="str">
            <v>70297012</v>
          </cell>
          <cell r="C6215" t="str">
            <v>七匹狼 男士粘胶明筋平角裤 盒</v>
          </cell>
          <cell r="D6215">
            <v>215</v>
          </cell>
          <cell r="E6215">
            <v>5207.28</v>
          </cell>
          <cell r="F6215">
            <v>27.368494883720899</v>
          </cell>
        </row>
        <row r="6216">
          <cell r="B6216" t="str">
            <v>70297013</v>
          </cell>
          <cell r="C6216" t="str">
            <v>七匹狼 男士兰精粘胶平角裤 盒</v>
          </cell>
          <cell r="D6216">
            <v>33</v>
          </cell>
          <cell r="E6216">
            <v>1018.24</v>
          </cell>
          <cell r="F6216">
            <v>34.867006060606101</v>
          </cell>
        </row>
        <row r="6217">
          <cell r="B6217" t="str">
            <v>70297014</v>
          </cell>
          <cell r="C6217" t="str">
            <v>七匹狼 男士竹浆纤维平角裤 盒</v>
          </cell>
          <cell r="D6217">
            <v>96</v>
          </cell>
          <cell r="E6217">
            <v>2721.17</v>
          </cell>
          <cell r="F6217">
            <v>32.030438541666697</v>
          </cell>
        </row>
        <row r="6218">
          <cell r="B6218" t="str">
            <v>70297046</v>
          </cell>
          <cell r="C6218" t="str">
            <v>乐雪儿 绒布双插电暖宝 个</v>
          </cell>
          <cell r="D6218">
            <v>1</v>
          </cell>
          <cell r="E6218">
            <v>34.39</v>
          </cell>
          <cell r="F6218">
            <v>38.860700000000001</v>
          </cell>
        </row>
        <row r="6219">
          <cell r="B6219" t="str">
            <v>70304130</v>
          </cell>
          <cell r="C6219" t="str">
            <v>猪年 特别纪念版单卡卡册 套</v>
          </cell>
          <cell r="D6219">
            <v>1</v>
          </cell>
          <cell r="E6219">
            <v>10.7</v>
          </cell>
          <cell r="F6219">
            <v>12.090999999999999</v>
          </cell>
        </row>
        <row r="6220">
          <cell r="B6220" t="str">
            <v>70305199</v>
          </cell>
          <cell r="C6220" t="str">
            <v>无品牌 篷布油箱罩子 个</v>
          </cell>
          <cell r="D6220">
            <v>479</v>
          </cell>
          <cell r="E6220">
            <v>3022.85</v>
          </cell>
          <cell r="F6220">
            <v>7.1311492693110603</v>
          </cell>
        </row>
        <row r="6221">
          <cell r="B6221" t="str">
            <v>70305294</v>
          </cell>
          <cell r="C6221" t="str">
            <v>梦耐家纺 印花AB面毛巾(A-1) 34*76</v>
          </cell>
          <cell r="D6221">
            <v>80</v>
          </cell>
          <cell r="E6221">
            <v>892.1</v>
          </cell>
          <cell r="F6221">
            <v>12.6009125</v>
          </cell>
        </row>
        <row r="6222">
          <cell r="B6222" t="str">
            <v>70305295</v>
          </cell>
          <cell r="C6222" t="str">
            <v>梦耐家纺 情侣无捻纱毛巾(A-2) 34*76</v>
          </cell>
          <cell r="D6222">
            <v>163</v>
          </cell>
          <cell r="E6222">
            <v>2378.5500000000002</v>
          </cell>
          <cell r="F6222">
            <v>16.489334355828198</v>
          </cell>
        </row>
        <row r="6223">
          <cell r="B6223" t="str">
            <v>70305296</v>
          </cell>
          <cell r="C6223" t="str">
            <v>梦耐家纺 提花毛巾(A-3) 34*76</v>
          </cell>
          <cell r="D6223">
            <v>57</v>
          </cell>
          <cell r="E6223">
            <v>776.85</v>
          </cell>
          <cell r="F6223">
            <v>15.4007105263158</v>
          </cell>
        </row>
        <row r="6224">
          <cell r="B6224" t="str">
            <v>70305325</v>
          </cell>
          <cell r="C6224" t="str">
            <v>梦耐家纺 提花割绒双面毛巾 34*75</v>
          </cell>
          <cell r="D6224">
            <v>46</v>
          </cell>
          <cell r="E6224">
            <v>517.03</v>
          </cell>
          <cell r="F6224">
            <v>12.7009543478261</v>
          </cell>
        </row>
        <row r="6225">
          <cell r="B6225" t="str">
            <v>70305326</v>
          </cell>
          <cell r="C6225" t="str">
            <v>梦耐家纺 素色吸水美容巾 40*80</v>
          </cell>
          <cell r="D6225">
            <v>38</v>
          </cell>
          <cell r="E6225">
            <v>363.17</v>
          </cell>
          <cell r="F6225">
            <v>10.799528947368399</v>
          </cell>
        </row>
        <row r="6226">
          <cell r="B6226" t="str">
            <v>70321744</v>
          </cell>
          <cell r="C6226" t="str">
            <v>USMILE 长款手提袋(白) 1EA</v>
          </cell>
          <cell r="D6226">
            <v>898</v>
          </cell>
          <cell r="E6226">
            <v>18337.55</v>
          </cell>
          <cell r="F6226">
            <v>23.0750907572383</v>
          </cell>
        </row>
        <row r="6227">
          <cell r="B6227" t="str">
            <v>70321745</v>
          </cell>
          <cell r="C6227" t="str">
            <v>USMILE 长款手提袋(蓝) 1EA</v>
          </cell>
          <cell r="D6227">
            <v>610</v>
          </cell>
          <cell r="E6227">
            <v>14189.14</v>
          </cell>
          <cell r="F6227">
            <v>26.284800327868801</v>
          </cell>
        </row>
        <row r="6228">
          <cell r="B6228" t="str">
            <v>70322804</v>
          </cell>
          <cell r="C6228" t="str">
            <v>昆仑好客 金鼠闹春套卡卡册 本</v>
          </cell>
          <cell r="D6228">
            <v>22</v>
          </cell>
          <cell r="E6228">
            <v>1466.03</v>
          </cell>
          <cell r="F6228">
            <v>75.300631818181799</v>
          </cell>
        </row>
        <row r="6229">
          <cell r="B6229" t="str">
            <v>70322806</v>
          </cell>
          <cell r="C6229" t="str">
            <v>昆仑好客 乐乐单卡卡册 本</v>
          </cell>
          <cell r="D6229">
            <v>14</v>
          </cell>
          <cell r="E6229">
            <v>202</v>
          </cell>
          <cell r="F6229">
            <v>16.304285714285701</v>
          </cell>
        </row>
        <row r="6230">
          <cell r="B6230" t="str">
            <v>70323576</v>
          </cell>
          <cell r="C6230" t="str">
            <v>昆仑好客 汽车反向伞 58.5CM*8骨</v>
          </cell>
          <cell r="D6230">
            <v>1</v>
          </cell>
          <cell r="E6230">
            <v>36.1</v>
          </cell>
          <cell r="F6230">
            <v>40.792999999999999</v>
          </cell>
        </row>
        <row r="6231">
          <cell r="B6231" t="str">
            <v>70348863</v>
          </cell>
          <cell r="C6231" t="str">
            <v>灵泉 手套 55G</v>
          </cell>
          <cell r="D6231">
            <v>101</v>
          </cell>
          <cell r="E6231">
            <v>131.30000000000001</v>
          </cell>
          <cell r="F6231">
            <v>1.4690000000000001</v>
          </cell>
        </row>
        <row r="6232">
          <cell r="B6232" t="str">
            <v>70349869</v>
          </cell>
          <cell r="C6232" t="str">
            <v>灵泉 油箱口罩 个</v>
          </cell>
          <cell r="D6232">
            <v>1110</v>
          </cell>
          <cell r="E6232">
            <v>6669.73</v>
          </cell>
          <cell r="F6232">
            <v>6.7899053153153099</v>
          </cell>
        </row>
        <row r="6233">
          <cell r="B6233" t="str">
            <v>70351737</v>
          </cell>
          <cell r="C6233" t="str">
            <v>花王 蒸汽眼罩(薰衣草香型) 5片</v>
          </cell>
          <cell r="D6233">
            <v>37</v>
          </cell>
          <cell r="E6233">
            <v>1280.3499999999999</v>
          </cell>
          <cell r="F6233">
            <v>39.102581081081098</v>
          </cell>
        </row>
        <row r="6234">
          <cell r="B6234" t="str">
            <v>70357237</v>
          </cell>
          <cell r="C6234" t="str">
            <v>福诗华 医用外科口罩 10支</v>
          </cell>
          <cell r="D6234">
            <v>204</v>
          </cell>
          <cell r="E6234">
            <v>135.65</v>
          </cell>
          <cell r="F6234">
            <v>0.75139460784313705</v>
          </cell>
        </row>
        <row r="6235">
          <cell r="B6235" t="str">
            <v>70361325</v>
          </cell>
          <cell r="C6235" t="str">
            <v>福诗华 医用防护口罩(KN95） 5支</v>
          </cell>
          <cell r="D6235">
            <v>493</v>
          </cell>
          <cell r="E6235">
            <v>872.56</v>
          </cell>
          <cell r="F6235">
            <v>1.99998539553753</v>
          </cell>
        </row>
        <row r="6236">
          <cell r="B6236" t="str">
            <v>70369803</v>
          </cell>
          <cell r="C6236" t="str">
            <v>中石油 2021牛年生肖卡特别纪念版套卡卡册 册</v>
          </cell>
          <cell r="D6236">
            <v>70</v>
          </cell>
          <cell r="E6236">
            <v>4664.6000000000004</v>
          </cell>
          <cell r="F6236">
            <v>75.299971428571396</v>
          </cell>
        </row>
        <row r="6237">
          <cell r="B6237" t="str">
            <v>70369804</v>
          </cell>
          <cell r="C6237" t="str">
            <v>中石油 2021牛年生肖卡特别纪念版单卡卡册 册</v>
          </cell>
          <cell r="D6237">
            <v>2149</v>
          </cell>
          <cell r="E6237">
            <v>30817.14</v>
          </cell>
          <cell r="F6237">
            <v>16.204452396463498</v>
          </cell>
        </row>
        <row r="6238">
          <cell r="B6238" t="str">
            <v>70372542</v>
          </cell>
          <cell r="C6238" t="str">
            <v>小熊电器 电饭盒DFH-S2358 1次</v>
          </cell>
          <cell r="D6238">
            <v>3</v>
          </cell>
          <cell r="E6238">
            <v>252.21</v>
          </cell>
          <cell r="F6238">
            <v>94.999099999999999</v>
          </cell>
        </row>
        <row r="6239">
          <cell r="B6239" t="str">
            <v>70372548</v>
          </cell>
          <cell r="C6239" t="str">
            <v>小熊电器 电烤炉DKL-C15G1 1次</v>
          </cell>
          <cell r="D6239">
            <v>1</v>
          </cell>
          <cell r="E6239">
            <v>172.57</v>
          </cell>
          <cell r="F6239">
            <v>195.00409999999999</v>
          </cell>
        </row>
        <row r="6240">
          <cell r="B6240" t="str">
            <v>70373422</v>
          </cell>
          <cell r="C6240" t="str">
            <v>金雄叶 中号塑料购物袋 个</v>
          </cell>
          <cell r="D6240">
            <v>16923</v>
          </cell>
          <cell r="E6240">
            <v>1927.39</v>
          </cell>
          <cell r="F6240">
            <v>0.128697671807599</v>
          </cell>
        </row>
        <row r="6241">
          <cell r="B6241" t="str">
            <v>70373423</v>
          </cell>
          <cell r="C6241" t="str">
            <v>金雄叶 大号塑料购物袋 个</v>
          </cell>
          <cell r="D6241">
            <v>25102</v>
          </cell>
          <cell r="E6241">
            <v>6731.74</v>
          </cell>
          <cell r="F6241">
            <v>0.30303825193211698</v>
          </cell>
        </row>
        <row r="6242">
          <cell r="B6242" t="str">
            <v>70385892</v>
          </cell>
          <cell r="C6242" t="str">
            <v>好客湘 轻柔纱三件套（方巾＋毛巾＋浴巾） 盒</v>
          </cell>
          <cell r="D6242">
            <v>7</v>
          </cell>
          <cell r="E6242">
            <v>530.08000000000004</v>
          </cell>
          <cell r="F6242">
            <v>85.570057142857095</v>
          </cell>
        </row>
        <row r="6243">
          <cell r="B6243" t="str">
            <v>70386964</v>
          </cell>
          <cell r="C6243" t="str">
            <v>好客童品 二合一毛毯抱枕 35*35CM 1个</v>
          </cell>
          <cell r="D6243">
            <v>13</v>
          </cell>
          <cell r="E6243">
            <v>386.57</v>
          </cell>
          <cell r="F6243">
            <v>33.601853846153801</v>
          </cell>
        </row>
        <row r="6244">
          <cell r="B6244" t="str">
            <v>70401279</v>
          </cell>
          <cell r="C6244" t="str">
            <v>冬奥主体加油卡 冰墩墩卡 1张</v>
          </cell>
          <cell r="D6244">
            <v>10</v>
          </cell>
          <cell r="E6244">
            <v>78.760000000000005</v>
          </cell>
          <cell r="F6244">
            <v>8.8998799999999996</v>
          </cell>
        </row>
        <row r="6245">
          <cell r="B6245" t="str">
            <v>70401281</v>
          </cell>
          <cell r="C6245" t="str">
            <v>冬奥主体加油卡 冬奥吉祥卡 1张</v>
          </cell>
          <cell r="D6245">
            <v>4</v>
          </cell>
          <cell r="E6245">
            <v>42.83</v>
          </cell>
          <cell r="F6245">
            <v>12.099475</v>
          </cell>
        </row>
        <row r="6246">
          <cell r="B6246" t="str">
            <v>70401282</v>
          </cell>
          <cell r="C6246" t="str">
            <v>冬奥主体加油卡 加油冬奥卡 1张</v>
          </cell>
          <cell r="D6246">
            <v>20</v>
          </cell>
          <cell r="E6246">
            <v>214.08</v>
          </cell>
          <cell r="F6246">
            <v>12.09552</v>
          </cell>
        </row>
        <row r="6247">
          <cell r="B6247" t="str">
            <v>70408135</v>
          </cell>
          <cell r="C6247" t="str">
            <v>好客童品 米奇家系列出行收纳七件套 220*50*310MM</v>
          </cell>
          <cell r="D6247">
            <v>41</v>
          </cell>
          <cell r="E6247">
            <v>2704.91</v>
          </cell>
          <cell r="F6247">
            <v>74.549958536585393</v>
          </cell>
        </row>
        <row r="6248">
          <cell r="B6248" t="str">
            <v>70408137</v>
          </cell>
          <cell r="C6248" t="str">
            <v>好客童品 米奇家族系列便携榨汁杯 300ML</v>
          </cell>
          <cell r="D6248">
            <v>9</v>
          </cell>
          <cell r="E6248">
            <v>797.27</v>
          </cell>
          <cell r="F6248">
            <v>100.10167777777799</v>
          </cell>
        </row>
        <row r="6249">
          <cell r="B6249" t="str">
            <v>70408139</v>
          </cell>
          <cell r="C6249" t="str">
            <v>好客童品 赛车总动员系列儿童背包套装 252*150*285MM</v>
          </cell>
          <cell r="D6249">
            <v>30</v>
          </cell>
          <cell r="E6249">
            <v>1951.36</v>
          </cell>
          <cell r="F6249">
            <v>73.501226666666696</v>
          </cell>
        </row>
        <row r="6250">
          <cell r="B6250" t="str">
            <v>70417294</v>
          </cell>
          <cell r="C6250" t="str">
            <v>妙洁 点断式背心型保鲜袋大号 包</v>
          </cell>
          <cell r="D6250">
            <v>274</v>
          </cell>
          <cell r="E6250">
            <v>3219.72</v>
          </cell>
          <cell r="F6250">
            <v>13.2784072992701</v>
          </cell>
        </row>
        <row r="6251">
          <cell r="B6251" t="str">
            <v>70439451</v>
          </cell>
          <cell r="C6251" t="str">
            <v>金号 GA1408毛巾棉纱76*34CM 个</v>
          </cell>
          <cell r="D6251">
            <v>849</v>
          </cell>
          <cell r="E6251">
            <v>4824.13</v>
          </cell>
          <cell r="F6251">
            <v>6.4208090694935196</v>
          </cell>
        </row>
        <row r="6252">
          <cell r="B6252" t="str">
            <v>70439455</v>
          </cell>
          <cell r="C6252" t="str">
            <v>金号 GA1077毛巾棉纱 72*34CM</v>
          </cell>
          <cell r="D6252">
            <v>3095</v>
          </cell>
          <cell r="E6252">
            <v>27984.639999999999</v>
          </cell>
          <cell r="F6252">
            <v>10.2173322132472</v>
          </cell>
        </row>
        <row r="6253">
          <cell r="B6253" t="str">
            <v>70439922</v>
          </cell>
          <cell r="C6253" t="str">
            <v>梦菲雅 家纺 套</v>
          </cell>
          <cell r="D6253">
            <v>273</v>
          </cell>
          <cell r="E6253">
            <v>28727.5</v>
          </cell>
          <cell r="F6253">
            <v>118.9086996337</v>
          </cell>
        </row>
        <row r="6254">
          <cell r="B6254" t="str">
            <v>70442235</v>
          </cell>
          <cell r="C6254" t="str">
            <v>金号 GAT1725WH中巾棉纱48*35CM 条</v>
          </cell>
          <cell r="D6254">
            <v>842</v>
          </cell>
          <cell r="E6254">
            <v>4487.66</v>
          </cell>
          <cell r="F6254">
            <v>6.0226315914489303</v>
          </cell>
        </row>
        <row r="6255">
          <cell r="B6255" t="str">
            <v>70444817</v>
          </cell>
          <cell r="C6255" t="str">
            <v>昆仑好客 购物袋(新疆)大号 个</v>
          </cell>
          <cell r="D6255">
            <v>24</v>
          </cell>
          <cell r="E6255">
            <v>5.39</v>
          </cell>
          <cell r="F6255">
            <v>0.253779166666667</v>
          </cell>
        </row>
        <row r="6256">
          <cell r="B6256" t="str">
            <v>70446493</v>
          </cell>
          <cell r="C6256" t="str">
            <v>好客童品 油罐车拼装积木（新品） 45*6*36CM</v>
          </cell>
          <cell r="D6256">
            <v>6</v>
          </cell>
          <cell r="E6256">
            <v>476.63</v>
          </cell>
          <cell r="F6256">
            <v>89.765316666666706</v>
          </cell>
        </row>
        <row r="6257">
          <cell r="B6257" t="str">
            <v>70458272</v>
          </cell>
          <cell r="C6257" t="str">
            <v>定制 光降解塑料袋480MM*(280＋120)MM*0.03MM 1</v>
          </cell>
          <cell r="D6257">
            <v>1290964</v>
          </cell>
          <cell r="E6257">
            <v>239095.56</v>
          </cell>
          <cell r="F6257">
            <v>0.209283901642493</v>
          </cell>
        </row>
        <row r="6258">
          <cell r="B6258" t="str">
            <v>70458273</v>
          </cell>
          <cell r="C6258" t="str">
            <v>定制 光降解塑料袋550MM*(345＋150)MM*0.03mm 1</v>
          </cell>
          <cell r="D6258">
            <v>975662</v>
          </cell>
          <cell r="E6258">
            <v>228842.85</v>
          </cell>
          <cell r="F6258">
            <v>0.26504303795781697</v>
          </cell>
        </row>
        <row r="6259">
          <cell r="B6259" t="str">
            <v>70487787</v>
          </cell>
          <cell r="C6259" t="str">
            <v>无品牌 自制实惠包装袋 个</v>
          </cell>
          <cell r="D6259">
            <v>17890</v>
          </cell>
          <cell r="E6259">
            <v>30509.78</v>
          </cell>
          <cell r="F6259">
            <v>1.92711299049748</v>
          </cell>
        </row>
        <row r="6260">
          <cell r="B6260" t="str">
            <v>70488657</v>
          </cell>
          <cell r="C6260" t="str">
            <v>洁丽雅 提花动物图案毛巾W2885 72CM*34CM</v>
          </cell>
          <cell r="D6260">
            <v>1215</v>
          </cell>
          <cell r="E6260">
            <v>10512.27</v>
          </cell>
          <cell r="F6260">
            <v>9.7768437037036993</v>
          </cell>
        </row>
        <row r="6261">
          <cell r="B6261" t="str">
            <v>70488664</v>
          </cell>
          <cell r="C6261" t="str">
            <v>洁丽雅 提花菱形毛巾W2639 72CM*34CM</v>
          </cell>
          <cell r="D6261">
            <v>394</v>
          </cell>
          <cell r="E6261">
            <v>4753.05</v>
          </cell>
          <cell r="F6261">
            <v>13.631843908629399</v>
          </cell>
        </row>
        <row r="6262">
          <cell r="B6262" t="str">
            <v>70488667</v>
          </cell>
          <cell r="C6262" t="str">
            <v>疆阳 优品车用遮阳伞B02 个</v>
          </cell>
          <cell r="D6262">
            <v>30</v>
          </cell>
          <cell r="E6262">
            <v>0</v>
          </cell>
          <cell r="F6262">
            <v>0</v>
          </cell>
        </row>
        <row r="6263">
          <cell r="B6263" t="str">
            <v>70488670</v>
          </cell>
          <cell r="C6263" t="str">
            <v>洁丽雅 提花方格毛巾W2657 74CM*35CM</v>
          </cell>
          <cell r="D6263">
            <v>454</v>
          </cell>
          <cell r="E6263">
            <v>6179.81</v>
          </cell>
          <cell r="F6263">
            <v>15.3814654185022</v>
          </cell>
        </row>
        <row r="6264">
          <cell r="B6264" t="str">
            <v>70488690</v>
          </cell>
          <cell r="C6264" t="str">
            <v>杰伦 格林太阳镜Y01 个</v>
          </cell>
          <cell r="D6264">
            <v>44</v>
          </cell>
          <cell r="E6264">
            <v>3295.61</v>
          </cell>
          <cell r="F6264">
            <v>84.637256818181797</v>
          </cell>
        </row>
        <row r="6265">
          <cell r="B6265" t="str">
            <v>70488701</v>
          </cell>
          <cell r="C6265" t="str">
            <v>昍图 车载充气泵D2 个</v>
          </cell>
          <cell r="D6265">
            <v>0</v>
          </cell>
          <cell r="E6265">
            <v>0</v>
          </cell>
          <cell r="F6265" t="e">
            <v>#DIV/0!</v>
          </cell>
        </row>
        <row r="6266">
          <cell r="B6266" t="str">
            <v>70488757</v>
          </cell>
          <cell r="C6266" t="str">
            <v>咔咔酷优特 不插电超续航香氛机 450G</v>
          </cell>
          <cell r="D6266">
            <v>20</v>
          </cell>
          <cell r="E6266">
            <v>5235.66</v>
          </cell>
          <cell r="F6266">
            <v>295.81479000000002</v>
          </cell>
        </row>
        <row r="6267">
          <cell r="B6267" t="str">
            <v>70488758</v>
          </cell>
          <cell r="C6267" t="str">
            <v>咔咔酷优特 香氛机精油补充液缤纷水果香型 100ML</v>
          </cell>
          <cell r="D6267">
            <v>18</v>
          </cell>
          <cell r="E6267">
            <v>0</v>
          </cell>
          <cell r="F6267">
            <v>0</v>
          </cell>
        </row>
        <row r="6268">
          <cell r="B6268" t="str">
            <v>70488759</v>
          </cell>
          <cell r="C6268" t="str">
            <v>咔咔酷优特 香氛机精油补充液香格里拉香型 100ML</v>
          </cell>
          <cell r="D6268">
            <v>22</v>
          </cell>
          <cell r="E6268">
            <v>0</v>
          </cell>
          <cell r="F6268">
            <v>0</v>
          </cell>
        </row>
        <row r="6269">
          <cell r="B6269" t="str">
            <v>70494308</v>
          </cell>
          <cell r="C6269" t="str">
            <v>小熊 料理机LLJ-Q04B5 1*1</v>
          </cell>
          <cell r="D6269">
            <v>5</v>
          </cell>
          <cell r="E6269">
            <v>252.21</v>
          </cell>
          <cell r="F6269">
            <v>56.999459999999999</v>
          </cell>
        </row>
        <row r="6270">
          <cell r="B6270" t="str">
            <v>70498590</v>
          </cell>
          <cell r="C6270" t="str">
            <v>金号 01KA0121A毛巾74X35CM 条</v>
          </cell>
          <cell r="D6270">
            <v>355</v>
          </cell>
          <cell r="E6270">
            <v>3893.11</v>
          </cell>
          <cell r="F6270">
            <v>12.3921529577465</v>
          </cell>
        </row>
        <row r="6271">
          <cell r="B6271" t="str">
            <v>70498592</v>
          </cell>
          <cell r="C6271" t="str">
            <v>金号 GA1498WH毛巾76X34CM 条</v>
          </cell>
          <cell r="D6271">
            <v>641</v>
          </cell>
          <cell r="E6271">
            <v>7044.76</v>
          </cell>
          <cell r="F6271">
            <v>12.418999687987499</v>
          </cell>
        </row>
        <row r="6272">
          <cell r="B6272" t="str">
            <v>70498602</v>
          </cell>
          <cell r="C6272" t="str">
            <v>金号 01KA0201A毛巾72X35CM 条</v>
          </cell>
          <cell r="D6272">
            <v>266</v>
          </cell>
          <cell r="E6272">
            <v>4334.07</v>
          </cell>
          <cell r="F6272">
            <v>18.411650751879701</v>
          </cell>
        </row>
        <row r="6273">
          <cell r="B6273" t="str">
            <v>70498604</v>
          </cell>
          <cell r="C6273" t="str">
            <v>金号 01KA0245B毛巾60X30CM 条</v>
          </cell>
          <cell r="D6273">
            <v>1061</v>
          </cell>
          <cell r="E6273">
            <v>9750.69</v>
          </cell>
          <cell r="F6273">
            <v>10.384806503298799</v>
          </cell>
        </row>
        <row r="6274">
          <cell r="B6274" t="str">
            <v>70498610</v>
          </cell>
          <cell r="C6274" t="str">
            <v>金号 T1088H毛巾60X30CM 条</v>
          </cell>
          <cell r="D6274">
            <v>974</v>
          </cell>
          <cell r="E6274">
            <v>8914.2800000000007</v>
          </cell>
          <cell r="F6274">
            <v>10.342029158110901</v>
          </cell>
        </row>
        <row r="6275">
          <cell r="B6275" t="str">
            <v>70499331</v>
          </cell>
          <cell r="C6275" t="str">
            <v>华东化工 降解塑料袋 30CM*6CM*50CM</v>
          </cell>
          <cell r="D6275">
            <v>4489</v>
          </cell>
          <cell r="E6275">
            <v>0</v>
          </cell>
          <cell r="F6275">
            <v>0</v>
          </cell>
        </row>
        <row r="6276">
          <cell r="B6276" t="str">
            <v>70500534</v>
          </cell>
          <cell r="C6276" t="str">
            <v>昆仑好客 普通掼蛋专用扑克牌 单副</v>
          </cell>
          <cell r="D6276">
            <v>6527</v>
          </cell>
          <cell r="E6276">
            <v>1794.37</v>
          </cell>
          <cell r="F6276">
            <v>0.31065391450896301</v>
          </cell>
        </row>
        <row r="6277">
          <cell r="B6277" t="str">
            <v>70507173</v>
          </cell>
          <cell r="C6277" t="str">
            <v>无品牌 防静电鞋 双</v>
          </cell>
          <cell r="D6277">
            <v>3</v>
          </cell>
          <cell r="E6277">
            <v>121.08</v>
          </cell>
          <cell r="F6277">
            <v>45.6068</v>
          </cell>
        </row>
        <row r="6278">
          <cell r="B6278" t="str">
            <v>70507341</v>
          </cell>
          <cell r="C6278" t="str">
            <v>杰伦 格林太阳镜冬季款Y06 个</v>
          </cell>
          <cell r="D6278">
            <v>37</v>
          </cell>
          <cell r="E6278">
            <v>2586.7399999999998</v>
          </cell>
          <cell r="F6278">
            <v>79.000437837837794</v>
          </cell>
        </row>
        <row r="6279">
          <cell r="B6279" t="str">
            <v>70507344</v>
          </cell>
          <cell r="C6279" t="str">
            <v>昍图 防雪车衣轿车 个</v>
          </cell>
          <cell r="D6279">
            <v>743</v>
          </cell>
          <cell r="E6279">
            <v>24329.43</v>
          </cell>
          <cell r="F6279">
            <v>37.001690309555897</v>
          </cell>
        </row>
        <row r="6280">
          <cell r="B6280" t="str">
            <v>70514774</v>
          </cell>
          <cell r="C6280" t="str">
            <v>雪通 汽车防滑链 8片/包</v>
          </cell>
          <cell r="D6280">
            <v>10</v>
          </cell>
          <cell r="E6280">
            <v>1371.68</v>
          </cell>
          <cell r="F6280">
            <v>154.99984000000001</v>
          </cell>
        </row>
        <row r="6281">
          <cell r="B6281" t="str">
            <v>70518046</v>
          </cell>
          <cell r="C6281" t="str">
            <v>健将 男士100％棉商务中筒袜 1L785R</v>
          </cell>
          <cell r="D6281">
            <v>100</v>
          </cell>
          <cell r="E6281">
            <v>1035.27</v>
          </cell>
          <cell r="F6281">
            <v>11.698551</v>
          </cell>
        </row>
        <row r="6282">
          <cell r="B6282" t="str">
            <v>70520896</v>
          </cell>
          <cell r="C6282" t="str">
            <v>爱华仕 OCB4361S小版-1 个</v>
          </cell>
          <cell r="D6282">
            <v>2</v>
          </cell>
          <cell r="E6282">
            <v>127.44</v>
          </cell>
          <cell r="F6282">
            <v>72.003600000000006</v>
          </cell>
        </row>
        <row r="6283">
          <cell r="B6283" t="str">
            <v>70520902</v>
          </cell>
          <cell r="C6283" t="str">
            <v>爱华仕 OCB4361S小版-2 个</v>
          </cell>
          <cell r="D6283">
            <v>1</v>
          </cell>
          <cell r="E6283">
            <v>63.72</v>
          </cell>
          <cell r="F6283">
            <v>72.003600000000006</v>
          </cell>
        </row>
        <row r="6284">
          <cell r="B6284" t="str">
            <v>70520908</v>
          </cell>
          <cell r="C6284" t="str">
            <v>爱华仕 OCB4361S小版-3 个</v>
          </cell>
          <cell r="D6284">
            <v>3</v>
          </cell>
          <cell r="E6284">
            <v>191.16</v>
          </cell>
          <cell r="F6284">
            <v>72.003600000000006</v>
          </cell>
        </row>
        <row r="6285">
          <cell r="B6285" t="str">
            <v>70520914</v>
          </cell>
          <cell r="C6285" t="str">
            <v>爱华仕 拉杆箱OCX6639 个</v>
          </cell>
          <cell r="D6285">
            <v>8</v>
          </cell>
          <cell r="E6285">
            <v>1196.48</v>
          </cell>
          <cell r="F6285">
            <v>169.00280000000001</v>
          </cell>
        </row>
        <row r="6286">
          <cell r="B6286" t="str">
            <v>70520923</v>
          </cell>
          <cell r="C6286" t="str">
            <v>爱华仕 拉杆箱OCX6639-2 个</v>
          </cell>
          <cell r="D6286">
            <v>9</v>
          </cell>
          <cell r="E6286">
            <v>1346.04</v>
          </cell>
          <cell r="F6286">
            <v>169.00280000000001</v>
          </cell>
        </row>
        <row r="6287">
          <cell r="B6287" t="str">
            <v>70520929</v>
          </cell>
          <cell r="C6287" t="str">
            <v>爱华仕 OCB4712休闲包-1 个</v>
          </cell>
          <cell r="D6287">
            <v>3</v>
          </cell>
          <cell r="E6287">
            <v>557.52</v>
          </cell>
          <cell r="F6287">
            <v>209.9992</v>
          </cell>
        </row>
        <row r="6288">
          <cell r="B6288" t="str">
            <v>70520934</v>
          </cell>
          <cell r="C6288" t="str">
            <v>爱华仕 OCB4712休闲包-2 个</v>
          </cell>
          <cell r="D6288">
            <v>2</v>
          </cell>
          <cell r="E6288">
            <v>371.68</v>
          </cell>
          <cell r="F6288">
            <v>209.9992</v>
          </cell>
        </row>
        <row r="6289">
          <cell r="B6289" t="str">
            <v>70520940</v>
          </cell>
          <cell r="C6289" t="str">
            <v>爱华仕 OCB4712休闲包-3 个</v>
          </cell>
          <cell r="D6289">
            <v>3</v>
          </cell>
          <cell r="E6289">
            <v>557.52</v>
          </cell>
          <cell r="F6289">
            <v>209.9992</v>
          </cell>
        </row>
        <row r="6290">
          <cell r="B6290" t="str">
            <v>70521113</v>
          </cell>
          <cell r="C6290" t="str">
            <v>玉小兔 无纺布单人3件套 225G</v>
          </cell>
          <cell r="D6290">
            <v>82</v>
          </cell>
          <cell r="E6290">
            <v>860.29</v>
          </cell>
          <cell r="F6290">
            <v>11.8552158536585</v>
          </cell>
        </row>
        <row r="6291">
          <cell r="B6291" t="str">
            <v>70521114</v>
          </cell>
          <cell r="C6291" t="str">
            <v>玉小兔 无纺布单人4件套 303G</v>
          </cell>
          <cell r="D6291">
            <v>44</v>
          </cell>
          <cell r="E6291">
            <v>492.57</v>
          </cell>
          <cell r="F6291">
            <v>12.6500931818182</v>
          </cell>
        </row>
        <row r="6292">
          <cell r="B6292" t="str">
            <v>70521115</v>
          </cell>
          <cell r="C6292" t="str">
            <v>玉小兔 珍珠纹毛巾 33G</v>
          </cell>
          <cell r="D6292">
            <v>167</v>
          </cell>
          <cell r="E6292">
            <v>529.84</v>
          </cell>
          <cell r="F6292">
            <v>3.5851449101796402</v>
          </cell>
        </row>
        <row r="6293">
          <cell r="B6293" t="str">
            <v>70521116</v>
          </cell>
          <cell r="C6293" t="str">
            <v>玉小兔 珍珠纹浴巾 78G</v>
          </cell>
          <cell r="D6293">
            <v>67</v>
          </cell>
          <cell r="E6293">
            <v>447.91</v>
          </cell>
          <cell r="F6293">
            <v>7.5543029850746297</v>
          </cell>
        </row>
        <row r="6294">
          <cell r="B6294" t="str">
            <v>70521117</v>
          </cell>
          <cell r="C6294" t="str">
            <v>玉小兔 菱形纹马桶套 13G</v>
          </cell>
          <cell r="D6294">
            <v>16</v>
          </cell>
          <cell r="E6294">
            <v>113.28</v>
          </cell>
          <cell r="F6294">
            <v>8.0004000000000008</v>
          </cell>
        </row>
        <row r="6295">
          <cell r="B6295" t="str">
            <v>70521119</v>
          </cell>
          <cell r="C6295" t="str">
            <v>爱华仕 双肩包OCB4286 个</v>
          </cell>
          <cell r="D6295">
            <v>4</v>
          </cell>
          <cell r="E6295">
            <v>371.68</v>
          </cell>
          <cell r="F6295">
            <v>104.9996</v>
          </cell>
        </row>
        <row r="6296">
          <cell r="B6296" t="str">
            <v>70521120</v>
          </cell>
          <cell r="C6296" t="str">
            <v>爱华仕 OCB4361A大版 个</v>
          </cell>
          <cell r="D6296">
            <v>1</v>
          </cell>
          <cell r="E6296">
            <v>74.34</v>
          </cell>
          <cell r="F6296">
            <v>84.004199999999997</v>
          </cell>
        </row>
        <row r="6297">
          <cell r="B6297" t="str">
            <v>70521121</v>
          </cell>
          <cell r="C6297" t="str">
            <v>爱华仕 OCB4361A大版-2 个</v>
          </cell>
          <cell r="D6297">
            <v>2</v>
          </cell>
          <cell r="E6297">
            <v>148.68</v>
          </cell>
          <cell r="F6297">
            <v>84.004199999999997</v>
          </cell>
        </row>
        <row r="6298">
          <cell r="B6298" t="str">
            <v>70521122</v>
          </cell>
          <cell r="C6298" t="str">
            <v>爱华仕 OCB4361A大版-3 个</v>
          </cell>
          <cell r="D6298">
            <v>1</v>
          </cell>
          <cell r="E6298">
            <v>74.34</v>
          </cell>
          <cell r="F6298">
            <v>84.004199999999997</v>
          </cell>
        </row>
        <row r="6299">
          <cell r="B6299" t="str">
            <v>70523743</v>
          </cell>
          <cell r="C6299" t="str">
            <v>妙洁 免刀撕PE保鲜膜60米大碗经济装 个</v>
          </cell>
          <cell r="D6299">
            <v>143</v>
          </cell>
          <cell r="E6299">
            <v>1454.98</v>
          </cell>
          <cell r="F6299">
            <v>11.497394405594401</v>
          </cell>
        </row>
        <row r="6300">
          <cell r="B6300" t="str">
            <v>70524159</v>
          </cell>
          <cell r="C6300" t="str">
            <v>疆阳 优品手持式遮阳伞B03 个</v>
          </cell>
          <cell r="D6300">
            <v>0</v>
          </cell>
          <cell r="E6300">
            <v>0</v>
          </cell>
          <cell r="F6300" t="e">
            <v>#DIV/0!</v>
          </cell>
        </row>
        <row r="6301">
          <cell r="B6301" t="str">
            <v>70524466</v>
          </cell>
          <cell r="C6301" t="str">
            <v>ONCEKISS 一次性浴巾80*140CM 1条</v>
          </cell>
          <cell r="D6301">
            <v>2276</v>
          </cell>
          <cell r="E6301">
            <v>8931.06</v>
          </cell>
          <cell r="F6301">
            <v>4.4341378734622099</v>
          </cell>
        </row>
        <row r="6302">
          <cell r="B6302" t="str">
            <v>70524467</v>
          </cell>
          <cell r="C6302" t="str">
            <v>ONCEKISS 一次性悬挂式懒人抹布 160片</v>
          </cell>
          <cell r="D6302">
            <v>161</v>
          </cell>
          <cell r="E6302">
            <v>1918.81</v>
          </cell>
          <cell r="F6302">
            <v>13.467424223602499</v>
          </cell>
        </row>
        <row r="6303">
          <cell r="B6303" t="str">
            <v>70524468</v>
          </cell>
          <cell r="C6303" t="str">
            <v>ONCEKISS 一次性女式纯棉内裤 5条装</v>
          </cell>
          <cell r="D6303">
            <v>434</v>
          </cell>
          <cell r="E6303">
            <v>6285.31</v>
          </cell>
          <cell r="F6303">
            <v>16.3649776497696</v>
          </cell>
        </row>
        <row r="6304">
          <cell r="B6304" t="str">
            <v>70524469</v>
          </cell>
          <cell r="C6304" t="str">
            <v>ONCEKISS 一次性男式纯棉内裤 4条装</v>
          </cell>
          <cell r="D6304">
            <v>576</v>
          </cell>
          <cell r="E6304">
            <v>9641.4500000000007</v>
          </cell>
          <cell r="F6304">
            <v>18.914650173611101</v>
          </cell>
        </row>
        <row r="6305">
          <cell r="B6305" t="str">
            <v>70527028</v>
          </cell>
          <cell r="C6305" t="str">
            <v>青壹坊 三丽鸥魔法礼盒 1</v>
          </cell>
          <cell r="D6305">
            <v>6</v>
          </cell>
          <cell r="E6305">
            <v>100.9</v>
          </cell>
          <cell r="F6305">
            <v>19.002833333333299</v>
          </cell>
        </row>
        <row r="6306">
          <cell r="B6306" t="str">
            <v>70528459</v>
          </cell>
          <cell r="C6306" t="str">
            <v>DL 平底三组合垃圾袋 大号</v>
          </cell>
          <cell r="D6306">
            <v>2</v>
          </cell>
          <cell r="E6306">
            <v>14.34</v>
          </cell>
          <cell r="F6306">
            <v>8.1021000000000001</v>
          </cell>
        </row>
        <row r="6307">
          <cell r="B6307" t="str">
            <v>70528463</v>
          </cell>
          <cell r="C6307" t="str">
            <v>DL 背心式保鲜袋 大号</v>
          </cell>
          <cell r="D6307">
            <v>16</v>
          </cell>
          <cell r="E6307">
            <v>101.98</v>
          </cell>
          <cell r="F6307">
            <v>7.2023374999999996</v>
          </cell>
        </row>
        <row r="6308">
          <cell r="B6308" t="str">
            <v>70529651</v>
          </cell>
          <cell r="C6308" t="str">
            <v>文创 新疆纹样披肩蓝红披肩 个</v>
          </cell>
          <cell r="D6308">
            <v>8</v>
          </cell>
          <cell r="E6308">
            <v>700.88</v>
          </cell>
          <cell r="F6308">
            <v>98.999300000000005</v>
          </cell>
        </row>
        <row r="6309">
          <cell r="B6309" t="str">
            <v>70529672</v>
          </cell>
          <cell r="C6309" t="str">
            <v>文创 新疆纹样针织手腕包绿色手腕包 个</v>
          </cell>
          <cell r="D6309">
            <v>28</v>
          </cell>
          <cell r="E6309">
            <v>718.59</v>
          </cell>
          <cell r="F6309">
            <v>29.000239285714301</v>
          </cell>
        </row>
        <row r="6310">
          <cell r="B6310" t="str">
            <v>70529673</v>
          </cell>
          <cell r="C6310" t="str">
            <v>文创 新疆纹样针织手腕包红色手腕包 个</v>
          </cell>
          <cell r="D6310">
            <v>22</v>
          </cell>
          <cell r="E6310">
            <v>564.63</v>
          </cell>
          <cell r="F6310">
            <v>29.001449999999998</v>
          </cell>
        </row>
        <row r="6311">
          <cell r="B6311" t="str">
            <v>70529674</v>
          </cell>
          <cell r="C6311" t="str">
            <v>文创 艾德莱斯花纹毛织包白热销款毛织包 个</v>
          </cell>
          <cell r="D6311">
            <v>11</v>
          </cell>
          <cell r="E6311">
            <v>428.33</v>
          </cell>
          <cell r="F6311">
            <v>44.001172727272703</v>
          </cell>
        </row>
        <row r="6312">
          <cell r="B6312" t="str">
            <v>70529675</v>
          </cell>
          <cell r="C6312" t="str">
            <v>文创 艾德莱斯花纹毛织包蓝毛织包 个</v>
          </cell>
          <cell r="D6312">
            <v>11</v>
          </cell>
          <cell r="E6312">
            <v>428.32</v>
          </cell>
          <cell r="F6312">
            <v>44.000145454545397</v>
          </cell>
        </row>
        <row r="6313">
          <cell r="B6313" t="str">
            <v>70529676</v>
          </cell>
          <cell r="C6313" t="str">
            <v>文创 艾德莱斯花纹毛织斜挎包红2024新品毛织包 个</v>
          </cell>
          <cell r="D6313">
            <v>18</v>
          </cell>
          <cell r="E6313">
            <v>700.9</v>
          </cell>
          <cell r="F6313">
            <v>44.0009444444444</v>
          </cell>
        </row>
        <row r="6314">
          <cell r="B6314" t="str">
            <v>70534439</v>
          </cell>
          <cell r="C6314" t="str">
            <v>糖叮当 指尖陀螺 2G</v>
          </cell>
          <cell r="D6314">
            <v>6</v>
          </cell>
          <cell r="E6314">
            <v>37.200000000000003</v>
          </cell>
          <cell r="F6314">
            <v>7.0060000000000002</v>
          </cell>
        </row>
        <row r="6315">
          <cell r="B6315" t="str">
            <v>70534492</v>
          </cell>
          <cell r="C6315" t="str">
            <v>金号 01KA0252A毛巾 74*34CM 个</v>
          </cell>
          <cell r="D6315">
            <v>113</v>
          </cell>
          <cell r="E6315">
            <v>1218.3499999999999</v>
          </cell>
          <cell r="F6315">
            <v>12.1835</v>
          </cell>
        </row>
        <row r="6316">
          <cell r="B6316" t="str">
            <v>70534496</v>
          </cell>
          <cell r="C6316" t="str">
            <v>金号 01KA0318B毛巾 60*30CM 个</v>
          </cell>
          <cell r="D6316">
            <v>217</v>
          </cell>
          <cell r="E6316">
            <v>1998.83</v>
          </cell>
          <cell r="F6316">
            <v>10.4086539170507</v>
          </cell>
        </row>
        <row r="6317">
          <cell r="B6317" t="str">
            <v>70534504</v>
          </cell>
          <cell r="C6317" t="str">
            <v>金号 01KA0319A毛巾 72*35CM 个</v>
          </cell>
          <cell r="D6317">
            <v>24</v>
          </cell>
          <cell r="E6317">
            <v>250.68</v>
          </cell>
          <cell r="F6317">
            <v>11.802849999999999</v>
          </cell>
        </row>
        <row r="6318">
          <cell r="B6318" t="str">
            <v>70534508</v>
          </cell>
          <cell r="C6318" t="str">
            <v>凯斯哈林 提缎绣花毛巾蓝74*34 个</v>
          </cell>
          <cell r="D6318">
            <v>0</v>
          </cell>
          <cell r="E6318">
            <v>0</v>
          </cell>
          <cell r="F6318" t="e">
            <v>#DIV/0!</v>
          </cell>
        </row>
        <row r="6319">
          <cell r="B6319" t="str">
            <v>70534514</v>
          </cell>
          <cell r="C6319" t="str">
            <v>凯斯哈林 提缎绣花毛巾蓝74*34 个</v>
          </cell>
          <cell r="D6319">
            <v>1</v>
          </cell>
          <cell r="E6319">
            <v>14.34</v>
          </cell>
          <cell r="F6319">
            <v>16.2042</v>
          </cell>
        </row>
        <row r="6320">
          <cell r="B6320" t="str">
            <v>70534532</v>
          </cell>
          <cell r="C6320" t="str">
            <v>凯斯哈林 提缎毛巾红72*35 个</v>
          </cell>
          <cell r="D6320">
            <v>21</v>
          </cell>
          <cell r="E6320">
            <v>249.04</v>
          </cell>
          <cell r="F6320">
            <v>13.4007238095238</v>
          </cell>
        </row>
        <row r="6321">
          <cell r="B6321" t="str">
            <v>70534541</v>
          </cell>
          <cell r="C6321" t="str">
            <v>凯斯哈林 提缎毛巾蓝74*35 个</v>
          </cell>
          <cell r="D6321">
            <v>2</v>
          </cell>
          <cell r="E6321">
            <v>23.54</v>
          </cell>
          <cell r="F6321">
            <v>13.3001</v>
          </cell>
        </row>
        <row r="6322">
          <cell r="B6322" t="str">
            <v>70534548</v>
          </cell>
          <cell r="C6322" t="str">
            <v>凯斯哈林 提缎绣花毛巾灰74*35 个</v>
          </cell>
          <cell r="D6322">
            <v>1</v>
          </cell>
          <cell r="E6322">
            <v>12.48</v>
          </cell>
          <cell r="F6322">
            <v>14.102399999999999</v>
          </cell>
        </row>
        <row r="6323">
          <cell r="B6323" t="str">
            <v>70534556</v>
          </cell>
          <cell r="C6323" t="str">
            <v>凯斯哈林 提缎毛巾蓝74*35 个</v>
          </cell>
          <cell r="D6323">
            <v>1</v>
          </cell>
          <cell r="E6323">
            <v>11.77</v>
          </cell>
          <cell r="F6323">
            <v>13.3001</v>
          </cell>
        </row>
        <row r="6324">
          <cell r="B6324" t="str">
            <v>70534558</v>
          </cell>
          <cell r="C6324" t="str">
            <v>凯斯哈林 提缎浴巾红140*73 个</v>
          </cell>
          <cell r="D6324">
            <v>14</v>
          </cell>
          <cell r="E6324">
            <v>623.20000000000005</v>
          </cell>
          <cell r="F6324">
            <v>50.301142857142899</v>
          </cell>
        </row>
        <row r="6325">
          <cell r="B6325" t="str">
            <v>70534561</v>
          </cell>
          <cell r="C6325" t="str">
            <v>金号 01KA0098A毛巾 72*35CM 个</v>
          </cell>
          <cell r="D6325">
            <v>123</v>
          </cell>
          <cell r="E6325">
            <v>1434.25</v>
          </cell>
          <cell r="F6325">
            <v>13.176443089430901</v>
          </cell>
        </row>
        <row r="6326">
          <cell r="B6326" t="str">
            <v>70534744</v>
          </cell>
          <cell r="C6326" t="str">
            <v>金号 GA1725WH毛巾 72*34CM 个</v>
          </cell>
          <cell r="D6326">
            <v>39</v>
          </cell>
          <cell r="E6326">
            <v>419.7</v>
          </cell>
          <cell r="F6326">
            <v>12.160538461538501</v>
          </cell>
        </row>
        <row r="6327">
          <cell r="B6327" t="str">
            <v>70534747</v>
          </cell>
          <cell r="C6327" t="str">
            <v>糖叮当 恐龙扭扭车 2G</v>
          </cell>
          <cell r="D6327">
            <v>2</v>
          </cell>
          <cell r="E6327">
            <v>16.82</v>
          </cell>
          <cell r="F6327">
            <v>9.5032999999999994</v>
          </cell>
        </row>
        <row r="6328">
          <cell r="B6328" t="str">
            <v>70534802</v>
          </cell>
          <cell r="C6328" t="str">
            <v>健将 弹力棉5A抗菌平脚裤 盒</v>
          </cell>
          <cell r="D6328">
            <v>45</v>
          </cell>
          <cell r="E6328">
            <v>1409.84</v>
          </cell>
          <cell r="F6328">
            <v>35.402648888888898</v>
          </cell>
        </row>
        <row r="6329">
          <cell r="B6329" t="str">
            <v>70534803</v>
          </cell>
          <cell r="C6329" t="str">
            <v>健将 棉5A抗菌平脚裤 盒</v>
          </cell>
          <cell r="D6329">
            <v>37</v>
          </cell>
          <cell r="E6329">
            <v>1104.8399999999999</v>
          </cell>
          <cell r="F6329">
            <v>33.742410810810803</v>
          </cell>
        </row>
        <row r="6330">
          <cell r="B6330" t="str">
            <v>70534805</v>
          </cell>
          <cell r="C6330" t="str">
            <v>健将 棉平脚裤 盒</v>
          </cell>
          <cell r="D6330">
            <v>11</v>
          </cell>
          <cell r="E6330">
            <v>371.9</v>
          </cell>
          <cell r="F6330">
            <v>38.204272727272702</v>
          </cell>
        </row>
        <row r="6331">
          <cell r="B6331" t="str">
            <v>70534806</v>
          </cell>
          <cell r="C6331" t="str">
            <v>健将 弹力棉平脚裤 盒</v>
          </cell>
          <cell r="D6331">
            <v>35</v>
          </cell>
          <cell r="E6331">
            <v>1084.22</v>
          </cell>
          <cell r="F6331">
            <v>35.0048171428571</v>
          </cell>
        </row>
        <row r="6332">
          <cell r="B6332" t="str">
            <v>70534807</v>
          </cell>
          <cell r="C6332" t="str">
            <v>健将 男竹炭休闲袜 盒</v>
          </cell>
          <cell r="D6332">
            <v>299</v>
          </cell>
          <cell r="E6332">
            <v>2448.9699999999998</v>
          </cell>
          <cell r="F6332">
            <v>9.2553046822742502</v>
          </cell>
        </row>
        <row r="6333">
          <cell r="B6333" t="str">
            <v>70534808</v>
          </cell>
          <cell r="C6333" t="str">
            <v>健将 抗菌休闲袜 盒</v>
          </cell>
          <cell r="D6333">
            <v>88</v>
          </cell>
          <cell r="E6333">
            <v>902.76</v>
          </cell>
          <cell r="F6333">
            <v>11.592259090909099</v>
          </cell>
        </row>
        <row r="6334">
          <cell r="B6334" t="str">
            <v>70534809</v>
          </cell>
          <cell r="C6334" t="str">
            <v>健将 男商务休闲袜X 盒</v>
          </cell>
          <cell r="D6334">
            <v>104</v>
          </cell>
          <cell r="E6334">
            <v>984.88</v>
          </cell>
          <cell r="F6334">
            <v>10.7011</v>
          </cell>
        </row>
        <row r="6335">
          <cell r="B6335" t="str">
            <v>70534810</v>
          </cell>
          <cell r="C6335" t="str">
            <v>健将 男士休闲袜D 盒</v>
          </cell>
          <cell r="D6335">
            <v>303</v>
          </cell>
          <cell r="E6335">
            <v>2601.9899999999998</v>
          </cell>
          <cell r="F6335">
            <v>9.7037910891089094</v>
          </cell>
        </row>
        <row r="6336">
          <cell r="B6336" t="str">
            <v>70534840</v>
          </cell>
          <cell r="C6336" t="str">
            <v>凯斯哈林 无捻提缎转移印花方巾红绿36*35 个</v>
          </cell>
          <cell r="D6336">
            <v>3</v>
          </cell>
          <cell r="E6336">
            <v>27.56</v>
          </cell>
          <cell r="F6336">
            <v>10.380933333333299</v>
          </cell>
        </row>
        <row r="6337">
          <cell r="B6337" t="str">
            <v>70534996</v>
          </cell>
          <cell r="C6337" t="str">
            <v>南孚 扣电 CR2032-5*1B 个</v>
          </cell>
          <cell r="D6337">
            <v>321</v>
          </cell>
          <cell r="E6337">
            <v>1136.78</v>
          </cell>
          <cell r="F6337">
            <v>4.0017489096573202</v>
          </cell>
        </row>
        <row r="6338">
          <cell r="B6338" t="str">
            <v>70534997</v>
          </cell>
          <cell r="C6338" t="str">
            <v>南孚 扣电 CR2025-5*1B 个</v>
          </cell>
          <cell r="D6338">
            <v>402</v>
          </cell>
          <cell r="E6338">
            <v>1424.38</v>
          </cell>
          <cell r="F6338">
            <v>4.0038542288557197</v>
          </cell>
        </row>
        <row r="6339">
          <cell r="B6339" t="str">
            <v>70538631</v>
          </cell>
          <cell r="C6339" t="str">
            <v>小熊 挂烫机 GTJ-P10V5</v>
          </cell>
          <cell r="D6339">
            <v>6</v>
          </cell>
          <cell r="E6339">
            <v>467.27</v>
          </cell>
          <cell r="F6339">
            <v>88.002516666666693</v>
          </cell>
        </row>
        <row r="6340">
          <cell r="B6340" t="str">
            <v>70540051</v>
          </cell>
          <cell r="C6340" t="str">
            <v>布鲁可 奥特名鉴群星版 1</v>
          </cell>
          <cell r="D6340">
            <v>35</v>
          </cell>
          <cell r="E6340">
            <v>883.98</v>
          </cell>
          <cell r="F6340">
            <v>28.539925714285701</v>
          </cell>
        </row>
        <row r="6341">
          <cell r="B6341" t="str">
            <v>70540141</v>
          </cell>
          <cell r="C6341" t="str">
            <v>桑尼森迪 宝可梦联名款印章系列 1</v>
          </cell>
          <cell r="D6341">
            <v>28</v>
          </cell>
          <cell r="E6341">
            <v>337.08</v>
          </cell>
          <cell r="F6341">
            <v>13.6035857142857</v>
          </cell>
        </row>
        <row r="6342">
          <cell r="B6342" t="str">
            <v>70553458</v>
          </cell>
          <cell r="C6342" t="str">
            <v>桑尼森迪 奥特曼英雄守护 1</v>
          </cell>
          <cell r="D6342">
            <v>201</v>
          </cell>
          <cell r="E6342">
            <v>3806.94</v>
          </cell>
          <cell r="F6342">
            <v>21.402200000000001</v>
          </cell>
        </row>
        <row r="6343">
          <cell r="B6343" t="str">
            <v>70553523</v>
          </cell>
          <cell r="C6343" t="str">
            <v>无品牌 手提袋32*52 个</v>
          </cell>
          <cell r="D6343">
            <v>47677</v>
          </cell>
          <cell r="E6343">
            <v>12714.3</v>
          </cell>
          <cell r="F6343">
            <v>0.301343603834134</v>
          </cell>
        </row>
        <row r="6344">
          <cell r="B6344" t="str">
            <v>70556617</v>
          </cell>
          <cell r="C6344" t="str">
            <v>OBALL钛钢女神杯 纯钛钢女神杯轻奢银色 200G</v>
          </cell>
          <cell r="D6344">
            <v>3</v>
          </cell>
          <cell r="E6344">
            <v>676.99</v>
          </cell>
          <cell r="F6344">
            <v>254.99956666666699</v>
          </cell>
        </row>
        <row r="6345">
          <cell r="B6345" t="str">
            <v>70556649</v>
          </cell>
          <cell r="C6345" t="str">
            <v>虹蝶 女款手套 双</v>
          </cell>
          <cell r="D6345">
            <v>49</v>
          </cell>
          <cell r="E6345">
            <v>1029.53</v>
          </cell>
          <cell r="F6345">
            <v>23.7422224489796</v>
          </cell>
        </row>
        <row r="6346">
          <cell r="B6346" t="str">
            <v>70556652</v>
          </cell>
          <cell r="C6346" t="str">
            <v>OBALL钛钢女神杯 纯钛钢女神杯轻奢绿色 200G</v>
          </cell>
          <cell r="D6346">
            <v>3</v>
          </cell>
          <cell r="E6346">
            <v>676.99</v>
          </cell>
          <cell r="F6346">
            <v>254.99956666666699</v>
          </cell>
        </row>
        <row r="6347">
          <cell r="B6347" t="str">
            <v>70556827</v>
          </cell>
          <cell r="C6347" t="str">
            <v>虹蝶 男款手套 双</v>
          </cell>
          <cell r="D6347">
            <v>42</v>
          </cell>
          <cell r="E6347">
            <v>900.92</v>
          </cell>
          <cell r="F6347">
            <v>24.239038095238101</v>
          </cell>
        </row>
        <row r="6348">
          <cell r="B6348" t="str">
            <v>70578902</v>
          </cell>
          <cell r="C6348" t="str">
            <v>星宇 防水防滑手套 双</v>
          </cell>
          <cell r="D6348">
            <v>130</v>
          </cell>
          <cell r="E6348">
            <v>602.83000000000004</v>
          </cell>
          <cell r="F6348">
            <v>5.2399838461538497</v>
          </cell>
        </row>
        <row r="6349">
          <cell r="B6349" t="str">
            <v>70579198</v>
          </cell>
          <cell r="C6349" t="str">
            <v>又见好棉 车载防护颈枕 盒</v>
          </cell>
          <cell r="D6349">
            <v>5</v>
          </cell>
          <cell r="E6349">
            <v>172.6</v>
          </cell>
          <cell r="F6349">
            <v>39.007599999999996</v>
          </cell>
        </row>
        <row r="6350">
          <cell r="B6350" t="str">
            <v>70579200</v>
          </cell>
          <cell r="C6350" t="str">
            <v>昍途 蒸汽发热眼罩（5片装） 盒</v>
          </cell>
          <cell r="D6350">
            <v>15</v>
          </cell>
          <cell r="E6350">
            <v>278.77999999999997</v>
          </cell>
          <cell r="F6350">
            <v>21.001426666666699</v>
          </cell>
        </row>
        <row r="6351">
          <cell r="B6351" t="str">
            <v>70579276</v>
          </cell>
          <cell r="C6351" t="str">
            <v>又见好棉 披肩 条</v>
          </cell>
          <cell r="D6351">
            <v>50</v>
          </cell>
          <cell r="E6351">
            <v>6637.17</v>
          </cell>
          <cell r="F6351">
            <v>150.00004200000001</v>
          </cell>
        </row>
        <row r="6352">
          <cell r="B6352" t="str">
            <v>70579278</v>
          </cell>
          <cell r="C6352" t="str">
            <v>又见好棉 多功能毯子（加绒） 条</v>
          </cell>
          <cell r="D6352">
            <v>49</v>
          </cell>
          <cell r="E6352">
            <v>7371.68</v>
          </cell>
          <cell r="F6352">
            <v>169.999967346939</v>
          </cell>
        </row>
        <row r="6353">
          <cell r="B6353" t="str">
            <v>70579279</v>
          </cell>
          <cell r="C6353" t="str">
            <v>又见好棉 多功能毯子 条</v>
          </cell>
          <cell r="D6353">
            <v>50</v>
          </cell>
          <cell r="E6353">
            <v>6637.17</v>
          </cell>
          <cell r="F6353">
            <v>150.00004200000001</v>
          </cell>
        </row>
        <row r="6354">
          <cell r="B6354" t="str">
            <v>70579280</v>
          </cell>
          <cell r="C6354" t="str">
            <v>又见好棉 彩棉毯子 条</v>
          </cell>
          <cell r="D6354">
            <v>1</v>
          </cell>
          <cell r="E6354">
            <v>176.11</v>
          </cell>
          <cell r="F6354">
            <v>199.0043</v>
          </cell>
        </row>
        <row r="6355">
          <cell r="B6355" t="str">
            <v>70580914</v>
          </cell>
          <cell r="C6355" t="str">
            <v>布鲁可 变形金刚-超越版-电影7擎天柱 300G</v>
          </cell>
          <cell r="D6355">
            <v>4</v>
          </cell>
          <cell r="E6355">
            <v>222.31</v>
          </cell>
          <cell r="F6355">
            <v>62.802574999999997</v>
          </cell>
        </row>
        <row r="6356">
          <cell r="B6356" t="str">
            <v>70580915</v>
          </cell>
          <cell r="C6356" t="str">
            <v>昍途 遮阳帽 个</v>
          </cell>
          <cell r="D6356">
            <v>45</v>
          </cell>
          <cell r="E6356">
            <v>1154.8900000000001</v>
          </cell>
          <cell r="F6356">
            <v>29.0005711111111</v>
          </cell>
        </row>
        <row r="6357">
          <cell r="B6357" t="str">
            <v>70580929</v>
          </cell>
          <cell r="C6357" t="str">
            <v>无品牌 旅游新疆特色景点冰箱贴 个</v>
          </cell>
          <cell r="D6357">
            <v>0</v>
          </cell>
          <cell r="E6357">
            <v>0</v>
          </cell>
          <cell r="F6357" t="e">
            <v>#DIV/0!</v>
          </cell>
        </row>
        <row r="6358">
          <cell r="B6358" t="str">
            <v>70580932</v>
          </cell>
          <cell r="C6358" t="str">
            <v>无品牌 旅游新疆特色美食冰箱贴 个</v>
          </cell>
          <cell r="D6358">
            <v>0</v>
          </cell>
          <cell r="E6358">
            <v>0</v>
          </cell>
          <cell r="F6358" t="e">
            <v>#DIV/0!</v>
          </cell>
        </row>
        <row r="6359">
          <cell r="B6359" t="str">
            <v>70580951</v>
          </cell>
          <cell r="C6359" t="str">
            <v>哪吒 超级惊喜洞洞乐盲盒 个</v>
          </cell>
          <cell r="D6359">
            <v>0</v>
          </cell>
          <cell r="E6359">
            <v>0</v>
          </cell>
          <cell r="F6359" t="e">
            <v>#DIV/0!</v>
          </cell>
        </row>
        <row r="6360">
          <cell r="B6360" t="str">
            <v>70580955</v>
          </cell>
          <cell r="C6360" t="str">
            <v>潮流 幸运盲盒 盒</v>
          </cell>
          <cell r="D6360">
            <v>0</v>
          </cell>
          <cell r="E6360">
            <v>0</v>
          </cell>
          <cell r="F6360" t="e">
            <v>#DIV/0!</v>
          </cell>
        </row>
        <row r="6361">
          <cell r="B6361" t="str">
            <v>70580959</v>
          </cell>
          <cell r="C6361" t="str">
            <v>潮流 惊喜盲盒 盒</v>
          </cell>
          <cell r="D6361">
            <v>0</v>
          </cell>
          <cell r="E6361">
            <v>0</v>
          </cell>
          <cell r="F6361" t="e">
            <v>#DIV/0!</v>
          </cell>
        </row>
        <row r="6362">
          <cell r="B6362" t="str">
            <v>70580963</v>
          </cell>
          <cell r="C6362" t="str">
            <v>潮流 神秘盲盒 盒</v>
          </cell>
          <cell r="D6362">
            <v>0</v>
          </cell>
          <cell r="E6362">
            <v>0</v>
          </cell>
          <cell r="F6362" t="e">
            <v>#DIV/0!</v>
          </cell>
        </row>
        <row r="6363">
          <cell r="B6363" t="str">
            <v>70580972</v>
          </cell>
          <cell r="C6363" t="str">
            <v>西部范 新疆风景-镂空纸雕本 236G</v>
          </cell>
          <cell r="D6363">
            <v>87</v>
          </cell>
          <cell r="E6363">
            <v>2117.29</v>
          </cell>
          <cell r="F6363">
            <v>27.500433333333302</v>
          </cell>
        </row>
        <row r="6364">
          <cell r="B6364" t="str">
            <v>70580976</v>
          </cell>
          <cell r="C6364" t="str">
            <v>西部范 防晒冰丝袖套 150g</v>
          </cell>
          <cell r="D6364">
            <v>351</v>
          </cell>
          <cell r="E6364">
            <v>5622.25</v>
          </cell>
          <cell r="F6364">
            <v>18.100121082621101</v>
          </cell>
        </row>
        <row r="6365">
          <cell r="B6365" t="str">
            <v>70580978</v>
          </cell>
          <cell r="C6365" t="str">
            <v>西部范 冰箱贴手账本 200G</v>
          </cell>
          <cell r="D6365">
            <v>41</v>
          </cell>
          <cell r="E6365">
            <v>656.75</v>
          </cell>
          <cell r="F6365">
            <v>18.1006707317073</v>
          </cell>
        </row>
        <row r="6366">
          <cell r="B6366" t="str">
            <v>70580980</v>
          </cell>
          <cell r="C6366" t="str">
            <v>西部范 新疆姑娘树脂盲盒 180G</v>
          </cell>
          <cell r="D6366">
            <v>228</v>
          </cell>
          <cell r="E6366">
            <v>6981.31</v>
          </cell>
          <cell r="F6366">
            <v>34.600352192982498</v>
          </cell>
        </row>
        <row r="6367">
          <cell r="B6367" t="str">
            <v>70580988</v>
          </cell>
          <cell r="C6367" t="str">
            <v>西部范 创意文字-金属冰箱贴 200G</v>
          </cell>
          <cell r="D6367">
            <v>89</v>
          </cell>
          <cell r="E6367">
            <v>1866.77</v>
          </cell>
          <cell r="F6367">
            <v>23.701686516853901</v>
          </cell>
        </row>
        <row r="6368">
          <cell r="B6368" t="str">
            <v>70580991</v>
          </cell>
          <cell r="C6368" t="str">
            <v>无品牌 偏光太阳镜 个</v>
          </cell>
          <cell r="D6368">
            <v>4785</v>
          </cell>
          <cell r="E6368">
            <v>296423.21000000002</v>
          </cell>
          <cell r="F6368">
            <v>70.001719393939396</v>
          </cell>
        </row>
        <row r="6369">
          <cell r="B6369" t="str">
            <v>70580992</v>
          </cell>
          <cell r="C6369" t="str">
            <v>西部范 金属冰箱贴 150G</v>
          </cell>
          <cell r="D6369">
            <v>16</v>
          </cell>
          <cell r="E6369">
            <v>281.06</v>
          </cell>
          <cell r="F6369">
            <v>19.8498625</v>
          </cell>
        </row>
        <row r="6370">
          <cell r="B6370" t="str">
            <v>70580993</v>
          </cell>
          <cell r="C6370" t="str">
            <v>无品牌 车载充气泵 盒</v>
          </cell>
          <cell r="D6370">
            <v>6727</v>
          </cell>
          <cell r="E6370">
            <v>331896.07</v>
          </cell>
          <cell r="F6370">
            <v>55.751829805262403</v>
          </cell>
        </row>
        <row r="6371">
          <cell r="B6371" t="str">
            <v>70580994</v>
          </cell>
          <cell r="C6371" t="str">
            <v>无品牌 手持遮阳伞 盒</v>
          </cell>
          <cell r="D6371">
            <v>4690</v>
          </cell>
          <cell r="E6371">
            <v>190924.6</v>
          </cell>
          <cell r="F6371">
            <v>46.001023027718603</v>
          </cell>
        </row>
        <row r="6372">
          <cell r="B6372" t="str">
            <v>70580999</v>
          </cell>
          <cell r="C6372" t="str">
            <v>水云彩 围巾 条</v>
          </cell>
          <cell r="D6372">
            <v>74</v>
          </cell>
          <cell r="E6372">
            <v>2843.37</v>
          </cell>
          <cell r="F6372">
            <v>43.4190283783784</v>
          </cell>
        </row>
        <row r="6373">
          <cell r="B6373" t="str">
            <v>70581000</v>
          </cell>
          <cell r="C6373" t="str">
            <v>西部范 艾德莱斯-发饰 100G</v>
          </cell>
          <cell r="D6373">
            <v>158</v>
          </cell>
          <cell r="E6373">
            <v>587.51</v>
          </cell>
          <cell r="F6373">
            <v>4.2018120253164604</v>
          </cell>
        </row>
        <row r="6374">
          <cell r="B6374" t="str">
            <v>70581001</v>
          </cell>
          <cell r="C6374" t="str">
            <v>西部范 艾德莱斯花纹杯垫 180G</v>
          </cell>
          <cell r="D6374">
            <v>216</v>
          </cell>
          <cell r="E6374">
            <v>1605.73</v>
          </cell>
          <cell r="F6374">
            <v>8.4003467592592607</v>
          </cell>
        </row>
        <row r="6375">
          <cell r="B6375" t="str">
            <v>70581002</v>
          </cell>
          <cell r="C6375" t="str">
            <v>桑尼森迪 电影《哪吒之魔童闹海》糖果玩具盒 150G</v>
          </cell>
          <cell r="D6375">
            <v>354</v>
          </cell>
          <cell r="E6375">
            <v>5388.92</v>
          </cell>
          <cell r="F6375">
            <v>17.201919774011301</v>
          </cell>
        </row>
        <row r="6376">
          <cell r="B6376" t="str">
            <v>70581003</v>
          </cell>
          <cell r="C6376" t="str">
            <v>桑尼森迪 汪汪队立大功卡通形象授权--六角印章款 150G</v>
          </cell>
          <cell r="D6376">
            <v>10</v>
          </cell>
          <cell r="E6376">
            <v>60.2</v>
          </cell>
          <cell r="F6376">
            <v>6.8026</v>
          </cell>
        </row>
        <row r="6377">
          <cell r="B6377" t="str">
            <v>70581008</v>
          </cell>
          <cell r="C6377" t="str">
            <v>西部范 艾德莱斯-仿真丝丝巾 100G</v>
          </cell>
          <cell r="D6377">
            <v>255</v>
          </cell>
          <cell r="E6377">
            <v>4107.2299999999996</v>
          </cell>
          <cell r="F6377">
            <v>18.2006662745098</v>
          </cell>
        </row>
        <row r="6378">
          <cell r="B6378" t="str">
            <v>70581010</v>
          </cell>
          <cell r="C6378" t="str">
            <v>桑尼森迪 海绵宝宝收藏版混装（升级版） 150G</v>
          </cell>
          <cell r="D6378">
            <v>47</v>
          </cell>
          <cell r="E6378">
            <v>565.80999999999995</v>
          </cell>
          <cell r="F6378">
            <v>13.6035170212766</v>
          </cell>
        </row>
        <row r="6379">
          <cell r="B6379" t="str">
            <v>70581011</v>
          </cell>
          <cell r="C6379" t="str">
            <v>桑尼森迪 宝可梦联名款可动系列升级版亚克力装(混款） 150G</v>
          </cell>
          <cell r="D6379">
            <v>38</v>
          </cell>
          <cell r="E6379">
            <v>457.51</v>
          </cell>
          <cell r="F6379">
            <v>13.6049026315789</v>
          </cell>
        </row>
        <row r="6380">
          <cell r="B6380" t="str">
            <v>70581012</v>
          </cell>
          <cell r="C6380" t="str">
            <v>桑尼森迪 宝可梦联名款可动系列(混装) 150G</v>
          </cell>
          <cell r="D6380">
            <v>53</v>
          </cell>
          <cell r="E6380">
            <v>638</v>
          </cell>
          <cell r="F6380">
            <v>13.602641509433999</v>
          </cell>
        </row>
        <row r="6381">
          <cell r="B6381" t="str">
            <v>70581013</v>
          </cell>
          <cell r="C6381" t="str">
            <v>桑尼森迪 熊出没10周年-纪念款盲盒 150G</v>
          </cell>
          <cell r="D6381">
            <v>5</v>
          </cell>
          <cell r="E6381">
            <v>48.25</v>
          </cell>
          <cell r="F6381">
            <v>10.904500000000001</v>
          </cell>
        </row>
        <row r="6382">
          <cell r="B6382" t="str">
            <v>70581014</v>
          </cell>
          <cell r="C6382" t="str">
            <v>桑尼森迪 熊出没10周年-纪念款（杯子装） 150G</v>
          </cell>
          <cell r="D6382">
            <v>23</v>
          </cell>
          <cell r="E6382">
            <v>221.9</v>
          </cell>
          <cell r="F6382">
            <v>10.9020434782609</v>
          </cell>
        </row>
        <row r="6383">
          <cell r="B6383" t="str">
            <v>70581019</v>
          </cell>
          <cell r="C6383" t="str">
            <v>布鲁可 奥特名鉴群星版第9弹-璀璨银河 150G</v>
          </cell>
          <cell r="D6383">
            <v>33</v>
          </cell>
          <cell r="E6383">
            <v>837.1</v>
          </cell>
          <cell r="F6383">
            <v>28.6643333333333</v>
          </cell>
        </row>
        <row r="6384">
          <cell r="B6384" t="str">
            <v>70581020</v>
          </cell>
          <cell r="C6384" t="str">
            <v>布鲁可 奥特名鉴群星版第10弹-宇宙浪客 150G</v>
          </cell>
          <cell r="D6384">
            <v>32</v>
          </cell>
          <cell r="E6384">
            <v>819.66</v>
          </cell>
          <cell r="F6384">
            <v>28.944243749999998</v>
          </cell>
        </row>
        <row r="6385">
          <cell r="B6385" t="str">
            <v>70581021</v>
          </cell>
          <cell r="C6385" t="str">
            <v>布鲁可 奥特名鉴群星版第12弹-耀变星光 150G</v>
          </cell>
          <cell r="D6385">
            <v>28</v>
          </cell>
          <cell r="E6385">
            <v>722.83</v>
          </cell>
          <cell r="F6385">
            <v>29.1713535714286</v>
          </cell>
        </row>
        <row r="6386">
          <cell r="B6386" t="str">
            <v>70581023</v>
          </cell>
          <cell r="C6386" t="str">
            <v>西部范 金属流沙冰箱贴 200G</v>
          </cell>
          <cell r="D6386">
            <v>6</v>
          </cell>
          <cell r="E6386">
            <v>149.21</v>
          </cell>
          <cell r="F6386">
            <v>28.101216666666701</v>
          </cell>
        </row>
        <row r="6387">
          <cell r="B6387" t="str">
            <v>70581026</v>
          </cell>
          <cell r="C6387" t="str">
            <v>西部范 树脂冰箱贴 150G</v>
          </cell>
          <cell r="D6387">
            <v>1744</v>
          </cell>
          <cell r="E6387">
            <v>9724.4500000000007</v>
          </cell>
          <cell r="F6387">
            <v>6.3008190940366999</v>
          </cell>
        </row>
        <row r="6388">
          <cell r="B6388" t="str">
            <v>70581027</v>
          </cell>
          <cell r="C6388" t="str">
            <v>精品 功能树脂冰箱贴 个</v>
          </cell>
          <cell r="D6388">
            <v>24</v>
          </cell>
          <cell r="E6388">
            <v>199.65</v>
          </cell>
          <cell r="F6388">
            <v>9.4001874999999995</v>
          </cell>
        </row>
        <row r="6389">
          <cell r="B6389" t="str">
            <v>70581030</v>
          </cell>
          <cell r="C6389" t="str">
            <v>西部范 艾德莱斯-棒球帽 250G</v>
          </cell>
          <cell r="D6389">
            <v>204</v>
          </cell>
          <cell r="E6389">
            <v>2906.68</v>
          </cell>
          <cell r="F6389">
            <v>16.100727450980401</v>
          </cell>
        </row>
        <row r="6390">
          <cell r="B6390" t="str">
            <v>70581031</v>
          </cell>
          <cell r="C6390" t="str">
            <v>西部范 艾德莱斯-发卡 200G</v>
          </cell>
          <cell r="D6390">
            <v>213</v>
          </cell>
          <cell r="E6390">
            <v>1658.93</v>
          </cell>
          <cell r="F6390">
            <v>8.8008962441314598</v>
          </cell>
        </row>
        <row r="6391">
          <cell r="B6391" t="str">
            <v>70581032</v>
          </cell>
          <cell r="C6391" t="str">
            <v>西部范 艾德莱斯-渔夫帽 250G</v>
          </cell>
          <cell r="D6391">
            <v>254</v>
          </cell>
          <cell r="E6391">
            <v>4608.04</v>
          </cell>
          <cell r="F6391">
            <v>20.500335433070902</v>
          </cell>
        </row>
        <row r="6392">
          <cell r="B6392" t="str">
            <v>70581033</v>
          </cell>
          <cell r="C6392" t="str">
            <v>布鲁可 奥特名鉴群星版第13弹-释放想象 150G</v>
          </cell>
          <cell r="D6392">
            <v>51</v>
          </cell>
          <cell r="E6392">
            <v>1343.47</v>
          </cell>
          <cell r="F6392">
            <v>29.767080392156899</v>
          </cell>
        </row>
        <row r="6393">
          <cell r="B6393" t="str">
            <v>70581034</v>
          </cell>
          <cell r="C6393" t="str">
            <v>布鲁可 变形金刚群星版 第五弹 起源 150G</v>
          </cell>
          <cell r="D6393">
            <v>43</v>
          </cell>
          <cell r="E6393">
            <v>1137.8</v>
          </cell>
          <cell r="F6393">
            <v>29.9003255813953</v>
          </cell>
        </row>
        <row r="6394">
          <cell r="B6394" t="str">
            <v>70581035</v>
          </cell>
          <cell r="C6394" t="str">
            <v>布鲁可 漫威英雄群星版第3弹-无限传奇 150G</v>
          </cell>
          <cell r="D6394">
            <v>24</v>
          </cell>
          <cell r="E6394">
            <v>635.04</v>
          </cell>
          <cell r="F6394">
            <v>29.899799999999999</v>
          </cell>
        </row>
        <row r="6395">
          <cell r="B6395" t="str">
            <v>70581036</v>
          </cell>
          <cell r="C6395" t="str">
            <v>布鲁可 假面骑士-群星版第1弹 高光时刻 150G</v>
          </cell>
          <cell r="D6395">
            <v>71</v>
          </cell>
          <cell r="E6395">
            <v>1878.67</v>
          </cell>
          <cell r="F6395">
            <v>29.899959154929601</v>
          </cell>
        </row>
        <row r="6396">
          <cell r="B6396" t="str">
            <v>70581037</v>
          </cell>
          <cell r="C6396" t="str">
            <v>布鲁可 圣斗士星矢-群星版第1弹 射手座的托付 150G</v>
          </cell>
          <cell r="D6396">
            <v>7</v>
          </cell>
          <cell r="E6396">
            <v>185.22</v>
          </cell>
          <cell r="F6396">
            <v>29.899799999999999</v>
          </cell>
        </row>
        <row r="6397">
          <cell r="B6397" t="str">
            <v>70581038</v>
          </cell>
          <cell r="C6397" t="str">
            <v>布鲁可 变形金刚-超越版-电影7大黄蜂 300G</v>
          </cell>
          <cell r="D6397">
            <v>4</v>
          </cell>
          <cell r="E6397">
            <v>222.31</v>
          </cell>
          <cell r="F6397">
            <v>62.802574999999997</v>
          </cell>
        </row>
        <row r="6398">
          <cell r="B6398" t="str">
            <v>70581423</v>
          </cell>
          <cell r="C6398" t="str">
            <v>小熊 折叠水壶 个</v>
          </cell>
          <cell r="D6398">
            <v>21</v>
          </cell>
          <cell r="E6398">
            <v>1579.66</v>
          </cell>
          <cell r="F6398">
            <v>85.000752380952406</v>
          </cell>
        </row>
        <row r="6399">
          <cell r="B6399" t="str">
            <v>70581425</v>
          </cell>
          <cell r="C6399" t="str">
            <v>小熊 电蒸锅 个</v>
          </cell>
          <cell r="D6399">
            <v>2</v>
          </cell>
          <cell r="E6399">
            <v>274.33999999999997</v>
          </cell>
          <cell r="F6399">
            <v>155.00210000000001</v>
          </cell>
        </row>
        <row r="6400">
          <cell r="B6400" t="str">
            <v>70581426</v>
          </cell>
          <cell r="C6400" t="str">
            <v>小熊 电蒸锅 个</v>
          </cell>
          <cell r="D6400">
            <v>1</v>
          </cell>
          <cell r="E6400">
            <v>159.29</v>
          </cell>
          <cell r="F6400">
            <v>179.99770000000001</v>
          </cell>
        </row>
        <row r="6401">
          <cell r="B6401" t="str">
            <v>70581427</v>
          </cell>
          <cell r="C6401" t="str">
            <v>无品牌 恩恩公主娃娃玩具 个</v>
          </cell>
          <cell r="D6401">
            <v>31</v>
          </cell>
          <cell r="E6401">
            <v>411.58</v>
          </cell>
          <cell r="F6401">
            <v>15.0027548387097</v>
          </cell>
        </row>
        <row r="6402">
          <cell r="B6402" t="str">
            <v>70581441</v>
          </cell>
          <cell r="C6402" t="str">
            <v>无品牌 文创短袖体恤 个</v>
          </cell>
          <cell r="D6402">
            <v>1429</v>
          </cell>
          <cell r="E6402">
            <v>35410.53</v>
          </cell>
          <cell r="F6402">
            <v>28.001328831350602</v>
          </cell>
        </row>
        <row r="6403">
          <cell r="B6403" t="str">
            <v>70581443</v>
          </cell>
          <cell r="C6403" t="str">
            <v>无品牌 葫芦自动泡泡机 个</v>
          </cell>
          <cell r="D6403">
            <v>387</v>
          </cell>
          <cell r="E6403">
            <v>5479.92</v>
          </cell>
          <cell r="F6403">
            <v>16.000800000000002</v>
          </cell>
        </row>
        <row r="6404">
          <cell r="B6404" t="str">
            <v>70581444</v>
          </cell>
          <cell r="C6404" t="str">
            <v>无品牌 全自动泡泡枪 个</v>
          </cell>
          <cell r="D6404">
            <v>234</v>
          </cell>
          <cell r="E6404">
            <v>4763.08</v>
          </cell>
          <cell r="F6404">
            <v>23.0011982905983</v>
          </cell>
        </row>
        <row r="6405">
          <cell r="B6405" t="str">
            <v>70581446</v>
          </cell>
          <cell r="C6405" t="str">
            <v>无品牌 遥控无人机 个</v>
          </cell>
          <cell r="D6405">
            <v>43</v>
          </cell>
          <cell r="E6405">
            <v>2016.87</v>
          </cell>
          <cell r="F6405">
            <v>53.001467441860498</v>
          </cell>
        </row>
        <row r="6406">
          <cell r="B6406" t="str">
            <v>70581455</v>
          </cell>
          <cell r="C6406" t="str">
            <v>无品牌 迷你特工队声光大人偶 个</v>
          </cell>
          <cell r="D6406">
            <v>14</v>
          </cell>
          <cell r="E6406">
            <v>854.94</v>
          </cell>
          <cell r="F6406">
            <v>69.005871428571396</v>
          </cell>
        </row>
        <row r="6407">
          <cell r="B6407" t="str">
            <v>70581457</v>
          </cell>
          <cell r="C6407" t="str">
            <v>无品牌 飞天泡泡棒 个</v>
          </cell>
          <cell r="D6407">
            <v>59</v>
          </cell>
          <cell r="E6407">
            <v>470.06</v>
          </cell>
          <cell r="F6407">
            <v>9.0028440677966106</v>
          </cell>
        </row>
        <row r="6408">
          <cell r="B6408" t="str">
            <v>70582243</v>
          </cell>
          <cell r="C6408" t="str">
            <v>灵动创想 樱桃小丸子幻想小红帽毛绒盲盒 150G</v>
          </cell>
          <cell r="D6408">
            <v>9</v>
          </cell>
          <cell r="E6408">
            <v>53.37</v>
          </cell>
          <cell r="F6408">
            <v>6.7008999999999999</v>
          </cell>
        </row>
        <row r="6409">
          <cell r="B6409" t="str">
            <v>70582246</v>
          </cell>
          <cell r="C6409" t="str">
            <v>灵动创想 绒小偶名侦探柯南30周年亚克力挂件盲盒 150G</v>
          </cell>
          <cell r="D6409">
            <v>2</v>
          </cell>
          <cell r="E6409">
            <v>26.56</v>
          </cell>
          <cell r="F6409">
            <v>15.006399999999999</v>
          </cell>
        </row>
        <row r="6410">
          <cell r="B6410" t="str">
            <v>70582255</v>
          </cell>
          <cell r="C6410" t="str">
            <v>灵动创想 奥特必杀赛罗奥特曼 150G</v>
          </cell>
          <cell r="D6410">
            <v>14</v>
          </cell>
          <cell r="E6410">
            <v>827.65</v>
          </cell>
          <cell r="F6410">
            <v>66.803178571428603</v>
          </cell>
        </row>
        <row r="6411">
          <cell r="B6411" t="str">
            <v>70582278</v>
          </cell>
          <cell r="C6411" t="str">
            <v>灵动创想 哆啦A梦花语祝福毛绒盲盒 150G</v>
          </cell>
          <cell r="D6411">
            <v>5</v>
          </cell>
          <cell r="E6411">
            <v>158.69</v>
          </cell>
          <cell r="F6411">
            <v>35.863939999999999</v>
          </cell>
        </row>
        <row r="6412">
          <cell r="B6412" t="str">
            <v>70582296</v>
          </cell>
          <cell r="C6412" t="str">
            <v>石榴融媒 独库四季香片（春日小龙池） 个</v>
          </cell>
          <cell r="D6412">
            <v>4</v>
          </cell>
          <cell r="E6412">
            <v>26.55</v>
          </cell>
          <cell r="F6412">
            <v>7.500375</v>
          </cell>
        </row>
        <row r="6413">
          <cell r="B6413" t="str">
            <v>70582300</v>
          </cell>
          <cell r="C6413" t="str">
            <v>石榴融媒 雪豹磁性反光车贴 个</v>
          </cell>
          <cell r="D6413">
            <v>50</v>
          </cell>
          <cell r="E6413">
            <v>442.48</v>
          </cell>
          <cell r="F6413">
            <v>10.000048</v>
          </cell>
        </row>
        <row r="6414">
          <cell r="B6414" t="str">
            <v>70582303</v>
          </cell>
          <cell r="C6414" t="str">
            <v>卡游 叶罗丽-仙境收藏卡-灵犀包第二十六弹 9G</v>
          </cell>
          <cell r="D6414">
            <v>2</v>
          </cell>
          <cell r="E6414">
            <v>2.84</v>
          </cell>
          <cell r="F6414">
            <v>1.6046</v>
          </cell>
        </row>
        <row r="6415">
          <cell r="B6415" t="str">
            <v>70582304</v>
          </cell>
          <cell r="C6415" t="str">
            <v>石榴融媒 雪豹冰箱贴开瓶器 个</v>
          </cell>
          <cell r="D6415">
            <v>4</v>
          </cell>
          <cell r="E6415">
            <v>120.35</v>
          </cell>
          <cell r="F6415">
            <v>33.998874999999998</v>
          </cell>
        </row>
        <row r="6416">
          <cell r="B6416" t="str">
            <v>70582306</v>
          </cell>
          <cell r="C6416" t="str">
            <v>石榴融媒 新疆纹样刺绣棒球帽（藏蓝） 个</v>
          </cell>
          <cell r="D6416">
            <v>9</v>
          </cell>
          <cell r="E6416">
            <v>270.8</v>
          </cell>
          <cell r="F6416">
            <v>34.000444444444398</v>
          </cell>
        </row>
        <row r="6417">
          <cell r="B6417" t="str">
            <v>70582308</v>
          </cell>
          <cell r="C6417" t="str">
            <v>石榴融媒 艾德莱斯花纹毛织包（白） 个</v>
          </cell>
          <cell r="D6417">
            <v>43</v>
          </cell>
          <cell r="E6417">
            <v>1674.34</v>
          </cell>
          <cell r="F6417">
            <v>44.000097674418598</v>
          </cell>
        </row>
        <row r="6418">
          <cell r="B6418" t="str">
            <v>70582314</v>
          </cell>
          <cell r="C6418" t="str">
            <v>石榴融媒 新疆纹样民俗花帽胶片明信片（红花冠） 个</v>
          </cell>
          <cell r="D6418">
            <v>98</v>
          </cell>
          <cell r="E6418">
            <v>867.25</v>
          </cell>
          <cell r="F6418">
            <v>9.9999234693877508</v>
          </cell>
        </row>
        <row r="6419">
          <cell r="B6419" t="str">
            <v>70582318</v>
          </cell>
          <cell r="C6419" t="str">
            <v>石榴融媒 新疆纹样民俗花帽行李牌（红花冠） 个</v>
          </cell>
          <cell r="D6419">
            <v>177</v>
          </cell>
          <cell r="E6419">
            <v>2741.14</v>
          </cell>
          <cell r="F6419">
            <v>17.499933333333299</v>
          </cell>
        </row>
        <row r="6420">
          <cell r="B6420" t="str">
            <v>70582319</v>
          </cell>
          <cell r="C6420" t="str">
            <v>卡游 植物大战僵尸-奇妙自然之旅-超时空历险记第六弹 9G</v>
          </cell>
          <cell r="D6420">
            <v>8</v>
          </cell>
          <cell r="E6420">
            <v>11.36</v>
          </cell>
          <cell r="F6420">
            <v>1.6046</v>
          </cell>
        </row>
        <row r="6421">
          <cell r="B6421" t="str">
            <v>70582322</v>
          </cell>
          <cell r="C6421" t="str">
            <v>石榴融媒 新疆纹样异形明信片 个</v>
          </cell>
          <cell r="D6421">
            <v>192</v>
          </cell>
          <cell r="E6421">
            <v>679.65</v>
          </cell>
          <cell r="F6421">
            <v>4.0000234375000003</v>
          </cell>
        </row>
        <row r="6422">
          <cell r="B6422" t="str">
            <v>70582328</v>
          </cell>
          <cell r="C6422" t="str">
            <v>石榴融媒 独库之旅手绘地图 个</v>
          </cell>
          <cell r="D6422">
            <v>154</v>
          </cell>
          <cell r="E6422">
            <v>3952.21</v>
          </cell>
          <cell r="F6422">
            <v>28.999982467532501</v>
          </cell>
        </row>
        <row r="6423">
          <cell r="B6423" t="str">
            <v>70582333</v>
          </cell>
          <cell r="C6423" t="str">
            <v>卡游 名侦探柯南-名推理收藏卡-觅影包第二弹 9G</v>
          </cell>
          <cell r="D6423">
            <v>7</v>
          </cell>
          <cell r="E6423">
            <v>9.94</v>
          </cell>
          <cell r="F6423">
            <v>1.6046</v>
          </cell>
        </row>
        <row r="6424">
          <cell r="B6424" t="str">
            <v>70582352</v>
          </cell>
          <cell r="C6424" t="str">
            <v>石榴融媒 新疆美食日记明信片（单张） 个</v>
          </cell>
          <cell r="D6424">
            <v>46</v>
          </cell>
          <cell r="E6424">
            <v>81.42</v>
          </cell>
          <cell r="F6424">
            <v>2.0001000000000002</v>
          </cell>
        </row>
        <row r="6425">
          <cell r="B6425" t="str">
            <v>70582353</v>
          </cell>
          <cell r="C6425" t="str">
            <v>石榴融媒 新疆纹样彩色花砖冰箱贴（大黄） 个</v>
          </cell>
          <cell r="D6425">
            <v>157</v>
          </cell>
          <cell r="E6425">
            <v>1389.38</v>
          </cell>
          <cell r="F6425">
            <v>9.9999961783439506</v>
          </cell>
        </row>
        <row r="6426">
          <cell r="B6426" t="str">
            <v>70582356</v>
          </cell>
          <cell r="C6426" t="str">
            <v>石榴融媒 艾德莱斯鼠标垫 个</v>
          </cell>
          <cell r="D6426">
            <v>10</v>
          </cell>
          <cell r="E6426">
            <v>176.99</v>
          </cell>
          <cell r="F6426">
            <v>19.999870000000001</v>
          </cell>
        </row>
        <row r="6427">
          <cell r="B6427" t="str">
            <v>70582359</v>
          </cell>
          <cell r="C6427" t="str">
            <v>石榴融媒 艾德莱斯手账本A6（绿） 个</v>
          </cell>
          <cell r="D6427">
            <v>2</v>
          </cell>
          <cell r="E6427">
            <v>86.73</v>
          </cell>
          <cell r="F6427">
            <v>49.002450000000003</v>
          </cell>
        </row>
        <row r="6428">
          <cell r="B6428" t="str">
            <v>70582360</v>
          </cell>
          <cell r="C6428" t="str">
            <v>石榴融媒 艾德莱斯布艺冰箱贴 个</v>
          </cell>
          <cell r="D6428">
            <v>174</v>
          </cell>
          <cell r="E6428">
            <v>1539.83</v>
          </cell>
          <cell r="F6428">
            <v>10.000045402298801</v>
          </cell>
        </row>
        <row r="6429">
          <cell r="B6429" t="str">
            <v>70582375</v>
          </cell>
          <cell r="C6429" t="str">
            <v>石榴融媒 独库树脂冰箱贴（库车大峡谷） 个</v>
          </cell>
          <cell r="D6429">
            <v>119</v>
          </cell>
          <cell r="E6429">
            <v>1316.37</v>
          </cell>
          <cell r="F6429">
            <v>12.4999840336134</v>
          </cell>
        </row>
        <row r="6430">
          <cell r="B6430" t="str">
            <v>70582376</v>
          </cell>
          <cell r="C6430" t="str">
            <v>石榴融媒 新疆纹样针织手腕包（绿色） 个</v>
          </cell>
          <cell r="D6430">
            <v>83</v>
          </cell>
          <cell r="E6430">
            <v>2130.09</v>
          </cell>
          <cell r="F6430">
            <v>29.000020481927699</v>
          </cell>
        </row>
        <row r="6431">
          <cell r="B6431" t="str">
            <v>70582377</v>
          </cell>
          <cell r="C6431" t="str">
            <v>石榴融媒 大巴扎明信片（单张） 个</v>
          </cell>
          <cell r="D6431">
            <v>51</v>
          </cell>
          <cell r="E6431">
            <v>180.53</v>
          </cell>
          <cell r="F6431">
            <v>3.9999784313725502</v>
          </cell>
        </row>
        <row r="6432">
          <cell r="B6432" t="str">
            <v>70582378</v>
          </cell>
          <cell r="C6432" t="str">
            <v>石榴融媒 新疆纹样陶瓷浮雕杯垫（深蓝） 个</v>
          </cell>
          <cell r="D6432">
            <v>68</v>
          </cell>
          <cell r="E6432">
            <v>902.65</v>
          </cell>
          <cell r="F6432">
            <v>14.999919117647099</v>
          </cell>
        </row>
        <row r="6433">
          <cell r="B6433" t="str">
            <v>70582379</v>
          </cell>
          <cell r="C6433" t="str">
            <v>石榴融媒 新疆纹样地毯（绿咖） 个</v>
          </cell>
          <cell r="D6433">
            <v>5</v>
          </cell>
          <cell r="E6433">
            <v>150.44</v>
          </cell>
          <cell r="F6433">
            <v>33.99944</v>
          </cell>
        </row>
        <row r="6434">
          <cell r="B6434" t="str">
            <v>70582380</v>
          </cell>
          <cell r="C6434" t="str">
            <v>石榴融媒 新疆纹样披肩（橘绿） 个</v>
          </cell>
          <cell r="D6434">
            <v>18</v>
          </cell>
          <cell r="E6434">
            <v>1576.99</v>
          </cell>
          <cell r="F6434">
            <v>98.999927777777799</v>
          </cell>
        </row>
        <row r="6435">
          <cell r="B6435" t="str">
            <v>70582385</v>
          </cell>
          <cell r="C6435" t="str">
            <v>石榴融媒 独库四季徽章冰箱贴 个</v>
          </cell>
          <cell r="D6435">
            <v>18</v>
          </cell>
          <cell r="E6435">
            <v>278.76</v>
          </cell>
          <cell r="F6435">
            <v>17.499933333333299</v>
          </cell>
        </row>
        <row r="6436">
          <cell r="B6436" t="str">
            <v>70582386</v>
          </cell>
          <cell r="C6436" t="str">
            <v>石榴融媒 独库之旅邮票景点木质冰箱贴 个</v>
          </cell>
          <cell r="D6436">
            <v>52</v>
          </cell>
          <cell r="E6436">
            <v>690.26</v>
          </cell>
          <cell r="F6436">
            <v>14.999880769230799</v>
          </cell>
        </row>
        <row r="6437">
          <cell r="B6437" t="str">
            <v>70582392</v>
          </cell>
          <cell r="C6437" t="str">
            <v>石榴融媒 亚克力组合冰箱贴 个</v>
          </cell>
          <cell r="D6437">
            <v>51</v>
          </cell>
          <cell r="E6437">
            <v>676.99</v>
          </cell>
          <cell r="F6437">
            <v>14.9999745098039</v>
          </cell>
        </row>
        <row r="6438">
          <cell r="B6438" t="str">
            <v>70582428</v>
          </cell>
          <cell r="C6438" t="str">
            <v>灵动创想 绒串串蜡笔小新迷你收纳包毛绒盲盒 150G</v>
          </cell>
          <cell r="D6438">
            <v>50</v>
          </cell>
          <cell r="E6438">
            <v>1297.48</v>
          </cell>
          <cell r="F6438">
            <v>29.323048</v>
          </cell>
        </row>
        <row r="6439">
          <cell r="B6439" t="str">
            <v>70582429</v>
          </cell>
          <cell r="C6439" t="str">
            <v>灵动创想 蜡笔小新萌崽毛绒挎包盲盒 150G</v>
          </cell>
          <cell r="D6439">
            <v>3</v>
          </cell>
          <cell r="E6439">
            <v>127.17</v>
          </cell>
          <cell r="F6439">
            <v>47.900700000000001</v>
          </cell>
        </row>
        <row r="6440">
          <cell r="B6440" t="str">
            <v>70582430</v>
          </cell>
          <cell r="C6440" t="str">
            <v>灵动创想 蜡笔小新搪小偶S幻想小新 150G</v>
          </cell>
          <cell r="D6440">
            <v>31</v>
          </cell>
          <cell r="E6440">
            <v>1421.1</v>
          </cell>
          <cell r="F6440">
            <v>51.801387096774199</v>
          </cell>
        </row>
        <row r="6441">
          <cell r="B6441" t="str">
            <v>70582431</v>
          </cell>
          <cell r="C6441" t="str">
            <v>灵动创想 搪小偶M蜡笔小新牧场物语 150G</v>
          </cell>
          <cell r="D6441">
            <v>1</v>
          </cell>
          <cell r="E6441">
            <v>59.12</v>
          </cell>
          <cell r="F6441">
            <v>66.805599999999998</v>
          </cell>
        </row>
        <row r="6442">
          <cell r="B6442" t="str">
            <v>70582432</v>
          </cell>
          <cell r="C6442" t="str">
            <v>灵动创想 音团团初音未来毛绒盲盒 150G</v>
          </cell>
          <cell r="D6442">
            <v>10</v>
          </cell>
          <cell r="E6442">
            <v>391.18</v>
          </cell>
          <cell r="F6442">
            <v>44.203339999999997</v>
          </cell>
        </row>
        <row r="6443">
          <cell r="B6443" t="str">
            <v>70582434</v>
          </cell>
          <cell r="C6443" t="str">
            <v>灵动创想 芽豆豆《哪吒之魔童闹海》毛绒盲盒 150G</v>
          </cell>
          <cell r="D6443">
            <v>11</v>
          </cell>
          <cell r="E6443">
            <v>430.32</v>
          </cell>
          <cell r="F6443">
            <v>44.205599999999997</v>
          </cell>
        </row>
        <row r="6444">
          <cell r="B6444" t="str">
            <v>70582435</v>
          </cell>
          <cell r="C6444" t="str">
            <v>灵动创想 奥特必杀布莱泽奥特曼 150G</v>
          </cell>
          <cell r="D6444">
            <v>1</v>
          </cell>
          <cell r="E6444">
            <v>59.12</v>
          </cell>
          <cell r="F6444">
            <v>66.805599999999998</v>
          </cell>
        </row>
        <row r="6445">
          <cell r="B6445" t="str">
            <v>70582436</v>
          </cell>
          <cell r="C6445" t="str">
            <v>灵动创想 奥特必杀特利迦奥特曼（复合型） 150G</v>
          </cell>
          <cell r="D6445">
            <v>17</v>
          </cell>
          <cell r="E6445">
            <v>1004.99</v>
          </cell>
          <cell r="F6445">
            <v>66.802276470588197</v>
          </cell>
        </row>
        <row r="6446">
          <cell r="B6446" t="str">
            <v>70582856</v>
          </cell>
          <cell r="C6446" t="str">
            <v>无品牌 新疆特色编织袋（中号） 个</v>
          </cell>
          <cell r="D6446">
            <v>937</v>
          </cell>
          <cell r="E6446">
            <v>2031.59</v>
          </cell>
          <cell r="F6446">
            <v>2.45004983991462</v>
          </cell>
        </row>
        <row r="6447">
          <cell r="B6447" t="str">
            <v>70582862</v>
          </cell>
          <cell r="C6447" t="str">
            <v>无品牌 新疆特色编织袋（大号） 个</v>
          </cell>
          <cell r="D6447">
            <v>16331</v>
          </cell>
          <cell r="E6447">
            <v>37576.67</v>
          </cell>
          <cell r="F6447">
            <v>2.6000635049905099</v>
          </cell>
        </row>
        <row r="6448">
          <cell r="B6448" t="str">
            <v>70594697</v>
          </cell>
          <cell r="C6448" t="str">
            <v>西部范 馕钥匙扣 100G</v>
          </cell>
          <cell r="D6448">
            <v>177</v>
          </cell>
          <cell r="E6448">
            <v>924.22</v>
          </cell>
          <cell r="F6448">
            <v>5.9003875706214703</v>
          </cell>
        </row>
        <row r="6449">
          <cell r="B6449" t="str">
            <v>70594698</v>
          </cell>
          <cell r="C6449" t="str">
            <v>西部范 25CM骆驼绵羊公仔 150G</v>
          </cell>
          <cell r="D6449">
            <v>9</v>
          </cell>
          <cell r="E6449">
            <v>67.7</v>
          </cell>
          <cell r="F6449">
            <v>8.5001111111111101</v>
          </cell>
        </row>
        <row r="6450">
          <cell r="B6450" t="str">
            <v>70594699</v>
          </cell>
          <cell r="C6450" t="str">
            <v>西部范 15CM骆驼公仔 100G</v>
          </cell>
          <cell r="D6450">
            <v>9</v>
          </cell>
          <cell r="E6450">
            <v>91.6</v>
          </cell>
          <cell r="F6450">
            <v>11.5008888888889</v>
          </cell>
        </row>
        <row r="6451">
          <cell r="B6451" t="str">
            <v>70594700</v>
          </cell>
          <cell r="C6451" t="str">
            <v>西部范 艾德莱斯多规格单肩背包 450G</v>
          </cell>
          <cell r="D6451">
            <v>194</v>
          </cell>
          <cell r="E6451">
            <v>4257.82</v>
          </cell>
          <cell r="F6451">
            <v>24.800704123711299</v>
          </cell>
        </row>
        <row r="6452">
          <cell r="B6452" t="str">
            <v>70638355</v>
          </cell>
          <cell r="C6452" t="str">
            <v>超耀 家用蓝牙智能称 盒</v>
          </cell>
          <cell r="D6452">
            <v>4266</v>
          </cell>
          <cell r="E6452">
            <v>205749.78</v>
          </cell>
          <cell r="F6452">
            <v>54.500058931082997</v>
          </cell>
        </row>
        <row r="6453">
          <cell r="B6453" t="str">
            <v>70640176</v>
          </cell>
          <cell r="C6453" t="str">
            <v>星宇 家用乳胶手套Y958-M 1副装</v>
          </cell>
          <cell r="D6453">
            <v>158</v>
          </cell>
          <cell r="E6453">
            <v>820.12</v>
          </cell>
          <cell r="F6453">
            <v>5.8654151898734197</v>
          </cell>
        </row>
        <row r="6454">
          <cell r="B6454" t="str">
            <v>70640187</v>
          </cell>
          <cell r="C6454" t="str">
            <v>星宇 家用乳胶手套Y958-L 1副装</v>
          </cell>
          <cell r="D6454">
            <v>122</v>
          </cell>
          <cell r="E6454">
            <v>634.70000000000005</v>
          </cell>
          <cell r="F6454">
            <v>5.8787786885245898</v>
          </cell>
        </row>
        <row r="6455">
          <cell r="B6455" t="str">
            <v>70640453</v>
          </cell>
          <cell r="C6455" t="str">
            <v>妙洁 银丝抹布 23CM</v>
          </cell>
          <cell r="D6455">
            <v>562</v>
          </cell>
          <cell r="E6455">
            <v>2737.29</v>
          </cell>
          <cell r="F6455">
            <v>5.5038037366547998</v>
          </cell>
        </row>
        <row r="6456">
          <cell r="B6456" t="str">
            <v>70640454</v>
          </cell>
          <cell r="C6456" t="str">
            <v>七匹狼 男士休闲袜 28CM</v>
          </cell>
          <cell r="D6456">
            <v>1283</v>
          </cell>
          <cell r="E6456">
            <v>5022.6499999999996</v>
          </cell>
          <cell r="F6456">
            <v>4.4236901792673402</v>
          </cell>
        </row>
        <row r="6457">
          <cell r="B6457" t="str">
            <v>70640457</v>
          </cell>
          <cell r="C6457" t="str">
            <v>七匹狼 男士抗菌休闲袜 28CM</v>
          </cell>
          <cell r="D6457">
            <v>972</v>
          </cell>
          <cell r="E6457">
            <v>4155.53</v>
          </cell>
          <cell r="F6457">
            <v>4.83101738683128</v>
          </cell>
        </row>
        <row r="6458">
          <cell r="B6458" t="str">
            <v>70640473</v>
          </cell>
          <cell r="C6458" t="str">
            <v>妙洁 一次性塑杯 210ML</v>
          </cell>
          <cell r="D6458">
            <v>786</v>
          </cell>
          <cell r="E6458">
            <v>2298.7199999999998</v>
          </cell>
          <cell r="F6458">
            <v>3.3047755725190799</v>
          </cell>
        </row>
        <row r="6459">
          <cell r="B6459" t="str">
            <v>70640537</v>
          </cell>
          <cell r="C6459" t="str">
            <v>全棉时代 一体式次抛单人睡袋平纹45G 130*200CM（单人） 1件/包</v>
          </cell>
          <cell r="D6459">
            <v>4</v>
          </cell>
          <cell r="E6459">
            <v>151.91999999999999</v>
          </cell>
          <cell r="F6459">
            <v>42.917400000000001</v>
          </cell>
        </row>
        <row r="6460">
          <cell r="B6460" t="str">
            <v>70640541</v>
          </cell>
          <cell r="C6460" t="str">
            <v>星宇 点珠防滑手套BDL-126 3副装</v>
          </cell>
          <cell r="D6460">
            <v>50</v>
          </cell>
          <cell r="E6460">
            <v>307.85000000000002</v>
          </cell>
          <cell r="F6460">
            <v>6.9574100000000003</v>
          </cell>
        </row>
        <row r="6461">
          <cell r="B6461" t="str">
            <v>70640542</v>
          </cell>
          <cell r="C6461" t="str">
            <v>星宇 精品线手套BDL-130 5副装</v>
          </cell>
          <cell r="D6461">
            <v>40</v>
          </cell>
          <cell r="E6461">
            <v>279.51</v>
          </cell>
          <cell r="F6461">
            <v>7.8961575000000002</v>
          </cell>
        </row>
        <row r="6462">
          <cell r="B6462" t="str">
            <v>70641568</v>
          </cell>
          <cell r="C6462" t="str">
            <v>广美达 双开门合金车 150G</v>
          </cell>
          <cell r="D6462">
            <v>23</v>
          </cell>
          <cell r="E6462">
            <v>301.3</v>
          </cell>
          <cell r="F6462">
            <v>14.803000000000001</v>
          </cell>
        </row>
        <row r="6463">
          <cell r="B6463" t="str">
            <v>70641572</v>
          </cell>
          <cell r="C6463" t="str">
            <v>星梦绒宠 （小熊、小绒兔、项圈狗） 150G</v>
          </cell>
          <cell r="D6463">
            <v>8</v>
          </cell>
          <cell r="E6463">
            <v>135.94999999999999</v>
          </cell>
          <cell r="F6463">
            <v>19.202937500000001</v>
          </cell>
        </row>
        <row r="6464">
          <cell r="B6464" t="str">
            <v>70641574</v>
          </cell>
          <cell r="C6464" t="str">
            <v>星梦绒宠 （多彩兔、裙装兔、宠物狗） 150G</v>
          </cell>
          <cell r="D6464">
            <v>24</v>
          </cell>
          <cell r="E6464">
            <v>407.79</v>
          </cell>
          <cell r="F6464">
            <v>19.200112499999999</v>
          </cell>
        </row>
        <row r="6465">
          <cell r="B6465" t="str">
            <v>70656767</v>
          </cell>
          <cell r="C6465" t="str">
            <v>奔跑的它 猫用鸡肉主食罐 85G</v>
          </cell>
          <cell r="D6465">
            <v>570</v>
          </cell>
          <cell r="E6465">
            <v>2329.5700000000002</v>
          </cell>
          <cell r="F6465">
            <v>4.6182703508771903</v>
          </cell>
        </row>
        <row r="6466">
          <cell r="B6466" t="str">
            <v>70656768</v>
          </cell>
          <cell r="C6466" t="str">
            <v>奔跑的它 宠物零食冻干鸡肉粒 100G</v>
          </cell>
          <cell r="D6466">
            <v>360</v>
          </cell>
          <cell r="E6466">
            <v>4247.53</v>
          </cell>
          <cell r="F6466">
            <v>13.3325247222222</v>
          </cell>
        </row>
        <row r="6467">
          <cell r="B6467" t="str">
            <v>70656769</v>
          </cell>
          <cell r="C6467" t="str">
            <v>奔跑的它 猫用金枪鱼浓汤零食罐 85G</v>
          </cell>
          <cell r="D6467">
            <v>588</v>
          </cell>
          <cell r="E6467">
            <v>2439.14</v>
          </cell>
          <cell r="F6467">
            <v>4.6874629251700703</v>
          </cell>
        </row>
        <row r="6468">
          <cell r="B6468" t="str">
            <v>70657127</v>
          </cell>
          <cell r="C6468" t="str">
            <v>奔跑的它 犬用牛肉主食罐 400G</v>
          </cell>
          <cell r="D6468">
            <v>381</v>
          </cell>
          <cell r="E6468">
            <v>2362.9499999999998</v>
          </cell>
          <cell r="F6468">
            <v>7.00822440944882</v>
          </cell>
        </row>
        <row r="6469">
          <cell r="B6469" t="str">
            <v>70657275</v>
          </cell>
          <cell r="C6469" t="str">
            <v>奔跑的它 全价全期鸡肉猫粮 1.5KG</v>
          </cell>
          <cell r="D6469">
            <v>193</v>
          </cell>
          <cell r="E6469">
            <v>13375.46</v>
          </cell>
          <cell r="F6469">
            <v>78.312278756476701</v>
          </cell>
        </row>
        <row r="6470">
          <cell r="B6470" t="str">
            <v>70657276</v>
          </cell>
          <cell r="C6470" t="str">
            <v>奔跑的它 猫用鸭丝浓汤零食罐 85G</v>
          </cell>
          <cell r="D6470">
            <v>658</v>
          </cell>
          <cell r="E6470">
            <v>2649.72</v>
          </cell>
          <cell r="F6470">
            <v>4.5504310030395096</v>
          </cell>
        </row>
        <row r="6471">
          <cell r="B6471" t="str">
            <v>70657279</v>
          </cell>
          <cell r="C6471" t="str">
            <v>奔跑的它 全价全期鸭肉梨犬粮 1.5KG</v>
          </cell>
          <cell r="D6471">
            <v>159</v>
          </cell>
          <cell r="E6471">
            <v>9983.4599999999991</v>
          </cell>
          <cell r="F6471">
            <v>70.951633962264097</v>
          </cell>
        </row>
        <row r="6472">
          <cell r="B6472" t="str">
            <v>70657330</v>
          </cell>
          <cell r="C6472" t="str">
            <v>奔跑的它 宠物零食冻干磷虾 100G</v>
          </cell>
          <cell r="D6472">
            <v>405</v>
          </cell>
          <cell r="E6472">
            <v>5045.97</v>
          </cell>
          <cell r="F6472">
            <v>14.078879259259301</v>
          </cell>
        </row>
        <row r="6473">
          <cell r="B6473" t="str">
            <v>70657331</v>
          </cell>
          <cell r="C6473" t="str">
            <v>奔跑的它 犬用鸡肉主食罐 400G</v>
          </cell>
          <cell r="D6473">
            <v>397</v>
          </cell>
          <cell r="E6473">
            <v>2462.17</v>
          </cell>
          <cell r="F6473">
            <v>7.0081916876574297</v>
          </cell>
        </row>
        <row r="6474">
          <cell r="B6474" t="str">
            <v>70657332</v>
          </cell>
          <cell r="C6474" t="str">
            <v>奔跑的它 猫用三文鱼主食罐 85G</v>
          </cell>
          <cell r="D6474">
            <v>551</v>
          </cell>
          <cell r="E6474">
            <v>2211.64</v>
          </cell>
          <cell r="F6474">
            <v>4.5356682395644299</v>
          </cell>
        </row>
        <row r="6475">
          <cell r="B6475" t="str">
            <v>70657931</v>
          </cell>
          <cell r="C6475" t="str">
            <v>优护星 线手套 800克</v>
          </cell>
          <cell r="D6475">
            <v>97605</v>
          </cell>
          <cell r="E6475">
            <v>104947.22</v>
          </cell>
          <cell r="F6475">
            <v>1.21500290558885</v>
          </cell>
        </row>
        <row r="6476">
          <cell r="B6476" t="str">
            <v>70657932</v>
          </cell>
          <cell r="C6476" t="str">
            <v>优护星 线手套 450克</v>
          </cell>
          <cell r="D6476">
            <v>60684</v>
          </cell>
          <cell r="E6476">
            <v>41914.129999999997</v>
          </cell>
          <cell r="F6476">
            <v>0.78048524981873302</v>
          </cell>
        </row>
        <row r="6477">
          <cell r="B6477" t="str">
            <v>70657936</v>
          </cell>
          <cell r="C6477" t="str">
            <v>优护星 线手套 1000克</v>
          </cell>
          <cell r="D6477">
            <v>8472</v>
          </cell>
          <cell r="E6477">
            <v>12830.92</v>
          </cell>
          <cell r="F6477">
            <v>1.71139513692162</v>
          </cell>
        </row>
        <row r="6478">
          <cell r="B6478" t="str">
            <v>70658518</v>
          </cell>
          <cell r="C6478" t="str">
            <v>奔跑的它 宠物零食冻干混合 100G</v>
          </cell>
          <cell r="D6478">
            <v>398</v>
          </cell>
          <cell r="E6478">
            <v>3812.2</v>
          </cell>
          <cell r="F6478">
            <v>10.823582914572899</v>
          </cell>
        </row>
        <row r="6479">
          <cell r="B6479" t="str">
            <v>70674288</v>
          </cell>
          <cell r="C6479" t="str">
            <v>新疆销售 家庭养护礼盒A 箱</v>
          </cell>
          <cell r="D6479">
            <v>6926</v>
          </cell>
          <cell r="E6479">
            <v>435593.6</v>
          </cell>
          <cell r="F6479">
            <v>71.068548657233606</v>
          </cell>
        </row>
        <row r="6480">
          <cell r="B6480" t="str">
            <v>70679221</v>
          </cell>
          <cell r="C6480" t="str">
            <v>昍图 车载加热垫子 个</v>
          </cell>
          <cell r="D6480">
            <v>478</v>
          </cell>
          <cell r="E6480">
            <v>9729.77</v>
          </cell>
          <cell r="F6480">
            <v>23.001339121338901</v>
          </cell>
        </row>
        <row r="6481">
          <cell r="B6481" t="str">
            <v>70679222</v>
          </cell>
          <cell r="C6481" t="str">
            <v>昍图 保暖手套 双</v>
          </cell>
          <cell r="D6481">
            <v>456</v>
          </cell>
          <cell r="E6481">
            <v>8474.93</v>
          </cell>
          <cell r="F6481">
            <v>21.001471271929798</v>
          </cell>
        </row>
        <row r="6482">
          <cell r="B6482" t="str">
            <v>70683391</v>
          </cell>
          <cell r="C6482" t="str">
            <v>昆仑好客 光降解塑料袋 550MM</v>
          </cell>
          <cell r="D6482">
            <v>357988</v>
          </cell>
          <cell r="E6482">
            <v>72823.320000000007</v>
          </cell>
          <cell r="F6482">
            <v>0.229869022425333</v>
          </cell>
        </row>
        <row r="6483">
          <cell r="B6483" t="str">
            <v>70683392</v>
          </cell>
          <cell r="C6483" t="str">
            <v>昆仑好客 光降解塑料袋 480MM</v>
          </cell>
          <cell r="D6483">
            <v>1600697</v>
          </cell>
          <cell r="E6483">
            <v>282746.86</v>
          </cell>
          <cell r="F6483">
            <v>0.19960301781036599</v>
          </cell>
        </row>
        <row r="6484">
          <cell r="B6484" t="str">
            <v>70688861</v>
          </cell>
          <cell r="C6484" t="str">
            <v>笑脸牌 购物袋 1个</v>
          </cell>
          <cell r="D6484">
            <v>1051</v>
          </cell>
          <cell r="E6484">
            <v>232.81</v>
          </cell>
          <cell r="F6484">
            <v>0.25030951474785901</v>
          </cell>
        </row>
        <row r="6485">
          <cell r="B6485" t="str">
            <v>70713730</v>
          </cell>
          <cell r="C6485" t="str">
            <v>塔城 文创俄罗斯套娃 小号</v>
          </cell>
          <cell r="D6485">
            <v>1</v>
          </cell>
          <cell r="E6485">
            <v>53.1</v>
          </cell>
          <cell r="F6485">
            <v>60.003</v>
          </cell>
        </row>
        <row r="6486">
          <cell r="B6486" t="str">
            <v>70713732</v>
          </cell>
          <cell r="C6486" t="str">
            <v>塔城 文创俄罗斯套娃 中号</v>
          </cell>
          <cell r="D6486">
            <v>3</v>
          </cell>
          <cell r="E6486">
            <v>265.49</v>
          </cell>
          <cell r="F6486">
            <v>100.001233333333</v>
          </cell>
        </row>
        <row r="6487">
          <cell r="B6487" t="str">
            <v>75000590</v>
          </cell>
          <cell r="C6487" t="str">
            <v>中国石油昆仑加油卡虎年特别纪念版-套卡册</v>
          </cell>
          <cell r="D6487">
            <v>85</v>
          </cell>
          <cell r="E6487">
            <v>5664.2</v>
          </cell>
          <cell r="F6487">
            <v>75.300541176470603</v>
          </cell>
        </row>
        <row r="6488">
          <cell r="B6488" t="str">
            <v>75000591</v>
          </cell>
          <cell r="C6488" t="str">
            <v>中国石油昆仑加油卡虎年特别纪念版-花开富贵单卡册</v>
          </cell>
          <cell r="D6488">
            <v>1037</v>
          </cell>
          <cell r="E6488">
            <v>13747.43</v>
          </cell>
          <cell r="F6488">
            <v>14.980323915139801</v>
          </cell>
        </row>
        <row r="6489">
          <cell r="B6489" t="str">
            <v>75000592</v>
          </cell>
          <cell r="C6489" t="str">
            <v>中国石油昆仑加油卡虎年特别纪念版-事业有成单卡册</v>
          </cell>
          <cell r="D6489">
            <v>661</v>
          </cell>
          <cell r="E6489">
            <v>9535.11</v>
          </cell>
          <cell r="F6489">
            <v>16.300566263237499</v>
          </cell>
        </row>
        <row r="6490">
          <cell r="B6490" t="str">
            <v>70009569</v>
          </cell>
          <cell r="C6490" t="str">
            <v>雕牌 超能天然皂粉 360G</v>
          </cell>
          <cell r="D6490">
            <v>6</v>
          </cell>
          <cell r="E6490">
            <v>27.18</v>
          </cell>
          <cell r="F6490">
            <v>5.1189</v>
          </cell>
        </row>
        <row r="6491">
          <cell r="B6491" t="str">
            <v>70009570</v>
          </cell>
          <cell r="C6491" t="str">
            <v>超能 天然皂粉 680G</v>
          </cell>
          <cell r="D6491">
            <v>189</v>
          </cell>
          <cell r="E6491">
            <v>1557.09</v>
          </cell>
          <cell r="F6491">
            <v>9.3095857142857099</v>
          </cell>
        </row>
        <row r="6492">
          <cell r="B6492" t="str">
            <v>70013610</v>
          </cell>
          <cell r="C6492" t="str">
            <v>汰渍 净白去渍升级洗衣粉 1.15千克 </v>
          </cell>
          <cell r="D6492">
            <v>5061</v>
          </cell>
          <cell r="E6492">
            <v>41669.85</v>
          </cell>
          <cell r="F6492">
            <v>9.3038787788974506</v>
          </cell>
        </row>
        <row r="6493">
          <cell r="B6493" t="str">
            <v>70013617</v>
          </cell>
          <cell r="C6493" t="str">
            <v>碧浪 专研抗菌洁净除螨洗衣粉清雅茉莉 1.41KG</v>
          </cell>
          <cell r="D6493">
            <v>3501</v>
          </cell>
          <cell r="E6493">
            <v>53479.43</v>
          </cell>
          <cell r="F6493">
            <v>17.261284175949701</v>
          </cell>
        </row>
        <row r="6494">
          <cell r="B6494" t="str">
            <v>70017559</v>
          </cell>
          <cell r="C6494" t="str">
            <v>金纺 衣物柔顺剂清新柔顺 2L</v>
          </cell>
          <cell r="D6494">
            <v>1551</v>
          </cell>
          <cell r="E6494">
            <v>31927.91</v>
          </cell>
          <cell r="F6494">
            <v>23.261468923275299</v>
          </cell>
        </row>
        <row r="6495">
          <cell r="B6495" t="str">
            <v>70017561</v>
          </cell>
          <cell r="C6495" t="str">
            <v>金纺 怡神薰衣草衣物护理剂 2L</v>
          </cell>
          <cell r="D6495">
            <v>760</v>
          </cell>
          <cell r="E6495">
            <v>15632.49</v>
          </cell>
          <cell r="F6495">
            <v>23.2430443421053</v>
          </cell>
        </row>
        <row r="6496">
          <cell r="B6496" t="str">
            <v>70021292</v>
          </cell>
          <cell r="C6496" t="str">
            <v>立白 金桔洗洁精 500G</v>
          </cell>
          <cell r="D6496">
            <v>2050</v>
          </cell>
          <cell r="E6496">
            <v>7399.21</v>
          </cell>
          <cell r="F6496">
            <v>4.0785889268292701</v>
          </cell>
        </row>
        <row r="6497">
          <cell r="B6497" t="str">
            <v>70021298</v>
          </cell>
          <cell r="C6497" t="str">
            <v>超威 无烟艾草清香蚊香 180G</v>
          </cell>
          <cell r="D6497">
            <v>250</v>
          </cell>
          <cell r="E6497">
            <v>748.03</v>
          </cell>
          <cell r="F6497">
            <v>3.3810956000000001</v>
          </cell>
        </row>
        <row r="6498">
          <cell r="B6498" t="str">
            <v>70024854</v>
          </cell>
          <cell r="C6498" t="str">
            <v>斧头衣物柔顺剂(百合) 3l</v>
          </cell>
          <cell r="D6498">
            <v>558</v>
          </cell>
          <cell r="E6498">
            <v>13955.78</v>
          </cell>
          <cell r="F6498">
            <v>28.261705017921098</v>
          </cell>
        </row>
        <row r="6499">
          <cell r="B6499" t="str">
            <v>70024856</v>
          </cell>
          <cell r="C6499" t="str">
            <v>斧头 柠檬洗洁精(泵＋补) 1.3kg</v>
          </cell>
          <cell r="D6499">
            <v>2300</v>
          </cell>
          <cell r="E6499">
            <v>75127.289999999994</v>
          </cell>
          <cell r="F6499">
            <v>36.910364217391297</v>
          </cell>
        </row>
        <row r="6500">
          <cell r="B6500" t="str">
            <v>70024860</v>
          </cell>
          <cell r="C6500" t="str">
            <v>斧头 除菌洗衣液 2l</v>
          </cell>
          <cell r="D6500">
            <v>1766</v>
          </cell>
          <cell r="E6500">
            <v>58925.760000000002</v>
          </cell>
          <cell r="F6500">
            <v>37.704478369195897</v>
          </cell>
        </row>
        <row r="6501">
          <cell r="B6501" t="str">
            <v>70024861</v>
          </cell>
          <cell r="C6501" t="str">
            <v>斧头 地板清洁剂(柠檬) 2l</v>
          </cell>
          <cell r="D6501">
            <v>1</v>
          </cell>
          <cell r="E6501">
            <v>29.26</v>
          </cell>
          <cell r="F6501">
            <v>33.063800000000001</v>
          </cell>
        </row>
        <row r="6502">
          <cell r="B6502" t="str">
            <v>70026674</v>
          </cell>
          <cell r="C6502" t="str">
            <v>汰渍 全效360度三重功效洗衣皂 218克X2</v>
          </cell>
          <cell r="D6502">
            <v>17</v>
          </cell>
          <cell r="E6502">
            <v>155.58000000000001</v>
          </cell>
          <cell r="F6502">
            <v>10.3414941176471</v>
          </cell>
        </row>
        <row r="6503">
          <cell r="B6503" t="str">
            <v>70027445</v>
          </cell>
          <cell r="C6503" t="str">
            <v>绿伞强力厕洁500g×2</v>
          </cell>
          <cell r="D6503">
            <v>948</v>
          </cell>
          <cell r="E6503">
            <v>11850.13</v>
          </cell>
          <cell r="F6503">
            <v>14.125154957805901</v>
          </cell>
        </row>
        <row r="6504">
          <cell r="B6504" t="str">
            <v>70030426</v>
          </cell>
          <cell r="C6504" t="str">
            <v>金纺 清新柔顺护理剂 1L</v>
          </cell>
          <cell r="D6504">
            <v>1199</v>
          </cell>
          <cell r="E6504">
            <v>13321.91</v>
          </cell>
          <cell r="F6504">
            <v>12.555261301084199</v>
          </cell>
        </row>
        <row r="6505">
          <cell r="B6505" t="str">
            <v>70030427</v>
          </cell>
          <cell r="C6505" t="str">
            <v>金纺 怡神熏衣草护理剂 1L</v>
          </cell>
          <cell r="D6505">
            <v>331</v>
          </cell>
          <cell r="E6505">
            <v>3976.74</v>
          </cell>
          <cell r="F6505">
            <v>13.5761818731118</v>
          </cell>
        </row>
        <row r="6506">
          <cell r="B6506" t="str">
            <v>70030816</v>
          </cell>
          <cell r="C6506" t="str">
            <v>汰渍 净白去渍升级洗衣粉 2.55千克</v>
          </cell>
          <cell r="D6506">
            <v>99</v>
          </cell>
          <cell r="E6506">
            <v>1872.46</v>
          </cell>
          <cell r="F6506">
            <v>21.3725232323232</v>
          </cell>
        </row>
        <row r="6507">
          <cell r="B6507" t="str">
            <v>70031797</v>
          </cell>
          <cell r="C6507" t="str">
            <v>妙洁 棉柔抹布 3片装</v>
          </cell>
          <cell r="D6507">
            <v>678</v>
          </cell>
          <cell r="E6507">
            <v>3964.53</v>
          </cell>
          <cell r="F6507">
            <v>6.6075499999999998</v>
          </cell>
        </row>
        <row r="6508">
          <cell r="B6508" t="str">
            <v>70035486</v>
          </cell>
          <cell r="C6508" t="str">
            <v>蓝月亮 衣物柔顺剂 2KG</v>
          </cell>
          <cell r="D6508">
            <v>32</v>
          </cell>
          <cell r="E6508">
            <v>450.57</v>
          </cell>
          <cell r="F6508">
            <v>15.910753124999999</v>
          </cell>
        </row>
        <row r="6509">
          <cell r="B6509" t="str">
            <v>70042931</v>
          </cell>
          <cell r="C6509" t="str">
            <v>立白 全自动浓缩无磷型洗衣粉 1.8千克/桶</v>
          </cell>
          <cell r="D6509">
            <v>1180</v>
          </cell>
          <cell r="E6509">
            <v>36326.39</v>
          </cell>
          <cell r="F6509">
            <v>34.787136186440698</v>
          </cell>
        </row>
        <row r="6510">
          <cell r="B6510" t="str">
            <v>70044121</v>
          </cell>
          <cell r="C6510" t="str">
            <v>蓝月亮油污克星 500g+500g</v>
          </cell>
          <cell r="D6510">
            <v>678</v>
          </cell>
          <cell r="E6510">
            <v>12727.19</v>
          </cell>
          <cell r="F6510">
            <v>21.211983333333301</v>
          </cell>
        </row>
        <row r="6511">
          <cell r="B6511" t="str">
            <v>70044122</v>
          </cell>
          <cell r="C6511" t="str">
            <v>蓝月亮 自然清香深层洁净护理洗衣液2kg</v>
          </cell>
          <cell r="D6511">
            <v>1160</v>
          </cell>
          <cell r="E6511">
            <v>27006.6</v>
          </cell>
          <cell r="F6511">
            <v>26.308153448275899</v>
          </cell>
        </row>
        <row r="6512">
          <cell r="B6512" t="str">
            <v>70044811</v>
          </cell>
          <cell r="C6512" t="str">
            <v>雕牌 超效洗洁精加压 1500G</v>
          </cell>
          <cell r="D6512">
            <v>1</v>
          </cell>
          <cell r="E6512">
            <v>10.54</v>
          </cell>
          <cell r="F6512">
            <v>11.9102</v>
          </cell>
        </row>
        <row r="6513">
          <cell r="B6513" t="str">
            <v>70044812</v>
          </cell>
          <cell r="C6513" t="str">
            <v>雕牌 全效洗洁精 1500G</v>
          </cell>
          <cell r="D6513">
            <v>2775</v>
          </cell>
          <cell r="E6513">
            <v>30755.54</v>
          </cell>
          <cell r="F6513">
            <v>12.5238775495495</v>
          </cell>
        </row>
        <row r="6514">
          <cell r="B6514" t="str">
            <v>70045685</v>
          </cell>
          <cell r="C6514" t="str">
            <v>蓝月亮 卫诺84消毒液 600G</v>
          </cell>
          <cell r="D6514">
            <v>24</v>
          </cell>
          <cell r="E6514">
            <v>138.32</v>
          </cell>
          <cell r="F6514">
            <v>6.5125666666666699</v>
          </cell>
        </row>
        <row r="6515">
          <cell r="B6515" t="str">
            <v>70046617</v>
          </cell>
          <cell r="C6515" t="str">
            <v>绿伞 油烟净 500ML＋500ML</v>
          </cell>
          <cell r="D6515">
            <v>1190</v>
          </cell>
          <cell r="E6515">
            <v>21797.72</v>
          </cell>
          <cell r="F6515">
            <v>20.698675294117599</v>
          </cell>
        </row>
        <row r="6516">
          <cell r="B6516" t="str">
            <v>70046810</v>
          </cell>
          <cell r="C6516" t="str">
            <v>奥妙 洗衣粉(净蓝) 500G</v>
          </cell>
          <cell r="D6516">
            <v>1679</v>
          </cell>
          <cell r="E6516">
            <v>7548.29</v>
          </cell>
          <cell r="F6516">
            <v>5.0801475282906496</v>
          </cell>
        </row>
        <row r="6517">
          <cell r="B6517" t="str">
            <v>70047433</v>
          </cell>
          <cell r="C6517" t="str">
            <v>蓝月亮 薰衣草深层洁净护理洗衣液 1KG</v>
          </cell>
          <cell r="D6517">
            <v>830</v>
          </cell>
          <cell r="E6517">
            <v>10172.200000000001</v>
          </cell>
          <cell r="F6517">
            <v>13.8488987951807</v>
          </cell>
        </row>
        <row r="6518">
          <cell r="B6518" t="str">
            <v>70049611</v>
          </cell>
          <cell r="C6518" t="str">
            <v>威露士 亮净厨房去重油剂(氧漂除菌配方) 1L</v>
          </cell>
          <cell r="D6518">
            <v>186</v>
          </cell>
          <cell r="E6518">
            <v>3021.31</v>
          </cell>
          <cell r="F6518">
            <v>18.355270430107499</v>
          </cell>
        </row>
        <row r="6519">
          <cell r="B6519" t="str">
            <v>70053695</v>
          </cell>
          <cell r="C6519" t="str">
            <v>绿伞 洗衣液 2KG</v>
          </cell>
          <cell r="D6519">
            <v>741</v>
          </cell>
          <cell r="E6519">
            <v>11642.52</v>
          </cell>
          <cell r="F6519">
            <v>17.754450202429201</v>
          </cell>
        </row>
        <row r="6520">
          <cell r="B6520" t="str">
            <v>70073312</v>
          </cell>
          <cell r="C6520" t="str">
            <v>亮净 厨房去重油剂 1L</v>
          </cell>
          <cell r="D6520">
            <v>17</v>
          </cell>
          <cell r="E6520">
            <v>236.6</v>
          </cell>
          <cell r="F6520">
            <v>15.7269411764706</v>
          </cell>
        </row>
        <row r="6521">
          <cell r="B6521" t="str">
            <v>70077833</v>
          </cell>
          <cell r="C6521" t="str">
            <v>雕牌 速溶快洁洗衣粉 3000G</v>
          </cell>
          <cell r="D6521">
            <v>1973</v>
          </cell>
          <cell r="E6521">
            <v>39751.870000000003</v>
          </cell>
          <cell r="F6521">
            <v>22.767163253928</v>
          </cell>
        </row>
        <row r="6522">
          <cell r="B6522" t="str">
            <v>70077961</v>
          </cell>
          <cell r="C6522" t="str">
            <v>碧浪 五星级洁净自然清新无磷洗衣粉 2.8KG</v>
          </cell>
          <cell r="D6522">
            <v>1513</v>
          </cell>
          <cell r="E6522">
            <v>39625.31</v>
          </cell>
          <cell r="F6522">
            <v>29.594580502313299</v>
          </cell>
        </row>
        <row r="6523">
          <cell r="B6523" t="str">
            <v>70081833</v>
          </cell>
          <cell r="C6523" t="str">
            <v>纳爱斯 超能植愈香氛洗衣粉(去渍365)(带嘴) 1.8kg</v>
          </cell>
          <cell r="D6523">
            <v>2212</v>
          </cell>
          <cell r="E6523">
            <v>41423.480000000003</v>
          </cell>
          <cell r="F6523">
            <v>21.161181012658201</v>
          </cell>
        </row>
        <row r="6524">
          <cell r="B6524" t="str">
            <v>70082838</v>
          </cell>
          <cell r="C6524" t="str">
            <v>绿伞 洗衣液 500G</v>
          </cell>
          <cell r="D6524">
            <v>918</v>
          </cell>
          <cell r="E6524">
            <v>6703.73</v>
          </cell>
          <cell r="F6524">
            <v>8.2518680827886701</v>
          </cell>
        </row>
        <row r="6525">
          <cell r="B6525" t="str">
            <v>70082962</v>
          </cell>
          <cell r="C6525" t="str">
            <v>绿伞 内衣洗衣液 320ML</v>
          </cell>
          <cell r="D6525">
            <v>978</v>
          </cell>
          <cell r="E6525">
            <v>13365.93</v>
          </cell>
          <cell r="F6525">
            <v>15.4432524539877</v>
          </cell>
        </row>
        <row r="6526">
          <cell r="B6526" t="str">
            <v>70089178</v>
          </cell>
          <cell r="C6526" t="str">
            <v>蓝月亮 薰衣草香深层洁净护理洗衣液3kg</v>
          </cell>
          <cell r="D6526">
            <v>949</v>
          </cell>
          <cell r="E6526">
            <v>28424.21</v>
          </cell>
          <cell r="F6526">
            <v>33.845476606954698</v>
          </cell>
        </row>
        <row r="6527">
          <cell r="B6527" t="str">
            <v>70089179</v>
          </cell>
          <cell r="C6527" t="str">
            <v>金纺 清新柔顺剂7合1 3L</v>
          </cell>
          <cell r="D6527">
            <v>686</v>
          </cell>
          <cell r="E6527">
            <v>19898.75</v>
          </cell>
          <cell r="F6527">
            <v>32.777824344023301</v>
          </cell>
        </row>
        <row r="6528">
          <cell r="B6528" t="str">
            <v>70090328</v>
          </cell>
          <cell r="C6528" t="str">
            <v>汰渍 二合一洗衣粉深层洁净茉莉 3KG</v>
          </cell>
          <cell r="D6528">
            <v>2075</v>
          </cell>
          <cell r="E6528">
            <v>56315.4</v>
          </cell>
          <cell r="F6528">
            <v>30.668145542168698</v>
          </cell>
        </row>
        <row r="6529">
          <cell r="B6529" t="str">
            <v>70090390</v>
          </cell>
          <cell r="C6529" t="str">
            <v>超能 超能洗洁精(西柚祛腥) 1.5KG</v>
          </cell>
          <cell r="D6529">
            <v>2475</v>
          </cell>
          <cell r="E6529">
            <v>30554.9</v>
          </cell>
          <cell r="F6529">
            <v>13.950317979797999</v>
          </cell>
        </row>
        <row r="6530">
          <cell r="B6530" t="str">
            <v>70094398</v>
          </cell>
          <cell r="C6530" t="str">
            <v>超威 强效洁厕净（沁香净味） 505g*2</v>
          </cell>
          <cell r="D6530">
            <v>262</v>
          </cell>
          <cell r="E6530">
            <v>2334.42</v>
          </cell>
          <cell r="F6530">
            <v>10.068300000000001</v>
          </cell>
        </row>
        <row r="6531">
          <cell r="B6531" t="str">
            <v>70097253</v>
          </cell>
          <cell r="C6531" t="str">
            <v>绿伞 地板清 800克</v>
          </cell>
          <cell r="D6531">
            <v>821</v>
          </cell>
          <cell r="E6531">
            <v>10482.459999999999</v>
          </cell>
          <cell r="F6531">
            <v>14.4277464068209</v>
          </cell>
        </row>
        <row r="6532">
          <cell r="B6532" t="str">
            <v>70097258</v>
          </cell>
          <cell r="C6532" t="str">
            <v>绿伞 五洁粉 400G</v>
          </cell>
          <cell r="D6532">
            <v>16</v>
          </cell>
          <cell r="E6532">
            <v>59.52</v>
          </cell>
          <cell r="F6532">
            <v>4.2035999999999998</v>
          </cell>
        </row>
        <row r="6533">
          <cell r="B6533" t="str">
            <v>70101130</v>
          </cell>
          <cell r="C6533" t="str">
            <v>绿色 柔顺剂(薰衣草) 3KG</v>
          </cell>
          <cell r="D6533">
            <v>340</v>
          </cell>
          <cell r="E6533">
            <v>7979.74</v>
          </cell>
          <cell r="F6533">
            <v>26.5209005882353</v>
          </cell>
        </row>
        <row r="6534">
          <cell r="B6534" t="str">
            <v>70101135</v>
          </cell>
          <cell r="C6534" t="str">
            <v>蓝月亮 消毒液*2 1000ML</v>
          </cell>
          <cell r="D6534">
            <v>152</v>
          </cell>
          <cell r="E6534">
            <v>4284</v>
          </cell>
          <cell r="F6534">
            <v>31.848157894736801</v>
          </cell>
        </row>
        <row r="6535">
          <cell r="B6535" t="str">
            <v>70120649</v>
          </cell>
          <cell r="C6535" t="str">
            <v>汰渍 全效360度洗衣液洁雅百合香型 1kg</v>
          </cell>
          <cell r="D6535">
            <v>47</v>
          </cell>
          <cell r="E6535">
            <v>731.34</v>
          </cell>
          <cell r="F6535">
            <v>17.583280851063801</v>
          </cell>
        </row>
        <row r="6536">
          <cell r="B6536" t="str">
            <v>70130857</v>
          </cell>
          <cell r="C6536" t="str">
            <v>斧头牌 AXE鲜花除菌去污粉 500G</v>
          </cell>
          <cell r="D6536">
            <v>580</v>
          </cell>
          <cell r="E6536">
            <v>3979.95</v>
          </cell>
          <cell r="F6536">
            <v>7.7540405172413802</v>
          </cell>
        </row>
        <row r="6537">
          <cell r="B6537" t="str">
            <v>70130858</v>
          </cell>
          <cell r="C6537" t="str">
            <v>斧头牌 AXE维生素E护肤洗洁精 600ML</v>
          </cell>
          <cell r="D6537">
            <v>2525</v>
          </cell>
          <cell r="E6537">
            <v>18461.11</v>
          </cell>
          <cell r="F6537">
            <v>8.2618036831683206</v>
          </cell>
        </row>
        <row r="6538">
          <cell r="B6538" t="str">
            <v>70139577</v>
          </cell>
          <cell r="C6538" t="str">
            <v>斧头牌 除菌二合一地板清洁剂(田园香) 2升</v>
          </cell>
          <cell r="D6538">
            <v>540</v>
          </cell>
          <cell r="E6538">
            <v>10473.98</v>
          </cell>
          <cell r="F6538">
            <v>21.917772962962999</v>
          </cell>
        </row>
        <row r="6539">
          <cell r="B6539" t="str">
            <v>70151315</v>
          </cell>
          <cell r="C6539" t="str">
            <v>蓝月亮 薰衣草香亮白增艳深层洁净护理洗衣液2kg</v>
          </cell>
          <cell r="D6539">
            <v>4352</v>
          </cell>
          <cell r="E6539">
            <v>108149.19</v>
          </cell>
          <cell r="F6539">
            <v>28.081016704963201</v>
          </cell>
        </row>
        <row r="6540">
          <cell r="B6540" t="str">
            <v>70151316</v>
          </cell>
          <cell r="C6540" t="str">
            <v>超能 内衣皂 222G</v>
          </cell>
          <cell r="D6540">
            <v>2151</v>
          </cell>
          <cell r="E6540">
            <v>8026.83</v>
          </cell>
          <cell r="F6540">
            <v>4.2167912133891203</v>
          </cell>
        </row>
        <row r="6541">
          <cell r="B6541" t="str">
            <v>70162321</v>
          </cell>
          <cell r="C6541" t="str">
            <v>雕牌 阳光青柠 202G</v>
          </cell>
          <cell r="D6541">
            <v>1161</v>
          </cell>
          <cell r="E6541">
            <v>3675.04</v>
          </cell>
          <cell r="F6541">
            <v>3.5769123169681301</v>
          </cell>
        </row>
        <row r="6542">
          <cell r="B6542" t="str">
            <v>70165320</v>
          </cell>
          <cell r="C6542" t="str">
            <v>金纺 怡神熏衣草 3L</v>
          </cell>
          <cell r="D6542">
            <v>661</v>
          </cell>
          <cell r="E6542">
            <v>19139.41</v>
          </cell>
          <cell r="F6542">
            <v>32.719414977307103</v>
          </cell>
        </row>
        <row r="6543">
          <cell r="B6543" t="str">
            <v>70169385</v>
          </cell>
          <cell r="C6543" t="str">
            <v>奥妙 洗衣皂 206G</v>
          </cell>
          <cell r="D6543">
            <v>21</v>
          </cell>
          <cell r="E6543">
            <v>58.74</v>
          </cell>
          <cell r="F6543">
            <v>3.1607714285714299</v>
          </cell>
        </row>
        <row r="6544">
          <cell r="B6544" t="str">
            <v>70170584</v>
          </cell>
          <cell r="C6544" t="str">
            <v>超能 浓缩天然皂粉 1.5KG</v>
          </cell>
          <cell r="D6544">
            <v>1755</v>
          </cell>
          <cell r="E6544">
            <v>43503.12</v>
          </cell>
          <cell r="F6544">
            <v>28.0105558974359</v>
          </cell>
        </row>
        <row r="6545">
          <cell r="B6545" t="str">
            <v>70172109</v>
          </cell>
          <cell r="C6545" t="str">
            <v>威露士 消毒液 200ML</v>
          </cell>
          <cell r="D6545">
            <v>12</v>
          </cell>
          <cell r="E6545">
            <v>292.04000000000002</v>
          </cell>
          <cell r="F6545">
            <v>27.500433333333302</v>
          </cell>
        </row>
        <row r="6546">
          <cell r="B6546" t="str">
            <v>70174047</v>
          </cell>
          <cell r="C6546" t="str">
            <v>威露士亮净洁厕精（强效＋清香）1L</v>
          </cell>
          <cell r="D6546">
            <v>509</v>
          </cell>
          <cell r="E6546">
            <v>4640.13</v>
          </cell>
          <cell r="F6546">
            <v>10.301270923379199</v>
          </cell>
        </row>
        <row r="6547">
          <cell r="B6547" t="str">
            <v>70176645</v>
          </cell>
          <cell r="C6547" t="str">
            <v>汰渍 洁净熏香薰衣草香氛 1.65KG</v>
          </cell>
          <cell r="D6547">
            <v>1719</v>
          </cell>
          <cell r="E6547">
            <v>24562.29</v>
          </cell>
          <cell r="F6547">
            <v>16.1462406631763</v>
          </cell>
        </row>
        <row r="6548">
          <cell r="B6548" t="str">
            <v>70176649</v>
          </cell>
          <cell r="C6548" t="str">
            <v>雕牌 透明皂 202G*2</v>
          </cell>
          <cell r="D6548">
            <v>2</v>
          </cell>
          <cell r="E6548">
            <v>9.58</v>
          </cell>
          <cell r="F6548">
            <v>5.4127000000000001</v>
          </cell>
        </row>
        <row r="6549">
          <cell r="B6549" t="str">
            <v>70178902</v>
          </cell>
          <cell r="C6549" t="str">
            <v>雕牌 超效加酶洗衣粉 1280G</v>
          </cell>
          <cell r="D6549">
            <v>283</v>
          </cell>
          <cell r="E6549">
            <v>2450.5500000000002</v>
          </cell>
          <cell r="F6549">
            <v>9.7848816254417006</v>
          </cell>
        </row>
        <row r="6550">
          <cell r="B6550" t="str">
            <v>70186942</v>
          </cell>
          <cell r="C6550" t="str">
            <v>汰渍 洁净熏香熏衣草香氛高浓度洗衣液 2000G</v>
          </cell>
          <cell r="D6550">
            <v>1048</v>
          </cell>
          <cell r="E6550">
            <v>30577.25</v>
          </cell>
          <cell r="F6550">
            <v>32.969744751908401</v>
          </cell>
        </row>
        <row r="6551">
          <cell r="B6551" t="str">
            <v>70190399</v>
          </cell>
          <cell r="C6551" t="str">
            <v>蓝月亮 茶清洗洁精 1000G</v>
          </cell>
          <cell r="D6551">
            <v>6246</v>
          </cell>
          <cell r="E6551">
            <v>83211.17</v>
          </cell>
          <cell r="F6551">
            <v>15.054214233109199</v>
          </cell>
        </row>
        <row r="6552">
          <cell r="B6552" t="str">
            <v>70191277</v>
          </cell>
          <cell r="C6552" t="str">
            <v>汰渍 全效360度高效能洗衣液 3千克</v>
          </cell>
          <cell r="D6552">
            <v>594</v>
          </cell>
          <cell r="E6552">
            <v>23691.119999999999</v>
          </cell>
          <cell r="F6552">
            <v>45.068965656565702</v>
          </cell>
        </row>
        <row r="6553">
          <cell r="B6553" t="str">
            <v>70192210</v>
          </cell>
          <cell r="C6553" t="str">
            <v>汰渍 全效360度三重功效洗衣皂 188克</v>
          </cell>
          <cell r="D6553">
            <v>327</v>
          </cell>
          <cell r="E6553">
            <v>1435.81</v>
          </cell>
          <cell r="F6553">
            <v>4.9616675840978601</v>
          </cell>
        </row>
        <row r="6554">
          <cell r="B6554" t="str">
            <v>70192522</v>
          </cell>
          <cell r="C6554" t="str">
            <v>立白 威王油烟机重油污净清洁剂 500g+420g</v>
          </cell>
          <cell r="D6554">
            <v>102</v>
          </cell>
          <cell r="E6554">
            <v>1635.21</v>
          </cell>
          <cell r="F6554">
            <v>18.115561764705902</v>
          </cell>
        </row>
        <row r="6555">
          <cell r="B6555" t="str">
            <v>70196051</v>
          </cell>
          <cell r="C6555" t="str">
            <v>超能 洗衣液植翠(柔顺舒适) 1500G</v>
          </cell>
          <cell r="D6555">
            <v>3</v>
          </cell>
          <cell r="E6555">
            <v>72.72</v>
          </cell>
          <cell r="F6555">
            <v>27.391200000000001</v>
          </cell>
        </row>
        <row r="6556">
          <cell r="B6556" t="str">
            <v>70198014</v>
          </cell>
          <cell r="C6556" t="str">
            <v>维达 2卷装厨房纸抹布 1*2</v>
          </cell>
          <cell r="D6556">
            <v>390</v>
          </cell>
          <cell r="E6556">
            <v>3162.9</v>
          </cell>
          <cell r="F6556">
            <v>9.1643000000000008</v>
          </cell>
        </row>
        <row r="6557">
          <cell r="B6557" t="str">
            <v>70202090</v>
          </cell>
          <cell r="C6557" t="str">
            <v>绿伞 洁厕灵 500G</v>
          </cell>
          <cell r="D6557">
            <v>3807</v>
          </cell>
          <cell r="E6557">
            <v>11736.96</v>
          </cell>
          <cell r="F6557">
            <v>3.4837837667454701</v>
          </cell>
        </row>
        <row r="6558">
          <cell r="B6558" t="str">
            <v>70211344</v>
          </cell>
          <cell r="C6558" t="str">
            <v>威露士妈妈壹选天然洗衣皂液护色3kg</v>
          </cell>
          <cell r="D6558">
            <v>1</v>
          </cell>
          <cell r="E6558">
            <v>33.630000000000003</v>
          </cell>
          <cell r="F6558">
            <v>38.001899999999999</v>
          </cell>
        </row>
        <row r="6559">
          <cell r="B6559" t="str">
            <v>70222217</v>
          </cell>
          <cell r="C6559" t="str">
            <v>绿劲 妈妈壹选新一代餐具净柚子柠檬 1.28kg</v>
          </cell>
          <cell r="D6559">
            <v>340</v>
          </cell>
          <cell r="E6559">
            <v>3620.26</v>
          </cell>
          <cell r="F6559">
            <v>12.032040588235301</v>
          </cell>
        </row>
        <row r="6560">
          <cell r="B6560" t="str">
            <v>70230791</v>
          </cell>
          <cell r="C6560" t="str">
            <v>雕牌 清新柠檬洗洁精N2 1.23kg</v>
          </cell>
          <cell r="D6560">
            <v>107</v>
          </cell>
          <cell r="E6560">
            <v>754.12</v>
          </cell>
          <cell r="F6560">
            <v>7.9640710280373801</v>
          </cell>
        </row>
        <row r="6561">
          <cell r="B6561" t="str">
            <v>70230972</v>
          </cell>
          <cell r="C6561" t="str">
            <v>洁劲 香橙除油洗洁精 500克</v>
          </cell>
          <cell r="D6561">
            <v>71</v>
          </cell>
          <cell r="E6561">
            <v>238.94</v>
          </cell>
          <cell r="F6561">
            <v>3.80284788732394</v>
          </cell>
        </row>
        <row r="6562">
          <cell r="B6562" t="str">
            <v>70230976</v>
          </cell>
          <cell r="C6562" t="str">
            <v>洁劲 全效洗衣液 3千克</v>
          </cell>
          <cell r="D6562">
            <v>512</v>
          </cell>
          <cell r="E6562">
            <v>15431.65</v>
          </cell>
          <cell r="F6562">
            <v>34.058133789062502</v>
          </cell>
        </row>
        <row r="6563">
          <cell r="B6563" t="str">
            <v>70235961</v>
          </cell>
          <cell r="C6563" t="str">
            <v>立白 全效馨香洗衣液（加量装） 3.018kg</v>
          </cell>
          <cell r="D6563">
            <v>153</v>
          </cell>
          <cell r="E6563">
            <v>5939.18</v>
          </cell>
          <cell r="F6563">
            <v>43.864532026143799</v>
          </cell>
        </row>
        <row r="6564">
          <cell r="B6564" t="str">
            <v>70236065</v>
          </cell>
          <cell r="C6564" t="str">
            <v>洁劲 100薰香呵护洗衣液2KG*6 1*6</v>
          </cell>
          <cell r="D6564">
            <v>228</v>
          </cell>
          <cell r="E6564">
            <v>6099.76</v>
          </cell>
          <cell r="F6564">
            <v>30.231266666666698</v>
          </cell>
        </row>
        <row r="6565">
          <cell r="B6565" t="str">
            <v>70240790</v>
          </cell>
          <cell r="C6565" t="str">
            <v>斧头 牌 橙油厨房重油污净 500ML</v>
          </cell>
          <cell r="D6565">
            <v>970</v>
          </cell>
          <cell r="E6565">
            <v>22164.77</v>
          </cell>
          <cell r="F6565">
            <v>25.820814536082501</v>
          </cell>
        </row>
        <row r="6566">
          <cell r="B6566" t="str">
            <v>70253889</v>
          </cell>
          <cell r="C6566" t="str">
            <v>花王 厨房去污清洁喷雾 400ML</v>
          </cell>
          <cell r="D6566">
            <v>28</v>
          </cell>
          <cell r="E6566">
            <v>763.75</v>
          </cell>
          <cell r="F6566">
            <v>30.8227678571429</v>
          </cell>
        </row>
        <row r="6567">
          <cell r="B6567" t="str">
            <v>70254329</v>
          </cell>
          <cell r="C6567" t="str">
            <v>碧浪 机洗超净洗衣粉 1.7KG</v>
          </cell>
          <cell r="D6567">
            <v>2</v>
          </cell>
          <cell r="E6567">
            <v>37.24</v>
          </cell>
          <cell r="F6567">
            <v>21.040600000000001</v>
          </cell>
        </row>
        <row r="6568">
          <cell r="B6568" t="str">
            <v>70254330</v>
          </cell>
          <cell r="C6568" t="str">
            <v>碧浪 专业抗菌洗衣液机洗根源洁净 2kg</v>
          </cell>
          <cell r="D6568">
            <v>3</v>
          </cell>
          <cell r="E6568">
            <v>102.91</v>
          </cell>
          <cell r="F6568">
            <v>38.7627666666667</v>
          </cell>
        </row>
        <row r="6569">
          <cell r="B6569" t="str">
            <v>70256032</v>
          </cell>
          <cell r="C6569" t="str">
            <v>洁劲 洁劲冷水全效洗衣粉 1080G</v>
          </cell>
          <cell r="D6569">
            <v>1759</v>
          </cell>
          <cell r="E6569">
            <v>17107.62</v>
          </cell>
          <cell r="F6569">
            <v>10.990114042069401</v>
          </cell>
        </row>
        <row r="6570">
          <cell r="B6570" t="str">
            <v>70259198</v>
          </cell>
          <cell r="C6570" t="str">
            <v>洁劲100 冷水全效洗衣粉 2.15KG</v>
          </cell>
          <cell r="D6570">
            <v>695</v>
          </cell>
          <cell r="E6570">
            <v>11707.51</v>
          </cell>
          <cell r="F6570">
            <v>19.0352320863309</v>
          </cell>
        </row>
        <row r="6571">
          <cell r="B6571" t="str">
            <v>70263132</v>
          </cell>
          <cell r="C6571" t="str">
            <v>立白 青柠洗洁精 1450G</v>
          </cell>
          <cell r="D6571">
            <v>1632</v>
          </cell>
          <cell r="E6571">
            <v>21694.81</v>
          </cell>
          <cell r="F6571">
            <v>15.021528982843099</v>
          </cell>
        </row>
        <row r="6572">
          <cell r="B6572" t="str">
            <v>70263133</v>
          </cell>
          <cell r="C6572" t="str">
            <v>立白 超洁薰衣香粉 1000G</v>
          </cell>
          <cell r="D6572">
            <v>647</v>
          </cell>
          <cell r="E6572">
            <v>5485.56</v>
          </cell>
          <cell r="F6572">
            <v>9.5806534775888696</v>
          </cell>
        </row>
        <row r="6573">
          <cell r="B6573" t="str">
            <v>70266149</v>
          </cell>
          <cell r="C6573" t="str">
            <v>CHANTE大公鸡管家 马赛皂 300g</v>
          </cell>
          <cell r="D6573">
            <v>697</v>
          </cell>
          <cell r="E6573">
            <v>7406.66</v>
          </cell>
          <cell r="F6573">
            <v>12.007927977044501</v>
          </cell>
        </row>
        <row r="6574">
          <cell r="B6574" t="str">
            <v>70266301</v>
          </cell>
          <cell r="C6574" t="str">
            <v>威露士妈妈壹选天然洗衣皂液倍柔2KG</v>
          </cell>
          <cell r="D6574">
            <v>13</v>
          </cell>
          <cell r="E6574">
            <v>281.87</v>
          </cell>
          <cell r="F6574">
            <v>24.501007692307699</v>
          </cell>
        </row>
        <row r="6575">
          <cell r="B6575" t="str">
            <v>70266737</v>
          </cell>
          <cell r="C6575" t="str">
            <v>立白 全效馨香洗衣液（加量装） 3.018kg</v>
          </cell>
          <cell r="D6575">
            <v>172</v>
          </cell>
          <cell r="E6575">
            <v>6670.19</v>
          </cell>
          <cell r="F6575">
            <v>43.8215970930233</v>
          </cell>
        </row>
        <row r="6576">
          <cell r="B6576" t="str">
            <v>70279885</v>
          </cell>
          <cell r="C6576" t="str">
            <v>去污超人 洗衣液（薰衣草） 4KG</v>
          </cell>
          <cell r="D6576">
            <v>303</v>
          </cell>
          <cell r="E6576">
            <v>12571.76</v>
          </cell>
          <cell r="F6576">
            <v>46.884781518151797</v>
          </cell>
        </row>
        <row r="6577">
          <cell r="B6577" t="str">
            <v>70284156</v>
          </cell>
          <cell r="C6577" t="str">
            <v>奥妙 深层洁净天然酵素洗衣粉 1.8KG</v>
          </cell>
          <cell r="D6577">
            <v>4125</v>
          </cell>
          <cell r="E6577">
            <v>56252.74</v>
          </cell>
          <cell r="F6577">
            <v>15.4098415030303</v>
          </cell>
        </row>
        <row r="6578">
          <cell r="B6578" t="str">
            <v>70284808</v>
          </cell>
          <cell r="C6578" t="str">
            <v>妙洁 C型神奇洗碗布 5片装</v>
          </cell>
          <cell r="D6578">
            <v>321</v>
          </cell>
          <cell r="E6578">
            <v>3510.27</v>
          </cell>
          <cell r="F6578">
            <v>12.357025233644899</v>
          </cell>
        </row>
        <row r="6579">
          <cell r="B6579" t="str">
            <v>70286054</v>
          </cell>
          <cell r="C6579" t="str">
            <v>金纺 Y23纯净温和促销装(瓶内送) (2KG＋600G)</v>
          </cell>
          <cell r="D6579">
            <v>157</v>
          </cell>
          <cell r="E6579">
            <v>3775.66</v>
          </cell>
          <cell r="F6579">
            <v>27.1751324840764</v>
          </cell>
        </row>
        <row r="6580">
          <cell r="B6580" t="str">
            <v>70288425</v>
          </cell>
          <cell r="C6580" t="str">
            <v>超能 女士内衣专用皂 101G*2</v>
          </cell>
          <cell r="D6580">
            <v>16</v>
          </cell>
          <cell r="E6580">
            <v>92.48</v>
          </cell>
          <cell r="F6580">
            <v>6.5313999999999997</v>
          </cell>
        </row>
        <row r="6581">
          <cell r="B6581" t="str">
            <v>70290378</v>
          </cell>
          <cell r="C6581" t="str">
            <v>公鸡头 洗洁精(橙色) 500ML</v>
          </cell>
          <cell r="D6581">
            <v>73</v>
          </cell>
          <cell r="E6581">
            <v>810.28</v>
          </cell>
          <cell r="F6581">
            <v>12.542690410958899</v>
          </cell>
        </row>
        <row r="6582">
          <cell r="B6582" t="str">
            <v>70291061</v>
          </cell>
          <cell r="C6582" t="str">
            <v>奥妙 除菌除螨洗衣液 1KG</v>
          </cell>
          <cell r="D6582">
            <v>2248</v>
          </cell>
          <cell r="E6582">
            <v>27660.55</v>
          </cell>
          <cell r="F6582">
            <v>13.904102090747299</v>
          </cell>
        </row>
        <row r="6583">
          <cell r="B6583" t="str">
            <v>70291218</v>
          </cell>
          <cell r="C6583" t="str">
            <v>奥妙 深层洁净洗衣液 2.8KG＋400G</v>
          </cell>
          <cell r="D6583">
            <v>3400</v>
          </cell>
          <cell r="E6583">
            <v>99739.49</v>
          </cell>
          <cell r="F6583">
            <v>33.148712852941202</v>
          </cell>
        </row>
        <row r="6584">
          <cell r="B6584" t="str">
            <v>70291219</v>
          </cell>
          <cell r="C6584" t="str">
            <v>奥妙 除菌除螨洗衣液 2.8KG＋400G</v>
          </cell>
          <cell r="D6584">
            <v>3356</v>
          </cell>
          <cell r="E6584">
            <v>98476.06</v>
          </cell>
          <cell r="F6584">
            <v>33.157910548271701</v>
          </cell>
        </row>
        <row r="6585">
          <cell r="B6585" t="str">
            <v>70293142</v>
          </cell>
          <cell r="C6585" t="str">
            <v>超能 天然皂粉(馨香柔软)N1 2.26kg</v>
          </cell>
          <cell r="D6585">
            <v>16</v>
          </cell>
          <cell r="E6585">
            <v>422.95</v>
          </cell>
          <cell r="F6585">
            <v>29.870843749999999</v>
          </cell>
        </row>
        <row r="6586">
          <cell r="B6586" t="str">
            <v>70295522</v>
          </cell>
          <cell r="C6586" t="str">
            <v>蓝月亮 风清白兰预涂•手洗双用型洗衣液500g</v>
          </cell>
          <cell r="D6586">
            <v>1454</v>
          </cell>
          <cell r="E6586">
            <v>11795.03</v>
          </cell>
          <cell r="F6586">
            <v>9.1667014442916095</v>
          </cell>
        </row>
        <row r="6587">
          <cell r="B6587" t="str">
            <v>70299583</v>
          </cell>
          <cell r="C6587" t="str">
            <v>立白 生姜精 1KG</v>
          </cell>
          <cell r="D6587">
            <v>1362</v>
          </cell>
          <cell r="E6587">
            <v>11732.63</v>
          </cell>
          <cell r="F6587">
            <v>9.7341203377386201</v>
          </cell>
        </row>
        <row r="6588">
          <cell r="B6588" t="str">
            <v>70303814</v>
          </cell>
          <cell r="C6588" t="str">
            <v>奥妙 深层洁净洗衣液 1KG</v>
          </cell>
          <cell r="D6588">
            <v>3622</v>
          </cell>
          <cell r="E6588">
            <v>44544.7</v>
          </cell>
          <cell r="F6588">
            <v>13.897159304251799</v>
          </cell>
        </row>
        <row r="6589">
          <cell r="B6589" t="str">
            <v>70305110</v>
          </cell>
          <cell r="C6589" t="str">
            <v>花王 除菌护手洗洁精(天然味) 240ML</v>
          </cell>
          <cell r="D6589">
            <v>62</v>
          </cell>
          <cell r="E6589">
            <v>1511.06</v>
          </cell>
          <cell r="F6589">
            <v>27.5402870967742</v>
          </cell>
        </row>
        <row r="6590">
          <cell r="B6590" t="str">
            <v>70305532</v>
          </cell>
          <cell r="C6590" t="str">
            <v>立白 超洁薰衣香粉洗衣粉 2005g</v>
          </cell>
          <cell r="D6590">
            <v>223</v>
          </cell>
          <cell r="E6590">
            <v>3945.53</v>
          </cell>
          <cell r="F6590">
            <v>19.993044394618799</v>
          </cell>
        </row>
        <row r="6591">
          <cell r="B6591" t="str">
            <v>70307435</v>
          </cell>
          <cell r="C6591" t="str">
            <v>蓝月亮 薰衣草亮白增艳洗衣液 2.88KG</v>
          </cell>
          <cell r="D6591">
            <v>396</v>
          </cell>
          <cell r="E6591">
            <v>15756.13</v>
          </cell>
          <cell r="F6591">
            <v>44.960673989899</v>
          </cell>
        </row>
        <row r="6592">
          <cell r="B6592" t="str">
            <v>70312838</v>
          </cell>
          <cell r="C6592" t="str">
            <v>碧浪 专业抗菌洗衣液高效除螨草本清新 2kg</v>
          </cell>
          <cell r="D6592">
            <v>1038</v>
          </cell>
          <cell r="E6592">
            <v>35042.94</v>
          </cell>
          <cell r="F6592">
            <v>38.148865317919103</v>
          </cell>
        </row>
        <row r="6593">
          <cell r="B6593" t="str">
            <v>70312868</v>
          </cell>
          <cell r="C6593" t="str">
            <v>雕牌 508g雕牌超效加酶洗衣粉N4 508g</v>
          </cell>
          <cell r="D6593">
            <v>4</v>
          </cell>
          <cell r="E6593">
            <v>14.67</v>
          </cell>
          <cell r="F6593">
            <v>4.1442750000000004</v>
          </cell>
        </row>
        <row r="6594">
          <cell r="B6594" t="str">
            <v>70312871</v>
          </cell>
          <cell r="C6594" t="str">
            <v>雕牌 408g雕牌清新柠檬洗洁精N3 408g</v>
          </cell>
          <cell r="D6594">
            <v>2</v>
          </cell>
          <cell r="E6594">
            <v>5.97</v>
          </cell>
          <cell r="F6594">
            <v>3.3730500000000001</v>
          </cell>
        </row>
        <row r="6595">
          <cell r="B6595" t="str">
            <v>70312873</v>
          </cell>
          <cell r="C6595" t="str">
            <v>超能 1kg超能洁净柔护洗衣液 1kg</v>
          </cell>
          <cell r="D6595">
            <v>19</v>
          </cell>
          <cell r="E6595">
            <v>340.38</v>
          </cell>
          <cell r="F6595">
            <v>20.2436526315789</v>
          </cell>
        </row>
        <row r="6596">
          <cell r="B6596" t="str">
            <v>70315000</v>
          </cell>
          <cell r="C6596" t="str">
            <v>奥妙 自然工坊洁净柔护洗衣露6X (2KG＋650G)</v>
          </cell>
          <cell r="D6596">
            <v>577</v>
          </cell>
          <cell r="E6596">
            <v>18958.84</v>
          </cell>
          <cell r="F6596">
            <v>37.129097400346602</v>
          </cell>
        </row>
        <row r="6597">
          <cell r="B6597" t="str">
            <v>70315010</v>
          </cell>
          <cell r="C6597" t="str">
            <v>奥妙 酵素衣领净 400G</v>
          </cell>
          <cell r="D6597">
            <v>883</v>
          </cell>
          <cell r="E6597">
            <v>9622.56</v>
          </cell>
          <cell r="F6597">
            <v>12.3142613816535</v>
          </cell>
        </row>
        <row r="6598">
          <cell r="B6598" t="str">
            <v>70315011</v>
          </cell>
          <cell r="C6598" t="str">
            <v>奥妙 酵素洗衣机槽清洁剂 125G*3</v>
          </cell>
          <cell r="D6598">
            <v>450</v>
          </cell>
          <cell r="E6598">
            <v>5090.5200000000004</v>
          </cell>
          <cell r="F6598">
            <v>12.782861333333299</v>
          </cell>
        </row>
        <row r="6599">
          <cell r="B6599" t="str">
            <v>70315013</v>
          </cell>
          <cell r="C6599" t="str">
            <v>奥妙 柠檬衣物除菌液 1KG</v>
          </cell>
          <cell r="D6599">
            <v>974</v>
          </cell>
          <cell r="E6599">
            <v>20358.16</v>
          </cell>
          <cell r="F6599">
            <v>23.6188098562628</v>
          </cell>
        </row>
        <row r="6600">
          <cell r="B6600" t="str">
            <v>70316462</v>
          </cell>
          <cell r="C6600" t="str">
            <v>洁煌 浓缩洗衣液(茉莉花) 3KG</v>
          </cell>
          <cell r="D6600">
            <v>2</v>
          </cell>
          <cell r="E6600">
            <v>98.72</v>
          </cell>
          <cell r="F6600">
            <v>55.776800000000001</v>
          </cell>
        </row>
        <row r="6601">
          <cell r="B6601" t="str">
            <v>70333831</v>
          </cell>
          <cell r="C6601" t="str">
            <v>奥妙 深层洁净洗衣液 2KG＋300G</v>
          </cell>
          <cell r="D6601">
            <v>459</v>
          </cell>
          <cell r="E6601">
            <v>13991.86</v>
          </cell>
          <cell r="F6601">
            <v>34.446191285403003</v>
          </cell>
        </row>
        <row r="6602">
          <cell r="B6602" t="str">
            <v>70339518</v>
          </cell>
          <cell r="C6602" t="str">
            <v>蓝月亮 84消毒液 1.2KG</v>
          </cell>
          <cell r="D6602">
            <v>9</v>
          </cell>
          <cell r="E6602">
            <v>100.79</v>
          </cell>
          <cell r="F6602">
            <v>12.6547444444444</v>
          </cell>
        </row>
        <row r="6603">
          <cell r="B6603" t="str">
            <v>70341196</v>
          </cell>
          <cell r="C6603" t="str">
            <v>斧头 晶怡除菌洁厕液 500G/瓶</v>
          </cell>
          <cell r="D6603">
            <v>762</v>
          </cell>
          <cell r="E6603">
            <v>6062.13</v>
          </cell>
          <cell r="F6603">
            <v>8.9897728346456702</v>
          </cell>
        </row>
        <row r="6604">
          <cell r="B6604" t="str">
            <v>70341197</v>
          </cell>
          <cell r="C6604" t="str">
            <v>斧头 晶怡除菌洁厕液 500G/瓶*2瓶/对</v>
          </cell>
          <cell r="D6604">
            <v>839</v>
          </cell>
          <cell r="E6604">
            <v>11549.3</v>
          </cell>
          <cell r="F6604">
            <v>15.555076281287199</v>
          </cell>
        </row>
        <row r="6605">
          <cell r="B6605" t="str">
            <v>70341198</v>
          </cell>
          <cell r="C6605" t="str">
            <v>斧头 青蒿除菌洗洁精 1KG/瓶</v>
          </cell>
          <cell r="D6605">
            <v>2</v>
          </cell>
          <cell r="E6605">
            <v>0</v>
          </cell>
          <cell r="F6605">
            <v>0</v>
          </cell>
        </row>
        <row r="6606">
          <cell r="B6606" t="str">
            <v>70341199</v>
          </cell>
          <cell r="C6606" t="str">
            <v>斧头 多用途消毒液 400ML/瓶</v>
          </cell>
          <cell r="D6606">
            <v>1</v>
          </cell>
          <cell r="E6606">
            <v>15.16</v>
          </cell>
          <cell r="F6606">
            <v>17.130800000000001</v>
          </cell>
        </row>
        <row r="6607">
          <cell r="B6607" t="str">
            <v>70341205</v>
          </cell>
          <cell r="C6607" t="str">
            <v>仟雅居 除菌泡沫喷雾剂 400ML/瓶</v>
          </cell>
          <cell r="D6607">
            <v>9</v>
          </cell>
          <cell r="E6607">
            <v>163.66</v>
          </cell>
          <cell r="F6607">
            <v>20.5484222222222</v>
          </cell>
        </row>
        <row r="6608">
          <cell r="B6608" t="str">
            <v>70346371</v>
          </cell>
          <cell r="C6608" t="str">
            <v>威露士 多用途消毒液清柠 1L</v>
          </cell>
          <cell r="D6608">
            <v>110</v>
          </cell>
          <cell r="E6608">
            <v>3692.34</v>
          </cell>
          <cell r="F6608">
            <v>37.930401818181799</v>
          </cell>
        </row>
        <row r="6609">
          <cell r="B6609" t="str">
            <v>70346394</v>
          </cell>
          <cell r="C6609" t="str">
            <v>威露士 消臭洗衣液 3L</v>
          </cell>
          <cell r="D6609">
            <v>61</v>
          </cell>
          <cell r="E6609">
            <v>3081.72</v>
          </cell>
          <cell r="F6609">
            <v>57.087600000000002</v>
          </cell>
        </row>
        <row r="6610">
          <cell r="B6610" t="str">
            <v>70346804</v>
          </cell>
          <cell r="C6610" t="str">
            <v>奥妙 除菌除螨洗衣液 2KG＋300G</v>
          </cell>
          <cell r="D6610">
            <v>426</v>
          </cell>
          <cell r="E6610">
            <v>12983.81</v>
          </cell>
          <cell r="F6610">
            <v>34.440622769953002</v>
          </cell>
        </row>
        <row r="6611">
          <cell r="B6611" t="str">
            <v>70346806</v>
          </cell>
          <cell r="C6611" t="str">
            <v>奥妙 自然工坊果蔬餐具净洗洁精绿茶薄荷香型 1.08KG</v>
          </cell>
          <cell r="D6611">
            <v>4</v>
          </cell>
          <cell r="E6611">
            <v>43.52</v>
          </cell>
          <cell r="F6611">
            <v>12.2944</v>
          </cell>
        </row>
        <row r="6612">
          <cell r="B6612" t="str">
            <v>70346810</v>
          </cell>
          <cell r="C6612" t="str">
            <v>奥妙 洗洁精柠檬去油 480G</v>
          </cell>
          <cell r="D6612">
            <v>4447</v>
          </cell>
          <cell r="E6612">
            <v>16837.330000000002</v>
          </cell>
          <cell r="F6612">
            <v>4.2784310546435798</v>
          </cell>
        </row>
        <row r="6613">
          <cell r="B6613" t="str">
            <v>70346813</v>
          </cell>
          <cell r="C6613" t="str">
            <v>奥妙 洗洁精柠檬去油 1.1KG</v>
          </cell>
          <cell r="D6613">
            <v>4706</v>
          </cell>
          <cell r="E6613">
            <v>35452.839999999997</v>
          </cell>
          <cell r="F6613">
            <v>8.5129003824904395</v>
          </cell>
        </row>
        <row r="6614">
          <cell r="B6614" t="str">
            <v>70346816</v>
          </cell>
          <cell r="C6614" t="str">
            <v>奥妙 洗洁精茶树除菌 1.1KG</v>
          </cell>
          <cell r="D6614">
            <v>4863</v>
          </cell>
          <cell r="E6614">
            <v>36690.67</v>
          </cell>
          <cell r="F6614">
            <v>8.5256954760435892</v>
          </cell>
        </row>
        <row r="6615">
          <cell r="B6615" t="str">
            <v>70346818</v>
          </cell>
          <cell r="C6615" t="str">
            <v>奥妙 厨房重油污净柠檬西柚香型 480G</v>
          </cell>
          <cell r="D6615">
            <v>952</v>
          </cell>
          <cell r="E6615">
            <v>13440.28</v>
          </cell>
          <cell r="F6615">
            <v>15.953273529411801</v>
          </cell>
        </row>
        <row r="6616">
          <cell r="B6616" t="str">
            <v>70349690</v>
          </cell>
          <cell r="C6616" t="str">
            <v>美净能 84消毒液 500ML/瓶</v>
          </cell>
          <cell r="D6616">
            <v>19</v>
          </cell>
          <cell r="E6616">
            <v>53.81</v>
          </cell>
          <cell r="F6616">
            <v>3.2002789473684201</v>
          </cell>
        </row>
        <row r="6617">
          <cell r="B6617" t="str">
            <v>70349693</v>
          </cell>
          <cell r="C6617" t="str">
            <v>美净能 洗衣液（薰衣草、栀子花香） 2L/瓶</v>
          </cell>
          <cell r="D6617">
            <v>1</v>
          </cell>
          <cell r="E6617">
            <v>16.25</v>
          </cell>
          <cell r="F6617">
            <v>18.362500000000001</v>
          </cell>
        </row>
        <row r="6618">
          <cell r="B6618" t="str">
            <v>70355026</v>
          </cell>
          <cell r="C6618" t="str">
            <v>奥妙 柠檬洗衣皂206G*2 1</v>
          </cell>
          <cell r="D6618">
            <v>3</v>
          </cell>
          <cell r="E6618">
            <v>14.07</v>
          </cell>
          <cell r="F6618">
            <v>5.2996999999999996</v>
          </cell>
        </row>
        <row r="6619">
          <cell r="B6619" t="str">
            <v>70355028</v>
          </cell>
          <cell r="C6619" t="str">
            <v>花木星球 天然香氛洗衣液除菌除螨(1.8KG＋500G) 1</v>
          </cell>
          <cell r="D6619">
            <v>1</v>
          </cell>
          <cell r="E6619">
            <v>25.6</v>
          </cell>
          <cell r="F6619">
            <v>28.928000000000001</v>
          </cell>
        </row>
        <row r="6620">
          <cell r="B6620" t="str">
            <v>70362118</v>
          </cell>
          <cell r="C6620" t="str">
            <v>奥妙 奥妙除菌除螨洗衣皂 2X220G</v>
          </cell>
          <cell r="D6620">
            <v>1</v>
          </cell>
          <cell r="E6620">
            <v>6.6</v>
          </cell>
          <cell r="F6620">
            <v>7.4580000000000002</v>
          </cell>
        </row>
        <row r="6621">
          <cell r="B6621" t="str">
            <v>70381268</v>
          </cell>
          <cell r="C6621" t="str">
            <v>好客湘 立白除菌洗衣液 3.08KG</v>
          </cell>
          <cell r="D6621">
            <v>235</v>
          </cell>
          <cell r="E6621">
            <v>7747.03</v>
          </cell>
          <cell r="F6621">
            <v>37.251676170212797</v>
          </cell>
        </row>
        <row r="6622">
          <cell r="B6622" t="str">
            <v>70381779</v>
          </cell>
          <cell r="C6622" t="str">
            <v>碧浪 专业抗菌3合1衣物除菌液草本清香 1L</v>
          </cell>
          <cell r="D6622">
            <v>17</v>
          </cell>
          <cell r="E6622">
            <v>389.46</v>
          </cell>
          <cell r="F6622">
            <v>25.887635294117601</v>
          </cell>
        </row>
        <row r="6623">
          <cell r="B6623" t="str">
            <v>70381792</v>
          </cell>
          <cell r="C6623" t="str">
            <v>碧浪 除菌除螨洗衣皂 202G*2</v>
          </cell>
          <cell r="D6623">
            <v>17</v>
          </cell>
          <cell r="E6623">
            <v>102.15</v>
          </cell>
          <cell r="F6623">
            <v>6.7899705882352901</v>
          </cell>
        </row>
        <row r="6624">
          <cell r="B6624" t="str">
            <v>70381795</v>
          </cell>
          <cell r="C6624" t="str">
            <v>汰渍 洗衣液洁净薰香 2.75KG*2</v>
          </cell>
          <cell r="D6624">
            <v>3</v>
          </cell>
          <cell r="E6624">
            <v>174.78</v>
          </cell>
          <cell r="F6624">
            <v>65.833799999999997</v>
          </cell>
        </row>
        <row r="6625">
          <cell r="B6625" t="str">
            <v>70385953</v>
          </cell>
          <cell r="C6625" t="str">
            <v>奥妙 草本内衣皂 100G</v>
          </cell>
          <cell r="D6625">
            <v>13</v>
          </cell>
          <cell r="E6625">
            <v>28.7</v>
          </cell>
          <cell r="F6625">
            <v>2.49469230769231</v>
          </cell>
        </row>
        <row r="6626">
          <cell r="B6626" t="str">
            <v>70385954</v>
          </cell>
          <cell r="C6626" t="str">
            <v>奥妙 深层洁净洗衣粉 2.7KG</v>
          </cell>
          <cell r="D6626">
            <v>1070</v>
          </cell>
          <cell r="E6626">
            <v>25974.98</v>
          </cell>
          <cell r="F6626">
            <v>27.4315209345794</v>
          </cell>
        </row>
        <row r="6627">
          <cell r="B6627" t="str">
            <v>70385955</v>
          </cell>
          <cell r="C6627" t="str">
            <v>奥妙 除菌除螨洗衣粉 1.8KG</v>
          </cell>
          <cell r="D6627">
            <v>3709</v>
          </cell>
          <cell r="E6627">
            <v>50603.13</v>
          </cell>
          <cell r="F6627">
            <v>15.416968697762201</v>
          </cell>
        </row>
        <row r="6628">
          <cell r="B6628" t="str">
            <v>70385961</v>
          </cell>
          <cell r="C6628" t="str">
            <v>奥妙 彩漂液 680G</v>
          </cell>
          <cell r="D6628">
            <v>252</v>
          </cell>
          <cell r="E6628">
            <v>2554.88</v>
          </cell>
          <cell r="F6628">
            <v>11.456406349206301</v>
          </cell>
        </row>
        <row r="6629">
          <cell r="B6629" t="str">
            <v>70385964</v>
          </cell>
          <cell r="C6629" t="str">
            <v>DOMESTOS 长效洁净洁厕啫喱沧海星光香 600G</v>
          </cell>
          <cell r="D6629">
            <v>418</v>
          </cell>
          <cell r="E6629">
            <v>3887.66</v>
          </cell>
          <cell r="F6629">
            <v>10.509702870813401</v>
          </cell>
        </row>
        <row r="6630">
          <cell r="B6630" t="str">
            <v>70385965</v>
          </cell>
          <cell r="C6630" t="str">
            <v>DOMESTOS 长效洁净洁厕啫喱冰川山泉香 600G</v>
          </cell>
          <cell r="D6630">
            <v>305</v>
          </cell>
          <cell r="E6630">
            <v>2909.78</v>
          </cell>
          <cell r="F6630">
            <v>10.780496393442601</v>
          </cell>
        </row>
        <row r="6631">
          <cell r="B6631" t="str">
            <v>70386073</v>
          </cell>
          <cell r="C6631" t="str">
            <v>立白 全效馨香洗衣液 1000G</v>
          </cell>
          <cell r="D6631">
            <v>1262</v>
          </cell>
          <cell r="E6631">
            <v>15991.02</v>
          </cell>
          <cell r="F6631">
            <v>14.3184251980983</v>
          </cell>
        </row>
        <row r="6632">
          <cell r="B6632" t="str">
            <v>70386075</v>
          </cell>
          <cell r="C6632" t="str">
            <v>立白 天然皂液椰子油 2.38kg</v>
          </cell>
          <cell r="D6632">
            <v>222</v>
          </cell>
          <cell r="E6632">
            <v>7541.38</v>
          </cell>
          <cell r="F6632">
            <v>38.386303603603601</v>
          </cell>
        </row>
        <row r="6633">
          <cell r="B6633" t="str">
            <v>70386390</v>
          </cell>
          <cell r="C6633" t="str">
            <v>立白 超洁薰衣香洗衣液 1.95KG</v>
          </cell>
          <cell r="D6633">
            <v>724</v>
          </cell>
          <cell r="E6633">
            <v>14241.41</v>
          </cell>
          <cell r="F6633">
            <v>22.227615055248599</v>
          </cell>
        </row>
        <row r="6634">
          <cell r="B6634" t="str">
            <v>70386568</v>
          </cell>
          <cell r="C6634" t="str">
            <v>奥妙 酵素手洗洗衣液内衣专用 1KG</v>
          </cell>
          <cell r="D6634">
            <v>8</v>
          </cell>
          <cell r="E6634">
            <v>171.35</v>
          </cell>
          <cell r="F6634">
            <v>24.203187499999999</v>
          </cell>
        </row>
        <row r="6635">
          <cell r="B6635" t="str">
            <v>70413640</v>
          </cell>
          <cell r="C6635" t="str">
            <v>蓝月亮 内衣专用瓶 500G</v>
          </cell>
          <cell r="D6635">
            <v>12</v>
          </cell>
          <cell r="E6635">
            <v>411.62</v>
          </cell>
          <cell r="F6635">
            <v>38.760883333333297</v>
          </cell>
        </row>
        <row r="6636">
          <cell r="B6636" t="str">
            <v>70418876</v>
          </cell>
          <cell r="C6636" t="str">
            <v>大公鸡管家 马赛洗衣液(白苔香) (意大利进口) 1500ML</v>
          </cell>
          <cell r="D6636">
            <v>852</v>
          </cell>
          <cell r="E6636">
            <v>21428.25</v>
          </cell>
          <cell r="F6636">
            <v>28.420096830985901</v>
          </cell>
        </row>
        <row r="6637">
          <cell r="B6637" t="str">
            <v>70423133</v>
          </cell>
          <cell r="C6637" t="str">
            <v>威露士 抗菌有氧松木洗衣液 3KG</v>
          </cell>
          <cell r="D6637">
            <v>218</v>
          </cell>
          <cell r="E6637">
            <v>9607.5400000000009</v>
          </cell>
          <cell r="F6637">
            <v>49.800551376146799</v>
          </cell>
        </row>
        <row r="6638">
          <cell r="B6638" t="str">
            <v>70426878</v>
          </cell>
          <cell r="C6638" t="str">
            <v>威露士 衣物消毒液 3.6L</v>
          </cell>
          <cell r="D6638">
            <v>65</v>
          </cell>
          <cell r="E6638">
            <v>4227.22</v>
          </cell>
          <cell r="F6638">
            <v>73.488593846153805</v>
          </cell>
        </row>
        <row r="6639">
          <cell r="B6639" t="str">
            <v>70440870</v>
          </cell>
          <cell r="C6639" t="str">
            <v>CHANTE大公鸡管家 清洁剂马赛味 600ML</v>
          </cell>
          <cell r="D6639">
            <v>375</v>
          </cell>
          <cell r="E6639">
            <v>6505.09</v>
          </cell>
          <cell r="F6639">
            <v>19.6020045333333</v>
          </cell>
        </row>
        <row r="6640">
          <cell r="B6640" t="str">
            <v>70445583</v>
          </cell>
          <cell r="C6640" t="str">
            <v>金纺 Y23纯净温和(瓶内送) (3KG＋800G)</v>
          </cell>
          <cell r="D6640">
            <v>580</v>
          </cell>
          <cell r="E6640">
            <v>17326.45</v>
          </cell>
          <cell r="F6640">
            <v>33.756704310344801</v>
          </cell>
        </row>
        <row r="6641">
          <cell r="B6641" t="str">
            <v>70445584</v>
          </cell>
          <cell r="C6641" t="str">
            <v>金纺 衣物护理剂怡神薰衣草 950g</v>
          </cell>
          <cell r="D6641">
            <v>858</v>
          </cell>
          <cell r="E6641">
            <v>8417.0499999999993</v>
          </cell>
          <cell r="F6641">
            <v>11.0853921911422</v>
          </cell>
        </row>
        <row r="6642">
          <cell r="B6642" t="str">
            <v>70445586</v>
          </cell>
          <cell r="C6642" t="str">
            <v>昆仑好客联合利华 金纺焕新护衣留香珠薰衣草＋香紫苏 200G</v>
          </cell>
          <cell r="D6642">
            <v>561</v>
          </cell>
          <cell r="E6642">
            <v>14341.13</v>
          </cell>
          <cell r="F6642">
            <v>28.8867680926916</v>
          </cell>
        </row>
        <row r="6643">
          <cell r="B6643" t="str">
            <v>70445588</v>
          </cell>
          <cell r="C6643" t="str">
            <v>昆仑好客联合利华 奥妙自然工坊樱花柔护洗衣凝珠 216G</v>
          </cell>
          <cell r="D6643">
            <v>680</v>
          </cell>
          <cell r="E6643">
            <v>14240.13</v>
          </cell>
          <cell r="F6643">
            <v>23.663745441176498</v>
          </cell>
        </row>
        <row r="6644">
          <cell r="B6644" t="str">
            <v>70446530</v>
          </cell>
          <cell r="C6644" t="str">
            <v>昆仑好客蓝月亮 亮白薰衣草洗衣液 1.08KG</v>
          </cell>
          <cell r="D6644">
            <v>1948</v>
          </cell>
          <cell r="E6644">
            <v>27757.17</v>
          </cell>
          <cell r="F6644">
            <v>16.101438449692001</v>
          </cell>
        </row>
        <row r="6645">
          <cell r="B6645" t="str">
            <v>70446531</v>
          </cell>
          <cell r="C6645" t="str">
            <v>昆仑好客蓝月亮 亮白薰衣草洗衣液 3.08KG</v>
          </cell>
          <cell r="D6645">
            <v>2758</v>
          </cell>
          <cell r="E6645">
            <v>99706.07</v>
          </cell>
          <cell r="F6645">
            <v>40.851290464104402</v>
          </cell>
        </row>
        <row r="6646">
          <cell r="B6646" t="str">
            <v>70447422</v>
          </cell>
          <cell r="C6646" t="str">
            <v>益海嘉里 洁劲100薰香呵护洗衣液 2KG</v>
          </cell>
          <cell r="D6646">
            <v>2</v>
          </cell>
          <cell r="E6646">
            <v>28.32</v>
          </cell>
          <cell r="F6646">
            <v>16.000800000000002</v>
          </cell>
        </row>
        <row r="6647">
          <cell r="B6647" t="str">
            <v>70447425</v>
          </cell>
          <cell r="C6647" t="str">
            <v>益海嘉里 洁劲100薄荷百香洗洁精 1.1KG</v>
          </cell>
          <cell r="D6647">
            <v>1010</v>
          </cell>
          <cell r="E6647">
            <v>8468.32</v>
          </cell>
          <cell r="F6647">
            <v>9.47445702970297</v>
          </cell>
        </row>
        <row r="6648">
          <cell r="B6648" t="str">
            <v>70451230</v>
          </cell>
          <cell r="C6648" t="str">
            <v>昆仑好客立白 超洁薰衣香天然酵素洗衣液 3KG</v>
          </cell>
          <cell r="D6648">
            <v>331</v>
          </cell>
          <cell r="E6648">
            <v>11373.94</v>
          </cell>
          <cell r="F6648">
            <v>38.829462839879099</v>
          </cell>
        </row>
        <row r="6649">
          <cell r="B6649" t="str">
            <v>70452913</v>
          </cell>
          <cell r="C6649" t="str">
            <v>联合利华 奥妙自然工坊除菌养护洗衣露(2KG＋650G) 2.65KG</v>
          </cell>
          <cell r="D6649">
            <v>315</v>
          </cell>
          <cell r="E6649">
            <v>10455.23</v>
          </cell>
          <cell r="F6649">
            <v>37.506063174603199</v>
          </cell>
        </row>
        <row r="6650">
          <cell r="B6650" t="str">
            <v>70456471</v>
          </cell>
          <cell r="C6650" t="str">
            <v>滴露 衣服除菌液（清新柠檬） 1.5L</v>
          </cell>
          <cell r="D6650">
            <v>111</v>
          </cell>
          <cell r="E6650">
            <v>4263.51</v>
          </cell>
          <cell r="F6650">
            <v>43.403300000000002</v>
          </cell>
        </row>
        <row r="6651">
          <cell r="B6651" t="str">
            <v>70456475</v>
          </cell>
          <cell r="C6651" t="str">
            <v>滴露 衣服除菌液（舒缓薰衣草） 1.5L</v>
          </cell>
          <cell r="D6651">
            <v>42</v>
          </cell>
          <cell r="E6651">
            <v>1430.27</v>
          </cell>
          <cell r="F6651">
            <v>38.481073809523799</v>
          </cell>
        </row>
        <row r="6652">
          <cell r="B6652" t="str">
            <v>70456478</v>
          </cell>
          <cell r="C6652" t="str">
            <v>滴露 消毒液 750ML</v>
          </cell>
          <cell r="D6652">
            <v>97</v>
          </cell>
          <cell r="E6652">
            <v>4239.47</v>
          </cell>
          <cell r="F6652">
            <v>49.387640206185601</v>
          </cell>
        </row>
        <row r="6653">
          <cell r="B6653" t="str">
            <v>70466077</v>
          </cell>
          <cell r="C6653" t="str">
            <v>蓝月亮 洗衣机清洁剂 600G</v>
          </cell>
          <cell r="D6653">
            <v>339</v>
          </cell>
          <cell r="E6653">
            <v>5556.03</v>
          </cell>
          <cell r="F6653">
            <v>18.520099999999999</v>
          </cell>
        </row>
        <row r="6654">
          <cell r="B6654" t="str">
            <v>70466078</v>
          </cell>
          <cell r="C6654" t="str">
            <v>蓝月亮 运动型洗衣液翻盖装 500G</v>
          </cell>
          <cell r="D6654">
            <v>742</v>
          </cell>
          <cell r="E6654">
            <v>15275.98</v>
          </cell>
          <cell r="F6654">
            <v>23.263958760107801</v>
          </cell>
        </row>
        <row r="6655">
          <cell r="B6655" t="str">
            <v>70466079</v>
          </cell>
          <cell r="C6655" t="str">
            <v>蓝月亮 运动型洗衣液旅行装 80G</v>
          </cell>
          <cell r="D6655">
            <v>769</v>
          </cell>
          <cell r="E6655">
            <v>4842.5600000000004</v>
          </cell>
          <cell r="F6655">
            <v>7.1158553966189899</v>
          </cell>
        </row>
        <row r="6656">
          <cell r="B6656" t="str">
            <v>70468185</v>
          </cell>
          <cell r="C6656" t="str">
            <v>威露士 3X除菌洗衣液 3L</v>
          </cell>
          <cell r="D6656">
            <v>203</v>
          </cell>
          <cell r="E6656">
            <v>10279.75</v>
          </cell>
          <cell r="F6656">
            <v>57.222253694581298</v>
          </cell>
        </row>
        <row r="6657">
          <cell r="B6657" t="str">
            <v>70471008</v>
          </cell>
          <cell r="C6657" t="str">
            <v>澳克雅 香水酵素洗衣液 2L/桶</v>
          </cell>
          <cell r="D6657">
            <v>13</v>
          </cell>
          <cell r="E6657">
            <v>468.26</v>
          </cell>
          <cell r="F6657">
            <v>40.702599999999997</v>
          </cell>
        </row>
        <row r="6658">
          <cell r="B6658" t="str">
            <v>70473235</v>
          </cell>
          <cell r="C6658" t="str">
            <v>立白 大师香氛洗衣液 2KG</v>
          </cell>
          <cell r="D6658">
            <v>840</v>
          </cell>
          <cell r="E6658">
            <v>25255.21</v>
          </cell>
          <cell r="F6658">
            <v>33.974270595238103</v>
          </cell>
        </row>
        <row r="6659">
          <cell r="B6659" t="str">
            <v>70473877</v>
          </cell>
          <cell r="C6659" t="str">
            <v>好客蓝月亮 洁净薰衣草袋装洗衣液 500G</v>
          </cell>
          <cell r="D6659">
            <v>12119</v>
          </cell>
          <cell r="E6659">
            <v>55756.160000000003</v>
          </cell>
          <cell r="F6659">
            <v>5.1988168000660098</v>
          </cell>
        </row>
        <row r="6660">
          <cell r="B6660" t="str">
            <v>70483894</v>
          </cell>
          <cell r="C6660" t="str">
            <v>隆力奇 柠檬洗洁精 500G</v>
          </cell>
          <cell r="D6660">
            <v>2163</v>
          </cell>
          <cell r="E6660">
            <v>10051.879999999999</v>
          </cell>
          <cell r="F6660">
            <v>5.2513288950531702</v>
          </cell>
        </row>
        <row r="6661">
          <cell r="B6661" t="str">
            <v>70483957</v>
          </cell>
          <cell r="C6661" t="str">
            <v>隆力奇 深层洁净洗衣粉 500G</v>
          </cell>
          <cell r="D6661">
            <v>2443</v>
          </cell>
          <cell r="E6661">
            <v>14821.93</v>
          </cell>
          <cell r="F6661">
            <v>6.85582517396643</v>
          </cell>
        </row>
        <row r="6662">
          <cell r="B6662" t="str">
            <v>70483963</v>
          </cell>
          <cell r="C6662" t="str">
            <v>隆力奇 薰衣芳芬洗衣粉 1KG</v>
          </cell>
          <cell r="D6662">
            <v>1083</v>
          </cell>
          <cell r="E6662">
            <v>12235.05</v>
          </cell>
          <cell r="F6662">
            <v>12.7660263157895</v>
          </cell>
        </row>
        <row r="6663">
          <cell r="B6663" t="str">
            <v>70484271</v>
          </cell>
          <cell r="C6663" t="str">
            <v>滴露 4合1除菌洗衣凝珠 18颗</v>
          </cell>
          <cell r="D6663">
            <v>2</v>
          </cell>
          <cell r="E6663">
            <v>88.37</v>
          </cell>
          <cell r="F6663">
            <v>49.929049999999997</v>
          </cell>
        </row>
        <row r="6664">
          <cell r="B6664" t="str">
            <v>70484272</v>
          </cell>
          <cell r="C6664" t="str">
            <v>隆力奇 柠檬洗洁精 1.5KG</v>
          </cell>
          <cell r="D6664">
            <v>752</v>
          </cell>
          <cell r="E6664">
            <v>7536.8</v>
          </cell>
          <cell r="F6664">
            <v>11.3252446808511</v>
          </cell>
        </row>
        <row r="6665">
          <cell r="B6665" t="str">
            <v>70484273</v>
          </cell>
          <cell r="C6665" t="str">
            <v>隆力奇 柠檬洗洁精 1.1KG</v>
          </cell>
          <cell r="D6665">
            <v>142</v>
          </cell>
          <cell r="E6665">
            <v>1295.75</v>
          </cell>
          <cell r="F6665">
            <v>10.311249999999999</v>
          </cell>
        </row>
        <row r="6666">
          <cell r="B6666" t="str">
            <v>70484274</v>
          </cell>
          <cell r="C6666" t="str">
            <v>隆力奇 洁净洗衣液(薰衣草香型) 3KG</v>
          </cell>
          <cell r="D6666">
            <v>219</v>
          </cell>
          <cell r="E6666">
            <v>8529.51</v>
          </cell>
          <cell r="F6666">
            <v>44.010713698630099</v>
          </cell>
        </row>
        <row r="6667">
          <cell r="B6667" t="str">
            <v>70484275</v>
          </cell>
          <cell r="C6667" t="str">
            <v>隆力奇 洁净洗衣液(薰衣草香型) 2KG</v>
          </cell>
          <cell r="D6667">
            <v>146</v>
          </cell>
          <cell r="E6667">
            <v>4271.79</v>
          </cell>
          <cell r="F6667">
            <v>33.062484246575302</v>
          </cell>
        </row>
        <row r="6668">
          <cell r="B6668" t="str">
            <v>70484390</v>
          </cell>
          <cell r="C6668" t="str">
            <v>隆力奇 洁净洗衣液(薰衣草香型) 1KG</v>
          </cell>
          <cell r="D6668">
            <v>184</v>
          </cell>
          <cell r="E6668">
            <v>3260.29</v>
          </cell>
          <cell r="F6668">
            <v>20.0224331521739</v>
          </cell>
        </row>
        <row r="6669">
          <cell r="B6669" t="str">
            <v>70484646</v>
          </cell>
          <cell r="C6669" t="str">
            <v>大公鸡 管家马桶清洁剂 625ML</v>
          </cell>
          <cell r="D6669">
            <v>310</v>
          </cell>
          <cell r="E6669">
            <v>7528.48</v>
          </cell>
          <cell r="F6669">
            <v>27.442523870967701</v>
          </cell>
        </row>
        <row r="6670">
          <cell r="B6670" t="str">
            <v>70486038</v>
          </cell>
          <cell r="C6670" t="str">
            <v>立白 御品海洋精华至彩炫白洗衣液 80G</v>
          </cell>
          <cell r="D6670">
            <v>504</v>
          </cell>
          <cell r="E6670">
            <v>2055.38</v>
          </cell>
          <cell r="F6670">
            <v>4.6082924603174602</v>
          </cell>
        </row>
        <row r="6671">
          <cell r="B6671" t="str">
            <v>70486044</v>
          </cell>
          <cell r="C6671" t="str">
            <v>立白 御品海洋精华智净护衣洗衣液 2KG</v>
          </cell>
          <cell r="D6671">
            <v>769</v>
          </cell>
          <cell r="E6671">
            <v>27329.69</v>
          </cell>
          <cell r="F6671">
            <v>40.1593624187256</v>
          </cell>
        </row>
        <row r="6672">
          <cell r="B6672" t="str">
            <v>70491540</v>
          </cell>
          <cell r="C6672" t="str">
            <v>大公鸡 衣领净喷雾 500ML</v>
          </cell>
          <cell r="D6672">
            <v>196</v>
          </cell>
          <cell r="E6672">
            <v>4777.66</v>
          </cell>
          <cell r="F6672">
            <v>27.5446724489796</v>
          </cell>
        </row>
        <row r="6673">
          <cell r="B6673" t="str">
            <v>70498494</v>
          </cell>
          <cell r="C6673" t="str">
            <v>斧头 多用途清洁剂 500G</v>
          </cell>
          <cell r="D6673">
            <v>1132</v>
          </cell>
          <cell r="E6673">
            <v>11952.99</v>
          </cell>
          <cell r="F6673">
            <v>11.931871643109501</v>
          </cell>
        </row>
        <row r="6674">
          <cell r="B6674" t="str">
            <v>70498505</v>
          </cell>
          <cell r="C6674" t="str">
            <v>斧头 六合一洗衣凝珠海洋清新 375G</v>
          </cell>
          <cell r="D6674">
            <v>196</v>
          </cell>
          <cell r="E6674">
            <v>6969.95</v>
          </cell>
          <cell r="F6674">
            <v>40.183895408163302</v>
          </cell>
        </row>
        <row r="6675">
          <cell r="B6675" t="str">
            <v>70498506</v>
          </cell>
          <cell r="C6675" t="str">
            <v>斧头 六合一洗衣凝珠泌甜鸳尾 400G</v>
          </cell>
          <cell r="D6675">
            <v>237</v>
          </cell>
          <cell r="E6675">
            <v>7797.33</v>
          </cell>
          <cell r="F6675">
            <v>37.177143037974702</v>
          </cell>
        </row>
        <row r="6676">
          <cell r="B6676" t="str">
            <v>70499230</v>
          </cell>
          <cell r="C6676" t="str">
            <v>斧头 多用途消毒液 1.6L</v>
          </cell>
          <cell r="D6676">
            <v>268</v>
          </cell>
          <cell r="E6676">
            <v>9138.99</v>
          </cell>
          <cell r="F6676">
            <v>38.533801119403002</v>
          </cell>
        </row>
        <row r="6677">
          <cell r="B6677" t="str">
            <v>70509086</v>
          </cell>
          <cell r="C6677" t="str">
            <v>氧净 厨房清洁氧颗粒 700G</v>
          </cell>
          <cell r="D6677">
            <v>45</v>
          </cell>
          <cell r="E6677">
            <v>513.83000000000004</v>
          </cell>
          <cell r="F6677">
            <v>12.902842222222199</v>
          </cell>
        </row>
        <row r="6678">
          <cell r="B6678" t="str">
            <v>70510900</v>
          </cell>
          <cell r="C6678" t="str">
            <v>花木星球 天然香氛洗衣液柔软亲肤 2KG</v>
          </cell>
          <cell r="D6678">
            <v>245</v>
          </cell>
          <cell r="E6678">
            <v>7282.29</v>
          </cell>
          <cell r="F6678">
            <v>33.587704897959199</v>
          </cell>
        </row>
        <row r="6679">
          <cell r="B6679" t="str">
            <v>70514377</v>
          </cell>
          <cell r="C6679" t="str">
            <v>隆力奇 酵素留香洗衣凝珠32颗装 320G</v>
          </cell>
          <cell r="D6679">
            <v>209</v>
          </cell>
          <cell r="E6679">
            <v>8235.1200000000008</v>
          </cell>
          <cell r="F6679">
            <v>44.5248114832536</v>
          </cell>
        </row>
        <row r="6680">
          <cell r="B6680" t="str">
            <v>70514522</v>
          </cell>
          <cell r="C6680" t="str">
            <v>亮湃 多效合一洁厕液活力海洋 750ML</v>
          </cell>
          <cell r="D6680">
            <v>32</v>
          </cell>
          <cell r="E6680">
            <v>713.42</v>
          </cell>
          <cell r="F6680">
            <v>25.192643749999998</v>
          </cell>
        </row>
        <row r="6681">
          <cell r="B6681" t="str">
            <v>70514523</v>
          </cell>
          <cell r="C6681" t="str">
            <v>滴露 渍无踪活氧亮白去渍粉 470G</v>
          </cell>
          <cell r="D6681">
            <v>12</v>
          </cell>
          <cell r="E6681">
            <v>460.79</v>
          </cell>
          <cell r="F6681">
            <v>43.391058333333298</v>
          </cell>
        </row>
        <row r="6682">
          <cell r="B6682" t="str">
            <v>70514552</v>
          </cell>
          <cell r="C6682" t="str">
            <v>蓝月亮 清新柠檬油污克星泡沫型 500G</v>
          </cell>
          <cell r="D6682">
            <v>4103</v>
          </cell>
          <cell r="E6682">
            <v>37592.39</v>
          </cell>
          <cell r="F6682">
            <v>10.3532538873995</v>
          </cell>
        </row>
        <row r="6683">
          <cell r="B6683" t="str">
            <v>70514553</v>
          </cell>
          <cell r="C6683" t="str">
            <v>滴露 3合1衣物柔顺除菌液阳光金盏花 1L</v>
          </cell>
          <cell r="D6683">
            <v>25</v>
          </cell>
          <cell r="E6683">
            <v>922.01</v>
          </cell>
          <cell r="F6683">
            <v>41.674852000000001</v>
          </cell>
        </row>
        <row r="6684">
          <cell r="B6684" t="str">
            <v>70516457</v>
          </cell>
          <cell r="C6684" t="str">
            <v>滴露 健康抑菌香皂滋润倍护 105G</v>
          </cell>
          <cell r="D6684">
            <v>247</v>
          </cell>
          <cell r="E6684">
            <v>994.64</v>
          </cell>
          <cell r="F6684">
            <v>4.5503773279352204</v>
          </cell>
        </row>
        <row r="6685">
          <cell r="B6685" t="str">
            <v>70519861</v>
          </cell>
          <cell r="C6685" t="str">
            <v>CHANTECLAIR大公鸡管家 香氛柔顺剂橙色橙花水仙花香型 瓶</v>
          </cell>
          <cell r="D6685">
            <v>4</v>
          </cell>
          <cell r="E6685">
            <v>107.56</v>
          </cell>
          <cell r="F6685">
            <v>30.3857</v>
          </cell>
        </row>
        <row r="6686">
          <cell r="B6686" t="str">
            <v>70519908</v>
          </cell>
          <cell r="C6686" t="str">
            <v>CHANTECLAIR大公鸡管家 污渍克星 瓶</v>
          </cell>
          <cell r="D6686">
            <v>85</v>
          </cell>
          <cell r="E6686">
            <v>2248.42</v>
          </cell>
          <cell r="F6686">
            <v>29.89076</v>
          </cell>
        </row>
        <row r="6687">
          <cell r="B6687" t="str">
            <v>70519982</v>
          </cell>
          <cell r="C6687" t="str">
            <v>CHANTECLAIR大公鸡管家 地板洁剂1000ML苹果花香味 瓶</v>
          </cell>
          <cell r="D6687">
            <v>273</v>
          </cell>
          <cell r="E6687">
            <v>7473.36</v>
          </cell>
          <cell r="F6687">
            <v>30.933687912087901</v>
          </cell>
        </row>
        <row r="6688">
          <cell r="B6688" t="str">
            <v>70520891</v>
          </cell>
          <cell r="C6688" t="str">
            <v>亮姬 贝舒婷衣物柔顺剂 2L</v>
          </cell>
          <cell r="D6688">
            <v>1282</v>
          </cell>
          <cell r="E6688">
            <v>16798.21</v>
          </cell>
          <cell r="F6688">
            <v>14.8065345553822</v>
          </cell>
        </row>
        <row r="6689">
          <cell r="B6689" t="str">
            <v>70521944</v>
          </cell>
          <cell r="C6689" t="str">
            <v>绿伞 蓝泡泡洁厕宝 50G*5</v>
          </cell>
          <cell r="D6689">
            <v>13</v>
          </cell>
          <cell r="E6689">
            <v>203.9</v>
          </cell>
          <cell r="F6689">
            <v>17.7236153846154</v>
          </cell>
        </row>
        <row r="6690">
          <cell r="B6690" t="str">
            <v>70523744</v>
          </cell>
          <cell r="C6690" t="str">
            <v>金号 懒人抹布25*25*50段 条</v>
          </cell>
          <cell r="D6690">
            <v>13</v>
          </cell>
          <cell r="E6690">
            <v>88.01</v>
          </cell>
          <cell r="F6690">
            <v>7.6501000000000001</v>
          </cell>
        </row>
        <row r="6691">
          <cell r="B6691" t="str">
            <v>70523898</v>
          </cell>
          <cell r="C6691" t="str">
            <v>金号 懒人抹布25*25*30段 条</v>
          </cell>
          <cell r="D6691">
            <v>14</v>
          </cell>
          <cell r="E6691">
            <v>51.81</v>
          </cell>
          <cell r="F6691">
            <v>4.1818071428571404</v>
          </cell>
        </row>
        <row r="6692">
          <cell r="B6692" t="str">
            <v>70524275</v>
          </cell>
          <cell r="C6692" t="str">
            <v>立白 好爸爸果蔬餐具净(除油除味) 1KG</v>
          </cell>
          <cell r="D6692">
            <v>96</v>
          </cell>
          <cell r="E6692">
            <v>1207.95</v>
          </cell>
          <cell r="F6692">
            <v>14.218578125000001</v>
          </cell>
        </row>
        <row r="6693">
          <cell r="B6693" t="str">
            <v>70524452</v>
          </cell>
          <cell r="C6693" t="str">
            <v>立白 大师香氛天然洗衣凝珠 300G</v>
          </cell>
          <cell r="D6693">
            <v>139</v>
          </cell>
          <cell r="E6693">
            <v>5136.45</v>
          </cell>
          <cell r="F6693">
            <v>41.756751798561098</v>
          </cell>
        </row>
        <row r="6694">
          <cell r="B6694" t="str">
            <v>70524472</v>
          </cell>
          <cell r="C6694" t="str">
            <v>蓝月亮 洗衣套组 5KG</v>
          </cell>
          <cell r="D6694">
            <v>4</v>
          </cell>
          <cell r="E6694">
            <v>218.09</v>
          </cell>
          <cell r="F6694">
            <v>61.610424999999999</v>
          </cell>
        </row>
        <row r="6695">
          <cell r="B6695" t="str">
            <v>70528144</v>
          </cell>
          <cell r="C6695" t="str">
            <v>洁劲100 衣物除菌液 1KG</v>
          </cell>
          <cell r="D6695">
            <v>10</v>
          </cell>
          <cell r="E6695">
            <v>212.4</v>
          </cell>
          <cell r="F6695">
            <v>24.001200000000001</v>
          </cell>
        </row>
        <row r="6696">
          <cell r="B6696" t="str">
            <v>70532591</v>
          </cell>
          <cell r="C6696" t="str">
            <v>滴露 衣物除菌液 柠檬 3L</v>
          </cell>
          <cell r="D6696">
            <v>30</v>
          </cell>
          <cell r="E6696">
            <v>2149.89</v>
          </cell>
          <cell r="F6696">
            <v>80.979190000000003</v>
          </cell>
        </row>
        <row r="6697">
          <cell r="B6697" t="str">
            <v>70534611</v>
          </cell>
          <cell r="C6697" t="str">
            <v>洁劲100 超效洗衣皂 190G</v>
          </cell>
          <cell r="D6697">
            <v>26</v>
          </cell>
          <cell r="E6697">
            <v>184.08</v>
          </cell>
          <cell r="F6697">
            <v>8.0004000000000008</v>
          </cell>
        </row>
        <row r="6698">
          <cell r="B6698" t="str">
            <v>70534662</v>
          </cell>
          <cell r="C6698" t="str">
            <v>洁劲100 冷水全效洗衣粉 3KG</v>
          </cell>
          <cell r="D6698">
            <v>737</v>
          </cell>
          <cell r="E6698">
            <v>16348.4</v>
          </cell>
          <cell r="F6698">
            <v>25.0660678426052</v>
          </cell>
        </row>
        <row r="6699">
          <cell r="B6699" t="str">
            <v>70534742</v>
          </cell>
          <cell r="C6699" t="str">
            <v>洁劲100 香橙除油洗洁精 1.12KG</v>
          </cell>
          <cell r="D6699">
            <v>1013</v>
          </cell>
          <cell r="E6699">
            <v>8051.66</v>
          </cell>
          <cell r="F6699">
            <v>8.9816148075024707</v>
          </cell>
        </row>
        <row r="6700">
          <cell r="B6700" t="str">
            <v>70534783</v>
          </cell>
          <cell r="C6700" t="str">
            <v>洁劲100 酵素洗衣凝珠 500G</v>
          </cell>
          <cell r="D6700">
            <v>5</v>
          </cell>
          <cell r="E6700">
            <v>137.16999999999999</v>
          </cell>
          <cell r="F6700">
            <v>31.000419999999998</v>
          </cell>
        </row>
        <row r="6701">
          <cell r="B6701" t="str">
            <v>70534785</v>
          </cell>
          <cell r="C6701" t="str">
            <v>洁劲100 薰香呵护洗衣液 2.8KG</v>
          </cell>
          <cell r="D6701">
            <v>42</v>
          </cell>
          <cell r="E6701">
            <v>2095.6799999999998</v>
          </cell>
          <cell r="F6701">
            <v>56.3837714285714</v>
          </cell>
        </row>
        <row r="6702">
          <cell r="B6702" t="str">
            <v>70534786</v>
          </cell>
          <cell r="C6702" t="str">
            <v>洁劲100 植物皂粉 1.6KG</v>
          </cell>
          <cell r="D6702">
            <v>9</v>
          </cell>
          <cell r="E6702">
            <v>199.16</v>
          </cell>
          <cell r="F6702">
            <v>25.0056444444444</v>
          </cell>
        </row>
        <row r="6703">
          <cell r="B6703" t="str">
            <v>70534798</v>
          </cell>
          <cell r="C6703" t="str">
            <v>洁劲100 橄榄洗洁精 1.1KG</v>
          </cell>
          <cell r="D6703">
            <v>31</v>
          </cell>
          <cell r="E6703">
            <v>507.58</v>
          </cell>
          <cell r="F6703">
            <v>18.502109677419401</v>
          </cell>
        </row>
        <row r="6704">
          <cell r="B6704" t="str">
            <v>70534924</v>
          </cell>
          <cell r="C6704" t="str">
            <v>威露士 亮净洗衣槽清洗剂 500G</v>
          </cell>
          <cell r="D6704">
            <v>1</v>
          </cell>
          <cell r="E6704">
            <v>17.260000000000002</v>
          </cell>
          <cell r="F6704">
            <v>19.503799999999998</v>
          </cell>
        </row>
        <row r="6705">
          <cell r="B6705" t="str">
            <v>70534943</v>
          </cell>
          <cell r="C6705" t="str">
            <v>PWU朴物 香氛柔顺剂橙光玫瑰 900ML</v>
          </cell>
          <cell r="D6705">
            <v>25</v>
          </cell>
          <cell r="E6705">
            <v>542.41</v>
          </cell>
          <cell r="F6705">
            <v>24.516932000000001</v>
          </cell>
        </row>
        <row r="6706">
          <cell r="B6706" t="str">
            <v>70534946</v>
          </cell>
          <cell r="C6706" t="str">
            <v>PWU朴物 香氛洗衣液橙光玫瑰 2.8KG</v>
          </cell>
          <cell r="D6706">
            <v>135</v>
          </cell>
          <cell r="E6706">
            <v>4209.13</v>
          </cell>
          <cell r="F6706">
            <v>35.231977037036998</v>
          </cell>
        </row>
        <row r="6707">
          <cell r="B6707" t="str">
            <v>70534950</v>
          </cell>
          <cell r="C6707" t="str">
            <v>PWU朴物 香氛洗衣凝珠 336G</v>
          </cell>
          <cell r="D6707">
            <v>260</v>
          </cell>
          <cell r="E6707">
            <v>4637.58</v>
          </cell>
          <cell r="F6707">
            <v>20.1556361538461</v>
          </cell>
        </row>
        <row r="6708">
          <cell r="B6708" t="str">
            <v>70534954</v>
          </cell>
          <cell r="C6708" t="str">
            <v>PWU朴物 香氛洗衣液珞珈樱花 2KG</v>
          </cell>
          <cell r="D6708">
            <v>131</v>
          </cell>
          <cell r="E6708">
            <v>2793</v>
          </cell>
          <cell r="F6708">
            <v>24.0922900763359</v>
          </cell>
        </row>
        <row r="6709">
          <cell r="B6709" t="str">
            <v>70534958</v>
          </cell>
          <cell r="C6709" t="str">
            <v>PWU朴物 内衣洗衣液橙光玫瑰 450ML</v>
          </cell>
          <cell r="D6709">
            <v>37</v>
          </cell>
          <cell r="E6709">
            <v>715.53</v>
          </cell>
          <cell r="F6709">
            <v>21.852672972973</v>
          </cell>
        </row>
        <row r="6710">
          <cell r="B6710" t="str">
            <v>70535951</v>
          </cell>
          <cell r="C6710" t="str">
            <v>绿伞 生物长效除臭剂 500G</v>
          </cell>
          <cell r="D6710">
            <v>11</v>
          </cell>
          <cell r="E6710">
            <v>284.35000000000002</v>
          </cell>
          <cell r="F6710">
            <v>29.2105</v>
          </cell>
        </row>
        <row r="6711">
          <cell r="B6711" t="str">
            <v>70536052</v>
          </cell>
          <cell r="C6711" t="str">
            <v>速牌先生 油污净 750G</v>
          </cell>
          <cell r="D6711">
            <v>51</v>
          </cell>
          <cell r="E6711">
            <v>943.39</v>
          </cell>
          <cell r="F6711">
            <v>20.902562745097999</v>
          </cell>
        </row>
        <row r="6712">
          <cell r="B6712" t="str">
            <v>70536062</v>
          </cell>
          <cell r="C6712" t="str">
            <v>速牌先生 浴室清洁剂 750G</v>
          </cell>
          <cell r="D6712">
            <v>13</v>
          </cell>
          <cell r="E6712">
            <v>240.48</v>
          </cell>
          <cell r="F6712">
            <v>20.9032615384615</v>
          </cell>
        </row>
        <row r="6713">
          <cell r="B6713" t="str">
            <v>70536072</v>
          </cell>
          <cell r="C6713" t="str">
            <v>速牌先生 管道通 500G</v>
          </cell>
          <cell r="D6713">
            <v>123</v>
          </cell>
          <cell r="E6713">
            <v>1523.95</v>
          </cell>
          <cell r="F6713">
            <v>14.0005162601626</v>
          </cell>
        </row>
        <row r="6714">
          <cell r="B6714" t="str">
            <v>70536073</v>
          </cell>
          <cell r="C6714" t="str">
            <v>速牌先生 洗衣机槽清洁剂 500G</v>
          </cell>
          <cell r="D6714">
            <v>67</v>
          </cell>
          <cell r="E6714">
            <v>830.12</v>
          </cell>
          <cell r="F6714">
            <v>14.000531343283599</v>
          </cell>
        </row>
        <row r="6715">
          <cell r="B6715" t="str">
            <v>70536074</v>
          </cell>
          <cell r="C6715" t="str">
            <v>速牌先生 留香大师洗衣液 4.5KG</v>
          </cell>
          <cell r="D6715">
            <v>5</v>
          </cell>
          <cell r="E6715">
            <v>231.2</v>
          </cell>
          <cell r="F6715">
            <v>52.251199999999997</v>
          </cell>
        </row>
        <row r="6716">
          <cell r="B6716" t="str">
            <v>70536075</v>
          </cell>
          <cell r="C6716" t="str">
            <v>速牌先生 内衣洗衣皂液 500G</v>
          </cell>
          <cell r="D6716">
            <v>66</v>
          </cell>
          <cell r="E6716">
            <v>1220.81</v>
          </cell>
          <cell r="F6716">
            <v>20.901746969697001</v>
          </cell>
        </row>
        <row r="6717">
          <cell r="B6717" t="str">
            <v>70536076</v>
          </cell>
          <cell r="C6717" t="str">
            <v>速牌先生 洁厕剂 750G</v>
          </cell>
          <cell r="D6717">
            <v>52</v>
          </cell>
          <cell r="E6717">
            <v>644.79999999999995</v>
          </cell>
          <cell r="F6717">
            <v>14.012</v>
          </cell>
        </row>
        <row r="6718">
          <cell r="B6718" t="str">
            <v>70536077</v>
          </cell>
          <cell r="C6718" t="str">
            <v>速牌先生 地板净 500G</v>
          </cell>
          <cell r="D6718">
            <v>40</v>
          </cell>
          <cell r="E6718">
            <v>496</v>
          </cell>
          <cell r="F6718">
            <v>14.012</v>
          </cell>
        </row>
        <row r="6719">
          <cell r="B6719" t="str">
            <v>70538226</v>
          </cell>
          <cell r="C6719" t="str">
            <v>斧头 柠檬玻尿酸护肤洗洁精 1KG</v>
          </cell>
          <cell r="D6719">
            <v>27</v>
          </cell>
          <cell r="E6719">
            <v>805.1</v>
          </cell>
          <cell r="F6719">
            <v>33.694925925925901</v>
          </cell>
        </row>
        <row r="6720">
          <cell r="B6720" t="str">
            <v>70543439</v>
          </cell>
          <cell r="C6720" t="str">
            <v>金纺 Y24衣物护理剂型色紫 2KG＋600G</v>
          </cell>
          <cell r="D6720">
            <v>101</v>
          </cell>
          <cell r="E6720">
            <v>2418.33</v>
          </cell>
          <cell r="F6720">
            <v>27.056563366336601</v>
          </cell>
        </row>
        <row r="6721">
          <cell r="B6721" t="str">
            <v>70543469</v>
          </cell>
          <cell r="C6721" t="str">
            <v>奥妙 酵素餐具净橙花小青柑香型 1KG</v>
          </cell>
          <cell r="D6721">
            <v>172</v>
          </cell>
          <cell r="E6721">
            <v>2010.1</v>
          </cell>
          <cell r="F6721">
            <v>13.205889534883701</v>
          </cell>
        </row>
        <row r="6722">
          <cell r="B6722" t="str">
            <v>70543477</v>
          </cell>
          <cell r="C6722" t="str">
            <v>奥妙 香氛洗衣液玫瑰山茶花香(袋装) 100G</v>
          </cell>
          <cell r="D6722">
            <v>124</v>
          </cell>
          <cell r="E6722">
            <v>369.93</v>
          </cell>
          <cell r="F6722">
            <v>3.3711362903225801</v>
          </cell>
        </row>
        <row r="6723">
          <cell r="B6723" t="str">
            <v>70543509</v>
          </cell>
          <cell r="C6723" t="str">
            <v>奥妙 香氛洗衣液玫瑰山茶花香 2KG</v>
          </cell>
          <cell r="D6723">
            <v>250</v>
          </cell>
          <cell r="E6723">
            <v>5995.48</v>
          </cell>
          <cell r="F6723">
            <v>27.099569599999999</v>
          </cell>
        </row>
        <row r="6724">
          <cell r="B6724" t="str">
            <v>70543510</v>
          </cell>
          <cell r="C6724" t="str">
            <v>奥妙 快洗洗衣液洁净柔软 2KG</v>
          </cell>
          <cell r="D6724">
            <v>1588</v>
          </cell>
          <cell r="E6724">
            <v>37348.22</v>
          </cell>
          <cell r="F6724">
            <v>26.5765041561713</v>
          </cell>
        </row>
        <row r="6725">
          <cell r="B6725" t="str">
            <v>70547714</v>
          </cell>
          <cell r="C6725" t="str">
            <v>昍洁 抽绳垃圾袋（环保家庭装） 个</v>
          </cell>
          <cell r="D6725">
            <v>0</v>
          </cell>
          <cell r="E6725">
            <v>0</v>
          </cell>
          <cell r="F6725" t="e">
            <v>#DIV/0!</v>
          </cell>
        </row>
        <row r="6726">
          <cell r="B6726" t="str">
            <v>70550100</v>
          </cell>
          <cell r="C6726" t="str">
            <v>MEMBER'SMARK 多效酵素洗衣液 10KG</v>
          </cell>
          <cell r="D6726">
            <v>189</v>
          </cell>
          <cell r="E6726">
            <v>13162.73</v>
          </cell>
          <cell r="F6726">
            <v>78.697803703703698</v>
          </cell>
        </row>
        <row r="6727">
          <cell r="B6727" t="str">
            <v>70550315</v>
          </cell>
          <cell r="C6727" t="str">
            <v>MEMBER'SMARK 小苏打洗洁精 1KG</v>
          </cell>
          <cell r="D6727">
            <v>2</v>
          </cell>
          <cell r="E6727">
            <v>65.319999999999993</v>
          </cell>
          <cell r="F6727">
            <v>36.905799999999999</v>
          </cell>
        </row>
        <row r="6728">
          <cell r="B6728" t="str">
            <v>70556726</v>
          </cell>
          <cell r="C6728" t="str">
            <v>BSUTIN贝舒婷 天然玫瑰植物精油皂 63G</v>
          </cell>
          <cell r="D6728">
            <v>173</v>
          </cell>
          <cell r="E6728">
            <v>1133.1300000000001</v>
          </cell>
          <cell r="F6728">
            <v>7.4013693641618499</v>
          </cell>
        </row>
        <row r="6729">
          <cell r="B6729" t="str">
            <v>70556861</v>
          </cell>
          <cell r="C6729" t="str">
            <v>BSUTIN贝舒婷 高效洁净芳香芳香洗衣液 5L</v>
          </cell>
          <cell r="D6729">
            <v>1652</v>
          </cell>
          <cell r="E6729">
            <v>33652.03</v>
          </cell>
          <cell r="F6729">
            <v>23.018640375302699</v>
          </cell>
        </row>
        <row r="6730">
          <cell r="B6730" t="str">
            <v>70556862</v>
          </cell>
          <cell r="C6730" t="str">
            <v>BSUTIN贝舒婷 高效玫瑰精油香氛洗衣粉 4.88KG</v>
          </cell>
          <cell r="D6730">
            <v>961</v>
          </cell>
          <cell r="E6730">
            <v>26386.85</v>
          </cell>
          <cell r="F6730">
            <v>31.027201352757501</v>
          </cell>
        </row>
        <row r="6731">
          <cell r="B6731" t="str">
            <v>70556863</v>
          </cell>
          <cell r="C6731" t="str">
            <v>BSUTIN贝舒婷 高效玫瑰精油香氛洗衣粉 2KG</v>
          </cell>
          <cell r="D6731">
            <v>1989</v>
          </cell>
          <cell r="E6731">
            <v>25550.080000000002</v>
          </cell>
          <cell r="F6731">
            <v>14.5156311714429</v>
          </cell>
        </row>
        <row r="6732">
          <cell r="B6732" t="str">
            <v>70556864</v>
          </cell>
          <cell r="C6732" t="str">
            <v>BSUTIN贝舒婷 爆炸盐 1000ML</v>
          </cell>
          <cell r="D6732">
            <v>882</v>
          </cell>
          <cell r="E6732">
            <v>11558.32</v>
          </cell>
          <cell r="F6732">
            <v>14.8082784580499</v>
          </cell>
        </row>
        <row r="6733">
          <cell r="B6733" t="str">
            <v>70556865</v>
          </cell>
          <cell r="C6733" t="str">
            <v>BSUTIN贝舒婷 植物洗衣皂 300G</v>
          </cell>
          <cell r="D6733">
            <v>2107</v>
          </cell>
          <cell r="E6733">
            <v>13830.46</v>
          </cell>
          <cell r="F6733">
            <v>7.4173800664451797</v>
          </cell>
        </row>
        <row r="6734">
          <cell r="B6734" t="str">
            <v>70556867</v>
          </cell>
          <cell r="C6734" t="str">
            <v>BSUTIN贝舒婷 衣领净 500ML</v>
          </cell>
          <cell r="D6734">
            <v>924</v>
          </cell>
          <cell r="E6734">
            <v>6054.21</v>
          </cell>
          <cell r="F6734">
            <v>7.4039581168831203</v>
          </cell>
        </row>
        <row r="6735">
          <cell r="B6735" t="str">
            <v>70556992</v>
          </cell>
          <cell r="C6735" t="str">
            <v>BSUTIN贝舒婷 柠檬祛腥洗洁精 1.08KG</v>
          </cell>
          <cell r="D6735">
            <v>2022</v>
          </cell>
          <cell r="E6735">
            <v>13252.86</v>
          </cell>
          <cell r="F6735">
            <v>7.4063955489614202</v>
          </cell>
        </row>
        <row r="6736">
          <cell r="B6736" t="str">
            <v>70556993</v>
          </cell>
          <cell r="C6736" t="str">
            <v>BSUTIN贝舒婷 洁厕剂 500ML</v>
          </cell>
          <cell r="D6736">
            <v>1077</v>
          </cell>
          <cell r="E6736">
            <v>7056.4</v>
          </cell>
          <cell r="F6736">
            <v>7.4036508820798499</v>
          </cell>
        </row>
        <row r="6737">
          <cell r="B6737" t="str">
            <v>70556994</v>
          </cell>
          <cell r="C6737" t="str">
            <v>BSUTIN贝舒婷 重油清洁剂 500ML</v>
          </cell>
          <cell r="D6737">
            <v>972</v>
          </cell>
          <cell r="E6737">
            <v>6367.09</v>
          </cell>
          <cell r="F6737">
            <v>7.4020696502057604</v>
          </cell>
        </row>
        <row r="6738">
          <cell r="B6738" t="str">
            <v>70574316</v>
          </cell>
          <cell r="C6738" t="str">
            <v>花王 洗洁精西柚香型 220ML</v>
          </cell>
          <cell r="D6738">
            <v>15</v>
          </cell>
          <cell r="E6738">
            <v>360.5</v>
          </cell>
          <cell r="F6738">
            <v>27.157666666666699</v>
          </cell>
        </row>
        <row r="6739">
          <cell r="B6739" t="str">
            <v>70575691</v>
          </cell>
          <cell r="C6739" t="str">
            <v>MM 衣物柔顺剂 5KG</v>
          </cell>
          <cell r="D6739">
            <v>84</v>
          </cell>
          <cell r="E6739">
            <v>3595.2</v>
          </cell>
          <cell r="F6739">
            <v>48.363999999999997</v>
          </cell>
        </row>
        <row r="6740">
          <cell r="B6740" t="str">
            <v>70577195</v>
          </cell>
          <cell r="C6740" t="str">
            <v>大公鸡 浓缩洗洁精（香橙味） 500ML</v>
          </cell>
          <cell r="D6740">
            <v>32</v>
          </cell>
          <cell r="E6740">
            <v>355.17</v>
          </cell>
          <cell r="F6740">
            <v>12.541940625000001</v>
          </cell>
        </row>
        <row r="6741">
          <cell r="B6741" t="str">
            <v>70577837</v>
          </cell>
          <cell r="C6741" t="str">
            <v>滴露 衣物除菌液经典松木 3L*1瓶</v>
          </cell>
          <cell r="D6741">
            <v>36</v>
          </cell>
          <cell r="E6741">
            <v>2313.42</v>
          </cell>
          <cell r="F6741">
            <v>72.615683333333294</v>
          </cell>
        </row>
        <row r="6742">
          <cell r="B6742" t="str">
            <v>70578238</v>
          </cell>
          <cell r="C6742" t="str">
            <v>滴露 衣物除菌液薰衣草 3L*1瓶</v>
          </cell>
          <cell r="D6742">
            <v>5</v>
          </cell>
          <cell r="E6742">
            <v>305.62</v>
          </cell>
          <cell r="F6742">
            <v>69.070120000000003</v>
          </cell>
        </row>
        <row r="6743">
          <cell r="B6743" t="str">
            <v>70639556</v>
          </cell>
          <cell r="C6743" t="str">
            <v>SNUGGLE 衣物柔顺剂 4KG</v>
          </cell>
          <cell r="D6743">
            <v>52</v>
          </cell>
          <cell r="E6743">
            <v>3114.8</v>
          </cell>
          <cell r="F6743">
            <v>67.686999999999998</v>
          </cell>
        </row>
        <row r="6744">
          <cell r="B6744" t="str">
            <v>70640119</v>
          </cell>
          <cell r="C6744" t="str">
            <v>威露士 LA6效合一植萃洗衣液袋装 1KG</v>
          </cell>
          <cell r="D6744">
            <v>16</v>
          </cell>
          <cell r="E6744">
            <v>250.92</v>
          </cell>
          <cell r="F6744">
            <v>17.721225</v>
          </cell>
        </row>
        <row r="6745">
          <cell r="B6745" t="str">
            <v>70640198</v>
          </cell>
          <cell r="C6745" t="str">
            <v>CHANTE大公鸡管家 浴室瓷砖清洁剂 625ML</v>
          </cell>
          <cell r="D6745">
            <v>23</v>
          </cell>
          <cell r="E6745">
            <v>569.92999999999995</v>
          </cell>
          <cell r="F6745">
            <v>28.0009086956522</v>
          </cell>
        </row>
        <row r="6746">
          <cell r="B6746" t="str">
            <v>70640209</v>
          </cell>
          <cell r="C6746" t="str">
            <v>CHANTE大公鸡管家 植物马赛皂 300G</v>
          </cell>
          <cell r="D6746">
            <v>20</v>
          </cell>
          <cell r="E6746">
            <v>212.4</v>
          </cell>
          <cell r="F6746">
            <v>12.0006</v>
          </cell>
        </row>
        <row r="6747">
          <cell r="B6747" t="str">
            <v>70640384</v>
          </cell>
          <cell r="C6747" t="str">
            <v>斧头 金装东方香氛洗衣液（山茶花） 1.45KG</v>
          </cell>
          <cell r="D6747">
            <v>477</v>
          </cell>
          <cell r="E6747">
            <v>16987.240000000002</v>
          </cell>
          <cell r="F6747">
            <v>40.242308595387797</v>
          </cell>
        </row>
        <row r="6748">
          <cell r="B6748" t="str">
            <v>70640385</v>
          </cell>
          <cell r="C6748" t="str">
            <v>斧头 金装内衣专用洗衣液（山茶花） 439G</v>
          </cell>
          <cell r="D6748">
            <v>762</v>
          </cell>
          <cell r="E6748">
            <v>19639.36</v>
          </cell>
          <cell r="F6748">
            <v>29.123985301837301</v>
          </cell>
        </row>
        <row r="6749">
          <cell r="B6749" t="str">
            <v>70640386</v>
          </cell>
          <cell r="C6749" t="str">
            <v>斧头 牌果蔬餐具净（万里锡兰） 1.01KG</v>
          </cell>
          <cell r="D6749">
            <v>38</v>
          </cell>
          <cell r="E6749">
            <v>449.34</v>
          </cell>
          <cell r="F6749">
            <v>13.3619526315789</v>
          </cell>
        </row>
        <row r="6750">
          <cell r="B6750" t="str">
            <v>70640387</v>
          </cell>
          <cell r="C6750" t="str">
            <v>斧头 金装东方香氛洗衣凝珠（山茶花） 330G</v>
          </cell>
          <cell r="D6750">
            <v>27</v>
          </cell>
          <cell r="E6750">
            <v>1051.3499999999999</v>
          </cell>
          <cell r="F6750">
            <v>44.0009444444444</v>
          </cell>
        </row>
        <row r="6751">
          <cell r="B6751" t="str">
            <v>70640422</v>
          </cell>
          <cell r="C6751" t="str">
            <v>洁劲100 薰香呵护洗衣液袋装 1.6KG</v>
          </cell>
          <cell r="D6751">
            <v>6</v>
          </cell>
          <cell r="E6751">
            <v>79.680000000000007</v>
          </cell>
          <cell r="F6751">
            <v>15.006399999999999</v>
          </cell>
        </row>
        <row r="6752">
          <cell r="B6752" t="str">
            <v>70640447</v>
          </cell>
          <cell r="C6752" t="str">
            <v>斧头 牌柠檬护肤洗洁精 500G</v>
          </cell>
          <cell r="D6752">
            <v>1106</v>
          </cell>
          <cell r="E6752">
            <v>7688.63</v>
          </cell>
          <cell r="F6752">
            <v>7.85547188065099</v>
          </cell>
        </row>
        <row r="6753">
          <cell r="B6753" t="str">
            <v>70640576</v>
          </cell>
          <cell r="C6753" t="str">
            <v>威露士 LA6效合一植萃洗衣液 1KG</v>
          </cell>
          <cell r="D6753">
            <v>54</v>
          </cell>
          <cell r="E6753">
            <v>989.68</v>
          </cell>
          <cell r="F6753">
            <v>20.709970370370399</v>
          </cell>
        </row>
        <row r="6754">
          <cell r="B6754" t="str">
            <v>70640577</v>
          </cell>
          <cell r="C6754" t="str">
            <v>威露士 LA6效合一植萃洗衣液 2L</v>
          </cell>
          <cell r="D6754">
            <v>38</v>
          </cell>
          <cell r="E6754">
            <v>1184.6300000000001</v>
          </cell>
          <cell r="F6754">
            <v>35.227155263157897</v>
          </cell>
        </row>
        <row r="6755">
          <cell r="B6755" t="str">
            <v>70656361</v>
          </cell>
          <cell r="C6755" t="str">
            <v>威露士 纺优美香氛洗衣凝露（乌木佛手柑） 1L</v>
          </cell>
          <cell r="D6755">
            <v>27</v>
          </cell>
          <cell r="E6755">
            <v>869.41</v>
          </cell>
          <cell r="F6755">
            <v>36.386418518518497</v>
          </cell>
        </row>
        <row r="6756">
          <cell r="B6756" t="str">
            <v>70656779</v>
          </cell>
          <cell r="C6756" t="str">
            <v>威露士 纺优美香氛洗衣凝露（乌木玫瑰） 1L</v>
          </cell>
          <cell r="D6756">
            <v>15</v>
          </cell>
          <cell r="E6756">
            <v>482.98</v>
          </cell>
          <cell r="F6756">
            <v>36.384493333333303</v>
          </cell>
        </row>
        <row r="6757">
          <cell r="B6757" t="str">
            <v>70656904</v>
          </cell>
          <cell r="C6757" t="str">
            <v>威露士 纺优美香氛洗衣凝露（紫檀乌木） 1L</v>
          </cell>
          <cell r="D6757">
            <v>15</v>
          </cell>
          <cell r="E6757">
            <v>483.29</v>
          </cell>
          <cell r="F6757">
            <v>36.4078466666667</v>
          </cell>
        </row>
        <row r="6758">
          <cell r="B6758" t="str">
            <v>70674069</v>
          </cell>
          <cell r="C6758" t="str">
            <v>昆仑好客优选＋联合利华 衣物清洁套装 4150G</v>
          </cell>
          <cell r="D6758">
            <v>2304</v>
          </cell>
          <cell r="E6758">
            <v>103664.98</v>
          </cell>
          <cell r="F6758">
            <v>50.842633420138903</v>
          </cell>
        </row>
        <row r="6759">
          <cell r="B6759" t="str">
            <v>70674241</v>
          </cell>
          <cell r="C6759" t="str">
            <v>昆仑好客优选＋联合利华 家清洁净至臻套装 4480G</v>
          </cell>
          <cell r="D6759">
            <v>2858</v>
          </cell>
          <cell r="E6759">
            <v>140478.07</v>
          </cell>
          <cell r="F6759">
            <v>55.5424139608118</v>
          </cell>
        </row>
        <row r="6760">
          <cell r="B6760" t="str">
            <v>70687114</v>
          </cell>
          <cell r="C6760" t="str">
            <v>MM 多效洗衣凝珠 1X148‘S</v>
          </cell>
          <cell r="D6760">
            <v>32</v>
          </cell>
          <cell r="E6760">
            <v>2876.8</v>
          </cell>
          <cell r="F6760">
            <v>101.587</v>
          </cell>
        </row>
        <row r="6761">
          <cell r="B6761" t="str">
            <v>70713208</v>
          </cell>
          <cell r="C6761" t="str">
            <v>滴露 卫生湿巾（独立装） 8片</v>
          </cell>
          <cell r="D6761">
            <v>1040</v>
          </cell>
          <cell r="E6761">
            <v>4661.07</v>
          </cell>
          <cell r="F6761">
            <v>5.0644318269230801</v>
          </cell>
        </row>
        <row r="6762">
          <cell r="B6762" t="str">
            <v>70727464</v>
          </cell>
          <cell r="C6762" t="str">
            <v>MM  深层洁净洗衣凝珠 235KG</v>
          </cell>
          <cell r="D6762">
            <v>29</v>
          </cell>
          <cell r="E6762">
            <v>2027.1</v>
          </cell>
          <cell r="F6762">
            <v>78.986999999999995</v>
          </cell>
        </row>
        <row r="6763">
          <cell r="B6763" t="str">
            <v>70000047</v>
          </cell>
          <cell r="C6763" t="str">
            <v>隆力奇 蛇油SOD蜜 105ml</v>
          </cell>
          <cell r="D6763">
            <v>960</v>
          </cell>
          <cell r="E6763">
            <v>6194.29</v>
          </cell>
          <cell r="F6763">
            <v>7.2911955208333303</v>
          </cell>
        </row>
        <row r="6764">
          <cell r="B6764" t="str">
            <v>70000234</v>
          </cell>
          <cell r="C6764" t="str">
            <v>潘婷 乳液修护洗发露 200g</v>
          </cell>
          <cell r="D6764">
            <v>1293</v>
          </cell>
          <cell r="E6764">
            <v>18954.73</v>
          </cell>
          <cell r="F6764">
            <v>16.565231941221999</v>
          </cell>
        </row>
        <row r="6765">
          <cell r="B6765" t="str">
            <v>70000246</v>
          </cell>
          <cell r="C6765" t="str">
            <v>海飞丝 去屑丝质柔滑型洗发露 430克</v>
          </cell>
          <cell r="D6765">
            <v>1690</v>
          </cell>
          <cell r="E6765">
            <v>58046.68</v>
          </cell>
          <cell r="F6765">
            <v>38.812277159763298</v>
          </cell>
        </row>
        <row r="6766">
          <cell r="B6766" t="str">
            <v>70000250</v>
          </cell>
          <cell r="C6766" t="str">
            <v>海飞丝 去屑清爽控油型洗发露 430克</v>
          </cell>
          <cell r="D6766">
            <v>1639</v>
          </cell>
          <cell r="E6766">
            <v>56259.45</v>
          </cell>
          <cell r="F6766">
            <v>38.7877843197071</v>
          </cell>
        </row>
        <row r="6767">
          <cell r="B6767" t="str">
            <v>70000264</v>
          </cell>
          <cell r="C6767" t="str">
            <v>舒肤佳 健康柔肤芦荟水润呵护型沐浴露 200g</v>
          </cell>
          <cell r="D6767">
            <v>4</v>
          </cell>
          <cell r="E6767">
            <v>36.39</v>
          </cell>
          <cell r="F6767">
            <v>10.280175</v>
          </cell>
        </row>
        <row r="6768">
          <cell r="B6768" t="str">
            <v>70000268</v>
          </cell>
          <cell r="C6768" t="str">
            <v>飘柔 多效滋润修护洗发露 200g</v>
          </cell>
          <cell r="D6768">
            <v>64</v>
          </cell>
          <cell r="E6768">
            <v>779.51</v>
          </cell>
          <cell r="F6768">
            <v>13.763223437500001</v>
          </cell>
        </row>
        <row r="6769">
          <cell r="B6769" t="str">
            <v>70000273</v>
          </cell>
          <cell r="C6769" t="str">
            <v>飘柔 滋润去屑洗发露 400g</v>
          </cell>
          <cell r="D6769">
            <v>1678</v>
          </cell>
          <cell r="E6769">
            <v>36707.83</v>
          </cell>
          <cell r="F6769">
            <v>24.719814004767599</v>
          </cell>
        </row>
        <row r="6770">
          <cell r="B6770" t="str">
            <v>70000293</v>
          </cell>
          <cell r="C6770" t="str">
            <v>潘婷 乳液修护洗发露 750g</v>
          </cell>
          <cell r="D6770">
            <v>657</v>
          </cell>
          <cell r="E6770">
            <v>28221.17</v>
          </cell>
          <cell r="F6770">
            <v>48.538694216133898</v>
          </cell>
        </row>
        <row r="6771">
          <cell r="B6771" t="str">
            <v>70000453</v>
          </cell>
          <cell r="C6771" t="str">
            <v>洁柔BM038-12F Face古龙水香味迷你型纸手帕(12包装) 36条/件</v>
          </cell>
          <cell r="D6771">
            <v>131</v>
          </cell>
          <cell r="E6771">
            <v>739.92</v>
          </cell>
          <cell r="F6771">
            <v>6.38251603053435</v>
          </cell>
        </row>
        <row r="6772">
          <cell r="B6772" t="str">
            <v>70001198</v>
          </cell>
          <cell r="C6772" t="str">
            <v>佳洁士 防蛀修护牙膏晶莹薄荷香 140g</v>
          </cell>
          <cell r="D6772">
            <v>492</v>
          </cell>
          <cell r="E6772">
            <v>3336.66</v>
          </cell>
          <cell r="F6772">
            <v>7.6634670731707297</v>
          </cell>
        </row>
        <row r="6773">
          <cell r="B6773" t="str">
            <v>70001202</v>
          </cell>
          <cell r="C6773" t="str">
            <v>佳洁士 茉莉茶香型茶爽炫白牙膏 120G</v>
          </cell>
          <cell r="D6773">
            <v>325</v>
          </cell>
          <cell r="E6773">
            <v>2450.7800000000002</v>
          </cell>
          <cell r="F6773">
            <v>8.5211735384615395</v>
          </cell>
        </row>
        <row r="6774">
          <cell r="B6774" t="str">
            <v>70001206</v>
          </cell>
          <cell r="C6774" t="str">
            <v>佳洁士 双效炫白牙膏 120G</v>
          </cell>
          <cell r="D6774">
            <v>3515</v>
          </cell>
          <cell r="E6774">
            <v>26363.13</v>
          </cell>
          <cell r="F6774">
            <v>8.4752025320056905</v>
          </cell>
        </row>
        <row r="6775">
          <cell r="B6775" t="str">
            <v>70001732</v>
          </cell>
          <cell r="C6775" t="str">
            <v>佳洁士 茶爽柠檬牙膏 120克</v>
          </cell>
          <cell r="D6775">
            <v>274</v>
          </cell>
          <cell r="E6775">
            <v>2066.15</v>
          </cell>
          <cell r="F6775">
            <v>8.5209835766423296</v>
          </cell>
        </row>
        <row r="6776">
          <cell r="B6776" t="str">
            <v>70010269</v>
          </cell>
          <cell r="C6776" t="str">
            <v>潘婷 丝质顺滑洗发露 400g</v>
          </cell>
          <cell r="D6776">
            <v>1624</v>
          </cell>
          <cell r="E6776">
            <v>42169.53</v>
          </cell>
          <cell r="F6776">
            <v>29.3420990763547</v>
          </cell>
        </row>
        <row r="6777">
          <cell r="B6777" t="str">
            <v>70010291</v>
          </cell>
          <cell r="C6777" t="str">
            <v>海飞丝 丝质柔滑去屑头皮护理乳丝质柔滑型 400G</v>
          </cell>
          <cell r="D6777">
            <v>8</v>
          </cell>
          <cell r="E6777">
            <v>276.52</v>
          </cell>
          <cell r="F6777">
            <v>39.058450000000001</v>
          </cell>
        </row>
        <row r="6778">
          <cell r="B6778" t="str">
            <v>70010456</v>
          </cell>
          <cell r="C6778" t="str">
            <v>潘婷 丝质顺滑精华素 400g</v>
          </cell>
          <cell r="D6778">
            <v>1434</v>
          </cell>
          <cell r="E6778">
            <v>34852.68</v>
          </cell>
          <cell r="F6778">
            <v>27.464106276150599</v>
          </cell>
        </row>
        <row r="6779">
          <cell r="B6779" t="str">
            <v>70010545</v>
          </cell>
          <cell r="C6779" t="str">
            <v>六神 冰凉超爽沐浴露 450ML</v>
          </cell>
          <cell r="D6779">
            <v>4</v>
          </cell>
          <cell r="E6779">
            <v>78.95</v>
          </cell>
          <cell r="F6779">
            <v>22.303374999999999</v>
          </cell>
        </row>
        <row r="6780">
          <cell r="B6780" t="str">
            <v>70010561</v>
          </cell>
          <cell r="C6780" t="str">
            <v>舒肤佳 健康净护沐浴露芦荟香 360g</v>
          </cell>
          <cell r="D6780">
            <v>247</v>
          </cell>
          <cell r="E6780">
            <v>3966.94</v>
          </cell>
          <cell r="F6780">
            <v>18.148348987854199</v>
          </cell>
        </row>
        <row r="6781">
          <cell r="B6781" t="str">
            <v>70010563</v>
          </cell>
          <cell r="C6781" t="str">
            <v>舒肤佳 健康净护沐浴露柠檬香 360g</v>
          </cell>
          <cell r="D6781">
            <v>197</v>
          </cell>
          <cell r="E6781">
            <v>3161.15</v>
          </cell>
          <cell r="F6781">
            <v>18.132484771573601</v>
          </cell>
        </row>
        <row r="6782">
          <cell r="B6782" t="str">
            <v>70010614</v>
          </cell>
          <cell r="C6782" t="str">
            <v>威露士 泡沫洗手液（清香＋抑菌） 300ML</v>
          </cell>
          <cell r="D6782">
            <v>1090</v>
          </cell>
          <cell r="E6782">
            <v>14286.69</v>
          </cell>
          <cell r="F6782">
            <v>14.8109722018349</v>
          </cell>
        </row>
        <row r="6783">
          <cell r="B6783" t="str">
            <v>70010626</v>
          </cell>
          <cell r="C6783" t="str">
            <v>隆力奇 蛇胆柠檬香皂 120g</v>
          </cell>
          <cell r="D6783">
            <v>134</v>
          </cell>
          <cell r="E6783">
            <v>422.7</v>
          </cell>
          <cell r="F6783">
            <v>3.5645597014925401</v>
          </cell>
        </row>
        <row r="6784">
          <cell r="B6784" t="str">
            <v>70010842</v>
          </cell>
          <cell r="C6784" t="str">
            <v>云南白药 牙膏 90G</v>
          </cell>
          <cell r="D6784">
            <v>1658</v>
          </cell>
          <cell r="E6784">
            <v>25746.01</v>
          </cell>
          <cell r="F6784">
            <v>17.547039384801</v>
          </cell>
        </row>
        <row r="6785">
          <cell r="B6785" t="str">
            <v>70010843</v>
          </cell>
          <cell r="C6785" t="str">
            <v>云南白药 清爽薄荷香型牙膏 45g/支</v>
          </cell>
          <cell r="D6785">
            <v>4360</v>
          </cell>
          <cell r="E6785">
            <v>34705.25</v>
          </cell>
          <cell r="F6785">
            <v>8.9947092889908191</v>
          </cell>
        </row>
        <row r="6786">
          <cell r="B6786" t="str">
            <v>70010882</v>
          </cell>
          <cell r="C6786" t="str">
            <v>蓝天六必治 全效牙膏(冬青) 120G</v>
          </cell>
          <cell r="D6786">
            <v>467</v>
          </cell>
          <cell r="E6786">
            <v>2625.69</v>
          </cell>
          <cell r="F6786">
            <v>6.35338265524625</v>
          </cell>
        </row>
        <row r="6787">
          <cell r="B6787" t="str">
            <v>70010885</v>
          </cell>
          <cell r="C6787" t="str">
            <v>佳洁士 防蛀修护牙膏(清新怡爽香型) 140G</v>
          </cell>
          <cell r="D6787">
            <v>213</v>
          </cell>
          <cell r="E6787">
            <v>1440.67</v>
          </cell>
          <cell r="F6787">
            <v>7.6429910798122096</v>
          </cell>
        </row>
        <row r="6788">
          <cell r="B6788" t="str">
            <v>70011013</v>
          </cell>
          <cell r="C6788" t="str">
            <v>吉列 威锋旋转双层刀架及刀片优惠装</v>
          </cell>
          <cell r="D6788">
            <v>294</v>
          </cell>
          <cell r="E6788">
            <v>3169.46</v>
          </cell>
          <cell r="F6788">
            <v>12.181938095238101</v>
          </cell>
        </row>
        <row r="6789">
          <cell r="B6789" t="str">
            <v>70011049</v>
          </cell>
          <cell r="C6789" t="str">
            <v>隆力奇 蛇油果酸护手霜嫩白＋柔润 50g</v>
          </cell>
          <cell r="D6789">
            <v>1095</v>
          </cell>
          <cell r="E6789">
            <v>5530.56</v>
          </cell>
          <cell r="F6789">
            <v>5.7073358904109597</v>
          </cell>
        </row>
        <row r="6790">
          <cell r="B6790" t="str">
            <v>70011051</v>
          </cell>
          <cell r="C6790" t="str">
            <v>隆力奇 蛇油护手霜 70g</v>
          </cell>
          <cell r="D6790">
            <v>2570</v>
          </cell>
          <cell r="E6790">
            <v>9264.18</v>
          </cell>
          <cell r="F6790">
            <v>4.0733554085603103</v>
          </cell>
        </row>
        <row r="6791">
          <cell r="B6791" t="str">
            <v>70011053</v>
          </cell>
          <cell r="C6791" t="str">
            <v>隆力奇 蛇油膏 80g</v>
          </cell>
          <cell r="D6791">
            <v>191</v>
          </cell>
          <cell r="E6791">
            <v>961.35</v>
          </cell>
          <cell r="F6791">
            <v>5.6875680628272196</v>
          </cell>
        </row>
        <row r="6792">
          <cell r="B6792" t="str">
            <v>70011118</v>
          </cell>
          <cell r="C6792" t="str">
            <v>大宝 洗面奶(姜花香) 220G</v>
          </cell>
          <cell r="D6792">
            <v>274</v>
          </cell>
          <cell r="E6792">
            <v>3876.13</v>
          </cell>
          <cell r="F6792">
            <v>15.985499635036501</v>
          </cell>
        </row>
        <row r="6793">
          <cell r="B6793" t="str">
            <v>70011285</v>
          </cell>
          <cell r="C6793" t="str">
            <v>乐而雅 瞬爽柔护超丝薄夜用护翼 8片</v>
          </cell>
          <cell r="D6793">
            <v>686</v>
          </cell>
          <cell r="E6793">
            <v>6630.93</v>
          </cell>
          <cell r="F6793">
            <v>10.9226689504373</v>
          </cell>
        </row>
        <row r="6794">
          <cell r="B6794" t="str">
            <v>70013996</v>
          </cell>
          <cell r="C6794" t="str">
            <v>力士 恒久嫩肤娇肤沐浴乳 400ML</v>
          </cell>
          <cell r="D6794">
            <v>522</v>
          </cell>
          <cell r="E6794">
            <v>8063.54</v>
          </cell>
          <cell r="F6794">
            <v>17.455555938697302</v>
          </cell>
        </row>
        <row r="6795">
          <cell r="B6795" t="str">
            <v>70014017</v>
          </cell>
          <cell r="C6795" t="str">
            <v>蓝月亮 芦荟洗手液 500ML</v>
          </cell>
          <cell r="D6795">
            <v>2205</v>
          </cell>
          <cell r="E6795">
            <v>20246.57</v>
          </cell>
          <cell r="F6795">
            <v>10.375793242630399</v>
          </cell>
        </row>
        <row r="6796">
          <cell r="B6796" t="str">
            <v>70016988</v>
          </cell>
          <cell r="C6796" t="str">
            <v>舒肤佳 香皂超值三块装纯白清香型 100G*3</v>
          </cell>
          <cell r="D6796">
            <v>2892</v>
          </cell>
          <cell r="E6796">
            <v>29035.64</v>
          </cell>
          <cell r="F6796">
            <v>11.3451843706777</v>
          </cell>
        </row>
        <row r="6797">
          <cell r="B6797" t="str">
            <v>70017006</v>
          </cell>
          <cell r="C6797" t="str">
            <v>佳洁士 外柔内刚牙刷</v>
          </cell>
          <cell r="D6797">
            <v>500</v>
          </cell>
          <cell r="E6797">
            <v>2225.91</v>
          </cell>
          <cell r="F6797">
            <v>5.0305565999999997</v>
          </cell>
        </row>
        <row r="6798">
          <cell r="B6798" t="str">
            <v>70020836</v>
          </cell>
          <cell r="C6798" t="str">
            <v>力士 水润丝滑洗发水 400ML</v>
          </cell>
          <cell r="D6798">
            <v>2044</v>
          </cell>
          <cell r="E6798">
            <v>54521.52</v>
          </cell>
          <cell r="F6798">
            <v>30.14154481409</v>
          </cell>
        </row>
        <row r="6799">
          <cell r="B6799" t="str">
            <v>70021623</v>
          </cell>
          <cell r="C6799" t="str">
            <v>沙宣 水润去屑洗发露 200g</v>
          </cell>
          <cell r="D6799">
            <v>176</v>
          </cell>
          <cell r="E6799">
            <v>3821.73</v>
          </cell>
          <cell r="F6799">
            <v>24.537243749999998</v>
          </cell>
        </row>
        <row r="6800">
          <cell r="B6800" t="str">
            <v>70021626</v>
          </cell>
          <cell r="C6800" t="str">
            <v>沙宣 清盈顺柔洗发露 400g</v>
          </cell>
          <cell r="D6800">
            <v>403</v>
          </cell>
          <cell r="E6800">
            <v>16159.44</v>
          </cell>
          <cell r="F6800">
            <v>45.310588585607903</v>
          </cell>
        </row>
        <row r="6801">
          <cell r="B6801" t="str">
            <v>70021631</v>
          </cell>
          <cell r="C6801" t="str">
            <v>沙宣 修护水养润发乳 200g</v>
          </cell>
          <cell r="D6801">
            <v>18</v>
          </cell>
          <cell r="E6801">
            <v>374.48</v>
          </cell>
          <cell r="F6801">
            <v>23.5090222222222</v>
          </cell>
        </row>
        <row r="6802">
          <cell r="B6802" t="str">
            <v>70021637</v>
          </cell>
          <cell r="C6802" t="str">
            <v>沙宣 清盈顺柔润发乳 400g</v>
          </cell>
          <cell r="D6802">
            <v>6</v>
          </cell>
          <cell r="E6802">
            <v>227.19</v>
          </cell>
          <cell r="F6802">
            <v>42.78745</v>
          </cell>
        </row>
        <row r="6803">
          <cell r="B6803" t="str">
            <v>70022894</v>
          </cell>
          <cell r="C6803" t="str">
            <v>六神 清新滋润芦荟沐浴露 450ML</v>
          </cell>
          <cell r="D6803">
            <v>31</v>
          </cell>
          <cell r="E6803">
            <v>633.67999999999995</v>
          </cell>
          <cell r="F6803">
            <v>23.098658064516101</v>
          </cell>
        </row>
        <row r="6804">
          <cell r="B6804" t="str">
            <v>70024589</v>
          </cell>
          <cell r="C6804" t="str">
            <v>黑人超白牙膏 （12个1盒）140g</v>
          </cell>
          <cell r="D6804">
            <v>16</v>
          </cell>
          <cell r="E6804">
            <v>175.6</v>
          </cell>
          <cell r="F6804">
            <v>12.40175</v>
          </cell>
        </row>
        <row r="6805">
          <cell r="B6805" t="str">
            <v>70024712</v>
          </cell>
          <cell r="C6805" t="str">
            <v>舒肤佳 健康清爽沐浴露柠檬清香 1kg</v>
          </cell>
          <cell r="D6805">
            <v>754</v>
          </cell>
          <cell r="E6805">
            <v>24123.47</v>
          </cell>
          <cell r="F6805">
            <v>36.153211007957601</v>
          </cell>
        </row>
        <row r="6806">
          <cell r="B6806" t="str">
            <v>70025620</v>
          </cell>
          <cell r="C6806" t="str">
            <v>蓝月亮 芦荟洗手液500g加芦荟洗手液瓶补 500g</v>
          </cell>
          <cell r="D6806">
            <v>693</v>
          </cell>
          <cell r="E6806">
            <v>9707.81</v>
          </cell>
          <cell r="F6806">
            <v>15.8294737373737</v>
          </cell>
        </row>
        <row r="6807">
          <cell r="B6807" t="str">
            <v>70027117</v>
          </cell>
          <cell r="C6807" t="str">
            <v>强生 普通香皂 125G</v>
          </cell>
          <cell r="D6807">
            <v>1140</v>
          </cell>
          <cell r="E6807">
            <v>6960.41</v>
          </cell>
          <cell r="F6807">
            <v>6.8993537719298201</v>
          </cell>
        </row>
        <row r="6808">
          <cell r="B6808" t="str">
            <v>70028139</v>
          </cell>
          <cell r="C6808" t="str">
            <v>绿伞 洗手液 500G</v>
          </cell>
          <cell r="D6808">
            <v>89</v>
          </cell>
          <cell r="E6808">
            <v>849.53</v>
          </cell>
          <cell r="F6808">
            <v>10.786167415730301</v>
          </cell>
        </row>
        <row r="6809">
          <cell r="B6809" t="str">
            <v>70029860</v>
          </cell>
          <cell r="C6809" t="str">
            <v>洁柔 JH088-02N FACE天然无香136抽盒装纸面巾48盒/件</v>
          </cell>
          <cell r="D6809">
            <v>335</v>
          </cell>
          <cell r="E6809">
            <v>2042.01</v>
          </cell>
          <cell r="F6809">
            <v>6.8879740298507501</v>
          </cell>
        </row>
        <row r="6810">
          <cell r="B6810" t="str">
            <v>70032990</v>
          </cell>
          <cell r="C6810" t="str">
            <v>隆力奇 蛇胆牛黄花露水 95ML</v>
          </cell>
          <cell r="D6810">
            <v>269</v>
          </cell>
          <cell r="E6810">
            <v>3787.4</v>
          </cell>
          <cell r="F6810">
            <v>15.909895910780699</v>
          </cell>
        </row>
        <row r="6811">
          <cell r="B6811" t="str">
            <v>70038159</v>
          </cell>
          <cell r="C6811" t="str">
            <v>飘柔 清润去屑润发乳 400g</v>
          </cell>
          <cell r="D6811">
            <v>578</v>
          </cell>
          <cell r="E6811">
            <v>12303.97</v>
          </cell>
          <cell r="F6811">
            <v>24.054474221453301</v>
          </cell>
        </row>
        <row r="6812">
          <cell r="B6812" t="str">
            <v>70039910</v>
          </cell>
          <cell r="C6812" t="str">
            <v>沙宣 修护水养润发乳 750ml</v>
          </cell>
          <cell r="D6812">
            <v>167</v>
          </cell>
          <cell r="E6812">
            <v>10350.43</v>
          </cell>
          <cell r="F6812">
            <v>70.035843712574803</v>
          </cell>
        </row>
        <row r="6813">
          <cell r="B6813" t="str">
            <v>70039911</v>
          </cell>
          <cell r="C6813" t="str">
            <v>沙宣 修护水养洗发露 750g</v>
          </cell>
          <cell r="D6813">
            <v>243</v>
          </cell>
          <cell r="E6813">
            <v>15935.42</v>
          </cell>
          <cell r="F6813">
            <v>74.102981893004099</v>
          </cell>
        </row>
        <row r="6814">
          <cell r="B6814" t="str">
            <v>70042487</v>
          </cell>
          <cell r="C6814" t="str">
            <v>隆力奇 男士SOD蜜 90ml</v>
          </cell>
          <cell r="D6814">
            <v>993</v>
          </cell>
          <cell r="E6814">
            <v>6710.99</v>
          </cell>
          <cell r="F6814">
            <v>7.6368768378650502</v>
          </cell>
        </row>
        <row r="6815">
          <cell r="B6815" t="str">
            <v>70044190</v>
          </cell>
          <cell r="C6815" t="str">
            <v>维达 超韧3层抽取式纸面巾4包 120抽/包</v>
          </cell>
          <cell r="D6815">
            <v>1213</v>
          </cell>
          <cell r="E6815">
            <v>10853.75</v>
          </cell>
          <cell r="F6815">
            <v>10.1110779060181</v>
          </cell>
        </row>
        <row r="6816">
          <cell r="B6816" t="str">
            <v>70044988</v>
          </cell>
          <cell r="C6816" t="str">
            <v>沙宣 清盈顺柔洗发露 750g</v>
          </cell>
          <cell r="D6816">
            <v>9</v>
          </cell>
          <cell r="E6816">
            <v>596.25</v>
          </cell>
          <cell r="F6816">
            <v>74.862499999999997</v>
          </cell>
        </row>
        <row r="6817">
          <cell r="B6817" t="str">
            <v>70045464</v>
          </cell>
          <cell r="C6817" t="str">
            <v>多芬 柔肤乳霜沐浴乳滋润乳液 720ml</v>
          </cell>
          <cell r="D6817">
            <v>397</v>
          </cell>
          <cell r="E6817">
            <v>12806.68</v>
          </cell>
          <cell r="F6817">
            <v>36.452262972292203</v>
          </cell>
        </row>
        <row r="6818">
          <cell r="B6818" t="str">
            <v>70047408</v>
          </cell>
          <cell r="C6818" t="str">
            <v>资生堂 可悠然美肌恬静清香沐浴露 550ML</v>
          </cell>
          <cell r="D6818">
            <v>297</v>
          </cell>
          <cell r="E6818">
            <v>12114.31</v>
          </cell>
          <cell r="F6818">
            <v>46.091482491582497</v>
          </cell>
        </row>
        <row r="6819">
          <cell r="B6819" t="str">
            <v>70047809</v>
          </cell>
          <cell r="C6819" t="str">
            <v>舒肤佳 经典净护沐浴露纯白清香 720g</v>
          </cell>
          <cell r="D6819">
            <v>1181</v>
          </cell>
          <cell r="E6819">
            <v>31937.95</v>
          </cell>
          <cell r="F6819">
            <v>30.558749788315001</v>
          </cell>
        </row>
        <row r="6820">
          <cell r="B6820" t="str">
            <v>70056667</v>
          </cell>
          <cell r="C6820" t="str">
            <v>强生 婴儿牛奶温和润肤露(特惠装) 200ml</v>
          </cell>
          <cell r="D6820">
            <v>4</v>
          </cell>
          <cell r="E6820">
            <v>129.04</v>
          </cell>
          <cell r="F6820">
            <v>36.453800000000001</v>
          </cell>
        </row>
        <row r="6821">
          <cell r="B6821" t="str">
            <v>70058031</v>
          </cell>
          <cell r="C6821" t="str">
            <v>威露士 健康抑菌洗手液丝蛋白 525ml</v>
          </cell>
          <cell r="D6821">
            <v>1533</v>
          </cell>
          <cell r="E6821">
            <v>16278.1</v>
          </cell>
          <cell r="F6821">
            <v>11.9988604044357</v>
          </cell>
        </row>
        <row r="6822">
          <cell r="B6822" t="str">
            <v>70058735</v>
          </cell>
          <cell r="C6822" t="str">
            <v>维达 超韧4层无芯卷纸 1000g</v>
          </cell>
          <cell r="D6822">
            <v>667</v>
          </cell>
          <cell r="E6822">
            <v>8877.98</v>
          </cell>
          <cell r="F6822">
            <v>15.040655772113899</v>
          </cell>
        </row>
        <row r="6823">
          <cell r="B6823" t="str">
            <v>70058916</v>
          </cell>
          <cell r="C6823" t="str">
            <v>隆力奇 蛇胆硫磺香皂 80G</v>
          </cell>
          <cell r="D6823">
            <v>3632</v>
          </cell>
          <cell r="E6823">
            <v>5843.97</v>
          </cell>
          <cell r="F6823">
            <v>1.8181955121145399</v>
          </cell>
        </row>
        <row r="6824">
          <cell r="B6824" t="str">
            <v>70066300</v>
          </cell>
          <cell r="C6824" t="str">
            <v>滴露 健康沐浴露薄荷冰爽 950G</v>
          </cell>
          <cell r="D6824">
            <v>32</v>
          </cell>
          <cell r="E6824">
            <v>1074.2</v>
          </cell>
          <cell r="F6824">
            <v>37.9326875</v>
          </cell>
        </row>
        <row r="6825">
          <cell r="B6825" t="str">
            <v>70076248</v>
          </cell>
          <cell r="C6825" t="str">
            <v>乐而雅 瞬爽柔护超丝薄日用护翼型 10片 24?</v>
          </cell>
          <cell r="D6825">
            <v>840</v>
          </cell>
          <cell r="E6825">
            <v>8642.4</v>
          </cell>
          <cell r="F6825">
            <v>11.626085714285701</v>
          </cell>
        </row>
        <row r="6826">
          <cell r="B6826" t="str">
            <v>70089294</v>
          </cell>
          <cell r="C6826" t="str">
            <v>云南白药 牙膏(冬青) 165G</v>
          </cell>
          <cell r="D6826">
            <v>1574</v>
          </cell>
          <cell r="E6826">
            <v>32096.62</v>
          </cell>
          <cell r="F6826">
            <v>23.042681448538801</v>
          </cell>
        </row>
        <row r="6827">
          <cell r="B6827" t="str">
            <v>70090496</v>
          </cell>
          <cell r="C6827" t="str">
            <v>维达 超韧3层抽取式纸面巾 150抽</v>
          </cell>
          <cell r="D6827">
            <v>1113</v>
          </cell>
          <cell r="E6827">
            <v>3720.28</v>
          </cell>
          <cell r="F6827">
            <v>3.7771036837376499</v>
          </cell>
        </row>
        <row r="6828">
          <cell r="B6828" t="str">
            <v>70092679</v>
          </cell>
          <cell r="C6828" t="str">
            <v>惠润柔净洗发露大瓶装(鲜花芳香)600ml</v>
          </cell>
          <cell r="D6828">
            <v>57</v>
          </cell>
          <cell r="E6828">
            <v>2488.5</v>
          </cell>
          <cell r="F6828">
            <v>49.3334210526316</v>
          </cell>
        </row>
        <row r="6829">
          <cell r="B6829" t="str">
            <v>70095657</v>
          </cell>
          <cell r="C6829" t="str">
            <v>云南白药 薄荷清爽型牙膏 65G</v>
          </cell>
          <cell r="D6829">
            <v>928</v>
          </cell>
          <cell r="E6829">
            <v>10117.450000000001</v>
          </cell>
          <cell r="F6829">
            <v>12.319739762931</v>
          </cell>
        </row>
        <row r="6830">
          <cell r="B6830" t="str">
            <v>70095911</v>
          </cell>
          <cell r="C6830" t="str">
            <v>云南白药 金口健深洁牙刷 100G</v>
          </cell>
          <cell r="D6830">
            <v>2383</v>
          </cell>
          <cell r="E6830">
            <v>16820.099999999999</v>
          </cell>
          <cell r="F6830">
            <v>7.9759601342845103</v>
          </cell>
        </row>
        <row r="6831">
          <cell r="B6831" t="str">
            <v>70095913</v>
          </cell>
          <cell r="C6831" t="str">
            <v>云南白药 金口健牙膏牙刷便携装 45G</v>
          </cell>
          <cell r="D6831">
            <v>1207</v>
          </cell>
          <cell r="E6831">
            <v>15451.05</v>
          </cell>
          <cell r="F6831">
            <v>14.4653574979287</v>
          </cell>
        </row>
        <row r="6832">
          <cell r="B6832" t="str">
            <v>70099312</v>
          </cell>
          <cell r="C6832" t="str">
            <v>多芬 深层营润滋养美肤沐浴乳 400g+80g</v>
          </cell>
          <cell r="D6832">
            <v>617</v>
          </cell>
          <cell r="E6832">
            <v>12287.35</v>
          </cell>
          <cell r="F6832">
            <v>22.503574554295</v>
          </cell>
        </row>
        <row r="6833">
          <cell r="B6833" t="str">
            <v>70100043</v>
          </cell>
          <cell r="C6833" t="str">
            <v>资生堂 惠润沐浴露(淡雅果味香) 590ml</v>
          </cell>
          <cell r="D6833">
            <v>3</v>
          </cell>
          <cell r="E6833">
            <v>111.21</v>
          </cell>
          <cell r="F6833">
            <v>41.889099999999999</v>
          </cell>
        </row>
        <row r="6834">
          <cell r="B6834" t="str">
            <v>70105629</v>
          </cell>
          <cell r="C6834" t="str">
            <v>资生堂 惠润沐浴露(淡雅柑桔香) 590ml</v>
          </cell>
          <cell r="D6834">
            <v>5</v>
          </cell>
          <cell r="E6834">
            <v>187.22</v>
          </cell>
          <cell r="F6834">
            <v>42.311720000000001</v>
          </cell>
        </row>
        <row r="6835">
          <cell r="B6835" t="str">
            <v>70108825</v>
          </cell>
          <cell r="C6835" t="str">
            <v>隆力奇 蛇胆清爽洗发水 400ml</v>
          </cell>
          <cell r="D6835">
            <v>104</v>
          </cell>
          <cell r="E6835">
            <v>1182.6600000000001</v>
          </cell>
          <cell r="F6835">
            <v>12.850055769230799</v>
          </cell>
        </row>
        <row r="6836">
          <cell r="B6836" t="str">
            <v>70108827</v>
          </cell>
          <cell r="C6836" t="str">
            <v>隆力奇 金银花香皂 120G</v>
          </cell>
          <cell r="D6836">
            <v>282</v>
          </cell>
          <cell r="E6836">
            <v>1010.13</v>
          </cell>
          <cell r="F6836">
            <v>4.0476840425531897</v>
          </cell>
        </row>
        <row r="6837">
          <cell r="B6837" t="str">
            <v>70118273</v>
          </cell>
          <cell r="C6837" t="str">
            <v>力士 滋养柔肤香皂 3块装</v>
          </cell>
          <cell r="D6837">
            <v>370</v>
          </cell>
          <cell r="E6837">
            <v>3697.39</v>
          </cell>
          <cell r="F6837">
            <v>11.2920289189189</v>
          </cell>
        </row>
        <row r="6838">
          <cell r="B6838" t="str">
            <v>70131732</v>
          </cell>
          <cell r="C6838" t="str">
            <v>隆力奇 羊胎素SOD蜜 90G</v>
          </cell>
          <cell r="D6838">
            <v>45</v>
          </cell>
          <cell r="E6838">
            <v>354.88</v>
          </cell>
          <cell r="F6838">
            <v>8.91143111111111</v>
          </cell>
        </row>
        <row r="6839">
          <cell r="B6839" t="str">
            <v>70131733</v>
          </cell>
          <cell r="C6839" t="str">
            <v>隆力奇  牛奶润肤洗面奶 100g</v>
          </cell>
          <cell r="D6839">
            <v>2414</v>
          </cell>
          <cell r="E6839">
            <v>14380.71</v>
          </cell>
          <cell r="F6839">
            <v>6.7316496685998297</v>
          </cell>
        </row>
        <row r="6840">
          <cell r="B6840" t="str">
            <v>70131734</v>
          </cell>
          <cell r="C6840" t="str">
            <v>隆力奇 黄瓜养颜洗面奶 100G</v>
          </cell>
          <cell r="D6840">
            <v>1006</v>
          </cell>
          <cell r="E6840">
            <v>12643.56</v>
          </cell>
          <cell r="F6840">
            <v>14.2020107355865</v>
          </cell>
        </row>
        <row r="6841">
          <cell r="B6841" t="str">
            <v>70131735</v>
          </cell>
          <cell r="C6841" t="str">
            <v>隆力奇 牛奶沐浴露 1000M</v>
          </cell>
          <cell r="D6841">
            <v>639</v>
          </cell>
          <cell r="E6841">
            <v>11836.79</v>
          </cell>
          <cell r="F6841">
            <v>20.9320386541471</v>
          </cell>
        </row>
        <row r="6842">
          <cell r="B6842" t="str">
            <v>70135156</v>
          </cell>
          <cell r="C6842" t="str">
            <v>隆力奇 黑芝麻洗发水 400ml</v>
          </cell>
          <cell r="D6842">
            <v>2062</v>
          </cell>
          <cell r="E6842">
            <v>32865.81</v>
          </cell>
          <cell r="F6842">
            <v>18.010846411251201</v>
          </cell>
        </row>
        <row r="6843">
          <cell r="B6843" t="str">
            <v>70135161</v>
          </cell>
          <cell r="C6843" t="str">
            <v>隆力奇 乳霜柔顺护发素 500ML</v>
          </cell>
          <cell r="D6843">
            <v>34</v>
          </cell>
          <cell r="E6843">
            <v>323.04000000000002</v>
          </cell>
          <cell r="F6843">
            <v>10.7363294117647</v>
          </cell>
        </row>
        <row r="6844">
          <cell r="B6844" t="str">
            <v>70139607</v>
          </cell>
          <cell r="C6844" t="str">
            <v>欧莱雅 男士劲能深层净化洁面膏 100ML</v>
          </cell>
          <cell r="D6844">
            <v>56</v>
          </cell>
          <cell r="E6844">
            <v>1798.01</v>
          </cell>
          <cell r="F6844">
            <v>36.281273214285697</v>
          </cell>
        </row>
        <row r="6845">
          <cell r="B6845" t="str">
            <v>70141612</v>
          </cell>
          <cell r="C6845" t="str">
            <v>隆力奇 驱蚊花露水 95ML</v>
          </cell>
          <cell r="D6845">
            <v>288</v>
          </cell>
          <cell r="E6845">
            <v>2457.81</v>
          </cell>
          <cell r="F6845">
            <v>9.6434906250000001</v>
          </cell>
        </row>
        <row r="6846">
          <cell r="B6846" t="str">
            <v>70142465</v>
          </cell>
          <cell r="C6846" t="str">
            <v>舒肤佳 健康抑菌洗手液芦荟柔肤型 450ML</v>
          </cell>
          <cell r="D6846">
            <v>5</v>
          </cell>
          <cell r="E6846">
            <v>72.61</v>
          </cell>
          <cell r="F6846">
            <v>16.409859999999998</v>
          </cell>
        </row>
        <row r="6847">
          <cell r="B6847" t="str">
            <v>70145557</v>
          </cell>
          <cell r="C6847" t="str">
            <v>隆力奇 蛇胆清爽洗发水 1L</v>
          </cell>
          <cell r="D6847">
            <v>58</v>
          </cell>
          <cell r="E6847">
            <v>1130.0999999999999</v>
          </cell>
          <cell r="F6847">
            <v>22.017465517241401</v>
          </cell>
        </row>
        <row r="6848">
          <cell r="B6848" t="str">
            <v>70153199</v>
          </cell>
          <cell r="C6848" t="str">
            <v>吉列 锋速5层刀架 1*36</v>
          </cell>
          <cell r="D6848">
            <v>9</v>
          </cell>
          <cell r="E6848">
            <v>640.04999999999995</v>
          </cell>
          <cell r="F6848">
            <v>80.361833333333294</v>
          </cell>
        </row>
        <row r="6849">
          <cell r="B6849" t="str">
            <v>70155508</v>
          </cell>
          <cell r="C6849" t="str">
            <v>佳雪 8007牙刷 个</v>
          </cell>
          <cell r="D6849">
            <v>5</v>
          </cell>
          <cell r="E6849">
            <v>3.96</v>
          </cell>
          <cell r="F6849">
            <v>0.89495999999999998</v>
          </cell>
        </row>
        <row r="6850">
          <cell r="B6850" t="str">
            <v>70155509</v>
          </cell>
          <cell r="C6850" t="str">
            <v>佳雪 8002牙刷 个</v>
          </cell>
          <cell r="D6850">
            <v>89</v>
          </cell>
          <cell r="E6850">
            <v>311.27</v>
          </cell>
          <cell r="F6850">
            <v>3.9520797752808998</v>
          </cell>
        </row>
        <row r="6851">
          <cell r="B6851" t="str">
            <v>70160701</v>
          </cell>
          <cell r="C6851" t="str">
            <v>资生堂沐浴露可悠然美肌欣怡幽香 550ML</v>
          </cell>
          <cell r="D6851">
            <v>1</v>
          </cell>
          <cell r="E6851">
            <v>40.619999999999997</v>
          </cell>
          <cell r="F6851">
            <v>45.900599999999997</v>
          </cell>
        </row>
        <row r="6852">
          <cell r="B6852" t="str">
            <v>70160703</v>
          </cell>
          <cell r="C6852" t="str">
            <v>惠润柔净护发素大瓶装(绿野芳香)600ml</v>
          </cell>
          <cell r="D6852">
            <v>1</v>
          </cell>
          <cell r="E6852">
            <v>43.66</v>
          </cell>
          <cell r="F6852">
            <v>49.335799999999999</v>
          </cell>
        </row>
        <row r="6853">
          <cell r="B6853" t="str">
            <v>70163777</v>
          </cell>
          <cell r="C6853" t="str">
            <v>舒克 白牙素牙膏 120G</v>
          </cell>
          <cell r="D6853">
            <v>7</v>
          </cell>
          <cell r="E6853">
            <v>151.78</v>
          </cell>
          <cell r="F6853">
            <v>24.501628571428601</v>
          </cell>
        </row>
        <row r="6854">
          <cell r="B6854" t="str">
            <v>70165636</v>
          </cell>
          <cell r="C6854" t="str">
            <v>雪豹 生物酶功效牙膏4.5指数 105G</v>
          </cell>
          <cell r="D6854">
            <v>15</v>
          </cell>
          <cell r="E6854">
            <v>119.51</v>
          </cell>
          <cell r="F6854">
            <v>9.00308666666667</v>
          </cell>
        </row>
        <row r="6855">
          <cell r="B6855" t="str">
            <v>70167706</v>
          </cell>
          <cell r="C6855" t="str">
            <v>清扬 去屑洗发露多效水润养护型 400g+108g</v>
          </cell>
          <cell r="D6855">
            <v>781</v>
          </cell>
          <cell r="E6855">
            <v>24080.560000000001</v>
          </cell>
          <cell r="F6855">
            <v>34.8412711907811</v>
          </cell>
        </row>
        <row r="6856">
          <cell r="B6856" t="str">
            <v>70167717</v>
          </cell>
          <cell r="C6856" t="str">
            <v>清扬 男士去屑洗发露多效水润养护型 450g</v>
          </cell>
          <cell r="D6856">
            <v>909</v>
          </cell>
          <cell r="E6856">
            <v>27960.69</v>
          </cell>
          <cell r="F6856">
            <v>34.758613531353099</v>
          </cell>
        </row>
        <row r="6857">
          <cell r="B6857" t="str">
            <v>70168343</v>
          </cell>
          <cell r="C6857" t="str">
            <v>清扬 洗发露多效水润养护型 175ML</v>
          </cell>
          <cell r="D6857">
            <v>562</v>
          </cell>
          <cell r="E6857">
            <v>9824.85</v>
          </cell>
          <cell r="F6857">
            <v>19.754591637010702</v>
          </cell>
        </row>
        <row r="6858">
          <cell r="B6858" t="str">
            <v>70168345</v>
          </cell>
          <cell r="C6858" t="str">
            <v>清扬男士活力运动薄荷型去屑洗发露175g+25g</v>
          </cell>
          <cell r="D6858">
            <v>407</v>
          </cell>
          <cell r="E6858">
            <v>7072.59</v>
          </cell>
          <cell r="F6858">
            <v>19.6364292383292</v>
          </cell>
        </row>
        <row r="6859">
          <cell r="B6859" t="str">
            <v>70171155</v>
          </cell>
          <cell r="C6859" t="str">
            <v>护舒宝 PINKCESS棉柔贴身量多日/夜卫生巾 10片</v>
          </cell>
          <cell r="D6859">
            <v>3946</v>
          </cell>
          <cell r="E6859">
            <v>30016.91</v>
          </cell>
          <cell r="F6859">
            <v>8.5958206538266602</v>
          </cell>
        </row>
        <row r="6860">
          <cell r="B6860" t="str">
            <v>70171159</v>
          </cell>
          <cell r="C6860" t="str">
            <v>护舒宝 PINKCESS棉柔丝薄日用包卫生巾 10片</v>
          </cell>
          <cell r="D6860">
            <v>160</v>
          </cell>
          <cell r="E6860">
            <v>1067.26</v>
          </cell>
          <cell r="F6860">
            <v>7.5375237500000001</v>
          </cell>
        </row>
        <row r="6861">
          <cell r="B6861" t="str">
            <v>70171161</v>
          </cell>
          <cell r="C6861" t="str">
            <v>护舒宝 PINKCESS棉柔丝薄量多日/夜卫生巾 10片</v>
          </cell>
          <cell r="D6861">
            <v>105</v>
          </cell>
          <cell r="E6861">
            <v>912.15</v>
          </cell>
          <cell r="F6861">
            <v>9.8164714285714307</v>
          </cell>
        </row>
        <row r="6862">
          <cell r="B6862" t="str">
            <v>70171164</v>
          </cell>
          <cell r="C6862" t="str">
            <v>护舒宝 PINKCESS棉柔贴身日用卫生巾 10片</v>
          </cell>
          <cell r="D6862">
            <v>3699</v>
          </cell>
          <cell r="E6862">
            <v>23569.5</v>
          </cell>
          <cell r="F6862">
            <v>7.2001987023519902</v>
          </cell>
        </row>
        <row r="6863">
          <cell r="B6863" t="str">
            <v>70178369</v>
          </cell>
          <cell r="C6863" t="str">
            <v>云南白药 朗健牙膏 180G</v>
          </cell>
          <cell r="D6863">
            <v>128</v>
          </cell>
          <cell r="E6863">
            <v>5148.82</v>
          </cell>
          <cell r="F6863">
            <v>45.454426562499997</v>
          </cell>
        </row>
        <row r="6864">
          <cell r="B6864" t="str">
            <v>70179089</v>
          </cell>
          <cell r="C6864" t="str">
            <v>惠润 柔净护发素(鲜花芳香) 600ML</v>
          </cell>
          <cell r="D6864">
            <v>76</v>
          </cell>
          <cell r="E6864">
            <v>3274.76</v>
          </cell>
          <cell r="F6864">
            <v>48.690510526315798</v>
          </cell>
        </row>
        <row r="6865">
          <cell r="B6865" t="str">
            <v>70179558</v>
          </cell>
          <cell r="C6865" t="str">
            <v>云南白药 朗键 清爽薄荷 120G</v>
          </cell>
          <cell r="D6865">
            <v>421</v>
          </cell>
          <cell r="E6865">
            <v>12253.67</v>
          </cell>
          <cell r="F6865">
            <v>32.889898099762497</v>
          </cell>
        </row>
        <row r="6866">
          <cell r="B6866" t="str">
            <v>70179566</v>
          </cell>
          <cell r="C6866" t="str">
            <v>舒肤佳 柠檬清新型香皂 100克</v>
          </cell>
          <cell r="D6866">
            <v>6537</v>
          </cell>
          <cell r="E6866">
            <v>22459.78</v>
          </cell>
          <cell r="F6866">
            <v>3.8824462903472501</v>
          </cell>
        </row>
        <row r="6867">
          <cell r="B6867" t="str">
            <v>70179568</v>
          </cell>
          <cell r="C6867" t="str">
            <v>舒肤佳 纯白清香型香皂 100克</v>
          </cell>
          <cell r="D6867">
            <v>7995</v>
          </cell>
          <cell r="E6867">
            <v>27340.59</v>
          </cell>
          <cell r="F6867">
            <v>3.8642735084427802</v>
          </cell>
        </row>
        <row r="6868">
          <cell r="B6868" t="str">
            <v>70189268</v>
          </cell>
          <cell r="C6868" t="str">
            <v>雪豹 FE干刷牙膏(两支装) 105克*2</v>
          </cell>
          <cell r="D6868">
            <v>13</v>
          </cell>
          <cell r="E6868">
            <v>109.32</v>
          </cell>
          <cell r="F6868">
            <v>9.5024307692307701</v>
          </cell>
        </row>
        <row r="6869">
          <cell r="B6869" t="str">
            <v>70190545</v>
          </cell>
          <cell r="C6869" t="str">
            <v>隆力奇 牛奶滋养香皂 95g</v>
          </cell>
          <cell r="D6869">
            <v>3373</v>
          </cell>
          <cell r="E6869">
            <v>6970.04</v>
          </cell>
          <cell r="F6869">
            <v>2.3350563889712399</v>
          </cell>
        </row>
        <row r="6870">
          <cell r="B6870" t="str">
            <v>70200836</v>
          </cell>
          <cell r="C6870" t="str">
            <v>欧莱雅 男士控油炭爽洁面乳 100ML</v>
          </cell>
          <cell r="D6870">
            <v>20</v>
          </cell>
          <cell r="E6870">
            <v>647.1</v>
          </cell>
          <cell r="F6870">
            <v>36.561149999999998</v>
          </cell>
        </row>
        <row r="6871">
          <cell r="B6871" t="str">
            <v>70201366</v>
          </cell>
          <cell r="C6871" t="str">
            <v>旁氏 樱粹粉润焕亮洁面乳 90g</v>
          </cell>
          <cell r="D6871">
            <v>535</v>
          </cell>
          <cell r="E6871">
            <v>7461.59</v>
          </cell>
          <cell r="F6871">
            <v>15.7599938317757</v>
          </cell>
        </row>
        <row r="6872">
          <cell r="B6872" t="str">
            <v>70202446</v>
          </cell>
          <cell r="C6872" t="str">
            <v>洁柔 厨房用纸 -</v>
          </cell>
          <cell r="D6872">
            <v>14</v>
          </cell>
          <cell r="E6872">
            <v>127.3</v>
          </cell>
          <cell r="F6872">
            <v>10.2749285714286</v>
          </cell>
        </row>
        <row r="6873">
          <cell r="B6873" t="str">
            <v>70203268</v>
          </cell>
          <cell r="C6873" t="str">
            <v>舒客 超强脱渍型白牙素 120G</v>
          </cell>
          <cell r="D6873">
            <v>294</v>
          </cell>
          <cell r="E6873">
            <v>6471.45</v>
          </cell>
          <cell r="F6873">
            <v>24.8732602040816</v>
          </cell>
        </row>
        <row r="6874">
          <cell r="B6874" t="str">
            <v>70203417</v>
          </cell>
          <cell r="C6874" t="str">
            <v>舒客 维C营养牙膏 120G</v>
          </cell>
          <cell r="D6874">
            <v>1027</v>
          </cell>
          <cell r="E6874">
            <v>6280.05</v>
          </cell>
          <cell r="F6874">
            <v>6.9098894839337897</v>
          </cell>
        </row>
        <row r="6875">
          <cell r="B6875" t="str">
            <v>70214574</v>
          </cell>
          <cell r="C6875" t="str">
            <v>舒肤佳 泡沫抗菌洗手液樱花香型 225ML</v>
          </cell>
          <cell r="D6875">
            <v>19</v>
          </cell>
          <cell r="E6875">
            <v>267.51</v>
          </cell>
          <cell r="F6875">
            <v>15.909805263157899</v>
          </cell>
        </row>
        <row r="6876">
          <cell r="B6876" t="str">
            <v>70215847</v>
          </cell>
          <cell r="C6876" t="str">
            <v>欧莱雅 精油润养润发乳 400ML</v>
          </cell>
          <cell r="D6876">
            <v>75</v>
          </cell>
          <cell r="E6876">
            <v>2528.12</v>
          </cell>
          <cell r="F6876">
            <v>38.090341333333299</v>
          </cell>
        </row>
        <row r="6877">
          <cell r="B6877" t="str">
            <v>70215848</v>
          </cell>
          <cell r="C6877" t="str">
            <v>欧莱雅 精油润养洗发露 400ML</v>
          </cell>
          <cell r="D6877">
            <v>221</v>
          </cell>
          <cell r="E6877">
            <v>6688.74</v>
          </cell>
          <cell r="F6877">
            <v>34.200344796380101</v>
          </cell>
        </row>
        <row r="6878">
          <cell r="B6878" t="str">
            <v>70219552</v>
          </cell>
          <cell r="C6878" t="str">
            <v>旁氏 焕采净澈系列米粹润泽洁面乳 90g</v>
          </cell>
          <cell r="D6878">
            <v>357</v>
          </cell>
          <cell r="E6878">
            <v>4961.63</v>
          </cell>
          <cell r="F6878">
            <v>15.7048792717087</v>
          </cell>
        </row>
        <row r="6879">
          <cell r="B6879" t="str">
            <v>70223253</v>
          </cell>
          <cell r="C6879" t="str">
            <v>欧莱雅 男士控油炭爽抗黑头洁面膏 100ML</v>
          </cell>
          <cell r="D6879">
            <v>66</v>
          </cell>
          <cell r="E6879">
            <v>2139.9699999999998</v>
          </cell>
          <cell r="F6879">
            <v>36.638880303030298</v>
          </cell>
        </row>
        <row r="6880">
          <cell r="B6880" t="str">
            <v>70223856</v>
          </cell>
          <cell r="C6880" t="str">
            <v>力士 精油香氛沐浴乳幽莲魅肤 720G</v>
          </cell>
          <cell r="D6880">
            <v>100</v>
          </cell>
          <cell r="E6880">
            <v>2916.37</v>
          </cell>
          <cell r="F6880">
            <v>32.954980999999997</v>
          </cell>
        </row>
        <row r="6881">
          <cell r="B6881" t="str">
            <v>70223857</v>
          </cell>
          <cell r="C6881" t="str">
            <v>力士 爽肤沐浴乳闪亮冰爽 720ML?</v>
          </cell>
          <cell r="D6881">
            <v>475</v>
          </cell>
          <cell r="E6881">
            <v>14345.54</v>
          </cell>
          <cell r="F6881">
            <v>34.127284631578902</v>
          </cell>
        </row>
        <row r="6882">
          <cell r="B6882" t="str">
            <v>70223858</v>
          </cell>
          <cell r="C6882" t="str">
            <v>力士 娇肤沐浴乳恒久嫩肤 720ML?</v>
          </cell>
          <cell r="D6882">
            <v>305</v>
          </cell>
          <cell r="E6882">
            <v>9224.48</v>
          </cell>
          <cell r="F6882">
            <v>34.175942295082002</v>
          </cell>
        </row>
        <row r="6883">
          <cell r="B6883" t="str">
            <v>70224627</v>
          </cell>
          <cell r="C6883" t="str">
            <v>海飞丝 男士去屑洗发露劲感去油型 380G</v>
          </cell>
          <cell r="D6883">
            <v>1139</v>
          </cell>
          <cell r="E6883">
            <v>36249.25</v>
          </cell>
          <cell r="F6883">
            <v>35.962820456540797</v>
          </cell>
        </row>
        <row r="6884">
          <cell r="B6884" t="str">
            <v>70226598</v>
          </cell>
          <cell r="C6884" t="str">
            <v>云南白药 金口健牙膏 益优清新 105G</v>
          </cell>
          <cell r="D6884">
            <v>2369</v>
          </cell>
          <cell r="E6884">
            <v>25982.41</v>
          </cell>
          <cell r="F6884">
            <v>12.3934669902913</v>
          </cell>
        </row>
        <row r="6885">
          <cell r="B6885" t="str">
            <v>70227501</v>
          </cell>
          <cell r="C6885" t="str">
            <v>欧莱雅 精油润养洗发水 700ML</v>
          </cell>
          <cell r="D6885">
            <v>4</v>
          </cell>
          <cell r="E6885">
            <v>228.47</v>
          </cell>
          <cell r="F6885">
            <v>64.542775000000006</v>
          </cell>
        </row>
        <row r="6886">
          <cell r="B6886" t="str">
            <v>70227921</v>
          </cell>
          <cell r="C6886" t="str">
            <v>云南白药 金口健牙膏 益优清新(激爽薄荷型) 105G/盒</v>
          </cell>
          <cell r="D6886">
            <v>4376</v>
          </cell>
          <cell r="E6886">
            <v>48037.81</v>
          </cell>
          <cell r="F6886">
            <v>12.4046447212066</v>
          </cell>
        </row>
        <row r="6887">
          <cell r="B6887" t="str">
            <v>70232182</v>
          </cell>
          <cell r="C6887" t="str">
            <v>欧莱雅 多效修复洗发露 400ML</v>
          </cell>
          <cell r="D6887">
            <v>95</v>
          </cell>
          <cell r="E6887">
            <v>3102.69</v>
          </cell>
          <cell r="F6887">
            <v>36.9056810526316</v>
          </cell>
        </row>
        <row r="6888">
          <cell r="B6888" t="str">
            <v>70233860</v>
          </cell>
          <cell r="C6888" t="str">
            <v>欧莱雅 男士火山岩控油清痘洁面膏 100ML</v>
          </cell>
          <cell r="D6888">
            <v>75</v>
          </cell>
          <cell r="E6888">
            <v>2397.91</v>
          </cell>
          <cell r="F6888">
            <v>36.128510666666699</v>
          </cell>
        </row>
        <row r="6889">
          <cell r="B6889" t="str">
            <v>70239057</v>
          </cell>
          <cell r="C6889" t="str">
            <v>云南白药 金口键全效美白 1*24</v>
          </cell>
          <cell r="D6889">
            <v>1292</v>
          </cell>
          <cell r="E6889">
            <v>14831.05</v>
          </cell>
          <cell r="F6889">
            <v>12.9714291795666</v>
          </cell>
        </row>
        <row r="6890">
          <cell r="B6890" t="str">
            <v>70239062</v>
          </cell>
          <cell r="C6890" t="str">
            <v>云南白药 金口健竹炭清新型牙刷 1/支</v>
          </cell>
          <cell r="D6890">
            <v>1376</v>
          </cell>
          <cell r="E6890">
            <v>9722.1299999999992</v>
          </cell>
          <cell r="F6890">
            <v>7.9840166424418602</v>
          </cell>
        </row>
        <row r="6891">
          <cell r="B6891" t="str">
            <v>70244100</v>
          </cell>
          <cell r="C6891" t="str">
            <v>欧莱雅 透明质酸水润洗发露 200ML</v>
          </cell>
          <cell r="D6891">
            <v>48</v>
          </cell>
          <cell r="E6891">
            <v>856.8</v>
          </cell>
          <cell r="F6891">
            <v>20.170500000000001</v>
          </cell>
        </row>
        <row r="6892">
          <cell r="B6892" t="str">
            <v>70244101</v>
          </cell>
          <cell r="C6892" t="str">
            <v>欧莱雅 透明质酸水润洗发露 400ML</v>
          </cell>
          <cell r="D6892">
            <v>123</v>
          </cell>
          <cell r="E6892">
            <v>4571.51</v>
          </cell>
          <cell r="F6892">
            <v>41.998425203251998</v>
          </cell>
        </row>
        <row r="6893">
          <cell r="B6893" t="str">
            <v>70244108</v>
          </cell>
          <cell r="C6893" t="str">
            <v>欧莱雅 透明质酸水润洗发露 700ML</v>
          </cell>
          <cell r="D6893">
            <v>19</v>
          </cell>
          <cell r="E6893">
            <v>920.19</v>
          </cell>
          <cell r="F6893">
            <v>54.727089473684202</v>
          </cell>
        </row>
        <row r="6894">
          <cell r="B6894" t="str">
            <v>70244707</v>
          </cell>
          <cell r="C6894" t="str">
            <v>大宝 SOD清爽保湿露 100ML</v>
          </cell>
          <cell r="D6894">
            <v>619</v>
          </cell>
          <cell r="E6894">
            <v>6228.97</v>
          </cell>
          <cell r="F6894">
            <v>11.3711407108239</v>
          </cell>
        </row>
        <row r="6895">
          <cell r="B6895" t="str">
            <v>70246785</v>
          </cell>
          <cell r="C6895" t="str">
            <v>力士 水润丝滑柔亮洗发乳 750ml</v>
          </cell>
          <cell r="D6895">
            <v>242</v>
          </cell>
          <cell r="E6895">
            <v>8859.7800000000007</v>
          </cell>
          <cell r="F6895">
            <v>41.370047107437998</v>
          </cell>
        </row>
        <row r="6896">
          <cell r="B6896" t="str">
            <v>70249993</v>
          </cell>
          <cell r="C6896" t="str">
            <v>滋源 无患子控油清爽洗发水 265ML</v>
          </cell>
          <cell r="D6896">
            <v>5</v>
          </cell>
          <cell r="E6896">
            <v>150.19999999999999</v>
          </cell>
          <cell r="F6896">
            <v>33.9452</v>
          </cell>
        </row>
        <row r="6897">
          <cell r="B6897" t="str">
            <v>70253660</v>
          </cell>
          <cell r="C6897" t="str">
            <v>滋源 茶籽水润去屑洗发水 535ML</v>
          </cell>
          <cell r="D6897">
            <v>32</v>
          </cell>
          <cell r="E6897">
            <v>943.94</v>
          </cell>
          <cell r="F6897">
            <v>33.33288125</v>
          </cell>
        </row>
        <row r="6898">
          <cell r="B6898" t="str">
            <v>70254539</v>
          </cell>
          <cell r="C6898" t="str">
            <v>滋源 无患子保湿滋养洗发水 535ML</v>
          </cell>
          <cell r="D6898">
            <v>19</v>
          </cell>
          <cell r="E6898">
            <v>560.48</v>
          </cell>
          <cell r="F6898">
            <v>33.333810526315801</v>
          </cell>
        </row>
        <row r="6899">
          <cell r="B6899" t="str">
            <v>70254543</v>
          </cell>
          <cell r="C6899" t="str">
            <v>滋源 氨基酸生姜健发洗发水 535ML</v>
          </cell>
          <cell r="D6899">
            <v>12</v>
          </cell>
          <cell r="E6899">
            <v>715.15</v>
          </cell>
          <cell r="F6899">
            <v>67.343291666666701</v>
          </cell>
        </row>
        <row r="6900">
          <cell r="B6900" t="str">
            <v>70254544</v>
          </cell>
          <cell r="C6900" t="str">
            <v>滋源 氨基酸臻萃奢养护发素 535ML</v>
          </cell>
          <cell r="D6900">
            <v>8</v>
          </cell>
          <cell r="E6900">
            <v>476.76</v>
          </cell>
          <cell r="F6900">
            <v>67.342349999999996</v>
          </cell>
        </row>
        <row r="6901">
          <cell r="B6901" t="str">
            <v>70254576</v>
          </cell>
          <cell r="C6901" t="str">
            <v>欧莱雅 男士控油炭爽双效洁面膏 100mL</v>
          </cell>
          <cell r="D6901">
            <v>42</v>
          </cell>
          <cell r="E6901">
            <v>1344.62</v>
          </cell>
          <cell r="F6901">
            <v>36.176680952380899</v>
          </cell>
        </row>
        <row r="6902">
          <cell r="B6902" t="str">
            <v>70256007</v>
          </cell>
          <cell r="C6902" t="str">
            <v>维达 超韧纸巾3层抽取式面巾纸 130抽/包</v>
          </cell>
          <cell r="D6902">
            <v>1919</v>
          </cell>
          <cell r="E6902">
            <v>4913.99</v>
          </cell>
          <cell r="F6902">
            <v>2.8935949452840002</v>
          </cell>
        </row>
        <row r="6903">
          <cell r="B6903" t="str">
            <v>70257944</v>
          </cell>
          <cell r="C6903" t="str">
            <v>滋源 无患子保湿滋养护发素 535ML</v>
          </cell>
          <cell r="D6903">
            <v>38</v>
          </cell>
          <cell r="E6903">
            <v>1120.9000000000001</v>
          </cell>
          <cell r="F6903">
            <v>33.332026315789498</v>
          </cell>
        </row>
        <row r="6904">
          <cell r="B6904" t="str">
            <v>70259092</v>
          </cell>
          <cell r="C6904" t="str">
            <v>云南白药 双效抗敏水润薄荷牙膏 110G</v>
          </cell>
          <cell r="D6904">
            <v>1052</v>
          </cell>
          <cell r="E6904">
            <v>24039.56</v>
          </cell>
          <cell r="F6904">
            <v>25.821960836501901</v>
          </cell>
        </row>
        <row r="6905">
          <cell r="B6905" t="str">
            <v>70259093</v>
          </cell>
          <cell r="C6905" t="str">
            <v>云南白药 双效抗敏水润薄荷牙膏 150G</v>
          </cell>
          <cell r="D6905">
            <v>628</v>
          </cell>
          <cell r="E6905">
            <v>18098</v>
          </cell>
          <cell r="F6905">
            <v>32.564872611464999</v>
          </cell>
        </row>
        <row r="6906">
          <cell r="B6906" t="str">
            <v>70261320</v>
          </cell>
          <cell r="C6906" t="str">
            <v>洁柔 厨房湿巾JS009-01 个</v>
          </cell>
          <cell r="D6906">
            <v>526</v>
          </cell>
          <cell r="E6906">
            <v>5410.24</v>
          </cell>
          <cell r="F6906">
            <v>11.622758935361199</v>
          </cell>
        </row>
        <row r="6907">
          <cell r="B6907" t="str">
            <v>70266269</v>
          </cell>
          <cell r="C6907" t="str">
            <v>洁柔 JR103-01NFACE天然无香150抽抽取式纸面巾48包/件</v>
          </cell>
          <cell r="D6907">
            <v>5</v>
          </cell>
          <cell r="E6907">
            <v>18.489999999999998</v>
          </cell>
          <cell r="F6907">
            <v>4.1787400000000003</v>
          </cell>
        </row>
        <row r="6908">
          <cell r="B6908" t="str">
            <v>70266270</v>
          </cell>
          <cell r="C6908" t="str">
            <v>洁柔 Lotion柔润乳霜纸巾柔滑纸面巾软抽纸柔润 30抽3层/包</v>
          </cell>
          <cell r="D6908">
            <v>460</v>
          </cell>
          <cell r="E6908">
            <v>694.52</v>
          </cell>
          <cell r="F6908">
            <v>1.7061034782608699</v>
          </cell>
        </row>
        <row r="6909">
          <cell r="B6909" t="str">
            <v>70267381</v>
          </cell>
          <cell r="C6909" t="str">
            <v>隆力奇 去屑柔滑洗发露 1L</v>
          </cell>
          <cell r="D6909">
            <v>42</v>
          </cell>
          <cell r="E6909">
            <v>808.05</v>
          </cell>
          <cell r="F6909">
            <v>21.740392857142901</v>
          </cell>
        </row>
        <row r="6910">
          <cell r="B6910" t="str">
            <v>70268644</v>
          </cell>
          <cell r="C6910" t="str">
            <v>阿道夫 滋润修护洗发乳液 500ML</v>
          </cell>
          <cell r="D6910">
            <v>238</v>
          </cell>
          <cell r="E6910">
            <v>11829.44</v>
          </cell>
          <cell r="F6910">
            <v>56.164988235294103</v>
          </cell>
        </row>
        <row r="6911">
          <cell r="B6911" t="str">
            <v>70268645</v>
          </cell>
          <cell r="C6911" t="str">
            <v>阿道夫 轻柔丝滑洗发乳液 500ML</v>
          </cell>
          <cell r="D6911">
            <v>208</v>
          </cell>
          <cell r="E6911">
            <v>9863.24</v>
          </cell>
          <cell r="F6911">
            <v>53.5839480769231</v>
          </cell>
        </row>
        <row r="6912">
          <cell r="B6912" t="str">
            <v>70269364</v>
          </cell>
          <cell r="C6912" t="str">
            <v>滋源 茶籽水润去屑护发素(中干性) 535ML</v>
          </cell>
          <cell r="D6912">
            <v>33</v>
          </cell>
          <cell r="E6912">
            <v>973.41</v>
          </cell>
          <cell r="F6912">
            <v>33.331918181818203</v>
          </cell>
        </row>
        <row r="6913">
          <cell r="B6913" t="str">
            <v>70270911</v>
          </cell>
          <cell r="C6913" t="str">
            <v>雅芳 特润修复润手霜 75克</v>
          </cell>
          <cell r="D6913">
            <v>7</v>
          </cell>
          <cell r="E6913">
            <v>114.62</v>
          </cell>
          <cell r="F6913">
            <v>18.502942857142902</v>
          </cell>
        </row>
        <row r="6914">
          <cell r="B6914" t="str">
            <v>70272799</v>
          </cell>
          <cell r="C6914" t="str">
            <v>洁柔 卫生湿巾（10片） 1</v>
          </cell>
          <cell r="D6914">
            <v>15677</v>
          </cell>
          <cell r="E6914">
            <v>41818.239999999998</v>
          </cell>
          <cell r="F6914">
            <v>3.0142636473815099</v>
          </cell>
        </row>
        <row r="6915">
          <cell r="B6915" t="str">
            <v>70273256</v>
          </cell>
          <cell r="C6915" t="str">
            <v>舒客 红花清火牙膏 120G</v>
          </cell>
          <cell r="D6915">
            <v>904</v>
          </cell>
          <cell r="E6915">
            <v>7991.89</v>
          </cell>
          <cell r="F6915">
            <v>9.9898624999999992</v>
          </cell>
        </row>
        <row r="6916">
          <cell r="B6916" t="str">
            <v>70273971</v>
          </cell>
          <cell r="C6916" t="str">
            <v>BR070-03N洁柔纸面巾(Face油画软抽)100抽4层 48包/件</v>
          </cell>
          <cell r="D6916">
            <v>23062</v>
          </cell>
          <cell r="E6916">
            <v>67104.429999999993</v>
          </cell>
          <cell r="F6916">
            <v>3.2880064998699199</v>
          </cell>
        </row>
        <row r="6917">
          <cell r="B6917" t="str">
            <v>70273972</v>
          </cell>
          <cell r="C6917" t="str">
            <v>BR070-03N洁柔纸面巾(Face油画软抽)100抽4层 16提/件</v>
          </cell>
          <cell r="D6917">
            <v>4905</v>
          </cell>
          <cell r="E6917">
            <v>40035.24</v>
          </cell>
          <cell r="F6917">
            <v>9.2232051376146806</v>
          </cell>
        </row>
        <row r="6918">
          <cell r="B6918" t="str">
            <v>70273980</v>
          </cell>
          <cell r="C6918" t="str">
            <v>洁柔 JJ174-02  FACE无芯卷纸卫生纸 5提/件</v>
          </cell>
          <cell r="D6918">
            <v>3633</v>
          </cell>
          <cell r="E6918">
            <v>72981.740000000005</v>
          </cell>
          <cell r="F6918">
            <v>22.700073272777299</v>
          </cell>
        </row>
        <row r="6919">
          <cell r="B6919" t="str">
            <v>70275438</v>
          </cell>
          <cell r="C6919" t="str">
            <v>洁柔BJ173-10  Face200克卷纸卫生纸(10卷装) 6提/件</v>
          </cell>
          <cell r="D6919">
            <v>3664</v>
          </cell>
          <cell r="E6919">
            <v>93332.12</v>
          </cell>
          <cell r="F6919">
            <v>28.784196397379901</v>
          </cell>
        </row>
        <row r="6920">
          <cell r="B6920" t="str">
            <v>70275441</v>
          </cell>
          <cell r="C6920" t="str">
            <v>布艺 圆点无芯卷纸卫生纸 10卷</v>
          </cell>
          <cell r="D6920">
            <v>3183</v>
          </cell>
          <cell r="E6920">
            <v>28398.959999999999</v>
          </cell>
          <cell r="F6920">
            <v>10.081943072573001</v>
          </cell>
        </row>
        <row r="6921">
          <cell r="B6921" t="str">
            <v>70275756</v>
          </cell>
          <cell r="C6921" t="str">
            <v>隆力奇 芬芳沐浴露（薰衣草香型） 900ml</v>
          </cell>
          <cell r="D6921">
            <v>31</v>
          </cell>
          <cell r="E6921">
            <v>441.13</v>
          </cell>
          <cell r="F6921">
            <v>16.079899999999999</v>
          </cell>
        </row>
        <row r="6922">
          <cell r="B6922" t="str">
            <v>70275757</v>
          </cell>
          <cell r="C6922" t="str">
            <v>隆力奇 芬芳沐浴露（玫瑰香型） 900ml</v>
          </cell>
          <cell r="D6922">
            <v>60</v>
          </cell>
          <cell r="E6922">
            <v>853.8</v>
          </cell>
          <cell r="F6922">
            <v>16.079899999999999</v>
          </cell>
        </row>
        <row r="6923">
          <cell r="B6923" t="str">
            <v>70275768</v>
          </cell>
          <cell r="C6923" t="str">
            <v>冷酸灵 清火扛敏扛敏感牙膏 180G</v>
          </cell>
          <cell r="D6923">
            <v>902</v>
          </cell>
          <cell r="E6923">
            <v>7780.31</v>
          </cell>
          <cell r="F6923">
            <v>9.7469515521064292</v>
          </cell>
        </row>
        <row r="6924">
          <cell r="B6924" t="str">
            <v>70279703</v>
          </cell>
          <cell r="C6924" t="str">
            <v>洁柔 FACE古龙水香味迷你型纸手帕 12/条</v>
          </cell>
          <cell r="D6924">
            <v>877</v>
          </cell>
          <cell r="E6924">
            <v>411.83</v>
          </cell>
          <cell r="F6924">
            <v>0.53063614595210895</v>
          </cell>
        </row>
        <row r="6925">
          <cell r="B6925" t="str">
            <v>70279704</v>
          </cell>
          <cell r="C6925" t="str">
            <v>洁柔 FACE天然无香超迷你型纸手帕 36/箱</v>
          </cell>
          <cell r="D6925">
            <v>4169</v>
          </cell>
          <cell r="E6925">
            <v>22617.95</v>
          </cell>
          <cell r="F6925">
            <v>6.1305549292396302</v>
          </cell>
        </row>
        <row r="6926">
          <cell r="B6926" t="str">
            <v>70280191</v>
          </cell>
          <cell r="C6926" t="str">
            <v>阿道夫 祛屑止痒洗发乳液 300g</v>
          </cell>
          <cell r="D6926">
            <v>282</v>
          </cell>
          <cell r="E6926">
            <v>8357.9</v>
          </cell>
          <cell r="F6926">
            <v>33.490875886524798</v>
          </cell>
        </row>
        <row r="6927">
          <cell r="B6927" t="str">
            <v>70280192</v>
          </cell>
          <cell r="C6927" t="str">
            <v>阿道夫 净澈清爽洗发乳液 300ML</v>
          </cell>
          <cell r="D6927">
            <v>8</v>
          </cell>
          <cell r="E6927">
            <v>277.49</v>
          </cell>
          <cell r="F6927">
            <v>39.195462499999998</v>
          </cell>
        </row>
        <row r="6928">
          <cell r="B6928" t="str">
            <v>70280194</v>
          </cell>
          <cell r="C6928" t="str">
            <v>阿道夫 精油沐浴原液（魅力经典） 500ML</v>
          </cell>
          <cell r="D6928">
            <v>38</v>
          </cell>
          <cell r="E6928">
            <v>1968.43</v>
          </cell>
          <cell r="F6928">
            <v>58.534892105263197</v>
          </cell>
        </row>
        <row r="6929">
          <cell r="B6929" t="str">
            <v>70280195</v>
          </cell>
          <cell r="C6929" t="str">
            <v>阿道夫 精油沐浴原液（魅红诱惑） 500ML</v>
          </cell>
          <cell r="D6929">
            <v>28</v>
          </cell>
          <cell r="E6929">
            <v>1551.7</v>
          </cell>
          <cell r="F6929">
            <v>62.622178571428599</v>
          </cell>
        </row>
        <row r="6930">
          <cell r="B6930" t="str">
            <v>70280600</v>
          </cell>
          <cell r="C6930" t="str">
            <v>洁柔 商用130抽抽取式面巾 3包</v>
          </cell>
          <cell r="D6930">
            <v>5903</v>
          </cell>
          <cell r="E6930">
            <v>43983.79</v>
          </cell>
          <cell r="F6930">
            <v>8.4197327968829399</v>
          </cell>
        </row>
        <row r="6931">
          <cell r="B6931" t="str">
            <v>70280733</v>
          </cell>
          <cell r="C6931" t="str">
            <v>阿道夫 滋润修护洗发乳液 800ML</v>
          </cell>
          <cell r="D6931">
            <v>22</v>
          </cell>
          <cell r="E6931">
            <v>1303.28</v>
          </cell>
          <cell r="F6931">
            <v>66.941199999999995</v>
          </cell>
        </row>
        <row r="6932">
          <cell r="B6932" t="str">
            <v>70280734</v>
          </cell>
          <cell r="C6932" t="str">
            <v>阿道夫 精油沐浴原液（魅力经典） 800ML</v>
          </cell>
          <cell r="D6932">
            <v>38</v>
          </cell>
          <cell r="E6932">
            <v>2286.83</v>
          </cell>
          <cell r="F6932">
            <v>68.003102631578898</v>
          </cell>
        </row>
        <row r="6933">
          <cell r="B6933" t="str">
            <v>70281911</v>
          </cell>
          <cell r="C6933" t="str">
            <v>洁柔 MR001-01 洁柔自然木 120软抽（6包装）</v>
          </cell>
          <cell r="D6933">
            <v>244</v>
          </cell>
          <cell r="E6933">
            <v>75.8</v>
          </cell>
          <cell r="F6933">
            <v>0.351040983606557</v>
          </cell>
        </row>
        <row r="6934">
          <cell r="B6934" t="str">
            <v>70281912</v>
          </cell>
          <cell r="C6934" t="str">
            <v>洁柔 自然木1400G空芯卷纸  10卷/提</v>
          </cell>
          <cell r="D6934">
            <v>1158</v>
          </cell>
          <cell r="E6934">
            <v>22017.84</v>
          </cell>
          <cell r="F6934">
            <v>21.485456994818598</v>
          </cell>
        </row>
        <row r="6935">
          <cell r="B6935" t="str">
            <v>70282079</v>
          </cell>
          <cell r="C6935" t="str">
            <v>洁柔 JR078-06NFACE天然无香120抽抽取式纸面巾 包</v>
          </cell>
          <cell r="D6935">
            <v>23535</v>
          </cell>
          <cell r="E6935">
            <v>63714.74</v>
          </cell>
          <cell r="F6935">
            <v>3.0591738347142501</v>
          </cell>
        </row>
        <row r="6936">
          <cell r="B6936" t="str">
            <v>70282718</v>
          </cell>
          <cell r="C6936" t="str">
            <v>绿伞 抗菌洗手液(草本精华) 500G</v>
          </cell>
          <cell r="D6936">
            <v>575</v>
          </cell>
          <cell r="E6936">
            <v>5484.79</v>
          </cell>
          <cell r="F6936">
            <v>10.7788046956522</v>
          </cell>
        </row>
        <row r="6937">
          <cell r="B6937" t="str">
            <v>70286043</v>
          </cell>
          <cell r="C6937" t="str">
            <v>清扬 男士去屑洗发露多效水润型蓝瓶 650g</v>
          </cell>
          <cell r="D6937">
            <v>159</v>
          </cell>
          <cell r="E6937">
            <v>7985.98</v>
          </cell>
          <cell r="F6937">
            <v>56.755706918238999</v>
          </cell>
        </row>
        <row r="6938">
          <cell r="B6938" t="str">
            <v>70286048</v>
          </cell>
          <cell r="C6938" t="str">
            <v>清扬 男士去屑洗发露清爽控油型蓝瓶 650G</v>
          </cell>
          <cell r="D6938">
            <v>127</v>
          </cell>
          <cell r="E6938">
            <v>6399.4</v>
          </cell>
          <cell r="F6938">
            <v>56.939543307086602</v>
          </cell>
        </row>
        <row r="6939">
          <cell r="B6939" t="str">
            <v>70287069</v>
          </cell>
          <cell r="C6939" t="str">
            <v>佳洁士 3D炫白微米炭牙膏 120G</v>
          </cell>
          <cell r="D6939">
            <v>145</v>
          </cell>
          <cell r="E6939">
            <v>1097.92</v>
          </cell>
          <cell r="F6939">
            <v>8.5562041379310294</v>
          </cell>
        </row>
        <row r="6940">
          <cell r="B6940" t="str">
            <v>70289481</v>
          </cell>
          <cell r="C6940" t="str">
            <v>宝洁 佳洁士全优7效强健牙釉质牙膏 120G</v>
          </cell>
          <cell r="D6940">
            <v>105</v>
          </cell>
          <cell r="E6940">
            <v>991.81</v>
          </cell>
          <cell r="F6940">
            <v>10.673764761904801</v>
          </cell>
        </row>
        <row r="6941">
          <cell r="B6941" t="str">
            <v>70291211</v>
          </cell>
          <cell r="C6941" t="str">
            <v>联合利华力士 排浊除菌香皂幽莲魅肤 (100G＋5G)</v>
          </cell>
          <cell r="D6941">
            <v>1692</v>
          </cell>
          <cell r="E6941">
            <v>6193.42</v>
          </cell>
          <cell r="F6941">
            <v>4.1362674940898296</v>
          </cell>
        </row>
        <row r="6942">
          <cell r="B6942" t="str">
            <v>70291213</v>
          </cell>
          <cell r="C6942" t="str">
            <v>力士 精油香氛沐浴乳幽莲魅肤 180G</v>
          </cell>
          <cell r="D6942">
            <v>0</v>
          </cell>
          <cell r="E6942">
            <v>0</v>
          </cell>
          <cell r="F6942" t="e">
            <v>#DIV/0!</v>
          </cell>
        </row>
        <row r="6943">
          <cell r="B6943" t="str">
            <v>70291226</v>
          </cell>
          <cell r="C6943" t="str">
            <v>舒肤佳 纯白清香型洗手液 225g</v>
          </cell>
          <cell r="D6943">
            <v>91</v>
          </cell>
          <cell r="E6943">
            <v>846.26</v>
          </cell>
          <cell r="F6943">
            <v>10.508503296703299</v>
          </cell>
        </row>
        <row r="6944">
          <cell r="B6944" t="str">
            <v>70295357</v>
          </cell>
          <cell r="C6944" t="str">
            <v>洁柔 ML007-12低白度纸面巾(自然木迷你软抽单包装) 120包/件</v>
          </cell>
          <cell r="D6944">
            <v>5</v>
          </cell>
          <cell r="E6944">
            <v>5.62</v>
          </cell>
          <cell r="F6944">
            <v>1.2701199999999999</v>
          </cell>
        </row>
        <row r="6945">
          <cell r="B6945" t="str">
            <v>70300244</v>
          </cell>
          <cell r="C6945" t="str">
            <v>昆仑好客U＆U 印花软抽402张/包 M号</v>
          </cell>
          <cell r="D6945">
            <v>995</v>
          </cell>
          <cell r="E6945">
            <v>3206.98</v>
          </cell>
          <cell r="F6945">
            <v>3.64209788944724</v>
          </cell>
        </row>
        <row r="6946">
          <cell r="B6946" t="str">
            <v>70300247</v>
          </cell>
          <cell r="C6946" t="str">
            <v>昆仑好客U＆U 竹纤维原浆软抽318张/包 S号</v>
          </cell>
          <cell r="D6946">
            <v>1774</v>
          </cell>
          <cell r="E6946">
            <v>3646.8</v>
          </cell>
          <cell r="F6946">
            <v>2.32293348365276</v>
          </cell>
        </row>
        <row r="6947">
          <cell r="B6947" t="str">
            <v>70300248</v>
          </cell>
          <cell r="C6947" t="str">
            <v>昆仑好客U＆U 竹纤维原浆保湿型软抽180张/包 XS号</v>
          </cell>
          <cell r="D6947">
            <v>1733</v>
          </cell>
          <cell r="E6947">
            <v>3990.71</v>
          </cell>
          <cell r="F6947">
            <v>2.60213635314483</v>
          </cell>
        </row>
        <row r="6948">
          <cell r="B6948" t="str">
            <v>70300249</v>
          </cell>
          <cell r="C6948" t="str">
            <v>昆仑好客U＆U 竹纤维原浆卷纸无芯 12卷1800G/提</v>
          </cell>
          <cell r="D6948">
            <v>286</v>
          </cell>
          <cell r="E6948">
            <v>6354.03</v>
          </cell>
          <cell r="F6948">
            <v>25.105083566433599</v>
          </cell>
        </row>
        <row r="6949">
          <cell r="B6949" t="str">
            <v>70301651</v>
          </cell>
          <cell r="C6949" t="str">
            <v>云南白药 益生菌儿童牙膏桃子果茶6-12岁 60G</v>
          </cell>
          <cell r="D6949">
            <v>315</v>
          </cell>
          <cell r="E6949">
            <v>10211.780000000001</v>
          </cell>
          <cell r="F6949">
            <v>36.632734603174598</v>
          </cell>
        </row>
        <row r="6950">
          <cell r="B6950" t="str">
            <v>70303482</v>
          </cell>
          <cell r="C6950" t="str">
            <v>阿道夫 洗发乳液 (去屑止痒) 800ML</v>
          </cell>
          <cell r="D6950">
            <v>13</v>
          </cell>
          <cell r="E6950">
            <v>802.07</v>
          </cell>
          <cell r="F6950">
            <v>69.718392307692298</v>
          </cell>
        </row>
        <row r="6951">
          <cell r="B6951" t="str">
            <v>70303483</v>
          </cell>
          <cell r="C6951" t="str">
            <v>阿道夫 洗发乳液 (净澈清爽) 800ML</v>
          </cell>
          <cell r="D6951">
            <v>11</v>
          </cell>
          <cell r="E6951">
            <v>677.78</v>
          </cell>
          <cell r="F6951">
            <v>69.626490909090904</v>
          </cell>
        </row>
        <row r="6952">
          <cell r="B6952" t="str">
            <v>70303484</v>
          </cell>
          <cell r="C6952" t="str">
            <v>阿道夫 护发素 (植物精华) 800ML</v>
          </cell>
          <cell r="D6952">
            <v>62</v>
          </cell>
          <cell r="E6952">
            <v>3746.9</v>
          </cell>
          <cell r="F6952">
            <v>68.290274193548399</v>
          </cell>
        </row>
        <row r="6953">
          <cell r="B6953" t="str">
            <v>70305529</v>
          </cell>
          <cell r="C6953" t="str">
            <v>立白 润肤除菌香皂-西柠香型 100G</v>
          </cell>
          <cell r="D6953">
            <v>1044</v>
          </cell>
          <cell r="E6953">
            <v>3128.95</v>
          </cell>
          <cell r="F6953">
            <v>3.3866987547892702</v>
          </cell>
        </row>
        <row r="6954">
          <cell r="B6954" t="str">
            <v>70308860</v>
          </cell>
          <cell r="C6954" t="str">
            <v>乐而雅 零触感特薄特长日用护翼型卫生巾25CM (8片装) 1EA</v>
          </cell>
          <cell r="D6954">
            <v>803</v>
          </cell>
          <cell r="E6954">
            <v>7362.77</v>
          </cell>
          <cell r="F6954">
            <v>10.3610586550436</v>
          </cell>
        </row>
        <row r="6955">
          <cell r="B6955" t="str">
            <v>70309716</v>
          </cell>
          <cell r="C6955" t="str">
            <v>阿道夫 轻柔丝滑洗发乳液 800ML</v>
          </cell>
          <cell r="D6955">
            <v>13</v>
          </cell>
          <cell r="E6955">
            <v>665.92</v>
          </cell>
          <cell r="F6955">
            <v>57.883815384615403</v>
          </cell>
        </row>
        <row r="6956">
          <cell r="B6956" t="str">
            <v>70310951</v>
          </cell>
          <cell r="C6956" t="str">
            <v>瑰觅 玫瑰精油皂 100G</v>
          </cell>
          <cell r="D6956">
            <v>7</v>
          </cell>
          <cell r="E6956">
            <v>167.27</v>
          </cell>
          <cell r="F6956">
            <v>27.002157142857101</v>
          </cell>
        </row>
        <row r="6957">
          <cell r="B6957" t="str">
            <v>70310960</v>
          </cell>
          <cell r="C6957" t="str">
            <v>瑰觅 玫瑰滋养护手霜 60G</v>
          </cell>
          <cell r="D6957">
            <v>16</v>
          </cell>
          <cell r="E6957">
            <v>143.26</v>
          </cell>
          <cell r="F6957">
            <v>10.1177375</v>
          </cell>
        </row>
        <row r="6958">
          <cell r="B6958" t="str">
            <v>70310961</v>
          </cell>
          <cell r="C6958" t="str">
            <v>瑰觅 玫瑰精油(保湿滋养) 15ML</v>
          </cell>
          <cell r="D6958">
            <v>1</v>
          </cell>
          <cell r="E6958">
            <v>96.46</v>
          </cell>
          <cell r="F6958">
            <v>108.99979999999999</v>
          </cell>
        </row>
        <row r="6959">
          <cell r="B6959" t="str">
            <v>70310963</v>
          </cell>
          <cell r="C6959" t="str">
            <v>瑰觅 玫瑰精油(平衡调理) 15ML</v>
          </cell>
          <cell r="D6959">
            <v>1</v>
          </cell>
          <cell r="E6959">
            <v>96.46</v>
          </cell>
          <cell r="F6959">
            <v>108.99979999999999</v>
          </cell>
        </row>
        <row r="6960">
          <cell r="B6960" t="str">
            <v>70310964</v>
          </cell>
          <cell r="C6960" t="str">
            <v>瑰觅 玫瑰精油(柔润亮肤) 15ML</v>
          </cell>
          <cell r="D6960">
            <v>1</v>
          </cell>
          <cell r="E6960">
            <v>96.46</v>
          </cell>
          <cell r="F6960">
            <v>108.99979999999999</v>
          </cell>
        </row>
        <row r="6961">
          <cell r="B6961" t="str">
            <v>70310969</v>
          </cell>
          <cell r="C6961" t="str">
            <v>瑰觅 玫瑰保湿身体乳 200ML</v>
          </cell>
          <cell r="D6961">
            <v>5</v>
          </cell>
          <cell r="E6961">
            <v>141.6</v>
          </cell>
          <cell r="F6961">
            <v>32.001600000000003</v>
          </cell>
        </row>
        <row r="6962">
          <cell r="B6962" t="str">
            <v>70311434</v>
          </cell>
          <cell r="C6962" t="str">
            <v>力士 洗发水套装 650g＋350g</v>
          </cell>
          <cell r="D6962">
            <v>314</v>
          </cell>
          <cell r="E6962">
            <v>13489.23</v>
          </cell>
          <cell r="F6962">
            <v>48.544044267515901</v>
          </cell>
        </row>
        <row r="6963">
          <cell r="B6963" t="str">
            <v>70312678</v>
          </cell>
          <cell r="C6963" t="str">
            <v>养元青 头皮护理洗发水净澈养护浓纯姜芬香型 500ml</v>
          </cell>
          <cell r="D6963">
            <v>205</v>
          </cell>
          <cell r="E6963">
            <v>10038.049999999999</v>
          </cell>
          <cell r="F6963">
            <v>55.331690243902401</v>
          </cell>
        </row>
        <row r="6964">
          <cell r="B6964" t="str">
            <v>70312679</v>
          </cell>
          <cell r="C6964" t="str">
            <v>养元青 头皮护理洗发水净爽蓬松茶香普洱香型 500ml</v>
          </cell>
          <cell r="D6964">
            <v>292</v>
          </cell>
          <cell r="E6964">
            <v>13700.15</v>
          </cell>
          <cell r="F6964">
            <v>53.017703767123301</v>
          </cell>
        </row>
        <row r="6965">
          <cell r="B6965" t="str">
            <v>70312680</v>
          </cell>
          <cell r="C6965" t="str">
            <v>养元青 头皮护理洗发乳亮泽强韧谷物清香香型 500ml</v>
          </cell>
          <cell r="D6965">
            <v>174</v>
          </cell>
          <cell r="E6965">
            <v>8549.2099999999991</v>
          </cell>
          <cell r="F6965">
            <v>55.520731609195401</v>
          </cell>
        </row>
        <row r="6966">
          <cell r="B6966" t="str">
            <v>70312686</v>
          </cell>
          <cell r="C6966" t="str">
            <v>纳爱斯 纳爱斯清凉冰菊牙膏 200G 200G</v>
          </cell>
          <cell r="D6966">
            <v>2</v>
          </cell>
          <cell r="E6966">
            <v>12.5</v>
          </cell>
          <cell r="F6966">
            <v>7.0625</v>
          </cell>
        </row>
        <row r="6967">
          <cell r="B6967" t="str">
            <v>70312777</v>
          </cell>
          <cell r="C6967" t="str">
            <v>云南白药 益生菌儿童牙膏 安全防蛀 3-6岁（草莓） 60g</v>
          </cell>
          <cell r="D6967">
            <v>119</v>
          </cell>
          <cell r="E6967">
            <v>4344.78</v>
          </cell>
          <cell r="F6967">
            <v>41.257154621848699</v>
          </cell>
        </row>
        <row r="6968">
          <cell r="B6968" t="str">
            <v>70312779</v>
          </cell>
          <cell r="C6968" t="str">
            <v>维达 可冲散湿厕纸 40片</v>
          </cell>
          <cell r="D6968">
            <v>34</v>
          </cell>
          <cell r="E6968">
            <v>303.95999999999998</v>
          </cell>
          <cell r="F6968">
            <v>10.1022</v>
          </cell>
        </row>
        <row r="6969">
          <cell r="B6969" t="str">
            <v>70312795</v>
          </cell>
          <cell r="C6969" t="str">
            <v>清扬 植觉净油去屑洗发露 700ML</v>
          </cell>
          <cell r="D6969">
            <v>36</v>
          </cell>
          <cell r="E6969">
            <v>2703.23</v>
          </cell>
          <cell r="F6969">
            <v>84.851386111111097</v>
          </cell>
        </row>
        <row r="6970">
          <cell r="B6970" t="str">
            <v>70312797</v>
          </cell>
          <cell r="C6970" t="str">
            <v>多芬 水润盈润洗发露 470ML</v>
          </cell>
          <cell r="D6970">
            <v>774</v>
          </cell>
          <cell r="E6970">
            <v>34650.99</v>
          </cell>
          <cell r="F6970">
            <v>50.588654651162798</v>
          </cell>
        </row>
        <row r="6971">
          <cell r="B6971" t="str">
            <v>70312798</v>
          </cell>
          <cell r="C6971" t="str">
            <v>多芬 柔顺盈润润发精华素 470ML</v>
          </cell>
          <cell r="D6971">
            <v>350</v>
          </cell>
          <cell r="E6971">
            <v>15667.14</v>
          </cell>
          <cell r="F6971">
            <v>50.582480571428597</v>
          </cell>
        </row>
        <row r="6972">
          <cell r="B6972" t="str">
            <v>70312800</v>
          </cell>
          <cell r="C6972" t="str">
            <v>力士 植萃精油香氛沐浴露 小苍兰与茶树 550G</v>
          </cell>
          <cell r="D6972">
            <v>617</v>
          </cell>
          <cell r="E6972">
            <v>14335.16</v>
          </cell>
          <cell r="F6972">
            <v>26.254020745542899</v>
          </cell>
        </row>
        <row r="6973">
          <cell r="B6973" t="str">
            <v>70312802</v>
          </cell>
          <cell r="C6973" t="str">
            <v>LUX力士 精油香氛系列胭红玫瑰香氛洗发露 470G</v>
          </cell>
          <cell r="D6973">
            <v>1852</v>
          </cell>
          <cell r="E6973">
            <v>72020.66</v>
          </cell>
          <cell r="F6973">
            <v>43.9434912526998</v>
          </cell>
        </row>
        <row r="6974">
          <cell r="B6974" t="str">
            <v>70312803</v>
          </cell>
          <cell r="C6974" t="str">
            <v>LUX力士 精油香氛系列胭红玫瑰香氛润发乳 470G</v>
          </cell>
          <cell r="D6974">
            <v>549</v>
          </cell>
          <cell r="E6974">
            <v>22320.87</v>
          </cell>
          <cell r="F6974">
            <v>45.942774316939897</v>
          </cell>
        </row>
        <row r="6975">
          <cell r="B6975" t="str">
            <v>70312809</v>
          </cell>
          <cell r="C6975" t="str">
            <v>佳洁士 超细柔韧绿茶养龈牙刷 2支</v>
          </cell>
          <cell r="D6975">
            <v>2</v>
          </cell>
          <cell r="E6975">
            <v>22.16</v>
          </cell>
          <cell r="F6975">
            <v>12.5204</v>
          </cell>
        </row>
        <row r="6976">
          <cell r="B6976" t="str">
            <v>70312814</v>
          </cell>
          <cell r="C6976" t="str">
            <v>佳洁士 天鹅绒黑茶护龈牙刷 2支</v>
          </cell>
          <cell r="D6976">
            <v>322</v>
          </cell>
          <cell r="E6976">
            <v>4940.08</v>
          </cell>
          <cell r="F6976">
            <v>17.3363055900621</v>
          </cell>
        </row>
        <row r="6977">
          <cell r="B6977" t="str">
            <v>70312844</v>
          </cell>
          <cell r="C6977" t="str">
            <v>佳洁士 3D炫白小苏打 120g</v>
          </cell>
          <cell r="D6977">
            <v>181</v>
          </cell>
          <cell r="E6977">
            <v>1474.9</v>
          </cell>
          <cell r="F6977">
            <v>9.2079392265193398</v>
          </cell>
        </row>
        <row r="6978">
          <cell r="B6978" t="str">
            <v>70312845</v>
          </cell>
          <cell r="C6978" t="str">
            <v>佳洁士 3D炫白小苏打牙膏 170g</v>
          </cell>
          <cell r="D6978">
            <v>3</v>
          </cell>
          <cell r="E6978">
            <v>32.97</v>
          </cell>
          <cell r="F6978">
            <v>12.418699999999999</v>
          </cell>
        </row>
        <row r="6979">
          <cell r="B6979" t="str">
            <v>70312852</v>
          </cell>
          <cell r="C6979" t="str">
            <v>OLAY BODYSCIENCE莹亮臻护精华沐浴乳 300ML</v>
          </cell>
          <cell r="D6979">
            <v>1</v>
          </cell>
          <cell r="E6979">
            <v>22.28</v>
          </cell>
          <cell r="F6979">
            <v>25.176400000000001</v>
          </cell>
        </row>
        <row r="6980">
          <cell r="B6980" t="str">
            <v>70312858</v>
          </cell>
          <cell r="C6980" t="str">
            <v>佳洁士 锁白致尚技术牙膏（清恬樱花香）120g</v>
          </cell>
          <cell r="D6980">
            <v>128</v>
          </cell>
          <cell r="E6980">
            <v>2066.75</v>
          </cell>
          <cell r="F6980">
            <v>18.245527343749998</v>
          </cell>
        </row>
        <row r="6981">
          <cell r="B6981" t="str">
            <v>70312875</v>
          </cell>
          <cell r="C6981" t="str">
            <v>纳爱斯 纳爱斯炭洁清新牙刷两支装(YS003)  2支</v>
          </cell>
          <cell r="D6981">
            <v>2</v>
          </cell>
          <cell r="E6981">
            <v>19.350000000000001</v>
          </cell>
          <cell r="F6981">
            <v>10.93275</v>
          </cell>
        </row>
        <row r="6982">
          <cell r="B6982" t="str">
            <v>70312876</v>
          </cell>
          <cell r="C6982" t="str">
            <v>纳爱斯 165g纳爱斯维他命C牙膏 165g</v>
          </cell>
          <cell r="D6982">
            <v>10</v>
          </cell>
          <cell r="E6982">
            <v>97.19</v>
          </cell>
          <cell r="F6982">
            <v>10.982469999999999</v>
          </cell>
        </row>
        <row r="6983">
          <cell r="B6983" t="str">
            <v>70312885</v>
          </cell>
          <cell r="C6983" t="str">
            <v>洁柔 JJ199-01FACE卷纸卫生纸（12卷装） 6提/件</v>
          </cell>
          <cell r="D6983">
            <v>7</v>
          </cell>
          <cell r="E6983">
            <v>173.81</v>
          </cell>
          <cell r="F6983">
            <v>28.0579</v>
          </cell>
        </row>
        <row r="6984">
          <cell r="B6984" t="str">
            <v>70314537</v>
          </cell>
          <cell r="C6984" t="str">
            <v>阿道夫 焗油宝/瓶 260ML</v>
          </cell>
          <cell r="D6984">
            <v>238</v>
          </cell>
          <cell r="E6984">
            <v>6720.73</v>
          </cell>
          <cell r="F6984">
            <v>31.909348319327702</v>
          </cell>
        </row>
        <row r="6985">
          <cell r="B6985" t="str">
            <v>70314987</v>
          </cell>
          <cell r="C6985" t="str">
            <v>力士 植萃精油香氛沐浴露天堂鸟与玫瑰籽 550G</v>
          </cell>
          <cell r="D6985">
            <v>484</v>
          </cell>
          <cell r="E6985">
            <v>13024.37</v>
          </cell>
          <cell r="F6985">
            <v>30.408136570247901</v>
          </cell>
        </row>
        <row r="6986">
          <cell r="B6986" t="str">
            <v>70314991</v>
          </cell>
          <cell r="C6986" t="str">
            <v>清扬 男士平衡控油沐浴露 水润平衡 200G</v>
          </cell>
          <cell r="D6986">
            <v>562</v>
          </cell>
          <cell r="E6986">
            <v>6886.01</v>
          </cell>
          <cell r="F6986">
            <v>13.8455361209964</v>
          </cell>
        </row>
        <row r="6987">
          <cell r="B6987" t="str">
            <v>70314993</v>
          </cell>
          <cell r="C6987" t="str">
            <v>凡士林 特润修护清香润手霜 50ML</v>
          </cell>
          <cell r="D6987">
            <v>381</v>
          </cell>
          <cell r="E6987">
            <v>5160.16</v>
          </cell>
          <cell r="F6987">
            <v>15.3044115485564</v>
          </cell>
        </row>
        <row r="6988">
          <cell r="B6988" t="str">
            <v>70314995</v>
          </cell>
          <cell r="C6988" t="str">
            <v>多芬 润悦肌樱花甜香云朵沐浴泡泡 400ML</v>
          </cell>
          <cell r="D6988">
            <v>558</v>
          </cell>
          <cell r="E6988">
            <v>16424.13</v>
          </cell>
          <cell r="F6988">
            <v>33.260334946236597</v>
          </cell>
        </row>
        <row r="6989">
          <cell r="B6989" t="str">
            <v>70314998</v>
          </cell>
          <cell r="C6989" t="str">
            <v>中华 儿童防蛀牙膏草莓味 换牙期强健恒牙 60G</v>
          </cell>
          <cell r="D6989">
            <v>736</v>
          </cell>
          <cell r="E6989">
            <v>6227.58</v>
          </cell>
          <cell r="F6989">
            <v>9.5613660326086993</v>
          </cell>
        </row>
        <row r="6990">
          <cell r="B6990" t="str">
            <v>70315031</v>
          </cell>
          <cell r="C6990" t="str">
            <v>护舒宝 隐型透气超薄卫生护垫无香 40片</v>
          </cell>
          <cell r="D6990">
            <v>1</v>
          </cell>
          <cell r="E6990">
            <v>8.4700000000000006</v>
          </cell>
          <cell r="F6990">
            <v>9.5710999999999995</v>
          </cell>
        </row>
        <row r="6991">
          <cell r="B6991" t="str">
            <v>70316474</v>
          </cell>
          <cell r="C6991" t="str">
            <v>隆力奇 新活力去屑洗发水(清爽控油)  400ml</v>
          </cell>
          <cell r="D6991">
            <v>1077</v>
          </cell>
          <cell r="E6991">
            <v>11797.66</v>
          </cell>
          <cell r="F6991">
            <v>12.3782319405757</v>
          </cell>
        </row>
        <row r="6992">
          <cell r="B6992" t="str">
            <v>70317759</v>
          </cell>
          <cell r="C6992" t="str">
            <v>资生堂 可悠然美肌沐浴露(碧野悠悠) 550ML</v>
          </cell>
          <cell r="D6992">
            <v>219</v>
          </cell>
          <cell r="E6992">
            <v>8969.25</v>
          </cell>
          <cell r="F6992">
            <v>46.279691780821899</v>
          </cell>
        </row>
        <row r="6993">
          <cell r="B6993" t="str">
            <v>70317964</v>
          </cell>
          <cell r="C6993" t="str">
            <v>慧华圣果 沙棘精油 1*10ML</v>
          </cell>
          <cell r="D6993">
            <v>7</v>
          </cell>
          <cell r="E6993">
            <v>311.02999999999997</v>
          </cell>
          <cell r="F6993">
            <v>50.2091285714286</v>
          </cell>
        </row>
        <row r="6994">
          <cell r="B6994" t="str">
            <v>70319218</v>
          </cell>
          <cell r="C6994" t="str">
            <v>欧莱雅 男士水能润泽双效洁面膏套装 100ML</v>
          </cell>
          <cell r="D6994">
            <v>26</v>
          </cell>
          <cell r="E6994">
            <v>853.5</v>
          </cell>
          <cell r="F6994">
            <v>37.0944230769231</v>
          </cell>
        </row>
        <row r="6995">
          <cell r="B6995" t="str">
            <v>70319358</v>
          </cell>
          <cell r="C6995" t="str">
            <v>隆力奇 新活力去屑洗发露(丝质柔滑型) 200ML</v>
          </cell>
          <cell r="D6995">
            <v>90</v>
          </cell>
          <cell r="E6995">
            <v>638.94000000000005</v>
          </cell>
          <cell r="F6995">
            <v>8.0222466666666694</v>
          </cell>
        </row>
        <row r="6996">
          <cell r="B6996" t="str">
            <v>70319360</v>
          </cell>
          <cell r="C6996" t="str">
            <v>隆力奇 浴之宝芬芳沐浴露(薰衣草舒眠型) 200ML</v>
          </cell>
          <cell r="D6996">
            <v>85</v>
          </cell>
          <cell r="E6996">
            <v>649.96</v>
          </cell>
          <cell r="F6996">
            <v>8.6406447058823499</v>
          </cell>
        </row>
        <row r="6997">
          <cell r="B6997" t="str">
            <v>70319428</v>
          </cell>
          <cell r="C6997" t="str">
            <v>阿道夫 精油洗护专研洗发乳液轻柔丝滑 300g</v>
          </cell>
          <cell r="D6997">
            <v>367</v>
          </cell>
          <cell r="E6997">
            <v>10876.23</v>
          </cell>
          <cell r="F6997">
            <v>33.4881196185286</v>
          </cell>
        </row>
        <row r="6998">
          <cell r="B6998" t="str">
            <v>70323854</v>
          </cell>
          <cell r="C6998" t="str">
            <v>滴露 卫生湿巾(10片装) 包</v>
          </cell>
          <cell r="D6998">
            <v>1058</v>
          </cell>
          <cell r="E6998">
            <v>3806.18</v>
          </cell>
          <cell r="F6998">
            <v>4.0652017013232502</v>
          </cell>
        </row>
        <row r="6999">
          <cell r="B6999" t="str">
            <v>70332836</v>
          </cell>
          <cell r="C6999" t="str">
            <v>舒客 敏感护理牙膏 120G</v>
          </cell>
          <cell r="D6999">
            <v>21</v>
          </cell>
          <cell r="E6999">
            <v>397.66</v>
          </cell>
          <cell r="F6999">
            <v>21.397895238095199</v>
          </cell>
        </row>
        <row r="7000">
          <cell r="B7000" t="str">
            <v>70334761</v>
          </cell>
          <cell r="C7000" t="str">
            <v>云南白药 活性肽清润薄荷 135G*24</v>
          </cell>
          <cell r="D7000">
            <v>39</v>
          </cell>
          <cell r="E7000">
            <v>1827.91</v>
          </cell>
          <cell r="F7000">
            <v>52.962520512820497</v>
          </cell>
        </row>
        <row r="7001">
          <cell r="B7001" t="str">
            <v>70341451</v>
          </cell>
          <cell r="C7001" t="str">
            <v>好客壹生牌 无芯卷纸 12卷装 1700克</v>
          </cell>
          <cell r="D7001">
            <v>69634</v>
          </cell>
          <cell r="E7001">
            <v>1379182.09</v>
          </cell>
          <cell r="F7001">
            <v>22.380959900335998</v>
          </cell>
        </row>
        <row r="7002">
          <cell r="B7002" t="str">
            <v>70341452</v>
          </cell>
          <cell r="C7002" t="str">
            <v>好客壹生牌 软抽 3层120抽 133mm*195mm 单包装</v>
          </cell>
          <cell r="D7002">
            <v>88474</v>
          </cell>
          <cell r="E7002">
            <v>165186.38</v>
          </cell>
          <cell r="F7002">
            <v>2.10977925040125</v>
          </cell>
        </row>
        <row r="7003">
          <cell r="B7003" t="str">
            <v>70341453</v>
          </cell>
          <cell r="C7003" t="str">
            <v>好客壹生牌 软抽 3层120抽 133mm*195mm 3包装</v>
          </cell>
          <cell r="D7003">
            <v>416862</v>
          </cell>
          <cell r="E7003">
            <v>2300827.9700000002</v>
          </cell>
          <cell r="F7003">
            <v>6.2369215858005802</v>
          </cell>
        </row>
        <row r="7004">
          <cell r="B7004" t="str">
            <v>70341454</v>
          </cell>
          <cell r="C7004" t="str">
            <v>好客壹生 卫生纸(有芯) 单卷装180克4层138MM*108MM</v>
          </cell>
          <cell r="D7004">
            <v>1159</v>
          </cell>
          <cell r="E7004">
            <v>2638.9</v>
          </cell>
          <cell r="F7004">
            <v>2.5728705780845602</v>
          </cell>
        </row>
        <row r="7005">
          <cell r="B7005" t="str">
            <v>70341456</v>
          </cell>
          <cell r="C7005" t="str">
            <v>好客壹生牌 有芯卷纸 10卷装 1800克</v>
          </cell>
          <cell r="D7005">
            <v>12240</v>
          </cell>
          <cell r="E7005">
            <v>273053.95</v>
          </cell>
          <cell r="F7005">
            <v>25.2084120506536</v>
          </cell>
        </row>
        <row r="7006">
          <cell r="B7006" t="str">
            <v>70341458</v>
          </cell>
          <cell r="C7006" t="str">
            <v>好客壹生牌 盒抽 3层100抽 单盒装</v>
          </cell>
          <cell r="D7006">
            <v>9476</v>
          </cell>
          <cell r="E7006">
            <v>29130.11</v>
          </cell>
          <cell r="F7006">
            <v>3.4737256542845101</v>
          </cell>
        </row>
        <row r="7007">
          <cell r="B7007" t="str">
            <v>70341460</v>
          </cell>
          <cell r="C7007" t="str">
            <v>好客壹生牌 纸手帕 4层8片 单包装</v>
          </cell>
          <cell r="D7007">
            <v>0</v>
          </cell>
          <cell r="E7007">
            <v>0</v>
          </cell>
          <cell r="F7007" t="e">
            <v>#DIV/0!</v>
          </cell>
        </row>
        <row r="7008">
          <cell r="B7008" t="str">
            <v>70341462</v>
          </cell>
          <cell r="C7008" t="str">
            <v>好客壹生牌 纸手帕 4层8片 12包装</v>
          </cell>
          <cell r="D7008">
            <v>17584</v>
          </cell>
          <cell r="E7008">
            <v>81296.070000000007</v>
          </cell>
          <cell r="F7008">
            <v>5.2243266094176501</v>
          </cell>
        </row>
        <row r="7009">
          <cell r="B7009" t="str">
            <v>70341467</v>
          </cell>
          <cell r="C7009" t="str">
            <v>好客壹生牌 柔润纸 3层100抽 133mm*195mm 单包装</v>
          </cell>
          <cell r="D7009">
            <v>4865</v>
          </cell>
          <cell r="E7009">
            <v>16412.84</v>
          </cell>
          <cell r="F7009">
            <v>3.81223210688592</v>
          </cell>
        </row>
        <row r="7010">
          <cell r="B7010" t="str">
            <v>70341469</v>
          </cell>
          <cell r="C7010" t="str">
            <v>好客壹生 纸面巾(软抽) 单包装60抽3层133MM*195MM</v>
          </cell>
          <cell r="D7010">
            <v>8317</v>
          </cell>
          <cell r="E7010">
            <v>9235.6299999999992</v>
          </cell>
          <cell r="F7010">
            <v>1.2548108572802701</v>
          </cell>
        </row>
        <row r="7011">
          <cell r="B7011" t="str">
            <v>70341471</v>
          </cell>
          <cell r="C7011" t="str">
            <v>好客壹生 厨房纸巾(软抽) 单包装80抽2层210MM*215MM</v>
          </cell>
          <cell r="D7011">
            <v>2072</v>
          </cell>
          <cell r="E7011">
            <v>5433.37</v>
          </cell>
          <cell r="F7011">
            <v>2.9631795849420799</v>
          </cell>
        </row>
        <row r="7012">
          <cell r="B7012" t="str">
            <v>70341473</v>
          </cell>
          <cell r="C7012" t="str">
            <v>好客壹生牌 厨房纸 2层80抽 4包装</v>
          </cell>
          <cell r="D7012">
            <v>6769</v>
          </cell>
          <cell r="E7012">
            <v>71275.94</v>
          </cell>
          <cell r="F7012">
            <v>11.898627891859901</v>
          </cell>
        </row>
        <row r="7013">
          <cell r="B7013" t="str">
            <v>70341488</v>
          </cell>
          <cell r="C7013" t="str">
            <v>好客壹生牌 柔润纸 3层100抽 133mm*195mm 4包装</v>
          </cell>
          <cell r="D7013">
            <v>5142</v>
          </cell>
          <cell r="E7013">
            <v>69293.649999999994</v>
          </cell>
          <cell r="F7013">
            <v>15.2278927460132</v>
          </cell>
        </row>
        <row r="7014">
          <cell r="B7014" t="str">
            <v>70347584</v>
          </cell>
          <cell r="C7014" t="str">
            <v>滴露 免洗抑菌洗手液经典松木 50ML</v>
          </cell>
          <cell r="D7014">
            <v>147</v>
          </cell>
          <cell r="E7014">
            <v>1587.21</v>
          </cell>
          <cell r="F7014">
            <v>12.2010020408163</v>
          </cell>
        </row>
        <row r="7015">
          <cell r="B7015" t="str">
            <v>70348211</v>
          </cell>
          <cell r="C7015" t="str">
            <v>奈丝公主 超净吸系列卫生护垫 150MM</v>
          </cell>
          <cell r="D7015">
            <v>1144</v>
          </cell>
          <cell r="E7015">
            <v>8947.4599999999991</v>
          </cell>
          <cell r="F7015">
            <v>8.8379631118881097</v>
          </cell>
        </row>
        <row r="7016">
          <cell r="B7016" t="str">
            <v>70348746</v>
          </cell>
          <cell r="C7016" t="str">
            <v>雅芳 小黑裙香水沐浴露 200ML</v>
          </cell>
          <cell r="D7016">
            <v>285</v>
          </cell>
          <cell r="E7016">
            <v>5788.95</v>
          </cell>
          <cell r="F7016">
            <v>22.952678947368401</v>
          </cell>
        </row>
        <row r="7017">
          <cell r="B7017" t="str">
            <v>70348747</v>
          </cell>
          <cell r="C7017" t="str">
            <v>雅芳 小黑裙香水沐浴露 400ML</v>
          </cell>
          <cell r="D7017">
            <v>58</v>
          </cell>
          <cell r="E7017">
            <v>2104.52</v>
          </cell>
          <cell r="F7017">
            <v>41.001855172413798</v>
          </cell>
        </row>
        <row r="7018">
          <cell r="B7018" t="str">
            <v>70349404</v>
          </cell>
          <cell r="C7018" t="str">
            <v>碧柔 轻透倍护防晒乳 40ML</v>
          </cell>
          <cell r="D7018">
            <v>85</v>
          </cell>
          <cell r="E7018">
            <v>4701.0600000000004</v>
          </cell>
          <cell r="F7018">
            <v>62.496444705882404</v>
          </cell>
        </row>
        <row r="7019">
          <cell r="B7019" t="str">
            <v>70355020</v>
          </cell>
          <cell r="C7019" t="str">
            <v>力士 娇肤香皂恒久嫩肤(3＋1)X105G 1</v>
          </cell>
          <cell r="D7019">
            <v>144</v>
          </cell>
          <cell r="E7019">
            <v>1421.26</v>
          </cell>
          <cell r="F7019">
            <v>11.1529430555556</v>
          </cell>
        </row>
        <row r="7020">
          <cell r="B7020" t="str">
            <v>70358858</v>
          </cell>
          <cell r="C7020" t="str">
            <v>中华 儿童防蛀牙膏香橙味 换牙期强健恒牙 60G</v>
          </cell>
          <cell r="D7020">
            <v>578</v>
          </cell>
          <cell r="E7020">
            <v>4901.12</v>
          </cell>
          <cell r="F7020">
            <v>9.58177439446367</v>
          </cell>
        </row>
        <row r="7021">
          <cell r="B7021" t="str">
            <v>70366815</v>
          </cell>
          <cell r="C7021" t="str">
            <v>舒客 小苏打牙膏健齿护龈 120G</v>
          </cell>
          <cell r="D7021">
            <v>835</v>
          </cell>
          <cell r="E7021">
            <v>8381.17</v>
          </cell>
          <cell r="F7021">
            <v>11.342182155688601</v>
          </cell>
        </row>
        <row r="7022">
          <cell r="B7022" t="str">
            <v>70368764</v>
          </cell>
          <cell r="C7022" t="str">
            <v>风资绵面 卫生巾迷你巾180MM16片装 袋</v>
          </cell>
          <cell r="D7022">
            <v>49</v>
          </cell>
          <cell r="E7022">
            <v>628.99</v>
          </cell>
          <cell r="F7022">
            <v>14.5052795918367</v>
          </cell>
        </row>
        <row r="7023">
          <cell r="B7023" t="str">
            <v>70368765</v>
          </cell>
          <cell r="C7023" t="str">
            <v>风资绵面 卫生巾加长夜用338MM5片装 袋</v>
          </cell>
          <cell r="D7023">
            <v>24</v>
          </cell>
          <cell r="E7023">
            <v>308.14999999999998</v>
          </cell>
          <cell r="F7023">
            <v>14.508729166666701</v>
          </cell>
        </row>
        <row r="7024">
          <cell r="B7024" t="str">
            <v>70368881</v>
          </cell>
          <cell r="C7024" t="str">
            <v>舒客 臻白修护液体牙膏 100G/支</v>
          </cell>
          <cell r="D7024">
            <v>9</v>
          </cell>
          <cell r="E7024">
            <v>382.32</v>
          </cell>
          <cell r="F7024">
            <v>48.002400000000002</v>
          </cell>
        </row>
        <row r="7025">
          <cell r="B7025" t="str">
            <v>70368884</v>
          </cell>
          <cell r="C7025" t="str">
            <v>舒客 小苏打牙膏（脱渍净白） 160G/支</v>
          </cell>
          <cell r="D7025">
            <v>28</v>
          </cell>
          <cell r="E7025">
            <v>693.84</v>
          </cell>
          <cell r="F7025">
            <v>28.0014</v>
          </cell>
        </row>
        <row r="7026">
          <cell r="B7026" t="str">
            <v>70368926</v>
          </cell>
          <cell r="C7026" t="str">
            <v>舒客 专业清新漱口水（清凉薄荷） 500ML/瓶</v>
          </cell>
          <cell r="D7026">
            <v>35</v>
          </cell>
          <cell r="E7026">
            <v>661.05</v>
          </cell>
          <cell r="F7026">
            <v>21.3424714285714</v>
          </cell>
        </row>
        <row r="7027">
          <cell r="B7027" t="str">
            <v>70371813</v>
          </cell>
          <cell r="C7027" t="str">
            <v>好客壹生牌 软抽 4层100抽 195mm*155mm 单包装</v>
          </cell>
          <cell r="D7027">
            <v>77274</v>
          </cell>
          <cell r="E7027">
            <v>222988.03</v>
          </cell>
          <cell r="F7027">
            <v>3.2608183075808199</v>
          </cell>
        </row>
        <row r="7028">
          <cell r="B7028" t="str">
            <v>70371814</v>
          </cell>
          <cell r="C7028" t="str">
            <v>好客壹生牌 软抽 4层100抽 195mm*155mm 3包装</v>
          </cell>
          <cell r="D7028">
            <v>6957</v>
          </cell>
          <cell r="E7028">
            <v>62009.68</v>
          </cell>
          <cell r="F7028">
            <v>10.072004944660099</v>
          </cell>
        </row>
        <row r="7029">
          <cell r="B7029" t="str">
            <v>70379320</v>
          </cell>
          <cell r="C7029" t="str">
            <v>雅芳 小黑裙香体乳 200G</v>
          </cell>
          <cell r="D7029">
            <v>277</v>
          </cell>
          <cell r="E7029">
            <v>5626.35</v>
          </cell>
          <cell r="F7029">
            <v>22.9522581227437</v>
          </cell>
        </row>
        <row r="7030">
          <cell r="B7030" t="str">
            <v>70381810</v>
          </cell>
          <cell r="C7030" t="str">
            <v>洁柔 PR078-06NFACE天然无香120抽抽取式纸面巾 12包</v>
          </cell>
          <cell r="D7030">
            <v>7248</v>
          </cell>
          <cell r="E7030">
            <v>117553.9</v>
          </cell>
          <cell r="F7030">
            <v>18.3272498620309</v>
          </cell>
        </row>
        <row r="7031">
          <cell r="B7031" t="str">
            <v>70381811</v>
          </cell>
          <cell r="C7031" t="str">
            <v>洁柔 JR089-03A130抽抽取式面巾单包装 130抽</v>
          </cell>
          <cell r="D7031">
            <v>10064</v>
          </cell>
          <cell r="E7031">
            <v>25064.34</v>
          </cell>
          <cell r="F7031">
            <v>2.8142591613672501</v>
          </cell>
        </row>
        <row r="7032">
          <cell r="B7032" t="str">
            <v>70381813</v>
          </cell>
          <cell r="C7032" t="str">
            <v>洁柔 JS017-01纯水湿巾非独立装 80片</v>
          </cell>
          <cell r="D7032">
            <v>1780</v>
          </cell>
          <cell r="E7032">
            <v>18713.03</v>
          </cell>
          <cell r="F7032">
            <v>11.879620168539301</v>
          </cell>
        </row>
        <row r="7033">
          <cell r="B7033" t="str">
            <v>70383609</v>
          </cell>
          <cell r="C7033" t="str">
            <v>舒客 益生菌牙膏 120G</v>
          </cell>
          <cell r="D7033">
            <v>745</v>
          </cell>
          <cell r="E7033">
            <v>9153.5400000000009</v>
          </cell>
          <cell r="F7033">
            <v>13.883892885906</v>
          </cell>
        </row>
        <row r="7034">
          <cell r="B7034" t="str">
            <v>70385918</v>
          </cell>
          <cell r="C7034" t="str">
            <v>隆力奇 新活力清爽控油型去屑洗发露 1L</v>
          </cell>
          <cell r="D7034">
            <v>250</v>
          </cell>
          <cell r="E7034">
            <v>3614.29</v>
          </cell>
          <cell r="F7034">
            <v>16.3365908</v>
          </cell>
        </row>
        <row r="7035">
          <cell r="B7035" t="str">
            <v>70385947</v>
          </cell>
          <cell r="C7035" t="str">
            <v>清扬 男士去屑洗发露活力运动薄荷型蓝瓶CPT 650G</v>
          </cell>
          <cell r="D7035">
            <v>84</v>
          </cell>
          <cell r="E7035">
            <v>3592.4</v>
          </cell>
          <cell r="F7035">
            <v>48.326333333333302</v>
          </cell>
        </row>
        <row r="7036">
          <cell r="B7036" t="str">
            <v>70385948</v>
          </cell>
          <cell r="C7036" t="str">
            <v>清扬 去屑洗发露多效水润养护型白瓶CPT 650G</v>
          </cell>
          <cell r="D7036">
            <v>190</v>
          </cell>
          <cell r="E7036">
            <v>8229.4599999999991</v>
          </cell>
          <cell r="F7036">
            <v>48.9436305263158</v>
          </cell>
        </row>
        <row r="7037">
          <cell r="B7037" t="str">
            <v>70385949</v>
          </cell>
          <cell r="C7037" t="str">
            <v>清扬 男士平衡控油沐浴露 活力运动6X 720G</v>
          </cell>
          <cell r="D7037">
            <v>119</v>
          </cell>
          <cell r="E7037">
            <v>3844.37</v>
          </cell>
          <cell r="F7037">
            <v>36.505362184873903</v>
          </cell>
        </row>
        <row r="7038">
          <cell r="B7038" t="str">
            <v>70385950</v>
          </cell>
          <cell r="C7038" t="str">
            <v>清扬 男士平衡控油沐浴露 活力运动12X 400G</v>
          </cell>
          <cell r="D7038">
            <v>270</v>
          </cell>
          <cell r="E7038">
            <v>5609.62</v>
          </cell>
          <cell r="F7038">
            <v>23.477298518518499</v>
          </cell>
        </row>
        <row r="7039">
          <cell r="B7039" t="str">
            <v>70385951</v>
          </cell>
          <cell r="C7039" t="str">
            <v>多芬 樱花甜香滋养美肤沐浴乳 720G</v>
          </cell>
          <cell r="D7039">
            <v>285</v>
          </cell>
          <cell r="E7039">
            <v>9189.5499999999993</v>
          </cell>
          <cell r="F7039">
            <v>36.435759649122801</v>
          </cell>
        </row>
        <row r="7040">
          <cell r="B7040" t="str">
            <v>70385952</v>
          </cell>
          <cell r="C7040" t="str">
            <v>凡士林 经典修护保湿润唇膏经典原味 32X7G</v>
          </cell>
          <cell r="D7040">
            <v>1</v>
          </cell>
          <cell r="E7040">
            <v>21.07</v>
          </cell>
          <cell r="F7040">
            <v>23.809100000000001</v>
          </cell>
        </row>
        <row r="7041">
          <cell r="B7041" t="str">
            <v>70385962</v>
          </cell>
          <cell r="C7041" t="str">
            <v>联合利华 力士抑菌泡泡洗手液 沁润蕊粉 24X225ML</v>
          </cell>
          <cell r="D7041">
            <v>368</v>
          </cell>
          <cell r="E7041">
            <v>5351.62</v>
          </cell>
          <cell r="F7041">
            <v>16.4329635869565</v>
          </cell>
        </row>
        <row r="7042">
          <cell r="B7042" t="str">
            <v>70385963</v>
          </cell>
          <cell r="C7042" t="str">
            <v>联合利华 力士™香氛抑菌洗手液清新柠檬马鞭草香 400G</v>
          </cell>
          <cell r="D7042">
            <v>553</v>
          </cell>
          <cell r="E7042">
            <v>6050.99</v>
          </cell>
          <cell r="F7042">
            <v>12.3645907775769</v>
          </cell>
        </row>
        <row r="7043">
          <cell r="B7043" t="str">
            <v>70386355</v>
          </cell>
          <cell r="C7043" t="str">
            <v>隆力奇 驱蚊花露水复合花果香 195ML</v>
          </cell>
          <cell r="D7043">
            <v>522</v>
          </cell>
          <cell r="E7043">
            <v>5667.15</v>
          </cell>
          <cell r="F7043">
            <v>12.267968390804601</v>
          </cell>
        </row>
        <row r="7044">
          <cell r="B7044" t="str">
            <v>70386380</v>
          </cell>
          <cell r="C7044" t="str">
            <v>力士 新活炫亮洗发超值装 1套</v>
          </cell>
          <cell r="D7044">
            <v>188</v>
          </cell>
          <cell r="E7044">
            <v>5004.6400000000003</v>
          </cell>
          <cell r="F7044">
            <v>30.081080851063799</v>
          </cell>
        </row>
        <row r="7045">
          <cell r="B7045" t="str">
            <v>70386382</v>
          </cell>
          <cell r="C7045" t="str">
            <v>中华 魔丽迅白酷爽薄荷味 140g+20g</v>
          </cell>
          <cell r="D7045">
            <v>290</v>
          </cell>
          <cell r="E7045">
            <v>3160.46</v>
          </cell>
          <cell r="F7045">
            <v>12.314895862068999</v>
          </cell>
        </row>
        <row r="7046">
          <cell r="B7046" t="str">
            <v>70386384</v>
          </cell>
          <cell r="C7046" t="str">
            <v>力士 奢宠香氛沐浴乳幽莲魅肤 1套</v>
          </cell>
          <cell r="D7046">
            <v>39</v>
          </cell>
          <cell r="E7046">
            <v>602.04</v>
          </cell>
          <cell r="F7046">
            <v>17.443723076923099</v>
          </cell>
        </row>
        <row r="7047">
          <cell r="B7047" t="str">
            <v>70386549</v>
          </cell>
          <cell r="C7047" t="str">
            <v>多芬 密集滋养旅行装 1套</v>
          </cell>
          <cell r="D7047">
            <v>121</v>
          </cell>
          <cell r="E7047">
            <v>1663.06</v>
          </cell>
          <cell r="F7047">
            <v>15.5310561983471</v>
          </cell>
        </row>
        <row r="7048">
          <cell r="B7048" t="str">
            <v>70386550</v>
          </cell>
          <cell r="C7048" t="str">
            <v>多芬 滋养水润洗发乳套装 1套</v>
          </cell>
          <cell r="D7048">
            <v>260</v>
          </cell>
          <cell r="E7048">
            <v>7353.56</v>
          </cell>
          <cell r="F7048">
            <v>31.959703076923098</v>
          </cell>
        </row>
        <row r="7049">
          <cell r="B7049" t="str">
            <v>70390318</v>
          </cell>
          <cell r="C7049" t="str">
            <v>好客壹生 面子棉柔巾卷筒式(单包装)80节 200MM*200MM</v>
          </cell>
          <cell r="D7049">
            <v>1701</v>
          </cell>
          <cell r="E7049">
            <v>17820.57</v>
          </cell>
          <cell r="F7049">
            <v>11.8384738977072</v>
          </cell>
        </row>
        <row r="7050">
          <cell r="B7050" t="str">
            <v>70390323</v>
          </cell>
          <cell r="C7050" t="str">
            <v>好客壹生 面子一次性压缩毛巾(20粒)独立装 240MM*300MM</v>
          </cell>
          <cell r="D7050">
            <v>81</v>
          </cell>
          <cell r="E7050">
            <v>1277.3699999999999</v>
          </cell>
          <cell r="F7050">
            <v>17.8201</v>
          </cell>
        </row>
        <row r="7051">
          <cell r="B7051" t="str">
            <v>70392618</v>
          </cell>
          <cell r="C7051" t="str">
            <v>威露士 健康香皂滋润嫩肤四盒装 125g*4</v>
          </cell>
          <cell r="D7051">
            <v>443</v>
          </cell>
          <cell r="E7051">
            <v>5787.96</v>
          </cell>
          <cell r="F7051">
            <v>14.7638708803612</v>
          </cell>
        </row>
        <row r="7052">
          <cell r="B7052" t="str">
            <v>70395762</v>
          </cell>
          <cell r="C7052" t="str">
            <v>威露士 La天然4合1洗衣凝珠倍柔 10ml*38粒</v>
          </cell>
          <cell r="D7052">
            <v>42</v>
          </cell>
          <cell r="E7052">
            <v>488.03</v>
          </cell>
          <cell r="F7052">
            <v>13.130330952381</v>
          </cell>
        </row>
        <row r="7053">
          <cell r="B7053" t="str">
            <v>70403831</v>
          </cell>
          <cell r="C7053" t="str">
            <v>乐而雅 乐而雅超丝薄迷你日用卫生巾17CM 16片/包</v>
          </cell>
          <cell r="D7053">
            <v>1251</v>
          </cell>
          <cell r="E7053">
            <v>11248.33</v>
          </cell>
          <cell r="F7053">
            <v>10.160362030375699</v>
          </cell>
        </row>
        <row r="7054">
          <cell r="B7054" t="str">
            <v>70408164</v>
          </cell>
          <cell r="C7054" t="str">
            <v>瑰觅 玫瑰沐浴露 200ML</v>
          </cell>
          <cell r="D7054">
            <v>3</v>
          </cell>
          <cell r="E7054">
            <v>53.1</v>
          </cell>
          <cell r="F7054">
            <v>20.001000000000001</v>
          </cell>
        </row>
        <row r="7055">
          <cell r="B7055" t="str">
            <v>70413622</v>
          </cell>
          <cell r="C7055" t="str">
            <v>蓝月亮 泡沫抑菌（薄荷） 255ML</v>
          </cell>
          <cell r="D7055">
            <v>4</v>
          </cell>
          <cell r="E7055">
            <v>44.24</v>
          </cell>
          <cell r="F7055">
            <v>12.4978</v>
          </cell>
        </row>
        <row r="7056">
          <cell r="B7056" t="str">
            <v>70422140</v>
          </cell>
          <cell r="C7056" t="str">
            <v>雅芳 香水沐浴露 200ML</v>
          </cell>
          <cell r="D7056">
            <v>6</v>
          </cell>
          <cell r="E7056">
            <v>201.77</v>
          </cell>
          <cell r="F7056">
            <v>38.000016666666703</v>
          </cell>
        </row>
        <row r="7057">
          <cell r="B7057" t="str">
            <v>70441388</v>
          </cell>
          <cell r="C7057" t="str">
            <v>花漫多 棉柔洁面巾60片 包</v>
          </cell>
          <cell r="D7057">
            <v>28</v>
          </cell>
          <cell r="E7057">
            <v>408.9</v>
          </cell>
          <cell r="F7057">
            <v>16.5020357142857</v>
          </cell>
        </row>
        <row r="7058">
          <cell r="B7058" t="str">
            <v>70445579</v>
          </cell>
          <cell r="C7058" t="str">
            <v>联合利华 清扬去屑多效水润养护型头皮护理洗发露 400g+160g</v>
          </cell>
          <cell r="D7058">
            <v>335</v>
          </cell>
          <cell r="E7058">
            <v>10881.74</v>
          </cell>
          <cell r="F7058">
            <v>36.705570746268599</v>
          </cell>
        </row>
        <row r="7059">
          <cell r="B7059" t="str">
            <v>70445580</v>
          </cell>
          <cell r="C7059" t="str">
            <v>昆仑好客联合利华 LUX力士花漾悦香系列小苍兰幻境香氛洗发露 470G</v>
          </cell>
          <cell r="D7059">
            <v>249</v>
          </cell>
          <cell r="E7059">
            <v>8546.5400000000009</v>
          </cell>
          <cell r="F7059">
            <v>38.785502811245003</v>
          </cell>
        </row>
        <row r="7060">
          <cell r="B7060" t="str">
            <v>70445581</v>
          </cell>
          <cell r="C7060" t="str">
            <v>昆仑好客联合利华 清扬男士平衡控油沐浴露深层净澈Y21 720G</v>
          </cell>
          <cell r="D7060">
            <v>90</v>
          </cell>
          <cell r="E7060">
            <v>2355.5500000000002</v>
          </cell>
          <cell r="F7060">
            <v>29.575238888888901</v>
          </cell>
        </row>
        <row r="7061">
          <cell r="B7061" t="str">
            <v>70445582</v>
          </cell>
          <cell r="C7061" t="str">
            <v>昆仑好客联合利华 多芬深层营润浓密沐浴泡泡 400ML</v>
          </cell>
          <cell r="D7061">
            <v>195</v>
          </cell>
          <cell r="E7061">
            <v>4819.49</v>
          </cell>
          <cell r="F7061">
            <v>27.928326666666699</v>
          </cell>
        </row>
        <row r="7062">
          <cell r="B7062" t="str">
            <v>70445585</v>
          </cell>
          <cell r="C7062" t="str">
            <v>昆仑好客联合利华 力士™香氛抑菌洗手液奢宠樱花香 400G</v>
          </cell>
          <cell r="D7062">
            <v>513</v>
          </cell>
          <cell r="E7062">
            <v>4495.38</v>
          </cell>
          <cell r="F7062">
            <v>9.9021040935672495</v>
          </cell>
        </row>
        <row r="7063">
          <cell r="B7063" t="str">
            <v>70445587</v>
          </cell>
          <cell r="C7063" t="str">
            <v>昆仑好客联合利华 清扬男士冰爽深海＋活力控油旅行Y21 100G*4</v>
          </cell>
          <cell r="D7063">
            <v>171</v>
          </cell>
          <cell r="E7063">
            <v>5050.6899999999996</v>
          </cell>
          <cell r="F7063">
            <v>33.375904678362602</v>
          </cell>
        </row>
        <row r="7064">
          <cell r="B7064" t="str">
            <v>70451904</v>
          </cell>
          <cell r="C7064" t="str">
            <v>中华 抗糖抗敏牙膏香草牡丹味 90G</v>
          </cell>
          <cell r="D7064">
            <v>840</v>
          </cell>
          <cell r="E7064">
            <v>5473.52</v>
          </cell>
          <cell r="F7064">
            <v>7.3631876190476202</v>
          </cell>
        </row>
        <row r="7065">
          <cell r="B7065" t="str">
            <v>70452730</v>
          </cell>
          <cell r="C7065" t="str">
            <v>云南白药 云南白药牙膏 高地留兰香型 175G</v>
          </cell>
          <cell r="D7065">
            <v>2704</v>
          </cell>
          <cell r="E7065">
            <v>65879.56</v>
          </cell>
          <cell r="F7065">
            <v>27.5310291420118</v>
          </cell>
        </row>
        <row r="7066">
          <cell r="B7066" t="str">
            <v>70452731</v>
          </cell>
          <cell r="C7066" t="str">
            <v>云南白药 云南白药牙膏 劲爽薄荷香型 205G</v>
          </cell>
          <cell r="D7066">
            <v>853</v>
          </cell>
          <cell r="E7066">
            <v>22940.61</v>
          </cell>
          <cell r="F7066">
            <v>30.390257092614299</v>
          </cell>
        </row>
        <row r="7067">
          <cell r="B7067" t="str">
            <v>70452737</v>
          </cell>
          <cell r="C7067" t="str">
            <v>联合利华 中华 双效洁护软毛牙刷 4*30</v>
          </cell>
          <cell r="D7067">
            <v>2311</v>
          </cell>
          <cell r="E7067">
            <v>7908.7</v>
          </cell>
          <cell r="F7067">
            <v>3.8670839463435698</v>
          </cell>
        </row>
        <row r="7068">
          <cell r="B7068" t="str">
            <v>70452914</v>
          </cell>
          <cell r="C7068" t="str">
            <v>联合利华 中华抗糖净白牙膏海盐薄荷味(130G＋20G) 150G</v>
          </cell>
          <cell r="D7068">
            <v>895</v>
          </cell>
          <cell r="E7068">
            <v>9094.51</v>
          </cell>
          <cell r="F7068">
            <v>11.482453966480399</v>
          </cell>
        </row>
        <row r="7069">
          <cell r="B7069" t="str">
            <v>70455928</v>
          </cell>
          <cell r="C7069" t="str">
            <v>时尚优家 马赛•椰油本色除菌手工皂 180G</v>
          </cell>
          <cell r="D7069">
            <v>10</v>
          </cell>
          <cell r="E7069">
            <v>185.86</v>
          </cell>
          <cell r="F7069">
            <v>21.002179999999999</v>
          </cell>
        </row>
        <row r="7070">
          <cell r="B7070" t="str">
            <v>70456995</v>
          </cell>
          <cell r="C7070" t="str">
            <v>滴露 泡沫洗手液西柚香型 250G</v>
          </cell>
          <cell r="D7070">
            <v>237</v>
          </cell>
          <cell r="E7070">
            <v>5072.8999999999996</v>
          </cell>
          <cell r="F7070">
            <v>24.187244725738399</v>
          </cell>
        </row>
        <row r="7071">
          <cell r="B7071" t="str">
            <v>70458748</v>
          </cell>
          <cell r="C7071" t="str">
            <v>舒蕾 绿茶籽控油去屑洗发露 500G</v>
          </cell>
          <cell r="D7071">
            <v>270</v>
          </cell>
          <cell r="E7071">
            <v>5060.83</v>
          </cell>
          <cell r="F7071">
            <v>21.180510740740701</v>
          </cell>
        </row>
        <row r="7072">
          <cell r="B7072" t="str">
            <v>70466081</v>
          </cell>
          <cell r="C7072" t="str">
            <v>好客壹生牌 软抽立体压花 3层100抽 180mm*138mm 单包装</v>
          </cell>
          <cell r="D7072">
            <v>20292</v>
          </cell>
          <cell r="E7072">
            <v>36306.129999999997</v>
          </cell>
          <cell r="F7072">
            <v>2.0217783806426199</v>
          </cell>
        </row>
        <row r="7073">
          <cell r="B7073" t="str">
            <v>70466083</v>
          </cell>
          <cell r="C7073" t="str">
            <v>好客壹生 卫生纸(立体压花有芯)10卷装110克4层 101MM*138MM</v>
          </cell>
          <cell r="D7073">
            <v>1028</v>
          </cell>
          <cell r="E7073">
            <v>18417.73</v>
          </cell>
          <cell r="F7073">
            <v>20.2451701361868</v>
          </cell>
        </row>
        <row r="7074">
          <cell r="B7074" t="str">
            <v>70466086</v>
          </cell>
          <cell r="C7074" t="str">
            <v>好客壹生牌 软抽立体压花 3层100抽 180mm*138mm 3包装</v>
          </cell>
          <cell r="D7074">
            <v>4211</v>
          </cell>
          <cell r="E7074">
            <v>24796.38</v>
          </cell>
          <cell r="F7074">
            <v>6.6539799097601504</v>
          </cell>
        </row>
        <row r="7075">
          <cell r="B7075" t="str">
            <v>70472011</v>
          </cell>
          <cell r="C7075" t="str">
            <v>舒蕾 蚕丝保湿顺滑去屑洗发露 500ML</v>
          </cell>
          <cell r="D7075">
            <v>371</v>
          </cell>
          <cell r="E7075">
            <v>7624.83</v>
          </cell>
          <cell r="F7075">
            <v>23.223875741239901</v>
          </cell>
        </row>
        <row r="7076">
          <cell r="B7076" t="str">
            <v>70473432</v>
          </cell>
          <cell r="C7076" t="str">
            <v>滴露 沐浴露茉莉绿茶 950G</v>
          </cell>
          <cell r="D7076">
            <v>102</v>
          </cell>
          <cell r="E7076">
            <v>4224.13</v>
          </cell>
          <cell r="F7076">
            <v>46.796734313725501</v>
          </cell>
        </row>
        <row r="7077">
          <cell r="B7077" t="str">
            <v>70481285</v>
          </cell>
          <cell r="C7077" t="str">
            <v>滴露 健康抑菌洗手液滋润倍护 500G</v>
          </cell>
          <cell r="D7077">
            <v>58</v>
          </cell>
          <cell r="E7077">
            <v>1008.12</v>
          </cell>
          <cell r="F7077">
            <v>19.640958620689702</v>
          </cell>
        </row>
        <row r="7078">
          <cell r="B7078" t="str">
            <v>70483912</v>
          </cell>
          <cell r="C7078" t="str">
            <v>冷酸灵 柔护净齿牙刷双支装 支</v>
          </cell>
          <cell r="D7078">
            <v>14</v>
          </cell>
          <cell r="E7078">
            <v>93.55</v>
          </cell>
          <cell r="F7078">
            <v>7.5508214285714299</v>
          </cell>
        </row>
        <row r="7079">
          <cell r="B7079" t="str">
            <v>70483920</v>
          </cell>
          <cell r="C7079" t="str">
            <v>隆力奇 蛇胆清爽沐浴露 400ML</v>
          </cell>
          <cell r="D7079">
            <v>1196</v>
          </cell>
          <cell r="E7079">
            <v>20700.53</v>
          </cell>
          <cell r="F7079">
            <v>19.558193060200701</v>
          </cell>
        </row>
        <row r="7080">
          <cell r="B7080" t="str">
            <v>70483921</v>
          </cell>
          <cell r="C7080" t="str">
            <v>冷酸灵 固齿护龈抗敏感牙膏 180克</v>
          </cell>
          <cell r="D7080">
            <v>506</v>
          </cell>
          <cell r="E7080">
            <v>4228.21</v>
          </cell>
          <cell r="F7080">
            <v>9.4424452569170008</v>
          </cell>
        </row>
        <row r="7081">
          <cell r="B7081" t="str">
            <v>70483924</v>
          </cell>
          <cell r="C7081" t="str">
            <v>隆力奇 手悦玫瑰璀璨焕亮精华手霜 75G</v>
          </cell>
          <cell r="D7081">
            <v>23</v>
          </cell>
          <cell r="E7081">
            <v>498.29</v>
          </cell>
          <cell r="F7081">
            <v>24.4812043478261</v>
          </cell>
        </row>
        <row r="7082">
          <cell r="B7082" t="str">
            <v>70483931</v>
          </cell>
          <cell r="C7082" t="str">
            <v>隆力奇 保湿润体乳(AI版) 200ML</v>
          </cell>
          <cell r="D7082">
            <v>701</v>
          </cell>
          <cell r="E7082">
            <v>10992.01</v>
          </cell>
          <cell r="F7082">
            <v>17.7189319543509</v>
          </cell>
        </row>
        <row r="7083">
          <cell r="B7083" t="str">
            <v>70483936</v>
          </cell>
          <cell r="C7083" t="str">
            <v>隆力奇 蛇胆金银花花露水 195ML</v>
          </cell>
          <cell r="D7083">
            <v>101</v>
          </cell>
          <cell r="E7083">
            <v>1658.04</v>
          </cell>
          <cell r="F7083">
            <v>18.5503485148515</v>
          </cell>
        </row>
        <row r="7084">
          <cell r="B7084" t="str">
            <v>70483939</v>
          </cell>
          <cell r="C7084" t="str">
            <v>花王 碧柔洁面泡泡(控油型) 160ML</v>
          </cell>
          <cell r="D7084">
            <v>70</v>
          </cell>
          <cell r="E7084">
            <v>4107.07</v>
          </cell>
          <cell r="F7084">
            <v>66.2998442857143</v>
          </cell>
        </row>
        <row r="7085">
          <cell r="B7085" t="str">
            <v>70483942</v>
          </cell>
          <cell r="C7085" t="str">
            <v>隆力奇 维生素E乳(升级版) 100G</v>
          </cell>
          <cell r="D7085">
            <v>360</v>
          </cell>
          <cell r="E7085">
            <v>3247.27</v>
          </cell>
          <cell r="F7085">
            <v>10.1928197222222</v>
          </cell>
        </row>
        <row r="7086">
          <cell r="B7086" t="str">
            <v>70483948</v>
          </cell>
          <cell r="C7086" t="str">
            <v>花王 乐而雅晚安裤裤型卫生巾(M-L码) 2片</v>
          </cell>
          <cell r="D7086">
            <v>969</v>
          </cell>
          <cell r="E7086">
            <v>9535.6</v>
          </cell>
          <cell r="F7086">
            <v>11.119946336429299</v>
          </cell>
        </row>
        <row r="7087">
          <cell r="B7087" t="str">
            <v>70483950</v>
          </cell>
          <cell r="C7087" t="str">
            <v>隆力奇 蛇胆白茶沐浴露 500ML</v>
          </cell>
          <cell r="D7087">
            <v>322</v>
          </cell>
          <cell r="E7087">
            <v>7306.24</v>
          </cell>
          <cell r="F7087">
            <v>25.6399105590062</v>
          </cell>
        </row>
        <row r="7088">
          <cell r="B7088" t="str">
            <v>70483960</v>
          </cell>
          <cell r="C7088" t="str">
            <v>冷酸灵 专研抗敏(益生菌)牙膏 140克</v>
          </cell>
          <cell r="D7088">
            <v>856</v>
          </cell>
          <cell r="E7088">
            <v>9448.6</v>
          </cell>
          <cell r="F7088">
            <v>12.473035046729001</v>
          </cell>
        </row>
        <row r="7089">
          <cell r="B7089" t="str">
            <v>70484077</v>
          </cell>
          <cell r="C7089" t="str">
            <v>隆力奇 蛇胆洗手液芦荟香型 500G</v>
          </cell>
          <cell r="D7089">
            <v>354</v>
          </cell>
          <cell r="E7089">
            <v>3157.66</v>
          </cell>
          <cell r="F7089">
            <v>10.0795361581921</v>
          </cell>
        </row>
        <row r="7090">
          <cell r="B7090" t="str">
            <v>70484095</v>
          </cell>
          <cell r="C7090" t="str">
            <v>隆力奇 泡沫抑菌洗手液 500ML</v>
          </cell>
          <cell r="D7090">
            <v>569</v>
          </cell>
          <cell r="E7090">
            <v>7464.44</v>
          </cell>
          <cell r="F7090">
            <v>14.823931810193301</v>
          </cell>
        </row>
        <row r="7091">
          <cell r="B7091" t="str">
            <v>70484112</v>
          </cell>
          <cell r="C7091" t="str">
            <v>隆力奇 驱蚊花露水(薰衣草香型) 195ML</v>
          </cell>
          <cell r="D7091">
            <v>143</v>
          </cell>
          <cell r="E7091">
            <v>2336.06</v>
          </cell>
          <cell r="F7091">
            <v>18.459774825174801</v>
          </cell>
        </row>
        <row r="7092">
          <cell r="B7092" t="str">
            <v>70484120</v>
          </cell>
          <cell r="C7092" t="str">
            <v>滴露 健康抑菌香皂滋润倍护 115克</v>
          </cell>
          <cell r="D7092">
            <v>49</v>
          </cell>
          <cell r="E7092">
            <v>243.21</v>
          </cell>
          <cell r="F7092">
            <v>5.6087204081632702</v>
          </cell>
        </row>
        <row r="7093">
          <cell r="B7093" t="str">
            <v>70484225</v>
          </cell>
          <cell r="C7093" t="str">
            <v>隆力奇 薄荷爽肤沐浴露 1L</v>
          </cell>
          <cell r="D7093">
            <v>200</v>
          </cell>
          <cell r="E7093">
            <v>5536.76</v>
          </cell>
          <cell r="F7093">
            <v>31.282693999999999</v>
          </cell>
        </row>
        <row r="7094">
          <cell r="B7094" t="str">
            <v>70484247</v>
          </cell>
          <cell r="C7094" t="str">
            <v>冷酸灵 专研抗敏(防龋)牙膏 140克</v>
          </cell>
          <cell r="D7094">
            <v>773</v>
          </cell>
          <cell r="E7094">
            <v>9323.4500000000007</v>
          </cell>
          <cell r="F7094">
            <v>13.6293641655886</v>
          </cell>
        </row>
        <row r="7095">
          <cell r="B7095" t="str">
            <v>70484270</v>
          </cell>
          <cell r="C7095" t="str">
            <v>滴露 卫生湿巾 10片*8</v>
          </cell>
          <cell r="D7095">
            <v>391</v>
          </cell>
          <cell r="E7095">
            <v>10289.74</v>
          </cell>
          <cell r="F7095">
            <v>29.7376117647059</v>
          </cell>
        </row>
        <row r="7096">
          <cell r="B7096" t="str">
            <v>70484349</v>
          </cell>
          <cell r="C7096" t="str">
            <v>隆力奇 蛇胆蜂胶赋活洗发水 500ML</v>
          </cell>
          <cell r="D7096">
            <v>196</v>
          </cell>
          <cell r="E7096">
            <v>4729.2299999999996</v>
          </cell>
          <cell r="F7096">
            <v>27.2654586734694</v>
          </cell>
        </row>
        <row r="7097">
          <cell r="B7097" t="str">
            <v>70484351</v>
          </cell>
          <cell r="C7097" t="str">
            <v>隆力奇 益生菌香氛沐浴露 1L</v>
          </cell>
          <cell r="D7097">
            <v>145</v>
          </cell>
          <cell r="E7097">
            <v>4036.44</v>
          </cell>
          <cell r="F7097">
            <v>31.456394482758601</v>
          </cell>
        </row>
        <row r="7098">
          <cell r="B7098" t="str">
            <v>70484352</v>
          </cell>
          <cell r="C7098" t="str">
            <v>隆力奇 牛奶香氛沐浴露 1L</v>
          </cell>
          <cell r="D7098">
            <v>306</v>
          </cell>
          <cell r="E7098">
            <v>8419.39</v>
          </cell>
          <cell r="F7098">
            <v>31.091211437908498</v>
          </cell>
        </row>
        <row r="7099">
          <cell r="B7099" t="str">
            <v>70484361</v>
          </cell>
          <cell r="C7099" t="str">
            <v>滴露 泡沫抑菌洗手液花香型 250ML</v>
          </cell>
          <cell r="D7099">
            <v>181</v>
          </cell>
          <cell r="E7099">
            <v>3845.07</v>
          </cell>
          <cell r="F7099">
            <v>24.0051331491713</v>
          </cell>
        </row>
        <row r="7100">
          <cell r="B7100" t="str">
            <v>70484362</v>
          </cell>
          <cell r="C7100" t="str">
            <v>滴露 泡沫抑菌洗手液青柠香型 250ML</v>
          </cell>
          <cell r="D7100">
            <v>163</v>
          </cell>
          <cell r="E7100">
            <v>3478.41</v>
          </cell>
          <cell r="F7100">
            <v>24.114130674846599</v>
          </cell>
        </row>
        <row r="7101">
          <cell r="B7101" t="str">
            <v>70484504</v>
          </cell>
          <cell r="C7101" t="str">
            <v>冷酸灵 专研抗敏牙膏 170G</v>
          </cell>
          <cell r="D7101">
            <v>561</v>
          </cell>
          <cell r="E7101">
            <v>8619.14</v>
          </cell>
          <cell r="F7101">
            <v>17.361191087344</v>
          </cell>
        </row>
        <row r="7102">
          <cell r="B7102" t="str">
            <v>70485882</v>
          </cell>
          <cell r="C7102" t="str">
            <v>洁柔 JS218-10酒精卫生湿巾独立装 10片</v>
          </cell>
          <cell r="D7102">
            <v>33</v>
          </cell>
          <cell r="E7102">
            <v>177.11</v>
          </cell>
          <cell r="F7102">
            <v>6.0646757575757597</v>
          </cell>
        </row>
        <row r="7103">
          <cell r="B7103" t="str">
            <v>70485900</v>
          </cell>
          <cell r="C7103" t="str">
            <v>洁柔 JS227-01卫生湿巾非独立装 60片</v>
          </cell>
          <cell r="D7103">
            <v>1</v>
          </cell>
          <cell r="E7103">
            <v>7.72</v>
          </cell>
          <cell r="F7103">
            <v>8.7235999999999994</v>
          </cell>
        </row>
        <row r="7104">
          <cell r="B7104" t="str">
            <v>70486025</v>
          </cell>
          <cell r="C7104" t="str">
            <v>养元青 头皮护理洗发乳控油强韧 500ML</v>
          </cell>
          <cell r="D7104">
            <v>9</v>
          </cell>
          <cell r="E7104">
            <v>495.55</v>
          </cell>
          <cell r="F7104">
            <v>62.219055555555499</v>
          </cell>
        </row>
        <row r="7105">
          <cell r="B7105" t="str">
            <v>70486026</v>
          </cell>
          <cell r="C7105" t="str">
            <v>养元青 头皮护理洗发乳控油健发 500ML</v>
          </cell>
          <cell r="D7105">
            <v>9</v>
          </cell>
          <cell r="E7105">
            <v>500.42</v>
          </cell>
          <cell r="F7105">
            <v>62.8305111111111</v>
          </cell>
        </row>
        <row r="7106">
          <cell r="B7106" t="str">
            <v>70486027</v>
          </cell>
          <cell r="C7106" t="str">
            <v>养元青 头皮护理洗发乳控油止痒 500ml</v>
          </cell>
          <cell r="D7106">
            <v>187</v>
          </cell>
          <cell r="E7106">
            <v>10207.11</v>
          </cell>
          <cell r="F7106">
            <v>61.679327807486601</v>
          </cell>
        </row>
        <row r="7107">
          <cell r="B7107" t="str">
            <v>70486079</v>
          </cell>
          <cell r="C7107" t="str">
            <v>海飞丝 去屑头皮护理洗发露控油蓬松型 360G</v>
          </cell>
          <cell r="D7107">
            <v>276</v>
          </cell>
          <cell r="E7107">
            <v>11260.84</v>
          </cell>
          <cell r="F7107">
            <v>46.104163768115903</v>
          </cell>
        </row>
        <row r="7108">
          <cell r="B7108" t="str">
            <v>70486080</v>
          </cell>
          <cell r="C7108" t="str">
            <v>海飞丝 去屑头皮护理洗发露控油蓬松型 670G</v>
          </cell>
          <cell r="D7108">
            <v>35</v>
          </cell>
          <cell r="E7108">
            <v>2207.2399999999998</v>
          </cell>
          <cell r="F7108">
            <v>71.262320000000003</v>
          </cell>
        </row>
        <row r="7109">
          <cell r="B7109" t="str">
            <v>70486500</v>
          </cell>
          <cell r="C7109" t="str">
            <v>全棉时代 奈丝公主安睡公主经期裤M-L码 2片/袋</v>
          </cell>
          <cell r="D7109">
            <v>649</v>
          </cell>
          <cell r="E7109">
            <v>6437.98</v>
          </cell>
          <cell r="F7109">
            <v>11.2094258859784</v>
          </cell>
        </row>
        <row r="7110">
          <cell r="B7110" t="str">
            <v>70486511</v>
          </cell>
          <cell r="C7110" t="str">
            <v>全棉时代 卫生湿巾40GSM平纹17*18CM单片独立包装 10包/袋</v>
          </cell>
          <cell r="D7110">
            <v>13</v>
          </cell>
          <cell r="E7110">
            <v>74.91</v>
          </cell>
          <cell r="F7110">
            <v>6.5114076923076896</v>
          </cell>
        </row>
        <row r="7111">
          <cell r="B7111" t="str">
            <v>70486964</v>
          </cell>
          <cell r="C7111" t="str">
            <v>欧莱雅 男士去屑洗发露(活泉劲爽) 700ML</v>
          </cell>
          <cell r="D7111">
            <v>8</v>
          </cell>
          <cell r="E7111">
            <v>481.64</v>
          </cell>
          <cell r="F7111">
            <v>68.031649999999999</v>
          </cell>
        </row>
        <row r="7112">
          <cell r="B7112" t="str">
            <v>70487353</v>
          </cell>
          <cell r="C7112" t="str">
            <v>全棉时代 婴儿棉湿巾手口专用65G150MM*200MM 20片/包</v>
          </cell>
          <cell r="D7112">
            <v>34</v>
          </cell>
          <cell r="E7112">
            <v>164.05</v>
          </cell>
          <cell r="F7112">
            <v>5.4522500000000003</v>
          </cell>
        </row>
        <row r="7113">
          <cell r="B7113" t="str">
            <v>70491464</v>
          </cell>
          <cell r="C7113" t="str">
            <v>好客壹生 纸面巾(立体压花软抽) 16包装</v>
          </cell>
          <cell r="D7113">
            <v>105</v>
          </cell>
          <cell r="E7113">
            <v>3233.81</v>
          </cell>
          <cell r="F7113">
            <v>34.801955238095204</v>
          </cell>
        </row>
        <row r="7114">
          <cell r="B7114" t="str">
            <v>70491467</v>
          </cell>
          <cell r="C7114" t="str">
            <v>好客壹生牌 有芯卷纸 10卷装 1600克</v>
          </cell>
          <cell r="D7114">
            <v>5220</v>
          </cell>
          <cell r="E7114">
            <v>80091.81</v>
          </cell>
          <cell r="F7114">
            <v>17.337882241379301</v>
          </cell>
        </row>
        <row r="7115">
          <cell r="B7115" t="str">
            <v>70491945</v>
          </cell>
          <cell r="C7115" t="str">
            <v>冰川温泉 保湿喷雾 80ML</v>
          </cell>
          <cell r="D7115">
            <v>233</v>
          </cell>
          <cell r="E7115">
            <v>4567.96</v>
          </cell>
          <cell r="F7115">
            <v>22.153625751073001</v>
          </cell>
        </row>
        <row r="7116">
          <cell r="B7116" t="str">
            <v>70491946</v>
          </cell>
          <cell r="C7116" t="str">
            <v>冰川温泉 保湿喷雾 150ML</v>
          </cell>
          <cell r="D7116">
            <v>14</v>
          </cell>
          <cell r="E7116">
            <v>403.92</v>
          </cell>
          <cell r="F7116">
            <v>32.6021142857143</v>
          </cell>
        </row>
        <row r="7117">
          <cell r="B7117" t="str">
            <v>70491947</v>
          </cell>
          <cell r="C7117" t="str">
            <v>冰川温泉 保湿喷雾 300ML</v>
          </cell>
          <cell r="D7117">
            <v>95</v>
          </cell>
          <cell r="E7117">
            <v>3312.09</v>
          </cell>
          <cell r="F7117">
            <v>39.396438947368402</v>
          </cell>
        </row>
        <row r="7118">
          <cell r="B7118" t="str">
            <v>70493734</v>
          </cell>
          <cell r="C7118" t="str">
            <v>滴露 卫生湿巾 50片装</v>
          </cell>
          <cell r="D7118">
            <v>1128</v>
          </cell>
          <cell r="E7118">
            <v>18721.240000000002</v>
          </cell>
          <cell r="F7118">
            <v>18.754433687943301</v>
          </cell>
        </row>
        <row r="7119">
          <cell r="B7119" t="str">
            <v>70505697</v>
          </cell>
          <cell r="C7119" t="str">
            <v>极悦 羽护宽柔牙刷 支</v>
          </cell>
          <cell r="D7119">
            <v>297</v>
          </cell>
          <cell r="E7119">
            <v>3913.11</v>
          </cell>
          <cell r="F7119">
            <v>14.8882636363636</v>
          </cell>
        </row>
        <row r="7120">
          <cell r="B7120" t="str">
            <v>70505786</v>
          </cell>
          <cell r="C7120" t="str">
            <v>时尚优家 精油香氛高级除菌手工皂 128G</v>
          </cell>
          <cell r="D7120">
            <v>3</v>
          </cell>
          <cell r="E7120">
            <v>435.39</v>
          </cell>
          <cell r="F7120">
            <v>163.99690000000001</v>
          </cell>
        </row>
        <row r="7121">
          <cell r="B7121" t="str">
            <v>70505832</v>
          </cell>
          <cell r="C7121" t="str">
            <v>极悦 雪绒晶洁牙刷 支</v>
          </cell>
          <cell r="D7121">
            <v>534</v>
          </cell>
          <cell r="E7121">
            <v>3843.82</v>
          </cell>
          <cell r="F7121">
            <v>8.1339262172284599</v>
          </cell>
        </row>
        <row r="7122">
          <cell r="B7122" t="str">
            <v>70508587</v>
          </cell>
          <cell r="C7122" t="str">
            <v>舒蕾 山茶花莹亮滋养润发乳护发素500ML 瓶</v>
          </cell>
          <cell r="D7122">
            <v>289</v>
          </cell>
          <cell r="E7122">
            <v>4631.42</v>
          </cell>
          <cell r="F7122">
            <v>18.109012456747401</v>
          </cell>
        </row>
        <row r="7123">
          <cell r="B7123" t="str">
            <v>70508605</v>
          </cell>
          <cell r="C7123" t="str">
            <v>舒客 悠净清新益生菌牙膏莓莓冰茶120G 盒</v>
          </cell>
          <cell r="D7123">
            <v>1009</v>
          </cell>
          <cell r="E7123">
            <v>12455.15</v>
          </cell>
          <cell r="F7123">
            <v>13.9487804757185</v>
          </cell>
        </row>
        <row r="7124">
          <cell r="B7124" t="str">
            <v>70510872</v>
          </cell>
          <cell r="C7124" t="str">
            <v>中华 健齿白竹炭小苏打沁竹薄荷 120G</v>
          </cell>
          <cell r="D7124">
            <v>31</v>
          </cell>
          <cell r="E7124">
            <v>252.17</v>
          </cell>
          <cell r="F7124">
            <v>9.1920032258064506</v>
          </cell>
        </row>
        <row r="7125">
          <cell r="B7125" t="str">
            <v>70510902</v>
          </cell>
          <cell r="C7125" t="str">
            <v>力士 植萃净澈香皂蜜桃柑橘香 95G*3</v>
          </cell>
          <cell r="D7125">
            <v>332</v>
          </cell>
          <cell r="E7125">
            <v>8497.0499999999993</v>
          </cell>
          <cell r="F7125">
            <v>28.920682228915702</v>
          </cell>
        </row>
        <row r="7126">
          <cell r="B7126" t="str">
            <v>70513673</v>
          </cell>
          <cell r="C7126" t="str">
            <v>超人 剃须刀电动刮胡刀男士剃胡须子刀节日限定版礼盒7368 三刀头</v>
          </cell>
          <cell r="D7126">
            <v>3</v>
          </cell>
          <cell r="E7126">
            <v>454.78</v>
          </cell>
          <cell r="F7126">
            <v>171.30046666666701</v>
          </cell>
        </row>
        <row r="7127">
          <cell r="B7127" t="str">
            <v>70514549</v>
          </cell>
          <cell r="C7127" t="str">
            <v>隆力奇 蛇油壹号凝露 80ML</v>
          </cell>
          <cell r="D7127">
            <v>46</v>
          </cell>
          <cell r="E7127">
            <v>350.98</v>
          </cell>
          <cell r="F7127">
            <v>8.6219000000000001</v>
          </cell>
        </row>
        <row r="7128">
          <cell r="B7128" t="str">
            <v>70514550</v>
          </cell>
          <cell r="C7128" t="str">
            <v>隆力奇 人参营养护发素 1L</v>
          </cell>
          <cell r="D7128">
            <v>463</v>
          </cell>
          <cell r="E7128">
            <v>11008.08</v>
          </cell>
          <cell r="F7128">
            <v>26.866372354211698</v>
          </cell>
        </row>
        <row r="7129">
          <cell r="B7129" t="str">
            <v>70514551</v>
          </cell>
          <cell r="C7129" t="str">
            <v>隆力奇 益生菌去渍清新牙膏 105G</v>
          </cell>
          <cell r="D7129">
            <v>54</v>
          </cell>
          <cell r="E7129">
            <v>851.23</v>
          </cell>
          <cell r="F7129">
            <v>17.812775925925902</v>
          </cell>
        </row>
        <row r="7130">
          <cell r="B7130" t="str">
            <v>70515892</v>
          </cell>
          <cell r="C7130" t="str">
            <v>冰泉＋ 海盐小苏打口香牙膏 120G</v>
          </cell>
          <cell r="D7130">
            <v>165</v>
          </cell>
          <cell r="E7130">
            <v>3715.02</v>
          </cell>
          <cell r="F7130">
            <v>25.4422581818182</v>
          </cell>
        </row>
        <row r="7131">
          <cell r="B7131" t="str">
            <v>70516375</v>
          </cell>
          <cell r="C7131" t="str">
            <v>隆力奇 蛇胆清凉草本止痒凝露 60ML</v>
          </cell>
          <cell r="D7131">
            <v>12</v>
          </cell>
          <cell r="E7131">
            <v>112.04</v>
          </cell>
          <cell r="F7131">
            <v>10.5504333333333</v>
          </cell>
        </row>
        <row r="7132">
          <cell r="B7132" t="str">
            <v>70519314</v>
          </cell>
          <cell r="C7132" t="str">
            <v>全棉时代 压缩纯棉洗脸毛巾 6个</v>
          </cell>
          <cell r="D7132">
            <v>30</v>
          </cell>
          <cell r="E7132">
            <v>467.52</v>
          </cell>
          <cell r="F7132">
            <v>17.609919999999999</v>
          </cell>
        </row>
        <row r="7133">
          <cell r="B7133" t="str">
            <v>70521124</v>
          </cell>
          <cell r="C7133" t="str">
            <v>全棉时代 女士全棉一次性内裤(灭菌装)L码 3条/袋</v>
          </cell>
          <cell r="D7133">
            <v>18</v>
          </cell>
          <cell r="E7133">
            <v>280.68</v>
          </cell>
          <cell r="F7133">
            <v>17.620466666666701</v>
          </cell>
        </row>
        <row r="7134">
          <cell r="B7134" t="str">
            <v>70521125</v>
          </cell>
          <cell r="C7134" t="str">
            <v>全棉时代 男士全棉一次性内裤(灭菌装)XL码 3条/袋</v>
          </cell>
          <cell r="D7134">
            <v>8</v>
          </cell>
          <cell r="E7134">
            <v>137.21</v>
          </cell>
          <cell r="F7134">
            <v>19.380912500000001</v>
          </cell>
        </row>
        <row r="7135">
          <cell r="B7135" t="str">
            <v>70524249</v>
          </cell>
          <cell r="C7135" t="str">
            <v>冷酸灵 医研牙线棒40支独立装 1盒</v>
          </cell>
          <cell r="D7135">
            <v>709</v>
          </cell>
          <cell r="E7135">
            <v>6369.08</v>
          </cell>
          <cell r="F7135">
            <v>10.1510019746121</v>
          </cell>
        </row>
        <row r="7136">
          <cell r="B7136" t="str">
            <v>70524264</v>
          </cell>
          <cell r="C7136" t="str">
            <v>立白 蓝天六必治11号亮洁护龈牙刷 3支装</v>
          </cell>
          <cell r="D7136">
            <v>463</v>
          </cell>
          <cell r="E7136">
            <v>4291.37</v>
          </cell>
          <cell r="F7136">
            <v>10.473538012959001</v>
          </cell>
        </row>
        <row r="7137">
          <cell r="B7137" t="str">
            <v>70524267</v>
          </cell>
          <cell r="C7137" t="str">
            <v>立白 蓝天六必治小苏打盐白牙膏(清新海盐) 120G</v>
          </cell>
          <cell r="D7137">
            <v>360</v>
          </cell>
          <cell r="E7137">
            <v>2022.59</v>
          </cell>
          <cell r="F7137">
            <v>6.34868527777778</v>
          </cell>
        </row>
        <row r="7138">
          <cell r="B7138" t="str">
            <v>70524279</v>
          </cell>
          <cell r="C7138" t="str">
            <v>好客壹生牌 小盘纸 单卷装</v>
          </cell>
          <cell r="D7138">
            <v>704</v>
          </cell>
          <cell r="E7138">
            <v>6665.57</v>
          </cell>
          <cell r="F7138">
            <v>10.6989973011364</v>
          </cell>
        </row>
        <row r="7139">
          <cell r="B7139" t="str">
            <v>70524283</v>
          </cell>
          <cell r="C7139" t="str">
            <v>好客壹生牌 擦手纸 单包装</v>
          </cell>
          <cell r="D7139">
            <v>699</v>
          </cell>
          <cell r="E7139">
            <v>4209.79</v>
          </cell>
          <cell r="F7139">
            <v>6.8055260371959898</v>
          </cell>
        </row>
        <row r="7140">
          <cell r="B7140" t="str">
            <v>70524287</v>
          </cell>
          <cell r="C7140" t="str">
            <v>好客壹生牌 杀菌湿巾 30片装 单包装</v>
          </cell>
          <cell r="D7140">
            <v>12840</v>
          </cell>
          <cell r="E7140">
            <v>40422.04</v>
          </cell>
          <cell r="F7140">
            <v>3.5573913707165099</v>
          </cell>
        </row>
        <row r="7141">
          <cell r="B7141" t="str">
            <v>70524291</v>
          </cell>
          <cell r="C7141" t="str">
            <v>好客壹生牌 洗脸巾 70抽 单包装</v>
          </cell>
          <cell r="D7141">
            <v>1228</v>
          </cell>
          <cell r="E7141">
            <v>9176.69</v>
          </cell>
          <cell r="F7141">
            <v>8.4443482899022797</v>
          </cell>
        </row>
        <row r="7142">
          <cell r="B7142" t="str">
            <v>70524297</v>
          </cell>
          <cell r="C7142" t="str">
            <v>好客壹生牌 纯水湿巾 80片装 单包装</v>
          </cell>
          <cell r="D7142">
            <v>2435</v>
          </cell>
          <cell r="E7142">
            <v>20276.45</v>
          </cell>
          <cell r="F7142">
            <v>9.4096051334702295</v>
          </cell>
        </row>
        <row r="7143">
          <cell r="B7143" t="str">
            <v>70524371</v>
          </cell>
          <cell r="C7143" t="str">
            <v>立白 蓝天六必治炭丝能量牙刷 1支装</v>
          </cell>
          <cell r="D7143">
            <v>691</v>
          </cell>
          <cell r="E7143">
            <v>2772.86</v>
          </cell>
          <cell r="F7143">
            <v>4.5344888567293804</v>
          </cell>
        </row>
        <row r="7144">
          <cell r="B7144" t="str">
            <v>70524374</v>
          </cell>
          <cell r="C7144" t="str">
            <v>立白 蓝天六必治抗敏清火牙膏 180G</v>
          </cell>
          <cell r="D7144">
            <v>306</v>
          </cell>
          <cell r="E7144">
            <v>2457.08</v>
          </cell>
          <cell r="F7144">
            <v>9.0735307189542507</v>
          </cell>
        </row>
        <row r="7145">
          <cell r="B7145" t="str">
            <v>70524375</v>
          </cell>
          <cell r="C7145" t="str">
            <v>舒蕾 强韧修护葡萄籽润发乳 500G</v>
          </cell>
          <cell r="D7145">
            <v>185</v>
          </cell>
          <cell r="E7145">
            <v>2894.64</v>
          </cell>
          <cell r="F7145">
            <v>17.680774054054101</v>
          </cell>
        </row>
        <row r="7146">
          <cell r="B7146" t="str">
            <v>70524377</v>
          </cell>
          <cell r="C7146" t="str">
            <v>隆力奇 宽柔软毛牙刷 1支</v>
          </cell>
          <cell r="D7146">
            <v>78</v>
          </cell>
          <cell r="E7146">
            <v>758.99</v>
          </cell>
          <cell r="F7146">
            <v>10.9956243589744</v>
          </cell>
        </row>
        <row r="7147">
          <cell r="B7147" t="str">
            <v>70524380</v>
          </cell>
          <cell r="C7147" t="str">
            <v>舒蕾 蚕丝保湿顺滑植萃精油发膜 300G</v>
          </cell>
          <cell r="D7147">
            <v>89</v>
          </cell>
          <cell r="E7147">
            <v>1446.2</v>
          </cell>
          <cell r="F7147">
            <v>18.3618651685393</v>
          </cell>
        </row>
        <row r="7148">
          <cell r="B7148" t="str">
            <v>70524385</v>
          </cell>
          <cell r="C7148" t="str">
            <v>舒蕾 强韧修护植萃精油葡萄籽发膜 300G</v>
          </cell>
          <cell r="D7148">
            <v>43</v>
          </cell>
          <cell r="E7148">
            <v>795.77</v>
          </cell>
          <cell r="F7148">
            <v>20.912095348837202</v>
          </cell>
        </row>
        <row r="7149">
          <cell r="B7149" t="str">
            <v>70524390</v>
          </cell>
          <cell r="C7149" t="str">
            <v>舒蕾 男士清爽去屑香氛洗发露 500ML</v>
          </cell>
          <cell r="D7149">
            <v>208</v>
          </cell>
          <cell r="E7149">
            <v>3606.77</v>
          </cell>
          <cell r="F7149">
            <v>19.594471634615399</v>
          </cell>
        </row>
        <row r="7150">
          <cell r="B7150" t="str">
            <v>70524394</v>
          </cell>
          <cell r="C7150" t="str">
            <v>舒蕾 男士清爽净肤香氛沐浴露 500ML</v>
          </cell>
          <cell r="D7150">
            <v>305</v>
          </cell>
          <cell r="E7150">
            <v>5272.38</v>
          </cell>
          <cell r="F7150">
            <v>19.533735737704902</v>
          </cell>
        </row>
        <row r="7151">
          <cell r="B7151" t="str">
            <v>70524400</v>
          </cell>
          <cell r="C7151" t="str">
            <v>舒蕾 菁纯香氛护发精油 80ML</v>
          </cell>
          <cell r="D7151">
            <v>23</v>
          </cell>
          <cell r="E7151">
            <v>645.72</v>
          </cell>
          <cell r="F7151">
            <v>31.724504347826102</v>
          </cell>
        </row>
        <row r="7152">
          <cell r="B7152" t="str">
            <v>70524403</v>
          </cell>
          <cell r="C7152" t="str">
            <v>舒蕾 头皮舒爽控油去屑洗发露 430ML</v>
          </cell>
          <cell r="D7152">
            <v>113</v>
          </cell>
          <cell r="E7152">
            <v>4153.87</v>
          </cell>
          <cell r="F7152">
            <v>41.538699999999999</v>
          </cell>
        </row>
        <row r="7153">
          <cell r="B7153" t="str">
            <v>70524406</v>
          </cell>
          <cell r="C7153" t="str">
            <v>舒蕾 头皮水润柔滑去屑洗发露 430ML</v>
          </cell>
          <cell r="D7153">
            <v>305</v>
          </cell>
          <cell r="E7153">
            <v>11089.52</v>
          </cell>
          <cell r="F7153">
            <v>41.085762622950803</v>
          </cell>
        </row>
        <row r="7154">
          <cell r="B7154" t="str">
            <v>70524408</v>
          </cell>
          <cell r="C7154" t="str">
            <v>舒蕾 头皮水润强韧修护洗发露 430ML</v>
          </cell>
          <cell r="D7154">
            <v>114</v>
          </cell>
          <cell r="E7154">
            <v>4219.76</v>
          </cell>
          <cell r="F7154">
            <v>41.827445614035099</v>
          </cell>
        </row>
        <row r="7155">
          <cell r="B7155" t="str">
            <v>70524426</v>
          </cell>
          <cell r="C7155" t="str">
            <v>滋源 清润蓬松控油洗头水 535ML</v>
          </cell>
          <cell r="D7155">
            <v>8</v>
          </cell>
          <cell r="E7155">
            <v>476.76</v>
          </cell>
          <cell r="F7155">
            <v>67.342349999999996</v>
          </cell>
        </row>
        <row r="7156">
          <cell r="B7156" t="str">
            <v>70524427</v>
          </cell>
          <cell r="C7156" t="str">
            <v>美肤宝 美白隔离防晒霜SPF50＋PA＋＋＋特惠礼装 1套</v>
          </cell>
          <cell r="D7156">
            <v>11</v>
          </cell>
          <cell r="E7156">
            <v>456.94</v>
          </cell>
          <cell r="F7156">
            <v>46.940199999999997</v>
          </cell>
        </row>
        <row r="7157">
          <cell r="B7157" t="str">
            <v>70524456</v>
          </cell>
          <cell r="C7157" t="str">
            <v>云南白药 金口健牙刷 基础系列 银翼旋风 2支装</v>
          </cell>
          <cell r="D7157">
            <v>302</v>
          </cell>
          <cell r="E7157">
            <v>2994.08</v>
          </cell>
          <cell r="F7157">
            <v>11.2030145695364</v>
          </cell>
        </row>
        <row r="7158">
          <cell r="B7158" t="str">
            <v>70524464</v>
          </cell>
          <cell r="C7158" t="str">
            <v>ONCEKISS 珍珠纹洗脸柔巾 60抽</v>
          </cell>
          <cell r="D7158">
            <v>1311</v>
          </cell>
          <cell r="E7158">
            <v>8181.53</v>
          </cell>
          <cell r="F7158">
            <v>7.0519671243325703</v>
          </cell>
        </row>
        <row r="7159">
          <cell r="B7159" t="str">
            <v>70524465</v>
          </cell>
          <cell r="C7159" t="str">
            <v>ONCEKISS 珍珠纹洗脸柔巾 30抽</v>
          </cell>
          <cell r="D7159">
            <v>2800</v>
          </cell>
          <cell r="E7159">
            <v>10795.16</v>
          </cell>
          <cell r="F7159">
            <v>4.3566181428571404</v>
          </cell>
        </row>
        <row r="7160">
          <cell r="B7160" t="str">
            <v>70524470</v>
          </cell>
          <cell r="C7160" t="str">
            <v>阿迪达斯 男士三合一沐浴露运动后舒缓 250ML</v>
          </cell>
          <cell r="D7160">
            <v>788</v>
          </cell>
          <cell r="E7160">
            <v>13195.46</v>
          </cell>
          <cell r="F7160">
            <v>18.922423604060899</v>
          </cell>
        </row>
        <row r="7161">
          <cell r="B7161" t="str">
            <v>70524473</v>
          </cell>
          <cell r="C7161" t="str">
            <v>阿迪达斯 男士三合一沐浴露冰点 250ML</v>
          </cell>
          <cell r="D7161">
            <v>834</v>
          </cell>
          <cell r="E7161">
            <v>13981.83</v>
          </cell>
          <cell r="F7161">
            <v>18.9442061151079</v>
          </cell>
        </row>
        <row r="7162">
          <cell r="B7162" t="str">
            <v>70524476</v>
          </cell>
          <cell r="C7162" t="str">
            <v>阿迪达斯 男士三合一沐浴露征服 250ML</v>
          </cell>
          <cell r="D7162">
            <v>588</v>
          </cell>
          <cell r="E7162">
            <v>9831.08</v>
          </cell>
          <cell r="F7162">
            <v>18.8930619047619</v>
          </cell>
        </row>
        <row r="7163">
          <cell r="B7163" t="str">
            <v>70524829</v>
          </cell>
          <cell r="C7163" t="str">
            <v>隆力奇 便携驱蚊花露水 60ML</v>
          </cell>
          <cell r="D7163">
            <v>439</v>
          </cell>
          <cell r="E7163">
            <v>3164.81</v>
          </cell>
          <cell r="F7163">
            <v>8.1463218678815501</v>
          </cell>
        </row>
        <row r="7164">
          <cell r="B7164" t="str">
            <v>70534460</v>
          </cell>
          <cell r="C7164" t="str">
            <v>雅芳 爽身香体露甜美芬芳清雅桂花香 40ML</v>
          </cell>
          <cell r="D7164">
            <v>8</v>
          </cell>
          <cell r="E7164">
            <v>102.66</v>
          </cell>
          <cell r="F7164">
            <v>14.500724999999999</v>
          </cell>
        </row>
        <row r="7165">
          <cell r="B7165" t="str">
            <v>70534461</v>
          </cell>
          <cell r="C7165" t="str">
            <v>雅芳 爽身香体露清新爽快净爽松柏木香 40ML</v>
          </cell>
          <cell r="D7165">
            <v>5</v>
          </cell>
          <cell r="E7165">
            <v>64.17</v>
          </cell>
          <cell r="F7165">
            <v>14.502420000000001</v>
          </cell>
        </row>
        <row r="7166">
          <cell r="B7166" t="str">
            <v>70534482</v>
          </cell>
          <cell r="C7166" t="str">
            <v>雅芳 爽身香体露优雅轻扬山茶花香 40ML</v>
          </cell>
          <cell r="D7166">
            <v>13</v>
          </cell>
          <cell r="E7166">
            <v>166.84</v>
          </cell>
          <cell r="F7166">
            <v>14.502246153846199</v>
          </cell>
        </row>
        <row r="7167">
          <cell r="B7167" t="str">
            <v>70534490</v>
          </cell>
          <cell r="C7167" t="str">
            <v>雅芳 爽身香体露海洋净爽清新怡然香 40ML</v>
          </cell>
          <cell r="D7167">
            <v>15</v>
          </cell>
          <cell r="E7167">
            <v>192.48</v>
          </cell>
          <cell r="F7167">
            <v>14.500159999999999</v>
          </cell>
        </row>
        <row r="7168">
          <cell r="B7168" t="str">
            <v>70534500</v>
          </cell>
          <cell r="C7168" t="str">
            <v>雅芳 爽身香体露雅致花香浪漫白玫瑰香 40ML</v>
          </cell>
          <cell r="D7168">
            <v>21</v>
          </cell>
          <cell r="E7168">
            <v>269.49</v>
          </cell>
          <cell r="F7168">
            <v>14.5011285714286</v>
          </cell>
        </row>
        <row r="7169">
          <cell r="B7169" t="str">
            <v>70534607</v>
          </cell>
          <cell r="C7169" t="str">
            <v>雅芳 净澈洗颜泥 150G</v>
          </cell>
          <cell r="D7169">
            <v>59</v>
          </cell>
          <cell r="E7169">
            <v>908.68</v>
          </cell>
          <cell r="F7169">
            <v>17.403532203389801</v>
          </cell>
        </row>
        <row r="7170">
          <cell r="B7170" t="str">
            <v>70534612</v>
          </cell>
          <cell r="C7170" t="str">
            <v>雅芳 亮彩洗面奶 150G</v>
          </cell>
          <cell r="D7170">
            <v>140</v>
          </cell>
          <cell r="E7170">
            <v>2132.8000000000002</v>
          </cell>
          <cell r="F7170">
            <v>17.214742857142902</v>
          </cell>
        </row>
        <row r="7171">
          <cell r="B7171" t="str">
            <v>70534618</v>
          </cell>
          <cell r="C7171" t="str">
            <v>雅芳 小黑裙走珠香体露 40ML</v>
          </cell>
          <cell r="D7171">
            <v>43</v>
          </cell>
          <cell r="E7171">
            <v>680.45</v>
          </cell>
          <cell r="F7171">
            <v>17.8815930232558</v>
          </cell>
        </row>
        <row r="7172">
          <cell r="B7172" t="str">
            <v>70534623</v>
          </cell>
          <cell r="C7172" t="str">
            <v>雅芳 小黑裙走珠香水 9ML</v>
          </cell>
          <cell r="D7172">
            <v>20</v>
          </cell>
          <cell r="E7172">
            <v>300.92</v>
          </cell>
          <cell r="F7172">
            <v>17.00198</v>
          </cell>
        </row>
        <row r="7173">
          <cell r="B7173" t="str">
            <v>70534754</v>
          </cell>
          <cell r="C7173" t="str">
            <v>雅芳 小黑裙香体乳 400G</v>
          </cell>
          <cell r="D7173">
            <v>36</v>
          </cell>
          <cell r="E7173">
            <v>1465.56</v>
          </cell>
          <cell r="F7173">
            <v>46.002299999999998</v>
          </cell>
        </row>
        <row r="7174">
          <cell r="B7174" t="str">
            <v>70534755</v>
          </cell>
          <cell r="C7174" t="str">
            <v>雅芳 净透洁面啫喱 150G</v>
          </cell>
          <cell r="D7174">
            <v>1</v>
          </cell>
          <cell r="E7174">
            <v>15.49</v>
          </cell>
          <cell r="F7174">
            <v>17.503699999999998</v>
          </cell>
        </row>
        <row r="7175">
          <cell r="B7175" t="str">
            <v>70534947</v>
          </cell>
          <cell r="C7175" t="str">
            <v>冰泉 清火润白口香牙膏 180G</v>
          </cell>
          <cell r="D7175">
            <v>451</v>
          </cell>
          <cell r="E7175">
            <v>5246.43</v>
          </cell>
          <cell r="F7175">
            <v>13.145157206208401</v>
          </cell>
        </row>
        <row r="7176">
          <cell r="B7176" t="str">
            <v>70534952</v>
          </cell>
          <cell r="C7176" t="str">
            <v>冰泉 旋洁臻护长头牙刷 个</v>
          </cell>
          <cell r="D7176">
            <v>36</v>
          </cell>
          <cell r="E7176">
            <v>338.21</v>
          </cell>
          <cell r="F7176">
            <v>10.6160361111111</v>
          </cell>
        </row>
        <row r="7177">
          <cell r="B7177" t="str">
            <v>70534957</v>
          </cell>
          <cell r="C7177" t="str">
            <v>冰泉 宝贝智趣星球儿童牙刷 个</v>
          </cell>
          <cell r="D7177">
            <v>10</v>
          </cell>
          <cell r="E7177">
            <v>91.16</v>
          </cell>
          <cell r="F7177">
            <v>10.301080000000001</v>
          </cell>
        </row>
        <row r="7178">
          <cell r="B7178" t="str">
            <v>70534962</v>
          </cell>
          <cell r="C7178" t="str">
            <v>冰泉 儿童口香牙膏草莓味 60G</v>
          </cell>
          <cell r="D7178">
            <v>76</v>
          </cell>
          <cell r="E7178">
            <v>1114.51</v>
          </cell>
          <cell r="F7178">
            <v>16.5710039473684</v>
          </cell>
        </row>
        <row r="7179">
          <cell r="B7179" t="str">
            <v>70534966</v>
          </cell>
          <cell r="C7179" t="str">
            <v>冰泉 齿间精护牙线棒薄荷绿 个</v>
          </cell>
          <cell r="D7179">
            <v>44</v>
          </cell>
          <cell r="E7179">
            <v>377.85</v>
          </cell>
          <cell r="F7179">
            <v>9.703875</v>
          </cell>
        </row>
        <row r="7180">
          <cell r="B7180" t="str">
            <v>70534969</v>
          </cell>
          <cell r="C7180" t="str">
            <v>冰泉 口香漱口水薄荷清香 260ML</v>
          </cell>
          <cell r="D7180">
            <v>72</v>
          </cell>
          <cell r="E7180">
            <v>1310.53</v>
          </cell>
          <cell r="F7180">
            <v>20.568040277777801</v>
          </cell>
        </row>
        <row r="7181">
          <cell r="B7181" t="str">
            <v>70534973</v>
          </cell>
          <cell r="C7181" t="str">
            <v>冰泉 防蛀健齿儿童牙膏 60G</v>
          </cell>
          <cell r="D7181">
            <v>57</v>
          </cell>
          <cell r="E7181">
            <v>600.35</v>
          </cell>
          <cell r="F7181">
            <v>11.9016754385965</v>
          </cell>
        </row>
        <row r="7182">
          <cell r="B7182" t="str">
            <v>70534978</v>
          </cell>
          <cell r="C7182" t="str">
            <v>冰泉 冰淇淋味口香牙膏草莓圣代冰淇淋味 120G</v>
          </cell>
          <cell r="D7182">
            <v>59</v>
          </cell>
          <cell r="E7182">
            <v>908.58</v>
          </cell>
          <cell r="F7182">
            <v>17.401616949152501</v>
          </cell>
        </row>
        <row r="7183">
          <cell r="B7183" t="str">
            <v>70534983</v>
          </cell>
          <cell r="C7183" t="str">
            <v>冰泉 DRINKIN口香漱口水混合口味 10ML</v>
          </cell>
          <cell r="D7183">
            <v>11</v>
          </cell>
          <cell r="E7183">
            <v>169.4</v>
          </cell>
          <cell r="F7183">
            <v>17.402000000000001</v>
          </cell>
        </row>
        <row r="7184">
          <cell r="B7184" t="str">
            <v>70545364</v>
          </cell>
          <cell r="C7184" t="str">
            <v>好客壹生牌 湿厕纸 80片装 单包装</v>
          </cell>
          <cell r="D7184">
            <v>1913</v>
          </cell>
          <cell r="E7184">
            <v>15558.08</v>
          </cell>
          <cell r="F7184">
            <v>9.1900838473601691</v>
          </cell>
        </row>
        <row r="7185">
          <cell r="B7185" t="str">
            <v>70545366</v>
          </cell>
          <cell r="C7185" t="str">
            <v>好客壹生牌 柔润纸 3层30抽 133mm*195mm 5包装</v>
          </cell>
          <cell r="D7185">
            <v>2175</v>
          </cell>
          <cell r="E7185">
            <v>14146</v>
          </cell>
          <cell r="F7185">
            <v>7.3494160919540201</v>
          </cell>
        </row>
        <row r="7186">
          <cell r="B7186" t="str">
            <v>70545371</v>
          </cell>
          <cell r="C7186" t="str">
            <v>好客壹生牌 软抽3层80抽123mm*180mm 单包装</v>
          </cell>
          <cell r="D7186">
            <v>23039</v>
          </cell>
          <cell r="E7186">
            <v>21342.37</v>
          </cell>
          <cell r="F7186">
            <v>1.04678493424194</v>
          </cell>
        </row>
        <row r="7187">
          <cell r="B7187" t="str">
            <v>70545838</v>
          </cell>
          <cell r="C7187" t="str">
            <v>山姆 高保湿香氛身体乳 500ML*3</v>
          </cell>
          <cell r="D7187">
            <v>22</v>
          </cell>
          <cell r="E7187">
            <v>2417.8000000000002</v>
          </cell>
          <cell r="F7187">
            <v>124.187</v>
          </cell>
        </row>
        <row r="7188">
          <cell r="B7188" t="str">
            <v>70545839</v>
          </cell>
          <cell r="C7188" t="str">
            <v>山姆 高保湿香氛护手霜 75ML*5</v>
          </cell>
          <cell r="D7188">
            <v>6</v>
          </cell>
          <cell r="E7188">
            <v>599.4</v>
          </cell>
          <cell r="F7188">
            <v>112.887</v>
          </cell>
        </row>
        <row r="7189">
          <cell r="B7189" t="str">
            <v>70550002</v>
          </cell>
          <cell r="C7189" t="str">
            <v>MEMBER'SMARK 抑菌洗手液 500ML</v>
          </cell>
          <cell r="D7189">
            <v>15</v>
          </cell>
          <cell r="E7189">
            <v>597.38</v>
          </cell>
          <cell r="F7189">
            <v>45.0026266666667</v>
          </cell>
        </row>
        <row r="7190">
          <cell r="B7190" t="str">
            <v>70551676</v>
          </cell>
          <cell r="C7190" t="str">
            <v>NA奈（18本） 清爽丰盈洗发露（洋甘菊＆花旗参） 550ML</v>
          </cell>
          <cell r="D7190">
            <v>0</v>
          </cell>
          <cell r="E7190">
            <v>0</v>
          </cell>
          <cell r="F7190" t="e">
            <v>#DIV/0!</v>
          </cell>
        </row>
        <row r="7191">
          <cell r="B7191" t="str">
            <v>70556427</v>
          </cell>
          <cell r="C7191" t="str">
            <v>BSUTIN贝舒婷 迷恋沐浴露 500ML</v>
          </cell>
          <cell r="D7191">
            <v>950</v>
          </cell>
          <cell r="E7191">
            <v>18510.599999999999</v>
          </cell>
          <cell r="F7191">
            <v>22.0178715789474</v>
          </cell>
        </row>
        <row r="7192">
          <cell r="B7192" t="str">
            <v>70556721</v>
          </cell>
          <cell r="C7192" t="str">
            <v>BSUTIN贝舒婷 生姜植物洗发皂 60G</v>
          </cell>
          <cell r="D7192">
            <v>384</v>
          </cell>
          <cell r="E7192">
            <v>2299.1799999999998</v>
          </cell>
          <cell r="F7192">
            <v>6.7658161458333304</v>
          </cell>
        </row>
        <row r="7193">
          <cell r="B7193" t="str">
            <v>70556866</v>
          </cell>
          <cell r="C7193" t="str">
            <v>BSUTIN贝舒婷 洗手液 500ML</v>
          </cell>
          <cell r="D7193">
            <v>2303</v>
          </cell>
          <cell r="E7193">
            <v>10733.79</v>
          </cell>
          <cell r="F7193">
            <v>5.2666881024750296</v>
          </cell>
        </row>
        <row r="7194">
          <cell r="B7194" t="str">
            <v>70556991</v>
          </cell>
          <cell r="C7194" t="str">
            <v>BSUTIN贝舒婷 柔顺洗发水 500ML</v>
          </cell>
          <cell r="D7194">
            <v>1004</v>
          </cell>
          <cell r="E7194">
            <v>19576.259999999998</v>
          </cell>
          <cell r="F7194">
            <v>22.033041633466102</v>
          </cell>
        </row>
        <row r="7195">
          <cell r="B7195" t="str">
            <v>70557301</v>
          </cell>
          <cell r="C7195" t="str">
            <v>强生 大宝水嫩亮白润肤乳 100ML/瓶</v>
          </cell>
          <cell r="D7195">
            <v>25</v>
          </cell>
          <cell r="E7195">
            <v>406.66</v>
          </cell>
          <cell r="F7195">
            <v>18.381032000000001</v>
          </cell>
        </row>
        <row r="7196">
          <cell r="B7196" t="str">
            <v>70559844</v>
          </cell>
          <cell r="C7196" t="str">
            <v>全棉时代 奈丝公主超薄夜用卫生巾 290MM*6片/包</v>
          </cell>
          <cell r="D7196">
            <v>1670</v>
          </cell>
          <cell r="E7196">
            <v>14065.69</v>
          </cell>
          <cell r="F7196">
            <v>9.5175028143712606</v>
          </cell>
        </row>
        <row r="7197">
          <cell r="B7197" t="str">
            <v>70562133</v>
          </cell>
          <cell r="C7197" t="str">
            <v>全棉时代 奈丝公主超薄日用卫生巾 240MM*8片/包</v>
          </cell>
          <cell r="D7197">
            <v>1616</v>
          </cell>
          <cell r="E7197">
            <v>14783.05</v>
          </cell>
          <cell r="F7197">
            <v>10.3371574876238</v>
          </cell>
        </row>
        <row r="7198">
          <cell r="B7198" t="str">
            <v>70563615</v>
          </cell>
          <cell r="C7198" t="str">
            <v>全棉时代 一次性洁面巾擦脸巾 50抽/包</v>
          </cell>
          <cell r="D7198">
            <v>43</v>
          </cell>
          <cell r="E7198">
            <v>519.94000000000005</v>
          </cell>
          <cell r="F7198">
            <v>13.6635395348837</v>
          </cell>
        </row>
        <row r="7199">
          <cell r="B7199" t="str">
            <v>70564351</v>
          </cell>
          <cell r="C7199" t="str">
            <v>全棉时代 奈丝公主迷你190MM 10片1包</v>
          </cell>
          <cell r="D7199">
            <v>514</v>
          </cell>
          <cell r="E7199">
            <v>4679.79</v>
          </cell>
          <cell r="F7199">
            <v>10.2882542801556</v>
          </cell>
        </row>
        <row r="7200">
          <cell r="B7200" t="str">
            <v>70573724</v>
          </cell>
          <cell r="C7200" t="str">
            <v>全棉时代 奈丝公主全棉干爽夜用卫生巾420MM 3片/包</v>
          </cell>
          <cell r="D7200">
            <v>1257</v>
          </cell>
          <cell r="E7200">
            <v>8913.8700000000008</v>
          </cell>
          <cell r="F7200">
            <v>8.0132642004773302</v>
          </cell>
        </row>
        <row r="7201">
          <cell r="B7201" t="str">
            <v>70574439</v>
          </cell>
          <cell r="C7201" t="str">
            <v>全棉时代 奈丝公主卫生巾全棉亲肤超吸日用10片 1包</v>
          </cell>
          <cell r="D7201">
            <v>419</v>
          </cell>
          <cell r="E7201">
            <v>5043.71</v>
          </cell>
          <cell r="F7201">
            <v>13.6023682577566</v>
          </cell>
        </row>
        <row r="7202">
          <cell r="B7202" t="str">
            <v>70574443</v>
          </cell>
          <cell r="C7202" t="str">
            <v>全棉时代 奈丝公主卫生巾全棉亲肤超薄日用10片 1包</v>
          </cell>
          <cell r="D7202">
            <v>247</v>
          </cell>
          <cell r="E7202">
            <v>3155.08</v>
          </cell>
          <cell r="F7202">
            <v>14.434171659919</v>
          </cell>
        </row>
        <row r="7203">
          <cell r="B7203" t="str">
            <v>70574447</v>
          </cell>
          <cell r="C7203" t="str">
            <v>全棉时代 奈丝公主卫生巾全棉亲肤超吸日夜两用8片 1包</v>
          </cell>
          <cell r="D7203">
            <v>289</v>
          </cell>
          <cell r="E7203">
            <v>3473.12</v>
          </cell>
          <cell r="F7203">
            <v>13.5800193771626</v>
          </cell>
        </row>
        <row r="7204">
          <cell r="B7204" t="str">
            <v>70574451</v>
          </cell>
          <cell r="C7204" t="str">
            <v>全棉时代 奈丝公主卫生巾全棉晚安超长夜用3片 1包</v>
          </cell>
          <cell r="D7204">
            <v>303</v>
          </cell>
          <cell r="E7204">
            <v>1920.45</v>
          </cell>
          <cell r="F7204">
            <v>7.1620742574257399</v>
          </cell>
        </row>
        <row r="7205">
          <cell r="B7205" t="str">
            <v>70574561</v>
          </cell>
          <cell r="C7205" t="str">
            <v>全棉时代 奈丝公主卫生巾全棉亲肤加长夜用5片 1包</v>
          </cell>
          <cell r="D7205">
            <v>194</v>
          </cell>
          <cell r="E7205">
            <v>1919.13</v>
          </cell>
          <cell r="F7205">
            <v>11.178437628866</v>
          </cell>
        </row>
        <row r="7206">
          <cell r="B7206" t="str">
            <v>70574562</v>
          </cell>
          <cell r="C7206" t="str">
            <v>全棉时代 奈丝公主100％棉纱系列卫生巾8片 1包</v>
          </cell>
          <cell r="D7206">
            <v>237</v>
          </cell>
          <cell r="E7206">
            <v>3348.78</v>
          </cell>
          <cell r="F7206">
            <v>15.9667569620253</v>
          </cell>
        </row>
        <row r="7207">
          <cell r="B7207" t="str">
            <v>70574563</v>
          </cell>
          <cell r="C7207" t="str">
            <v>全棉时代 奈丝公主100％棉纱系列卫生巾7片 1包</v>
          </cell>
          <cell r="D7207">
            <v>95</v>
          </cell>
          <cell r="E7207">
            <v>1349.85</v>
          </cell>
          <cell r="F7207">
            <v>16.056110526315798</v>
          </cell>
        </row>
        <row r="7208">
          <cell r="B7208" t="str">
            <v>70574564</v>
          </cell>
          <cell r="C7208" t="str">
            <v>全棉时代 奈丝公主100％棉纱系列裤型卫生巾3片 1包</v>
          </cell>
          <cell r="D7208">
            <v>23</v>
          </cell>
          <cell r="E7208">
            <v>321.8</v>
          </cell>
          <cell r="F7208">
            <v>15.810173913043499</v>
          </cell>
        </row>
        <row r="7209">
          <cell r="B7209" t="str">
            <v>70574565</v>
          </cell>
          <cell r="C7209" t="str">
            <v>全棉时代 奈丝公主超净吸超薄日用8片 1包</v>
          </cell>
          <cell r="D7209">
            <v>663</v>
          </cell>
          <cell r="E7209">
            <v>7550.1</v>
          </cell>
          <cell r="F7209">
            <v>12.868194570135699</v>
          </cell>
        </row>
        <row r="7210">
          <cell r="B7210" t="str">
            <v>70574566</v>
          </cell>
          <cell r="C7210" t="str">
            <v>冷酸灵 极地白(护龈配方)泵式牙膏 130G</v>
          </cell>
          <cell r="D7210">
            <v>95</v>
          </cell>
          <cell r="E7210">
            <v>2302.58</v>
          </cell>
          <cell r="F7210">
            <v>27.388583157894701</v>
          </cell>
        </row>
        <row r="7211">
          <cell r="B7211" t="str">
            <v>70574603</v>
          </cell>
          <cell r="C7211" t="str">
            <v>超人 RS218迷你便携电动剃须刀 1个</v>
          </cell>
          <cell r="D7211">
            <v>11</v>
          </cell>
          <cell r="E7211">
            <v>636.15</v>
          </cell>
          <cell r="F7211">
            <v>65.349954545454494</v>
          </cell>
        </row>
        <row r="7212">
          <cell r="B7212" t="str">
            <v>70574618</v>
          </cell>
          <cell r="C7212" t="str">
            <v>超人 RS7375智能数显便携剃须刀 1个</v>
          </cell>
          <cell r="D7212">
            <v>13</v>
          </cell>
          <cell r="E7212">
            <v>1173.51</v>
          </cell>
          <cell r="F7212">
            <v>102.0051</v>
          </cell>
        </row>
        <row r="7213">
          <cell r="B7213" t="str">
            <v>70574647</v>
          </cell>
          <cell r="C7213" t="str">
            <v>滴露 健康抑菌香皂滋润倍护 115G</v>
          </cell>
          <cell r="D7213">
            <v>21</v>
          </cell>
          <cell r="E7213">
            <v>104.31</v>
          </cell>
          <cell r="F7213">
            <v>5.6128714285714301</v>
          </cell>
        </row>
        <row r="7214">
          <cell r="B7214" t="str">
            <v>70574706</v>
          </cell>
          <cell r="C7214" t="str">
            <v>强生 婴儿牛奶沐浴露1KG 1KG</v>
          </cell>
          <cell r="D7214">
            <v>81</v>
          </cell>
          <cell r="E7214">
            <v>3423.55</v>
          </cell>
          <cell r="F7214">
            <v>47.760635802469103</v>
          </cell>
        </row>
        <row r="7215">
          <cell r="B7215" t="str">
            <v>70579274</v>
          </cell>
          <cell r="C7215" t="str">
            <v>又见好棉 毛巾 条</v>
          </cell>
          <cell r="D7215">
            <v>120</v>
          </cell>
          <cell r="E7215">
            <v>3292.07</v>
          </cell>
          <cell r="F7215">
            <v>31.000325833333299</v>
          </cell>
        </row>
        <row r="7216">
          <cell r="B7216" t="str">
            <v>70579275</v>
          </cell>
          <cell r="C7216" t="str">
            <v>又见好棉 浴巾 条</v>
          </cell>
          <cell r="D7216">
            <v>106</v>
          </cell>
          <cell r="E7216">
            <v>5253.89</v>
          </cell>
          <cell r="F7216">
            <v>56.008450000000003</v>
          </cell>
        </row>
        <row r="7217">
          <cell r="B7217" t="str">
            <v>70579699</v>
          </cell>
          <cell r="C7217" t="str">
            <v>滴露 抑菌洗手液经典松木 500g</v>
          </cell>
          <cell r="D7217">
            <v>23</v>
          </cell>
          <cell r="E7217">
            <v>370.04</v>
          </cell>
          <cell r="F7217">
            <v>18.180226086956502</v>
          </cell>
        </row>
        <row r="7218">
          <cell r="B7218" t="str">
            <v>70580996</v>
          </cell>
          <cell r="C7218" t="str">
            <v>无品牌 浴巾毛巾套装 盒</v>
          </cell>
          <cell r="D7218">
            <v>2226</v>
          </cell>
          <cell r="E7218">
            <v>90617.09</v>
          </cell>
          <cell r="F7218">
            <v>46.0005892632525</v>
          </cell>
        </row>
        <row r="7219">
          <cell r="B7219" t="str">
            <v>70583034</v>
          </cell>
          <cell r="C7219" t="str">
            <v>海德坤 无花果香水 10ML</v>
          </cell>
          <cell r="D7219">
            <v>4</v>
          </cell>
          <cell r="E7219">
            <v>265.5</v>
          </cell>
          <cell r="F7219">
            <v>75.003749999999997</v>
          </cell>
        </row>
        <row r="7220">
          <cell r="B7220" t="str">
            <v>70597395</v>
          </cell>
          <cell r="C7220" t="str">
            <v>多芬 精华沐浴露青柠莓莓生椰乳香RT2 620G</v>
          </cell>
          <cell r="D7220">
            <v>1301</v>
          </cell>
          <cell r="E7220">
            <v>40632.959999999999</v>
          </cell>
          <cell r="F7220">
            <v>35.292271176018403</v>
          </cell>
        </row>
        <row r="7221">
          <cell r="B7221" t="str">
            <v>70640107</v>
          </cell>
          <cell r="C7221" t="str">
            <v>全棉时代 婴儿棉湿巾手口专用50GSM 15X20CM 12片/包</v>
          </cell>
          <cell r="D7221">
            <v>15</v>
          </cell>
          <cell r="E7221">
            <v>43.2</v>
          </cell>
          <cell r="F7221">
            <v>3.2544</v>
          </cell>
        </row>
        <row r="7222">
          <cell r="B7222" t="str">
            <v>70640529</v>
          </cell>
          <cell r="C7222" t="str">
            <v>舒客 劲速护理抗敏牙膏（凝萃茉莉香型） 120G</v>
          </cell>
          <cell r="D7222">
            <v>74</v>
          </cell>
          <cell r="E7222">
            <v>1127.96</v>
          </cell>
          <cell r="F7222">
            <v>17.2242540540541</v>
          </cell>
        </row>
        <row r="7223">
          <cell r="B7223" t="str">
            <v>70640530</v>
          </cell>
          <cell r="C7223" t="str">
            <v>舒客 植萃养龈牙膏（雨露悠菊香型） 120G</v>
          </cell>
          <cell r="D7223">
            <v>5</v>
          </cell>
          <cell r="E7223">
            <v>70.790000000000006</v>
          </cell>
          <cell r="F7223">
            <v>15.99854</v>
          </cell>
        </row>
        <row r="7224">
          <cell r="B7224" t="str">
            <v>70640533</v>
          </cell>
          <cell r="C7224" t="str">
            <v>全棉时代 全棉蜜桃湿厕巾65GSM 190MMX150MM 60片/包</v>
          </cell>
          <cell r="D7224">
            <v>8</v>
          </cell>
          <cell r="E7224">
            <v>170</v>
          </cell>
          <cell r="F7224">
            <v>24.012499999999999</v>
          </cell>
        </row>
        <row r="7225">
          <cell r="B7225" t="str">
            <v>70640538</v>
          </cell>
          <cell r="C7225" t="str">
            <v>全棉时代 超柔全棉洗脸巾75GSM平纹 甘油乳霜 200*200MM 60片/包</v>
          </cell>
          <cell r="D7225">
            <v>28</v>
          </cell>
          <cell r="E7225">
            <v>649.01</v>
          </cell>
          <cell r="F7225">
            <v>26.192189285714299</v>
          </cell>
        </row>
        <row r="7226">
          <cell r="B7226" t="str">
            <v>70640556</v>
          </cell>
          <cell r="C7226" t="str">
            <v>全棉时代 全棉柔巾60G平纹 200MM*200MM 20片/包</v>
          </cell>
          <cell r="D7226">
            <v>29</v>
          </cell>
          <cell r="E7226">
            <v>197.13</v>
          </cell>
          <cell r="F7226">
            <v>7.6812724137931001</v>
          </cell>
        </row>
        <row r="7227">
          <cell r="B7227" t="str">
            <v>70640598</v>
          </cell>
          <cell r="C7227" t="str">
            <v>全棉时代 婴儿棉湿巾MINI包65G 6片/包</v>
          </cell>
          <cell r="D7227">
            <v>7</v>
          </cell>
          <cell r="E7227">
            <v>116.79</v>
          </cell>
          <cell r="F7227">
            <v>18.853242857142899</v>
          </cell>
        </row>
        <row r="7228">
          <cell r="B7228" t="str">
            <v>70644178</v>
          </cell>
          <cell r="C7228" t="str">
            <v>滴露 健康抑菌洗手液自然清新 500G*1瓶</v>
          </cell>
          <cell r="D7228">
            <v>19</v>
          </cell>
          <cell r="E7228">
            <v>305.70999999999998</v>
          </cell>
          <cell r="F7228">
            <v>18.181699999999999</v>
          </cell>
        </row>
        <row r="7229">
          <cell r="B7229" t="str">
            <v>70645230</v>
          </cell>
          <cell r="C7229" t="str">
            <v>李施德林 樱花蜜桃漱口水 250毫升</v>
          </cell>
          <cell r="D7229">
            <v>75</v>
          </cell>
          <cell r="E7229">
            <v>1072.5999999999999</v>
          </cell>
          <cell r="F7229">
            <v>16.160506666666699</v>
          </cell>
        </row>
        <row r="7230">
          <cell r="B7230" t="str">
            <v>70656356</v>
          </cell>
          <cell r="C7230" t="str">
            <v>李施德林 十效全护漱口水 100ml</v>
          </cell>
          <cell r="D7230">
            <v>107</v>
          </cell>
          <cell r="E7230">
            <v>1387.27</v>
          </cell>
          <cell r="F7230">
            <v>14.650608411215</v>
          </cell>
        </row>
        <row r="7231">
          <cell r="B7231" t="str">
            <v>70656366</v>
          </cell>
          <cell r="C7231" t="str">
            <v>隆力奇 去屑赋活洗发露 400ml</v>
          </cell>
          <cell r="D7231">
            <v>84</v>
          </cell>
          <cell r="E7231">
            <v>998.81</v>
          </cell>
          <cell r="F7231">
            <v>13.436372619047599</v>
          </cell>
        </row>
        <row r="7232">
          <cell r="B7232" t="str">
            <v>70656367</v>
          </cell>
          <cell r="C7232" t="str">
            <v>隆力奇 牛奶润肤沐浴露 1.8L</v>
          </cell>
          <cell r="D7232">
            <v>11</v>
          </cell>
          <cell r="E7232">
            <v>318.73</v>
          </cell>
          <cell r="F7232">
            <v>32.742263636363603</v>
          </cell>
        </row>
        <row r="7233">
          <cell r="B7233" t="str">
            <v>70656731</v>
          </cell>
          <cell r="C7233" t="str">
            <v>隆力奇 嫩肤润体乳 200ml</v>
          </cell>
          <cell r="D7233">
            <v>3</v>
          </cell>
          <cell r="E7233">
            <v>36.92</v>
          </cell>
          <cell r="F7233">
            <v>13.9065333333333</v>
          </cell>
        </row>
        <row r="7234">
          <cell r="B7234" t="str">
            <v>70656913</v>
          </cell>
          <cell r="C7234" t="str">
            <v>全棉时代 纯棉洗脸巾gsm200X200mm 60片/包</v>
          </cell>
          <cell r="D7234">
            <v>124</v>
          </cell>
          <cell r="E7234">
            <v>1808.56</v>
          </cell>
          <cell r="F7234">
            <v>16.481232258064502</v>
          </cell>
        </row>
        <row r="7235">
          <cell r="B7235" t="str">
            <v>70657948</v>
          </cell>
          <cell r="C7235" t="str">
            <v>奈十八本  美发护发乳（洋甘菊花旗参） 550ML</v>
          </cell>
          <cell r="D7235">
            <v>0</v>
          </cell>
          <cell r="E7235">
            <v>0</v>
          </cell>
          <cell r="F7235" t="e">
            <v>#DIV/0!</v>
          </cell>
        </row>
        <row r="7236">
          <cell r="B7236" t="str">
            <v>70657950</v>
          </cell>
          <cell r="C7236" t="str">
            <v>奈十八本  美发洗发水（摩洛哥果油佛手柑） 550ML</v>
          </cell>
          <cell r="D7236">
            <v>4</v>
          </cell>
          <cell r="E7236">
            <v>271.72000000000003</v>
          </cell>
          <cell r="F7236">
            <v>76.760900000000007</v>
          </cell>
        </row>
        <row r="7237">
          <cell r="B7237" t="str">
            <v>70657992</v>
          </cell>
          <cell r="C7237" t="str">
            <v>奈十八本  美发洗发水（香柠檬生姜） 550ML</v>
          </cell>
          <cell r="D7237">
            <v>5</v>
          </cell>
          <cell r="E7237">
            <v>339.65</v>
          </cell>
          <cell r="F7237">
            <v>76.760900000000007</v>
          </cell>
        </row>
        <row r="7238">
          <cell r="B7238" t="str">
            <v>70658074</v>
          </cell>
          <cell r="C7238" t="str">
            <v>隆力奇 隆力奇 芬芳沐浴露（玫瑰香型） 200ml ml</v>
          </cell>
          <cell r="D7238">
            <v>94</v>
          </cell>
          <cell r="E7238">
            <v>722.08</v>
          </cell>
          <cell r="F7238">
            <v>8.6803234042553203</v>
          </cell>
        </row>
        <row r="7239">
          <cell r="B7239" t="str">
            <v>70681308</v>
          </cell>
          <cell r="C7239" t="str">
            <v>MM 高保湿香氛护手霜 1×1组</v>
          </cell>
          <cell r="D7239">
            <v>16</v>
          </cell>
          <cell r="E7239">
            <v>1598.4</v>
          </cell>
          <cell r="F7239">
            <v>112.887</v>
          </cell>
        </row>
        <row r="7240">
          <cell r="B7240" t="str">
            <v>70687006</v>
          </cell>
          <cell r="C7240" t="str">
            <v>MM 纯水湿厕纸 80片X10包</v>
          </cell>
          <cell r="D7240">
            <v>53</v>
          </cell>
          <cell r="E7240">
            <v>3174.7</v>
          </cell>
          <cell r="F7240">
            <v>67.686999999999998</v>
          </cell>
        </row>
        <row r="7241">
          <cell r="B7241" t="str">
            <v>70712983</v>
          </cell>
          <cell r="C7241" t="str">
            <v>隆力奇 乳霜柔顺护发素 1L</v>
          </cell>
          <cell r="D7241">
            <v>48</v>
          </cell>
          <cell r="E7241">
            <v>683.04</v>
          </cell>
          <cell r="F7241">
            <v>16.079899999999999</v>
          </cell>
        </row>
        <row r="7242">
          <cell r="B7242" t="str">
            <v>70712984</v>
          </cell>
          <cell r="C7242" t="str">
            <v>隆力奇 去屑柔滑洗发露 400ML</v>
          </cell>
          <cell r="D7242">
            <v>36</v>
          </cell>
          <cell r="E7242">
            <v>409.38</v>
          </cell>
          <cell r="F7242">
            <v>12.8499833333333</v>
          </cell>
        </row>
        <row r="7243">
          <cell r="B7243" t="str">
            <v>70712985</v>
          </cell>
          <cell r="C7243" t="str">
            <v>隆力奇 焗油亮泽护发素 1L</v>
          </cell>
          <cell r="D7243">
            <v>30</v>
          </cell>
          <cell r="E7243">
            <v>426.9</v>
          </cell>
          <cell r="F7243">
            <v>16.079899999999999</v>
          </cell>
        </row>
        <row r="7244">
          <cell r="B7244" t="str">
            <v>70713170</v>
          </cell>
          <cell r="C7244" t="str">
            <v>滴露 健康抑菌香皂薄荷冰爽 105G</v>
          </cell>
          <cell r="D7244">
            <v>250</v>
          </cell>
          <cell r="E7244">
            <v>1006.67</v>
          </cell>
          <cell r="F7244">
            <v>4.5501484000000003</v>
          </cell>
        </row>
        <row r="7245">
          <cell r="B7245" t="str">
            <v>70713214</v>
          </cell>
          <cell r="C7245" t="str">
            <v>滴露 健康抑菌香皂松木清新 105G</v>
          </cell>
          <cell r="D7245">
            <v>180</v>
          </cell>
          <cell r="E7245">
            <v>724.78</v>
          </cell>
          <cell r="F7245">
            <v>4.5500077777777799</v>
          </cell>
        </row>
        <row r="7246">
          <cell r="B7246" t="str">
            <v>70713217</v>
          </cell>
          <cell r="C7246" t="str">
            <v>花王 碧柔洁面泡泡（保湿型） 160ML</v>
          </cell>
          <cell r="D7246">
            <v>8</v>
          </cell>
          <cell r="E7246">
            <v>393.98</v>
          </cell>
          <cell r="F7246">
            <v>55.649675000000002</v>
          </cell>
        </row>
        <row r="7247">
          <cell r="B7247" t="str">
            <v>75000481</v>
          </cell>
          <cell r="C7247" t="str">
            <v>洁柔 Face天然无香40抽抽取式纸面巾 (单包装)</v>
          </cell>
          <cell r="D7247">
            <v>27</v>
          </cell>
          <cell r="E7247">
            <v>26.6</v>
          </cell>
          <cell r="F7247">
            <v>1.1132592592592601</v>
          </cell>
        </row>
        <row r="7248">
          <cell r="B7248" t="str">
            <v>75000483</v>
          </cell>
          <cell r="C7248" t="str">
            <v>洁柔 Lotion柔润(柔滑)100抽抽取式纸面巾 (4包装)</v>
          </cell>
          <cell r="D7248">
            <v>703</v>
          </cell>
          <cell r="E7248">
            <v>13476.03</v>
          </cell>
          <cell r="F7248">
            <v>21.661328449502101</v>
          </cell>
        </row>
        <row r="7249">
          <cell r="B7249" t="str">
            <v>75000488</v>
          </cell>
          <cell r="C7249" t="str">
            <v>洁柔 金尊270节卷纸卫生纸 (12卷装)</v>
          </cell>
          <cell r="D7249">
            <v>4</v>
          </cell>
          <cell r="E7249">
            <v>88.47</v>
          </cell>
          <cell r="F7249">
            <v>24.992775000000002</v>
          </cell>
        </row>
        <row r="7250">
          <cell r="B7250" t="str">
            <v>70000772</v>
          </cell>
          <cell r="C7250" t="str">
            <v>杜蕾斯love大胆爱吧 10只</v>
          </cell>
          <cell r="D7250">
            <v>27</v>
          </cell>
          <cell r="E7250">
            <v>577.4</v>
          </cell>
          <cell r="F7250">
            <v>24.165259259259301</v>
          </cell>
        </row>
        <row r="7251">
          <cell r="B7251" t="str">
            <v>70000773</v>
          </cell>
          <cell r="C7251" t="str">
            <v>杜蕾斯 活力装 3只</v>
          </cell>
          <cell r="D7251">
            <v>89</v>
          </cell>
          <cell r="E7251">
            <v>987.95</v>
          </cell>
          <cell r="F7251">
            <v>12.5436348314607</v>
          </cell>
        </row>
        <row r="7252">
          <cell r="B7252" t="str">
            <v>70024174</v>
          </cell>
          <cell r="C7252" t="str">
            <v>杜蕾斯 超薄装 3只</v>
          </cell>
          <cell r="D7252">
            <v>68</v>
          </cell>
          <cell r="E7252">
            <v>939.41</v>
          </cell>
          <cell r="F7252">
            <v>15.610783823529401</v>
          </cell>
        </row>
        <row r="7253">
          <cell r="B7253" t="str">
            <v>70024194</v>
          </cell>
          <cell r="C7253" t="str">
            <v>杜蕾斯 激情装 12只</v>
          </cell>
          <cell r="D7253">
            <v>6</v>
          </cell>
          <cell r="E7253">
            <v>249.48</v>
          </cell>
          <cell r="F7253">
            <v>46.985399999999998</v>
          </cell>
        </row>
        <row r="7254">
          <cell r="B7254" t="str">
            <v>70062263</v>
          </cell>
          <cell r="C7254" t="str">
            <v>新炬 医用吸氧器 14L</v>
          </cell>
          <cell r="D7254">
            <v>6214</v>
          </cell>
          <cell r="E7254">
            <v>82480.37</v>
          </cell>
          <cell r="F7254">
            <v>14.9988442388156</v>
          </cell>
        </row>
        <row r="7255">
          <cell r="B7255" t="str">
            <v>70071898</v>
          </cell>
          <cell r="C7255" t="str">
            <v>杜蕾斯love大胆爱吧 3只</v>
          </cell>
          <cell r="D7255">
            <v>134</v>
          </cell>
          <cell r="E7255">
            <v>945.44</v>
          </cell>
          <cell r="F7255">
            <v>7.9727402985074596</v>
          </cell>
        </row>
        <row r="7256">
          <cell r="B7256" t="str">
            <v>70261615</v>
          </cell>
          <cell r="C7256" t="str">
            <v>杜蕾斯 AIR隐薄空气套 3只</v>
          </cell>
          <cell r="D7256">
            <v>46</v>
          </cell>
          <cell r="E7256">
            <v>1739.64</v>
          </cell>
          <cell r="F7256">
            <v>42.734634782608701</v>
          </cell>
        </row>
        <row r="7257">
          <cell r="B7257" t="str">
            <v>70431514</v>
          </cell>
          <cell r="C7257" t="str">
            <v>慧华圣果 沙棘口服液 30ML*8</v>
          </cell>
          <cell r="D7257">
            <v>25</v>
          </cell>
          <cell r="E7257">
            <v>1062</v>
          </cell>
          <cell r="F7257">
            <v>48.002400000000002</v>
          </cell>
        </row>
        <row r="7258">
          <cell r="B7258" t="str">
            <v>70470031</v>
          </cell>
          <cell r="C7258" t="str">
            <v>D.C.U 医用外科口罩 1个</v>
          </cell>
          <cell r="D7258">
            <v>1883</v>
          </cell>
          <cell r="E7258">
            <v>801.88</v>
          </cell>
          <cell r="F7258">
            <v>0.48121317047265</v>
          </cell>
        </row>
        <row r="7259">
          <cell r="B7259" t="str">
            <v>70501488</v>
          </cell>
          <cell r="C7259" t="str">
            <v>时时养 鹰嘴豆粉 450G</v>
          </cell>
          <cell r="D7259">
            <v>49</v>
          </cell>
          <cell r="E7259">
            <v>845.26</v>
          </cell>
          <cell r="F7259">
            <v>19.492730612244898</v>
          </cell>
        </row>
        <row r="7260">
          <cell r="B7260" t="str">
            <v>70501489</v>
          </cell>
          <cell r="C7260" t="str">
            <v>时时养 复合营养粉 420G</v>
          </cell>
          <cell r="D7260">
            <v>14</v>
          </cell>
          <cell r="E7260">
            <v>1791.73</v>
          </cell>
          <cell r="F7260">
            <v>144.61820714285699</v>
          </cell>
        </row>
        <row r="7261">
          <cell r="B7261" t="str">
            <v>70200274</v>
          </cell>
          <cell r="C7261" t="str">
            <v>品胜 爱车充苹果专用 单USB</v>
          </cell>
          <cell r="D7261">
            <v>16</v>
          </cell>
          <cell r="E7261">
            <v>293.43</v>
          </cell>
          <cell r="F7261">
            <v>20.723493749999999</v>
          </cell>
        </row>
        <row r="7262">
          <cell r="B7262" t="str">
            <v>70226620</v>
          </cell>
          <cell r="C7262" t="str">
            <v>品胜快充数据充电线1000mm苹果白</v>
          </cell>
          <cell r="D7262">
            <v>3</v>
          </cell>
          <cell r="E7262">
            <v>48.87</v>
          </cell>
          <cell r="F7262">
            <v>18.407699999999998</v>
          </cell>
        </row>
        <row r="7263">
          <cell r="B7263" t="str">
            <v>70244856</v>
          </cell>
          <cell r="C7263" t="str">
            <v>品胜 LCD电霸 10000毫安</v>
          </cell>
          <cell r="D7263">
            <v>2</v>
          </cell>
          <cell r="E7263">
            <v>273.51</v>
          </cell>
          <cell r="F7263">
            <v>154.53315000000001</v>
          </cell>
        </row>
        <row r="7264">
          <cell r="B7264" t="str">
            <v>70269358</v>
          </cell>
          <cell r="C7264" t="str">
            <v>品胜 BB 智能USB可调式排插 K-13</v>
          </cell>
          <cell r="D7264">
            <v>17</v>
          </cell>
          <cell r="E7264">
            <v>887.67</v>
          </cell>
          <cell r="F7264">
            <v>59.003947058823499</v>
          </cell>
        </row>
        <row r="7265">
          <cell r="B7265" t="str">
            <v>70357528</v>
          </cell>
          <cell r="C7265" t="str">
            <v>品胜 三合一充电线（升级版）（1200MM）（苹果白）挂卡装 1个</v>
          </cell>
          <cell r="D7265">
            <v>3</v>
          </cell>
          <cell r="E7265">
            <v>50.19</v>
          </cell>
          <cell r="F7265">
            <v>18.904900000000001</v>
          </cell>
        </row>
        <row r="7266">
          <cell r="B7266" t="str">
            <v>70394882</v>
          </cell>
          <cell r="C7266" t="str">
            <v>BY 多功能数据线3头1.2米 盒</v>
          </cell>
          <cell r="D7266">
            <v>0</v>
          </cell>
          <cell r="E7266">
            <v>0</v>
          </cell>
          <cell r="F7266" t="e">
            <v>#DIV/0!</v>
          </cell>
        </row>
        <row r="7267">
          <cell r="B7267" t="str">
            <v>70488756</v>
          </cell>
          <cell r="C7267" t="str">
            <v>咔咔酷优特 三合一充电数据线 1.2M</v>
          </cell>
          <cell r="D7267">
            <v>1011</v>
          </cell>
          <cell r="E7267">
            <v>25495.21</v>
          </cell>
          <cell r="F7267">
            <v>28.4961298714144</v>
          </cell>
        </row>
        <row r="7268">
          <cell r="B7268" t="str">
            <v>70137543</v>
          </cell>
          <cell r="C7268" t="str">
            <v>劳保 个护18号品</v>
          </cell>
          <cell r="D7268">
            <v>10</v>
          </cell>
          <cell r="E7268">
            <v>0</v>
          </cell>
          <cell r="F7268">
            <v>0</v>
          </cell>
        </row>
        <row r="7269">
          <cell r="B7269" t="str">
            <v>70176786</v>
          </cell>
          <cell r="C7269" t="str">
            <v>攀能 四人野餐包(折叠桌) 30*25*41CM</v>
          </cell>
          <cell r="D7269">
            <v>15</v>
          </cell>
          <cell r="E7269">
            <v>3333.39</v>
          </cell>
          <cell r="F7269">
            <v>251.11537999999999</v>
          </cell>
        </row>
        <row r="7270">
          <cell r="B7270" t="str">
            <v>70412238</v>
          </cell>
          <cell r="C7270" t="str">
            <v>司机之家 司机之家洗衣服务 -</v>
          </cell>
          <cell r="D7270">
            <v>157</v>
          </cell>
          <cell r="E7270">
            <v>354.51</v>
          </cell>
          <cell r="F7270">
            <v>2.5515687898089201</v>
          </cell>
        </row>
        <row r="7271">
          <cell r="B7271" t="str">
            <v>70524133</v>
          </cell>
          <cell r="C7271" t="str">
            <v>昍图 野餐防潮垫 个</v>
          </cell>
          <cell r="D7271">
            <v>1</v>
          </cell>
          <cell r="E7271">
            <v>33.630000000000003</v>
          </cell>
          <cell r="F7271">
            <v>38.001899999999999</v>
          </cell>
        </row>
        <row r="7272">
          <cell r="B7272" t="str">
            <v>70524166</v>
          </cell>
          <cell r="C7272" t="str">
            <v>昍图 户外遮阳蓬天幕款 个</v>
          </cell>
          <cell r="D7272">
            <v>4</v>
          </cell>
          <cell r="E7272">
            <v>269.04000000000002</v>
          </cell>
          <cell r="F7272">
            <v>76.003799999999998</v>
          </cell>
        </row>
        <row r="7273">
          <cell r="B7273" t="str">
            <v>70526011</v>
          </cell>
          <cell r="C7273" t="str">
            <v>文创商品 独库公路通行证 个</v>
          </cell>
          <cell r="D7273">
            <v>1</v>
          </cell>
          <cell r="E7273">
            <v>41.06</v>
          </cell>
          <cell r="F7273">
            <v>46.397799999999997</v>
          </cell>
        </row>
        <row r="7274">
          <cell r="B7274" t="str">
            <v>70529509</v>
          </cell>
          <cell r="C7274" t="str">
            <v>文创 独库四季香片春日小龙池香片 个</v>
          </cell>
          <cell r="D7274">
            <v>12</v>
          </cell>
          <cell r="E7274">
            <v>79.64</v>
          </cell>
          <cell r="F7274">
            <v>7.4994333333333296</v>
          </cell>
        </row>
        <row r="7275">
          <cell r="B7275" t="str">
            <v>70529510</v>
          </cell>
          <cell r="C7275" t="str">
            <v>文创 独库之旅邮票景点香片守护天山路香片 袋</v>
          </cell>
          <cell r="D7275">
            <v>99</v>
          </cell>
          <cell r="E7275">
            <v>657.09</v>
          </cell>
          <cell r="F7275">
            <v>7.5001181818181797</v>
          </cell>
        </row>
        <row r="7276">
          <cell r="B7276" t="str">
            <v>70529514</v>
          </cell>
          <cell r="C7276" t="str">
            <v>文创 新疆纹样民俗花帽胶片明信片黑花帽明信片 个</v>
          </cell>
          <cell r="D7276">
            <v>70</v>
          </cell>
          <cell r="E7276">
            <v>619.47</v>
          </cell>
          <cell r="F7276">
            <v>10.0000157142857</v>
          </cell>
        </row>
        <row r="7277">
          <cell r="B7277" t="str">
            <v>70529517</v>
          </cell>
          <cell r="C7277" t="str">
            <v>文创 新疆纹样民俗花帽行李牌红花冠行李牌 个</v>
          </cell>
          <cell r="D7277">
            <v>49</v>
          </cell>
          <cell r="E7277">
            <v>758.89</v>
          </cell>
          <cell r="F7277">
            <v>17.500932653061199</v>
          </cell>
        </row>
        <row r="7278">
          <cell r="B7278" t="str">
            <v>70529519</v>
          </cell>
          <cell r="C7278" t="str">
            <v>文创 独库之旅邮票景点香片那拉提香片 袋</v>
          </cell>
          <cell r="D7278">
            <v>118</v>
          </cell>
          <cell r="E7278">
            <v>783.21</v>
          </cell>
          <cell r="F7278">
            <v>7.5002313559321996</v>
          </cell>
        </row>
        <row r="7279">
          <cell r="B7279" t="str">
            <v>70529525</v>
          </cell>
          <cell r="C7279" t="str">
            <v>文创 新疆纹样民俗花帽行李牌黑花帽行李牌 个</v>
          </cell>
          <cell r="D7279">
            <v>61</v>
          </cell>
          <cell r="E7279">
            <v>944.7</v>
          </cell>
          <cell r="F7279">
            <v>17.5001803278689</v>
          </cell>
        </row>
        <row r="7280">
          <cell r="B7280" t="str">
            <v>70529527</v>
          </cell>
          <cell r="C7280" t="str">
            <v>文创 艾德莱斯手账本A6绿2024新品手账本 个</v>
          </cell>
          <cell r="D7280">
            <v>18</v>
          </cell>
          <cell r="E7280">
            <v>780.54</v>
          </cell>
          <cell r="F7280">
            <v>49.0005666666667</v>
          </cell>
        </row>
        <row r="7281">
          <cell r="B7281" t="str">
            <v>70529528</v>
          </cell>
          <cell r="C7281" t="str">
            <v>文创 独库之旅邮票景点香片巴音布鲁克香片 袋</v>
          </cell>
          <cell r="D7281">
            <v>97</v>
          </cell>
          <cell r="E7281">
            <v>643.82000000000005</v>
          </cell>
          <cell r="F7281">
            <v>7.5001711340206203</v>
          </cell>
        </row>
        <row r="7282">
          <cell r="B7282" t="str">
            <v>70529531</v>
          </cell>
          <cell r="C7282" t="str">
            <v>文创 独库四季香片冬日哈希勒根达坂香片 个</v>
          </cell>
          <cell r="D7282">
            <v>11</v>
          </cell>
          <cell r="E7282">
            <v>64.62</v>
          </cell>
          <cell r="F7282">
            <v>6.6382363636363602</v>
          </cell>
        </row>
        <row r="7283">
          <cell r="B7283" t="str">
            <v>70529533</v>
          </cell>
          <cell r="C7283" t="str">
            <v>文创 独库之旅纪念币那拉提纪念币 盒</v>
          </cell>
          <cell r="D7283">
            <v>9</v>
          </cell>
          <cell r="E7283">
            <v>123.34</v>
          </cell>
          <cell r="F7283">
            <v>15.4860222222222</v>
          </cell>
        </row>
        <row r="7284">
          <cell r="B7284" t="str">
            <v>70529536</v>
          </cell>
          <cell r="C7284" t="str">
            <v>文创 独库之旅邮票景点香片库车大峡谷香片 袋</v>
          </cell>
          <cell r="D7284">
            <v>108</v>
          </cell>
          <cell r="E7284">
            <v>716.83</v>
          </cell>
          <cell r="F7284">
            <v>7.5001657407407398</v>
          </cell>
        </row>
        <row r="7285">
          <cell r="B7285" t="str">
            <v>70529541</v>
          </cell>
          <cell r="C7285" t="str">
            <v>文创 独库之旅手绘地图地图 袋</v>
          </cell>
          <cell r="D7285">
            <v>100</v>
          </cell>
          <cell r="E7285">
            <v>2037.18</v>
          </cell>
          <cell r="F7285">
            <v>23.020133999999999</v>
          </cell>
        </row>
        <row r="7286">
          <cell r="B7286" t="str">
            <v>70529542</v>
          </cell>
          <cell r="C7286" t="str">
            <v>文创 独库之旅纪念币巴音布鲁克纪念币 盒</v>
          </cell>
          <cell r="D7286">
            <v>17</v>
          </cell>
          <cell r="E7286">
            <v>263.27</v>
          </cell>
          <cell r="F7286">
            <v>17.4997117647059</v>
          </cell>
        </row>
        <row r="7287">
          <cell r="B7287" t="str">
            <v>70529544</v>
          </cell>
          <cell r="C7287" t="str">
            <v>文创 艾德莱斯手账本A6棕2024新品手账本 个</v>
          </cell>
          <cell r="D7287">
            <v>7</v>
          </cell>
          <cell r="E7287">
            <v>303.55</v>
          </cell>
          <cell r="F7287">
            <v>49.001642857142897</v>
          </cell>
        </row>
        <row r="7288">
          <cell r="B7288" t="str">
            <v>70529547</v>
          </cell>
          <cell r="C7288" t="str">
            <v>文创 大巴扎明信片单张明信片 个</v>
          </cell>
          <cell r="D7288">
            <v>35</v>
          </cell>
          <cell r="E7288">
            <v>123.9</v>
          </cell>
          <cell r="F7288">
            <v>4.0002000000000004</v>
          </cell>
        </row>
        <row r="7289">
          <cell r="B7289" t="str">
            <v>70529549</v>
          </cell>
          <cell r="C7289" t="str">
            <v>文创 独库之旅邮票景点木质冰箱贴独库大本营冰箱贴 袋</v>
          </cell>
          <cell r="D7289">
            <v>17</v>
          </cell>
          <cell r="E7289">
            <v>225.66</v>
          </cell>
          <cell r="F7289">
            <v>14.999752941176499</v>
          </cell>
        </row>
        <row r="7290">
          <cell r="B7290" t="str">
            <v>70529552</v>
          </cell>
          <cell r="C7290" t="str">
            <v>文创 新疆纹样异形明信片浅粉明信片 个</v>
          </cell>
          <cell r="D7290">
            <v>70</v>
          </cell>
          <cell r="E7290">
            <v>247.8</v>
          </cell>
          <cell r="F7290">
            <v>4.0002000000000004</v>
          </cell>
        </row>
        <row r="7291">
          <cell r="B7291" t="str">
            <v>70529553</v>
          </cell>
          <cell r="C7291" t="str">
            <v>文创 乌鲁木齐之旅明信片单张明信片 个</v>
          </cell>
          <cell r="D7291">
            <v>19</v>
          </cell>
          <cell r="E7291">
            <v>33.630000000000003</v>
          </cell>
          <cell r="F7291">
            <v>2.0001000000000002</v>
          </cell>
        </row>
        <row r="7292">
          <cell r="B7292" t="str">
            <v>70529554</v>
          </cell>
          <cell r="C7292" t="str">
            <v>文创 独库之旅邮票景点木质冰箱贴守护天山路冰箱贴 袋</v>
          </cell>
          <cell r="D7292">
            <v>18</v>
          </cell>
          <cell r="E7292">
            <v>238.95</v>
          </cell>
          <cell r="F7292">
            <v>15.00075</v>
          </cell>
        </row>
        <row r="7293">
          <cell r="B7293" t="str">
            <v>70529555</v>
          </cell>
          <cell r="C7293" t="str">
            <v>文创 独库四季之景水晶冰箱贴春冰箱贴 个</v>
          </cell>
          <cell r="D7293">
            <v>11</v>
          </cell>
          <cell r="E7293">
            <v>64.62</v>
          </cell>
          <cell r="F7293">
            <v>6.6382363636363602</v>
          </cell>
        </row>
        <row r="7294">
          <cell r="B7294" t="str">
            <v>70529557</v>
          </cell>
          <cell r="C7294" t="str">
            <v>文创 新疆纹样异形明信片深蓝明信片 个</v>
          </cell>
          <cell r="D7294">
            <v>80</v>
          </cell>
          <cell r="E7294">
            <v>283.19</v>
          </cell>
          <cell r="F7294">
            <v>4.00005875</v>
          </cell>
        </row>
        <row r="7295">
          <cell r="B7295" t="str">
            <v>70529560</v>
          </cell>
          <cell r="C7295" t="str">
            <v>文创 新疆美食日记明信片单张明信片 个</v>
          </cell>
          <cell r="D7295">
            <v>20</v>
          </cell>
          <cell r="E7295">
            <v>35.4</v>
          </cell>
          <cell r="F7295">
            <v>2.0001000000000002</v>
          </cell>
        </row>
        <row r="7296">
          <cell r="B7296" t="str">
            <v>70529563</v>
          </cell>
          <cell r="C7296" t="str">
            <v>文创 独库四季之景水晶冰箱贴夏冰箱贴 个</v>
          </cell>
          <cell r="D7296">
            <v>13</v>
          </cell>
          <cell r="E7296">
            <v>76.349999999999994</v>
          </cell>
          <cell r="F7296">
            <v>6.6365769230769196</v>
          </cell>
        </row>
        <row r="7297">
          <cell r="B7297" t="str">
            <v>70529564</v>
          </cell>
          <cell r="C7297" t="str">
            <v>文创 独库之旅邮票景点木质冰箱贴那拉提冰箱贴 袋</v>
          </cell>
          <cell r="D7297">
            <v>16</v>
          </cell>
          <cell r="E7297">
            <v>187.97</v>
          </cell>
          <cell r="F7297">
            <v>13.275381250000001</v>
          </cell>
        </row>
        <row r="7298">
          <cell r="B7298" t="str">
            <v>70529567</v>
          </cell>
          <cell r="C7298" t="str">
            <v>文创 艾德莱斯布艺冰箱贴五瓣花2024新品冰箱贴 个</v>
          </cell>
          <cell r="D7298">
            <v>84</v>
          </cell>
          <cell r="E7298">
            <v>743.35</v>
          </cell>
          <cell r="F7298">
            <v>9.9998273809523806</v>
          </cell>
        </row>
        <row r="7299">
          <cell r="B7299" t="str">
            <v>70529569</v>
          </cell>
          <cell r="C7299" t="str">
            <v>文创 独库四季之景水晶冰箱贴秋冰箱贴 个</v>
          </cell>
          <cell r="D7299">
            <v>15</v>
          </cell>
          <cell r="E7299">
            <v>88.11</v>
          </cell>
          <cell r="F7299">
            <v>6.6376200000000001</v>
          </cell>
        </row>
        <row r="7300">
          <cell r="B7300" t="str">
            <v>70529570</v>
          </cell>
          <cell r="C7300" t="str">
            <v>文创 独库之旅邮票景点木质冰箱贴巴音布鲁克冰箱贴 袋</v>
          </cell>
          <cell r="D7300">
            <v>9</v>
          </cell>
          <cell r="E7300">
            <v>119.47</v>
          </cell>
          <cell r="F7300">
            <v>15.000122222222201</v>
          </cell>
        </row>
        <row r="7301">
          <cell r="B7301" t="str">
            <v>70529573</v>
          </cell>
          <cell r="C7301" t="str">
            <v>文创 艾德莱斯布艺冰箱贴心型2024新品冰箱贴 个</v>
          </cell>
          <cell r="D7301">
            <v>192</v>
          </cell>
          <cell r="E7301">
            <v>1699.13</v>
          </cell>
          <cell r="F7301">
            <v>10.000088020833299</v>
          </cell>
        </row>
        <row r="7302">
          <cell r="B7302" t="str">
            <v>70529576</v>
          </cell>
          <cell r="C7302" t="str">
            <v>文创 独库之旅邮票景点木质冰箱贴库车大峡谷冰箱贴 袋</v>
          </cell>
          <cell r="D7302">
            <v>15</v>
          </cell>
          <cell r="E7302">
            <v>199.12</v>
          </cell>
          <cell r="F7302">
            <v>15.0003733333333</v>
          </cell>
        </row>
        <row r="7303">
          <cell r="B7303" t="str">
            <v>70529577</v>
          </cell>
          <cell r="C7303" t="str">
            <v>文创 独库四季之景水晶冰箱贴冬冰箱贴 个</v>
          </cell>
          <cell r="D7303">
            <v>15</v>
          </cell>
          <cell r="E7303">
            <v>88.11</v>
          </cell>
          <cell r="F7303">
            <v>6.6376200000000001</v>
          </cell>
        </row>
        <row r="7304">
          <cell r="B7304" t="str">
            <v>70529578</v>
          </cell>
          <cell r="C7304" t="str">
            <v>文创 艾德莱斯布艺冰箱贴长方形2024新品冰箱贴 个</v>
          </cell>
          <cell r="D7304">
            <v>55</v>
          </cell>
          <cell r="E7304">
            <v>486.73</v>
          </cell>
          <cell r="F7304">
            <v>10.0000890909091</v>
          </cell>
        </row>
        <row r="7305">
          <cell r="B7305" t="str">
            <v>70529583</v>
          </cell>
          <cell r="C7305" t="str">
            <v>文创 独库之旅邮票景点明信片独库大本营明信片 袋</v>
          </cell>
          <cell r="D7305">
            <v>7</v>
          </cell>
          <cell r="E7305">
            <v>13.7</v>
          </cell>
          <cell r="F7305">
            <v>2.2115714285714301</v>
          </cell>
        </row>
        <row r="7306">
          <cell r="B7306" t="str">
            <v>70529585</v>
          </cell>
          <cell r="C7306" t="str">
            <v>文创 艾德莱斯布艺冰箱贴六边形2024新品冰箱贴 个</v>
          </cell>
          <cell r="D7306">
            <v>48</v>
          </cell>
          <cell r="E7306">
            <v>424.77</v>
          </cell>
          <cell r="F7306">
            <v>9.9997937500000003</v>
          </cell>
        </row>
        <row r="7307">
          <cell r="B7307" t="str">
            <v>70529588</v>
          </cell>
          <cell r="C7307" t="str">
            <v>文创 独库之旅邮票景点明信片守护天山路明信片 袋</v>
          </cell>
          <cell r="D7307">
            <v>10</v>
          </cell>
          <cell r="E7307">
            <v>19.579999999999998</v>
          </cell>
          <cell r="F7307">
            <v>2.2125400000000002</v>
          </cell>
        </row>
        <row r="7308">
          <cell r="B7308" t="str">
            <v>70529590</v>
          </cell>
          <cell r="C7308" t="str">
            <v>文创 艾德莱斯布艺冰箱贴正方形2024新品冰箱贴 个</v>
          </cell>
          <cell r="D7308">
            <v>18</v>
          </cell>
          <cell r="E7308">
            <v>159.29</v>
          </cell>
          <cell r="F7308">
            <v>9.9998722222222192</v>
          </cell>
        </row>
        <row r="7309">
          <cell r="B7309" t="str">
            <v>70529593</v>
          </cell>
          <cell r="C7309" t="str">
            <v>文创 独库之旅邮票景点明信片那拉提明信片 袋</v>
          </cell>
          <cell r="D7309">
            <v>10</v>
          </cell>
          <cell r="E7309">
            <v>19.579999999999998</v>
          </cell>
          <cell r="F7309">
            <v>2.2125400000000002</v>
          </cell>
        </row>
        <row r="7310">
          <cell r="B7310" t="str">
            <v>70529594</v>
          </cell>
          <cell r="C7310" t="str">
            <v>文创 艾德莱斯布艺冰箱贴椭圆形2024新品冰箱贴 个</v>
          </cell>
          <cell r="D7310">
            <v>19</v>
          </cell>
          <cell r="E7310">
            <v>168.14</v>
          </cell>
          <cell r="F7310">
            <v>9.9999052631578902</v>
          </cell>
        </row>
        <row r="7311">
          <cell r="B7311" t="str">
            <v>70529595</v>
          </cell>
          <cell r="C7311" t="str">
            <v>文创 独库公路路牌木质冰箱贴热销款冰箱贴 个</v>
          </cell>
          <cell r="D7311">
            <v>29</v>
          </cell>
          <cell r="E7311">
            <v>359.31</v>
          </cell>
          <cell r="F7311">
            <v>14.0007</v>
          </cell>
        </row>
        <row r="7312">
          <cell r="B7312" t="str">
            <v>70529597</v>
          </cell>
          <cell r="C7312" t="str">
            <v>文创 独库之旅邮票景点明信片巴音布鲁克明信片 袋</v>
          </cell>
          <cell r="D7312">
            <v>10</v>
          </cell>
          <cell r="E7312">
            <v>19.579999999999998</v>
          </cell>
          <cell r="F7312">
            <v>2.2125400000000002</v>
          </cell>
        </row>
        <row r="7313">
          <cell r="B7313" t="str">
            <v>70529598</v>
          </cell>
          <cell r="C7313" t="str">
            <v>文创 艾德莱斯布艺冰箱贴四瓣花2024新品冰箱贴 个</v>
          </cell>
          <cell r="D7313">
            <v>36</v>
          </cell>
          <cell r="E7313">
            <v>318.58</v>
          </cell>
          <cell r="F7313">
            <v>9.9998722222222192</v>
          </cell>
        </row>
        <row r="7314">
          <cell r="B7314" t="str">
            <v>70529600</v>
          </cell>
          <cell r="C7314" t="str">
            <v>文创 独库树脂冰箱贴库车大峡谷冰箱贴 个</v>
          </cell>
          <cell r="D7314">
            <v>16</v>
          </cell>
          <cell r="E7314">
            <v>176.99</v>
          </cell>
          <cell r="F7314">
            <v>12.499918750000001</v>
          </cell>
        </row>
        <row r="7315">
          <cell r="B7315" t="str">
            <v>70529601</v>
          </cell>
          <cell r="C7315" t="str">
            <v>文创 独库之旅邮票景点明信片库车大峡谷明信片 袋</v>
          </cell>
          <cell r="D7315">
            <v>10</v>
          </cell>
          <cell r="E7315">
            <v>19.579999999999998</v>
          </cell>
          <cell r="F7315">
            <v>2.2125400000000002</v>
          </cell>
        </row>
        <row r="7316">
          <cell r="B7316" t="str">
            <v>70529603</v>
          </cell>
          <cell r="C7316" t="str">
            <v>文创 亚克力组合冰箱贴巴扎水果3个/套冰箱贴 套</v>
          </cell>
          <cell r="D7316">
            <v>10</v>
          </cell>
          <cell r="E7316">
            <v>117.47</v>
          </cell>
          <cell r="F7316">
            <v>13.27411</v>
          </cell>
        </row>
        <row r="7317">
          <cell r="B7317" t="str">
            <v>70529604</v>
          </cell>
          <cell r="C7317" t="str">
            <v>文创 独库树脂冰箱贴那拉提冰箱贴 个</v>
          </cell>
          <cell r="D7317">
            <v>9</v>
          </cell>
          <cell r="E7317">
            <v>88.11</v>
          </cell>
          <cell r="F7317">
            <v>11.0627</v>
          </cell>
        </row>
        <row r="7318">
          <cell r="B7318" t="str">
            <v>70529606</v>
          </cell>
          <cell r="C7318" t="str">
            <v>文创 亚克力组合冰箱贴草原歌舞5个/套冰箱贴 套</v>
          </cell>
          <cell r="D7318">
            <v>11</v>
          </cell>
          <cell r="E7318">
            <v>129.22</v>
          </cell>
          <cell r="F7318">
            <v>13.2744181818182</v>
          </cell>
        </row>
        <row r="7319">
          <cell r="B7319" t="str">
            <v>70529607</v>
          </cell>
          <cell r="C7319" t="str">
            <v>文创 独库之旅邮票景点香片独库大本营香片 袋</v>
          </cell>
          <cell r="D7319">
            <v>95</v>
          </cell>
          <cell r="E7319">
            <v>630.54</v>
          </cell>
          <cell r="F7319">
            <v>7.50010736842105</v>
          </cell>
        </row>
        <row r="7320">
          <cell r="B7320" t="str">
            <v>70529620</v>
          </cell>
          <cell r="C7320" t="str">
            <v>文创 新疆纹样民俗花帽胶片明信片红花冠明信片 个</v>
          </cell>
          <cell r="D7320">
            <v>74</v>
          </cell>
          <cell r="E7320">
            <v>654.87</v>
          </cell>
          <cell r="F7320">
            <v>10.0000418918919</v>
          </cell>
        </row>
        <row r="7321">
          <cell r="B7321" t="str">
            <v>70529621</v>
          </cell>
          <cell r="C7321" t="str">
            <v>文创 独库树脂冰箱贴独山子大峡谷2024新款冰箱贴 个</v>
          </cell>
          <cell r="D7321">
            <v>6</v>
          </cell>
          <cell r="E7321">
            <v>58.73</v>
          </cell>
          <cell r="F7321">
            <v>11.0608166666667</v>
          </cell>
        </row>
        <row r="7322">
          <cell r="B7322" t="str">
            <v>70529623</v>
          </cell>
          <cell r="C7322" t="str">
            <v>文创 独库树脂冰箱贴乔尔玛冰箱贴 个</v>
          </cell>
          <cell r="D7322">
            <v>27</v>
          </cell>
          <cell r="E7322">
            <v>298.66000000000003</v>
          </cell>
          <cell r="F7322">
            <v>12.499474074074101</v>
          </cell>
        </row>
        <row r="7323">
          <cell r="B7323" t="str">
            <v>70529624</v>
          </cell>
          <cell r="C7323" t="str">
            <v>文创 新疆纹样彩色花砖冰箱贴草绿杯垫 个</v>
          </cell>
          <cell r="D7323">
            <v>6</v>
          </cell>
          <cell r="E7323">
            <v>53.1</v>
          </cell>
          <cell r="F7323">
            <v>10.000500000000001</v>
          </cell>
        </row>
        <row r="7324">
          <cell r="B7324" t="str">
            <v>70529625</v>
          </cell>
          <cell r="C7324" t="str">
            <v>文创 新疆纹样彩色花砖冰箱贴玫粉杯垫 个</v>
          </cell>
          <cell r="D7324">
            <v>11</v>
          </cell>
          <cell r="E7324">
            <v>97.35</v>
          </cell>
          <cell r="F7324">
            <v>10.000500000000001</v>
          </cell>
        </row>
        <row r="7325">
          <cell r="B7325" t="str">
            <v>70529626</v>
          </cell>
          <cell r="C7325" t="str">
            <v>文创 新疆纹样素色花砖冰箱贴湖蓝冰箱贴 个</v>
          </cell>
          <cell r="D7325">
            <v>38</v>
          </cell>
          <cell r="E7325">
            <v>336.29</v>
          </cell>
          <cell r="F7325">
            <v>10.000202631578899</v>
          </cell>
        </row>
        <row r="7326">
          <cell r="B7326" t="str">
            <v>70529627</v>
          </cell>
          <cell r="C7326" t="str">
            <v>文创 新疆纹样素色花砖冰箱贴大黄冰箱贴 个</v>
          </cell>
          <cell r="D7326">
            <v>43</v>
          </cell>
          <cell r="E7326">
            <v>380.54</v>
          </cell>
          <cell r="F7326">
            <v>10.0002372093023</v>
          </cell>
        </row>
        <row r="7327">
          <cell r="B7327" t="str">
            <v>70529628</v>
          </cell>
          <cell r="C7327" t="str">
            <v>文创 新疆纹样素色花砖冰箱贴草绿冰箱贴 个</v>
          </cell>
          <cell r="D7327">
            <v>35</v>
          </cell>
          <cell r="E7327">
            <v>309.74</v>
          </cell>
          <cell r="F7327">
            <v>10.000177142857099</v>
          </cell>
        </row>
        <row r="7328">
          <cell r="B7328" t="str">
            <v>70529629</v>
          </cell>
          <cell r="C7328" t="str">
            <v>文创 新疆纹样素色花砖冰箱贴玫粉冰箱贴 个</v>
          </cell>
          <cell r="D7328">
            <v>45</v>
          </cell>
          <cell r="E7328">
            <v>398.22</v>
          </cell>
          <cell r="F7328">
            <v>9.9997466666666703</v>
          </cell>
        </row>
        <row r="7329">
          <cell r="B7329" t="str">
            <v>70529633</v>
          </cell>
          <cell r="C7329" t="str">
            <v>文创 艾德莱斯手账本A5绿2024新品手账本 个</v>
          </cell>
          <cell r="D7329">
            <v>7</v>
          </cell>
          <cell r="E7329">
            <v>396.46</v>
          </cell>
          <cell r="F7329">
            <v>63.999971428571399</v>
          </cell>
        </row>
        <row r="7330">
          <cell r="B7330" t="str">
            <v>70529635</v>
          </cell>
          <cell r="C7330" t="str">
            <v>文创 艾德莱斯手账本A5棕2024新品手账本 个</v>
          </cell>
          <cell r="D7330">
            <v>3</v>
          </cell>
          <cell r="E7330">
            <v>169.92</v>
          </cell>
          <cell r="F7330">
            <v>64.003200000000007</v>
          </cell>
        </row>
        <row r="7331">
          <cell r="B7331" t="str">
            <v>70529636</v>
          </cell>
          <cell r="C7331" t="str">
            <v>文创 新疆纹样异形明信片金黄明信片 个</v>
          </cell>
          <cell r="D7331">
            <v>141</v>
          </cell>
          <cell r="E7331">
            <v>499.12</v>
          </cell>
          <cell r="F7331">
            <v>4.0000397163120596</v>
          </cell>
        </row>
        <row r="7332">
          <cell r="B7332" t="str">
            <v>70529637</v>
          </cell>
          <cell r="C7332" t="str">
            <v>文创 新疆纹样异形明信片草绿明信片 个</v>
          </cell>
          <cell r="D7332">
            <v>115</v>
          </cell>
          <cell r="E7332">
            <v>407.09</v>
          </cell>
          <cell r="F7332">
            <v>4.0001017391304297</v>
          </cell>
        </row>
        <row r="7333">
          <cell r="B7333" t="str">
            <v>70529638</v>
          </cell>
          <cell r="C7333" t="str">
            <v>文创 新疆纹样异形明信片纯黑明信片 个</v>
          </cell>
          <cell r="D7333">
            <v>122</v>
          </cell>
          <cell r="E7333">
            <v>431.88</v>
          </cell>
          <cell r="F7333">
            <v>4.0002000000000004</v>
          </cell>
        </row>
        <row r="7334">
          <cell r="B7334" t="str">
            <v>70529639</v>
          </cell>
          <cell r="C7334" t="str">
            <v>文创 新疆纹样异形明信片浅黄明信片 个</v>
          </cell>
          <cell r="D7334">
            <v>107</v>
          </cell>
          <cell r="E7334">
            <v>378.77</v>
          </cell>
          <cell r="F7334">
            <v>4.0000943925233603</v>
          </cell>
        </row>
        <row r="7335">
          <cell r="B7335" t="str">
            <v>70529653</v>
          </cell>
          <cell r="C7335" t="str">
            <v>文创 车贴油箱盖贴G217反光贴车贴 个</v>
          </cell>
          <cell r="D7335">
            <v>9</v>
          </cell>
          <cell r="E7335">
            <v>52.87</v>
          </cell>
          <cell r="F7335">
            <v>6.6381222222222203</v>
          </cell>
        </row>
        <row r="7336">
          <cell r="B7336" t="str">
            <v>70529655</v>
          </cell>
          <cell r="C7336" t="str">
            <v>文创 车贴油箱盖贴G217透明贴车贴 个</v>
          </cell>
          <cell r="D7336">
            <v>4</v>
          </cell>
          <cell r="E7336">
            <v>23.5</v>
          </cell>
          <cell r="F7336">
            <v>6.6387499999999999</v>
          </cell>
        </row>
        <row r="7337">
          <cell r="B7337" t="str">
            <v>70529656</v>
          </cell>
          <cell r="C7337" t="str">
            <v>文创 车贴大号独库公路透明贴车贴 个</v>
          </cell>
          <cell r="D7337">
            <v>19</v>
          </cell>
          <cell r="E7337">
            <v>223.19</v>
          </cell>
          <cell r="F7337">
            <v>13.2739315789474</v>
          </cell>
        </row>
        <row r="7338">
          <cell r="B7338" t="str">
            <v>70529659</v>
          </cell>
          <cell r="C7338" t="str">
            <v>文创 独库金属开瓶器冰箱贴冰箱贴开瓶器 个</v>
          </cell>
          <cell r="D7338">
            <v>138</v>
          </cell>
          <cell r="E7338">
            <v>4059.31</v>
          </cell>
          <cell r="F7338">
            <v>33.239277536231903</v>
          </cell>
        </row>
        <row r="7339">
          <cell r="B7339" t="str">
            <v>70529660</v>
          </cell>
          <cell r="C7339" t="str">
            <v>文创 独库金属开瓶器冰箱贴冰箱贴开瓶器 个</v>
          </cell>
          <cell r="D7339">
            <v>23</v>
          </cell>
          <cell r="E7339">
            <v>590.29</v>
          </cell>
          <cell r="F7339">
            <v>29.0012043478261</v>
          </cell>
        </row>
        <row r="7340">
          <cell r="B7340" t="str">
            <v>70529661</v>
          </cell>
          <cell r="C7340" t="str">
            <v>文创 独库四季徽章冰箱贴春日小龙池徽章 个</v>
          </cell>
          <cell r="D7340">
            <v>60</v>
          </cell>
          <cell r="E7340">
            <v>822.31</v>
          </cell>
          <cell r="F7340">
            <v>15.486838333333299</v>
          </cell>
        </row>
        <row r="7341">
          <cell r="B7341" t="str">
            <v>70529662</v>
          </cell>
          <cell r="C7341" t="str">
            <v>文创 独库四季徽章冰箱贴夏日那拉提热销款徽章 个</v>
          </cell>
          <cell r="D7341">
            <v>11</v>
          </cell>
          <cell r="E7341">
            <v>150.76</v>
          </cell>
          <cell r="F7341">
            <v>15.487163636363601</v>
          </cell>
        </row>
        <row r="7342">
          <cell r="B7342" t="str">
            <v>70529663</v>
          </cell>
          <cell r="C7342" t="str">
            <v>文创 独库四季徽章冰箱贴秋日九曲十八弯热销款徽章 个</v>
          </cell>
          <cell r="D7342">
            <v>17</v>
          </cell>
          <cell r="E7342">
            <v>233</v>
          </cell>
          <cell r="F7342">
            <v>15.4876470588235</v>
          </cell>
        </row>
        <row r="7343">
          <cell r="B7343" t="str">
            <v>70529664</v>
          </cell>
          <cell r="C7343" t="str">
            <v>文创 独库四季徽章冰箱贴冬日哈希勒根达坂徽章 个</v>
          </cell>
          <cell r="D7343">
            <v>28</v>
          </cell>
          <cell r="E7343">
            <v>383.74</v>
          </cell>
          <cell r="F7343">
            <v>15.486649999999999</v>
          </cell>
        </row>
        <row r="7344">
          <cell r="B7344" t="str">
            <v>70529671</v>
          </cell>
          <cell r="C7344" t="str">
            <v>文创 手绘新疆文化旅游地图故事册磁吸书签 个</v>
          </cell>
          <cell r="D7344">
            <v>701</v>
          </cell>
          <cell r="E7344">
            <v>13958.01</v>
          </cell>
          <cell r="F7344">
            <v>22.5000731811698</v>
          </cell>
        </row>
        <row r="7345">
          <cell r="B7345" t="str">
            <v>70529677</v>
          </cell>
          <cell r="C7345" t="str">
            <v>文创 艾德莱斯鼠标垫粉2024升级款加大加厚鼠标垫 个</v>
          </cell>
          <cell r="D7345">
            <v>5</v>
          </cell>
          <cell r="E7345">
            <v>78.319999999999993</v>
          </cell>
          <cell r="F7345">
            <v>17.700320000000001</v>
          </cell>
        </row>
        <row r="7346">
          <cell r="B7346" t="str">
            <v>70529678</v>
          </cell>
          <cell r="C7346" t="str">
            <v>文创 艾德莱斯鼠标垫绿2024升级款加大加厚鼠标垫 个</v>
          </cell>
          <cell r="D7346">
            <v>3</v>
          </cell>
          <cell r="E7346">
            <v>47</v>
          </cell>
          <cell r="F7346">
            <v>17.703333333333301</v>
          </cell>
        </row>
        <row r="7347">
          <cell r="B7347" t="str">
            <v>70529680</v>
          </cell>
          <cell r="C7347" t="str">
            <v>文创 艾德莱斯鼠标垫白2024升级款加大加厚鼠标垫 个</v>
          </cell>
          <cell r="D7347">
            <v>5</v>
          </cell>
          <cell r="E7347">
            <v>78.319999999999993</v>
          </cell>
          <cell r="F7347">
            <v>17.700320000000001</v>
          </cell>
        </row>
        <row r="7348">
          <cell r="B7348" t="str">
            <v>70529681</v>
          </cell>
          <cell r="C7348" t="str">
            <v>文创 艾德莱斯鼠标垫蓝2024升级款加大加厚鼠标垫 个</v>
          </cell>
          <cell r="D7348">
            <v>1</v>
          </cell>
          <cell r="E7348">
            <v>15.67</v>
          </cell>
          <cell r="F7348">
            <v>17.707100000000001</v>
          </cell>
        </row>
        <row r="7349">
          <cell r="B7349" t="str">
            <v>70529682</v>
          </cell>
          <cell r="C7349" t="str">
            <v>文创 艾德莱斯鼠标垫黄2024升级款加大加厚鼠标垫 个</v>
          </cell>
          <cell r="D7349">
            <v>3</v>
          </cell>
          <cell r="E7349">
            <v>46.99</v>
          </cell>
          <cell r="F7349">
            <v>17.699566666666701</v>
          </cell>
        </row>
        <row r="7350">
          <cell r="B7350" t="str">
            <v>70529683</v>
          </cell>
          <cell r="C7350" t="str">
            <v>文创 新疆纹样陶瓷浮雕杯垫墨绿杯垫 个</v>
          </cell>
          <cell r="D7350">
            <v>20</v>
          </cell>
          <cell r="E7350">
            <v>265.5</v>
          </cell>
          <cell r="F7350">
            <v>15.00075</v>
          </cell>
        </row>
        <row r="7351">
          <cell r="B7351" t="str">
            <v>70529684</v>
          </cell>
          <cell r="C7351" t="str">
            <v>文创 新疆纹样陶瓷浮雕杯垫湖蓝杯垫 个</v>
          </cell>
          <cell r="D7351">
            <v>4</v>
          </cell>
          <cell r="E7351">
            <v>53.1</v>
          </cell>
          <cell r="F7351">
            <v>15.00075</v>
          </cell>
        </row>
        <row r="7352">
          <cell r="B7352" t="str">
            <v>70529685</v>
          </cell>
          <cell r="C7352" t="str">
            <v>文创 新疆纹样陶瓷浮雕描金杯垫金黄杯垫 个</v>
          </cell>
          <cell r="D7352">
            <v>10</v>
          </cell>
          <cell r="E7352">
            <v>132.74</v>
          </cell>
          <cell r="F7352">
            <v>14.99962</v>
          </cell>
        </row>
        <row r="7353">
          <cell r="B7353" t="str">
            <v>70529686</v>
          </cell>
          <cell r="C7353" t="str">
            <v>文创 新疆纹样陶瓷浮雕描金杯垫金红杯垫 个</v>
          </cell>
          <cell r="D7353">
            <v>19</v>
          </cell>
          <cell r="E7353">
            <v>252.22</v>
          </cell>
          <cell r="F7353">
            <v>15.0004526315789</v>
          </cell>
        </row>
        <row r="7354">
          <cell r="B7354" t="str">
            <v>70529687</v>
          </cell>
          <cell r="C7354" t="str">
            <v>文创 新疆纹样彩色花砖冰箱贴湖蓝杯垫 个</v>
          </cell>
          <cell r="D7354">
            <v>3</v>
          </cell>
          <cell r="E7354">
            <v>26.55</v>
          </cell>
          <cell r="F7354">
            <v>10.000500000000001</v>
          </cell>
        </row>
        <row r="7355">
          <cell r="B7355" t="str">
            <v>70529688</v>
          </cell>
          <cell r="C7355" t="str">
            <v>文创 新疆纹样彩色花砖冰箱贴大黄杯垫 个</v>
          </cell>
          <cell r="D7355">
            <v>10</v>
          </cell>
          <cell r="E7355">
            <v>88.5</v>
          </cell>
          <cell r="F7355">
            <v>10.000500000000001</v>
          </cell>
        </row>
        <row r="7356">
          <cell r="B7356" t="str">
            <v>70530184</v>
          </cell>
          <cell r="C7356" t="str">
            <v>紫色庄园 小型骆驼 个</v>
          </cell>
          <cell r="D7356">
            <v>8</v>
          </cell>
          <cell r="E7356">
            <v>277.24</v>
          </cell>
          <cell r="F7356">
            <v>39.160150000000002</v>
          </cell>
        </row>
        <row r="7357">
          <cell r="B7357" t="str">
            <v>70581301</v>
          </cell>
          <cell r="C7357" t="str">
            <v>尤尼克斯 羽毛球拍 个</v>
          </cell>
          <cell r="D7357">
            <v>3</v>
          </cell>
          <cell r="E7357">
            <v>669.3</v>
          </cell>
          <cell r="F7357">
            <v>252.10300000000001</v>
          </cell>
        </row>
        <row r="7358">
          <cell r="B7358" t="str">
            <v>70581305</v>
          </cell>
          <cell r="C7358" t="str">
            <v>李宁 足球 个</v>
          </cell>
          <cell r="D7358">
            <v>2</v>
          </cell>
          <cell r="E7358">
            <v>109.74</v>
          </cell>
          <cell r="F7358">
            <v>62.003100000000003</v>
          </cell>
        </row>
        <row r="7359">
          <cell r="B7359" t="str">
            <v>70581318</v>
          </cell>
          <cell r="C7359" t="str">
            <v>红双喜 乒乓球拍 个</v>
          </cell>
          <cell r="D7359">
            <v>8</v>
          </cell>
          <cell r="E7359">
            <v>640.72</v>
          </cell>
          <cell r="F7359">
            <v>90.5017</v>
          </cell>
        </row>
        <row r="7360">
          <cell r="B7360" t="str">
            <v>70581319</v>
          </cell>
          <cell r="C7360" t="str">
            <v>李宁 足球 个</v>
          </cell>
          <cell r="D7360">
            <v>1</v>
          </cell>
          <cell r="E7360">
            <v>54.87</v>
          </cell>
          <cell r="F7360">
            <v>62.003100000000003</v>
          </cell>
        </row>
        <row r="7361">
          <cell r="B7361" t="str">
            <v>70581321</v>
          </cell>
          <cell r="C7361" t="str">
            <v>李宁 护膝 个</v>
          </cell>
          <cell r="D7361">
            <v>5</v>
          </cell>
          <cell r="E7361">
            <v>154.43</v>
          </cell>
          <cell r="F7361">
            <v>34.901179999999997</v>
          </cell>
        </row>
        <row r="7362">
          <cell r="B7362" t="str">
            <v>70581324</v>
          </cell>
          <cell r="C7362" t="str">
            <v>红双喜 乒乓球拍 个</v>
          </cell>
          <cell r="D7362">
            <v>9</v>
          </cell>
          <cell r="E7362">
            <v>720.81</v>
          </cell>
          <cell r="F7362">
            <v>90.5017</v>
          </cell>
        </row>
        <row r="7363">
          <cell r="B7363" t="str">
            <v>70581360</v>
          </cell>
          <cell r="C7363" t="str">
            <v>李宁 羽毛球拍 个</v>
          </cell>
          <cell r="D7363">
            <v>9</v>
          </cell>
          <cell r="E7363">
            <v>1956.12</v>
          </cell>
          <cell r="F7363">
            <v>245.60173333333299</v>
          </cell>
        </row>
        <row r="7364">
          <cell r="B7364" t="str">
            <v>70581367</v>
          </cell>
          <cell r="C7364" t="str">
            <v>李宁 羽毛球拍 个</v>
          </cell>
          <cell r="D7364">
            <v>5</v>
          </cell>
          <cell r="E7364">
            <v>503.55</v>
          </cell>
          <cell r="F7364">
            <v>113.8023</v>
          </cell>
        </row>
        <row r="7365">
          <cell r="B7365" t="str">
            <v>70581414</v>
          </cell>
          <cell r="C7365" t="str">
            <v>李宁 握力器 个</v>
          </cell>
          <cell r="D7365">
            <v>3</v>
          </cell>
          <cell r="E7365">
            <v>82.32</v>
          </cell>
          <cell r="F7365">
            <v>31.007200000000001</v>
          </cell>
        </row>
        <row r="7366">
          <cell r="B7366" t="str">
            <v>70581415</v>
          </cell>
          <cell r="C7366" t="str">
            <v>李宁 篮球 个</v>
          </cell>
          <cell r="D7366">
            <v>3</v>
          </cell>
          <cell r="E7366">
            <v>216.11</v>
          </cell>
          <cell r="F7366">
            <v>81.401433333333301</v>
          </cell>
        </row>
        <row r="7367">
          <cell r="B7367" t="str">
            <v>70581416</v>
          </cell>
          <cell r="C7367" t="str">
            <v>李宁 跳绳 个</v>
          </cell>
          <cell r="D7367">
            <v>23</v>
          </cell>
          <cell r="E7367">
            <v>394.9</v>
          </cell>
          <cell r="F7367">
            <v>19.4016086956522</v>
          </cell>
        </row>
        <row r="7368">
          <cell r="B7368" t="str">
            <v>70581417</v>
          </cell>
          <cell r="C7368" t="str">
            <v>李宁 篮球 个</v>
          </cell>
          <cell r="D7368">
            <v>5</v>
          </cell>
          <cell r="E7368">
            <v>446.01</v>
          </cell>
          <cell r="F7368">
            <v>100.79826</v>
          </cell>
        </row>
        <row r="7369">
          <cell r="B7369" t="str">
            <v>70581418</v>
          </cell>
          <cell r="C7369" t="str">
            <v>李宁 拉力器 个</v>
          </cell>
          <cell r="D7369">
            <v>7</v>
          </cell>
          <cell r="E7369">
            <v>104.06</v>
          </cell>
          <cell r="F7369">
            <v>16.7982571428571</v>
          </cell>
        </row>
        <row r="7370">
          <cell r="B7370" t="str">
            <v>70581419</v>
          </cell>
          <cell r="C7370" t="str">
            <v>李宁 跳绳 个</v>
          </cell>
          <cell r="D7370">
            <v>22</v>
          </cell>
          <cell r="E7370">
            <v>377.71</v>
          </cell>
          <cell r="F7370">
            <v>19.400559090909098</v>
          </cell>
        </row>
        <row r="7371">
          <cell r="B7371" t="str">
            <v>70581420</v>
          </cell>
          <cell r="C7371" t="str">
            <v>李宁 拉力器 个</v>
          </cell>
          <cell r="D7371">
            <v>8</v>
          </cell>
          <cell r="E7371">
            <v>293.08</v>
          </cell>
          <cell r="F7371">
            <v>41.397550000000003</v>
          </cell>
        </row>
        <row r="7372">
          <cell r="B7372" t="str">
            <v>70581430</v>
          </cell>
          <cell r="C7372" t="str">
            <v>黑龙 象棋 个</v>
          </cell>
          <cell r="D7372">
            <v>2</v>
          </cell>
          <cell r="E7372">
            <v>27.43</v>
          </cell>
          <cell r="F7372">
            <v>15.497949999999999</v>
          </cell>
        </row>
        <row r="7373">
          <cell r="B7373" t="str">
            <v>70581431</v>
          </cell>
          <cell r="C7373" t="str">
            <v>善喜 乒乓球 个</v>
          </cell>
          <cell r="D7373">
            <v>25</v>
          </cell>
          <cell r="E7373">
            <v>1000</v>
          </cell>
          <cell r="F7373">
            <v>45.2</v>
          </cell>
        </row>
        <row r="7374">
          <cell r="B7374" t="str">
            <v>70581433</v>
          </cell>
          <cell r="C7374" t="str">
            <v>双联 羽毛球 个</v>
          </cell>
          <cell r="D7374">
            <v>18</v>
          </cell>
          <cell r="E7374">
            <v>576.67999999999995</v>
          </cell>
          <cell r="F7374">
            <v>36.2026888888889</v>
          </cell>
        </row>
        <row r="7375">
          <cell r="B7375" t="str">
            <v>70581458</v>
          </cell>
          <cell r="C7375" t="str">
            <v>李宁 护腕 个</v>
          </cell>
          <cell r="D7375">
            <v>9</v>
          </cell>
          <cell r="E7375">
            <v>113.1</v>
          </cell>
          <cell r="F7375">
            <v>14.200333333333299</v>
          </cell>
        </row>
        <row r="7376">
          <cell r="B7376" t="str">
            <v>70581459</v>
          </cell>
          <cell r="C7376" t="str">
            <v>李宁 加压带 个</v>
          </cell>
          <cell r="D7376">
            <v>6</v>
          </cell>
          <cell r="E7376">
            <v>309.02999999999997</v>
          </cell>
          <cell r="F7376">
            <v>58.200650000000003</v>
          </cell>
        </row>
        <row r="7377">
          <cell r="B7377" t="str">
            <v>70674083</v>
          </cell>
          <cell r="C7377" t="str">
            <v>新疆 积分抽奖 个</v>
          </cell>
          <cell r="D7377">
            <v>85226</v>
          </cell>
          <cell r="E7377">
            <v>0</v>
          </cell>
          <cell r="F7377">
            <v>0</v>
          </cell>
        </row>
        <row r="7378">
          <cell r="B7378" t="str">
            <v>300892</v>
          </cell>
          <cell r="C7378" t="str">
            <v>昆仑之星 RHY1803柴油防凝剂 0.38kg/桶</v>
          </cell>
          <cell r="D7378">
            <v>472</v>
          </cell>
          <cell r="E7378">
            <v>14190.41</v>
          </cell>
          <cell r="F7378">
            <v>33.972803601694899</v>
          </cell>
        </row>
        <row r="7379">
          <cell r="B7379" t="str">
            <v>407075</v>
          </cell>
          <cell r="C7379" t="str">
            <v>昆仑之星汽油复合剂节能星 0.0865KG/支 兰州</v>
          </cell>
          <cell r="D7379">
            <v>0</v>
          </cell>
          <cell r="E7379">
            <v>0</v>
          </cell>
          <cell r="F7379" t="e">
            <v>#DIV/0!</v>
          </cell>
        </row>
        <row r="7380">
          <cell r="B7380" t="str">
            <v>408803</v>
          </cell>
          <cell r="C7380" t="str">
            <v>昆仑之星玻璃养护0℃高效型1.8L/桶</v>
          </cell>
          <cell r="D7380">
            <v>17102</v>
          </cell>
          <cell r="E7380">
            <v>45430.17</v>
          </cell>
          <cell r="F7380">
            <v>3.0017595661326202</v>
          </cell>
        </row>
        <row r="7381">
          <cell r="B7381" t="str">
            <v>409630</v>
          </cell>
          <cell r="C7381" t="str">
            <v>昆仑之星AUS 32柴油发动机尾气净化液(PET) 10kg/桶</v>
          </cell>
          <cell r="D7381">
            <v>1</v>
          </cell>
          <cell r="E7381">
            <v>12.04</v>
          </cell>
          <cell r="F7381">
            <v>13.6052</v>
          </cell>
        </row>
        <row r="7382">
          <cell r="B7382" t="str">
            <v>412150</v>
          </cell>
          <cell r="C7382" t="str">
            <v>昆仑之星HEC-Ⅱ-40乙二醇型重负荷机动车发动机冷却液 2kg/桶</v>
          </cell>
          <cell r="D7382">
            <v>26</v>
          </cell>
          <cell r="E7382">
            <v>230.1</v>
          </cell>
          <cell r="F7382">
            <v>10.000500000000001</v>
          </cell>
        </row>
        <row r="7383">
          <cell r="B7383" t="str">
            <v>412178</v>
          </cell>
          <cell r="C7383" t="str">
            <v>昆仑之星HEC-Ⅱ-35乙二醇型重负荷机动车发动机冷却液 2kg/桶</v>
          </cell>
          <cell r="D7383">
            <v>45</v>
          </cell>
          <cell r="E7383">
            <v>398.25</v>
          </cell>
          <cell r="F7383">
            <v>10.000500000000001</v>
          </cell>
        </row>
        <row r="7384">
          <cell r="B7384" t="str">
            <v>456831</v>
          </cell>
          <cell r="C7384" t="str">
            <v>昆仑之星AUS 32柴油发动机尾气净化液 散装</v>
          </cell>
          <cell r="D7384">
            <v>598.01499999999999</v>
          </cell>
          <cell r="E7384">
            <v>1238.96</v>
          </cell>
          <cell r="F7384">
            <v>2.3411198715751298</v>
          </cell>
        </row>
        <row r="7385">
          <cell r="B7385" t="str">
            <v>456836</v>
          </cell>
          <cell r="C7385" t="str">
            <v>昆仑之星HEC-Ⅱ-45乙二醇型重负荷机动车发动机冷却液 200kg/桶</v>
          </cell>
          <cell r="D7385">
            <v>5</v>
          </cell>
          <cell r="E7385">
            <v>6262.33</v>
          </cell>
          <cell r="F7385">
            <v>1415.28658</v>
          </cell>
        </row>
        <row r="7386">
          <cell r="B7386" t="str">
            <v>456837</v>
          </cell>
          <cell r="C7386" t="str">
            <v>昆仑之星HEC-Ⅱ-40乙二醇型重负荷机动车发动机冷却液 4kg/桶</v>
          </cell>
          <cell r="D7386">
            <v>18445</v>
          </cell>
          <cell r="E7386">
            <v>433233.11</v>
          </cell>
          <cell r="F7386">
            <v>26.5412531471944</v>
          </cell>
        </row>
        <row r="7387">
          <cell r="B7387" t="str">
            <v>456838</v>
          </cell>
          <cell r="C7387" t="str">
            <v>昆仑之星HEC-Ⅱ-40乙二醇型重负荷机动车发动机冷却液 200kg/桶</v>
          </cell>
          <cell r="D7387">
            <v>18</v>
          </cell>
          <cell r="E7387">
            <v>20713.73</v>
          </cell>
          <cell r="F7387">
            <v>1300.3619388888901</v>
          </cell>
        </row>
        <row r="7388">
          <cell r="B7388" t="str">
            <v>456843</v>
          </cell>
          <cell r="C7388" t="str">
            <v>昆仑之星HEC-Ⅱ-35乙二醇型重负荷机动车发动机冷却液 4kg/桶</v>
          </cell>
          <cell r="D7388">
            <v>6228</v>
          </cell>
          <cell r="E7388">
            <v>135152.67000000001</v>
          </cell>
          <cell r="F7388">
            <v>24.521919894027</v>
          </cell>
        </row>
        <row r="7389">
          <cell r="B7389" t="str">
            <v>456846</v>
          </cell>
          <cell r="C7389" t="str">
            <v>昆仑之星HEC-Ⅱ-35乙二醇型重负荷机动车发动机冷却液 9.5kg/桶</v>
          </cell>
          <cell r="D7389">
            <v>25012</v>
          </cell>
          <cell r="E7389">
            <v>1181884.8700000001</v>
          </cell>
          <cell r="F7389">
            <v>53.395566252198897</v>
          </cell>
        </row>
        <row r="7390">
          <cell r="B7390" t="str">
            <v>456854</v>
          </cell>
          <cell r="C7390" t="str">
            <v>昆仑之星LEC-Ⅱ-35乙二醇型轻负荷机动车发动机冷却液 9.5kg/桶</v>
          </cell>
          <cell r="D7390">
            <v>2862</v>
          </cell>
          <cell r="E7390">
            <v>139358.03</v>
          </cell>
          <cell r="F7390">
            <v>55.022562508735099</v>
          </cell>
        </row>
        <row r="7391">
          <cell r="B7391" t="str">
            <v>456857</v>
          </cell>
          <cell r="C7391" t="str">
            <v>昆仑之星AUS 32柴油发动机尾气净化液 10kg/桶</v>
          </cell>
          <cell r="D7391">
            <v>177872</v>
          </cell>
          <cell r="E7391">
            <v>2504912.79</v>
          </cell>
          <cell r="F7391">
            <v>15.913417809998201</v>
          </cell>
        </row>
        <row r="7392">
          <cell r="B7392" t="str">
            <v>456871</v>
          </cell>
          <cell r="C7392" t="str">
            <v>昆仑之星HEC-Ⅱ-40乙二醇型重负荷机动车发动机冷却液 9.5kg/桶</v>
          </cell>
          <cell r="D7392">
            <v>67007</v>
          </cell>
          <cell r="E7392">
            <v>3223081.32</v>
          </cell>
          <cell r="F7392">
            <v>54.353752467652598</v>
          </cell>
        </row>
        <row r="7393">
          <cell r="B7393" t="str">
            <v>456915</v>
          </cell>
          <cell r="C7393" t="str">
            <v>昆仑之星HEC-Ⅱ-45乙二醇型重负荷机动车发动机冷却液 9.5kg/桶</v>
          </cell>
          <cell r="D7393">
            <v>231</v>
          </cell>
          <cell r="E7393">
            <v>12301.73</v>
          </cell>
          <cell r="F7393">
            <v>60.177293939393898</v>
          </cell>
        </row>
        <row r="7394">
          <cell r="B7394" t="str">
            <v>456947</v>
          </cell>
          <cell r="C7394" t="str">
            <v>昆仑之星玻璃养护液-10°C高效型1.8L</v>
          </cell>
          <cell r="D7394">
            <v>12578</v>
          </cell>
          <cell r="E7394">
            <v>45515.32</v>
          </cell>
          <cell r="F7394">
            <v>4.0890691365876899</v>
          </cell>
        </row>
        <row r="7395">
          <cell r="B7395" t="str">
            <v>456948</v>
          </cell>
          <cell r="C7395" t="str">
            <v>昆仑之星 玻璃养护液-40°C全能型 1.68KG</v>
          </cell>
          <cell r="D7395">
            <v>52624</v>
          </cell>
          <cell r="E7395">
            <v>253161.55</v>
          </cell>
          <cell r="F7395">
            <v>5.4361612857251398</v>
          </cell>
        </row>
        <row r="7396">
          <cell r="B7396" t="str">
            <v>456960</v>
          </cell>
          <cell r="C7396" t="str">
            <v>昆仑之星AUS 32柴油发动机尾气净化液 20kg/桶</v>
          </cell>
          <cell r="D7396">
            <v>1422</v>
          </cell>
          <cell r="E7396">
            <v>46626.7</v>
          </cell>
          <cell r="F7396">
            <v>37.052159634317903</v>
          </cell>
        </row>
        <row r="7397">
          <cell r="B7397" t="str">
            <v>499999</v>
          </cell>
          <cell r="C7397" t="str">
            <v>散装 柴油尾气净化液</v>
          </cell>
          <cell r="D7397">
            <v>14068.538</v>
          </cell>
          <cell r="E7397">
            <v>18461.59</v>
          </cell>
          <cell r="F7397">
            <v>1.4828546292443501</v>
          </cell>
        </row>
        <row r="7398">
          <cell r="B7398" t="str">
            <v>70139728</v>
          </cell>
          <cell r="C7398" t="str">
            <v>鼎升 普通板油箱(绿) DW20</v>
          </cell>
          <cell r="D7398">
            <v>3127</v>
          </cell>
          <cell r="E7398">
            <v>191297.41</v>
          </cell>
          <cell r="F7398">
            <v>69.128900959386002</v>
          </cell>
        </row>
        <row r="7399">
          <cell r="B7399" t="str">
            <v>70139729</v>
          </cell>
          <cell r="C7399" t="str">
            <v>鼎升 普通板油箱(绿) DW10</v>
          </cell>
          <cell r="D7399">
            <v>3380</v>
          </cell>
          <cell r="E7399">
            <v>158865.56</v>
          </cell>
          <cell r="F7399">
            <v>53.111858816568002</v>
          </cell>
        </row>
        <row r="7400">
          <cell r="B7400" t="str">
            <v>70139730</v>
          </cell>
          <cell r="C7400" t="str">
            <v>鼎升 普通板油箱(绿) DSC30</v>
          </cell>
          <cell r="D7400">
            <v>2786</v>
          </cell>
          <cell r="E7400">
            <v>227268.55</v>
          </cell>
          <cell r="F7400">
            <v>92.179993359655398</v>
          </cell>
        </row>
        <row r="7401">
          <cell r="B7401" t="str">
            <v>70162743</v>
          </cell>
          <cell r="C7401" t="str">
            <v>立牌拖车绳5T5M</v>
          </cell>
          <cell r="D7401">
            <v>19</v>
          </cell>
          <cell r="E7401">
            <v>587.42999999999995</v>
          </cell>
          <cell r="F7401">
            <v>34.936626315789503</v>
          </cell>
        </row>
        <row r="7402">
          <cell r="B7402" t="str">
            <v>70162744</v>
          </cell>
          <cell r="C7402" t="str">
            <v>纽福克斯电瓶线400A</v>
          </cell>
          <cell r="D7402">
            <v>60</v>
          </cell>
          <cell r="E7402">
            <v>4798.38</v>
          </cell>
          <cell r="F7402">
            <v>90.369489999999999</v>
          </cell>
        </row>
        <row r="7403">
          <cell r="B7403" t="str">
            <v>70162745</v>
          </cell>
          <cell r="C7403" t="str">
            <v>鑫苹果擦车布60*50</v>
          </cell>
          <cell r="D7403">
            <v>1020</v>
          </cell>
          <cell r="E7403">
            <v>2285.37</v>
          </cell>
          <cell r="F7403">
            <v>2.5318314705882301</v>
          </cell>
        </row>
        <row r="7404">
          <cell r="B7404" t="str">
            <v>70167118</v>
          </cell>
          <cell r="C7404" t="str">
            <v>兴安 铁桶 1个</v>
          </cell>
          <cell r="D7404">
            <v>75</v>
          </cell>
          <cell r="E7404">
            <v>11615.14</v>
          </cell>
          <cell r="F7404">
            <v>175.001442666667</v>
          </cell>
        </row>
        <row r="7405">
          <cell r="B7405" t="str">
            <v>70176785</v>
          </cell>
          <cell r="C7405" t="str">
            <v>攀能 汽车应急锦囊工具包 33*9.4*28.8CM</v>
          </cell>
          <cell r="D7405">
            <v>32</v>
          </cell>
          <cell r="E7405">
            <v>4727.9799999999996</v>
          </cell>
          <cell r="F7405">
            <v>166.95679375</v>
          </cell>
        </row>
        <row r="7406">
          <cell r="B7406" t="str">
            <v>70176788</v>
          </cell>
          <cell r="C7406" t="str">
            <v>纽福克斯 车载迷你冰箱 41*22*30CM12L</v>
          </cell>
          <cell r="D7406">
            <v>28</v>
          </cell>
          <cell r="E7406">
            <v>10424.709999999999</v>
          </cell>
          <cell r="F7406">
            <v>420.71151071428602</v>
          </cell>
        </row>
        <row r="7407">
          <cell r="B7407" t="str">
            <v>70192479</v>
          </cell>
          <cell r="C7407" t="str">
            <v>昆仑之星汽油复合剂 100ML</v>
          </cell>
          <cell r="D7407">
            <v>965975</v>
          </cell>
          <cell r="E7407">
            <v>8896862.3100000005</v>
          </cell>
          <cell r="F7407">
            <v>10.407572049276601</v>
          </cell>
        </row>
        <row r="7408">
          <cell r="B7408" t="str">
            <v>70200276</v>
          </cell>
          <cell r="C7408" t="str">
            <v>品胜 移动电源易充 5000MAH</v>
          </cell>
          <cell r="D7408">
            <v>5</v>
          </cell>
          <cell r="E7408">
            <v>555.55999999999995</v>
          </cell>
          <cell r="F7408">
            <v>125.55656</v>
          </cell>
        </row>
        <row r="7409">
          <cell r="B7409" t="str">
            <v>70202831</v>
          </cell>
          <cell r="C7409" t="str">
            <v>品胜 商务之星优车充 个</v>
          </cell>
          <cell r="D7409">
            <v>10</v>
          </cell>
          <cell r="E7409">
            <v>60.43</v>
          </cell>
          <cell r="F7409">
            <v>6.8285900000000002</v>
          </cell>
        </row>
        <row r="7410">
          <cell r="B7410" t="str">
            <v>70218673</v>
          </cell>
          <cell r="C7410" t="str">
            <v>嘉西德 干湿吸尘器 #2508</v>
          </cell>
          <cell r="D7410">
            <v>1</v>
          </cell>
          <cell r="E7410">
            <v>57.63</v>
          </cell>
          <cell r="F7410">
            <v>65.121899999999997</v>
          </cell>
        </row>
        <row r="7411">
          <cell r="B7411" t="str">
            <v>70218704</v>
          </cell>
          <cell r="C7411" t="str">
            <v>嘉西德 0398# 车用充气泵 1个</v>
          </cell>
          <cell r="D7411">
            <v>11</v>
          </cell>
          <cell r="E7411">
            <v>2445.16</v>
          </cell>
          <cell r="F7411">
            <v>251.184618181818</v>
          </cell>
        </row>
        <row r="7412">
          <cell r="B7412" t="str">
            <v>70218705</v>
          </cell>
          <cell r="C7412" t="str">
            <v>嘉西德 2523# 车用吸尘器 1个</v>
          </cell>
          <cell r="D7412">
            <v>5</v>
          </cell>
          <cell r="E7412">
            <v>491.82</v>
          </cell>
          <cell r="F7412">
            <v>111.15132</v>
          </cell>
        </row>
        <row r="7413">
          <cell r="B7413" t="str">
            <v>70230963</v>
          </cell>
          <cell r="C7413" t="str">
            <v>家一 百变置物盒 1</v>
          </cell>
          <cell r="D7413">
            <v>12</v>
          </cell>
          <cell r="E7413">
            <v>270.77999999999997</v>
          </cell>
          <cell r="F7413">
            <v>25.498449999999998</v>
          </cell>
        </row>
        <row r="7414">
          <cell r="B7414" t="str">
            <v>70232008</v>
          </cell>
          <cell r="C7414" t="str">
            <v>尤适 洗车水桶 1个</v>
          </cell>
          <cell r="D7414">
            <v>9</v>
          </cell>
          <cell r="E7414">
            <v>178.22</v>
          </cell>
          <cell r="F7414">
            <v>22.3765111111111</v>
          </cell>
        </row>
        <row r="7415">
          <cell r="B7415" t="str">
            <v>70236382</v>
          </cell>
          <cell r="C7415" t="str">
            <v>鑫洁诺 折叠式蜡刷 165*120CM</v>
          </cell>
          <cell r="D7415">
            <v>7</v>
          </cell>
          <cell r="E7415">
            <v>215.06</v>
          </cell>
          <cell r="F7415">
            <v>34.7168285714286</v>
          </cell>
        </row>
        <row r="7416">
          <cell r="B7416" t="str">
            <v>70236971</v>
          </cell>
          <cell r="C7416" t="str">
            <v>靓泽 超纤洗车毛巾 40CM×60CM 条</v>
          </cell>
          <cell r="D7416">
            <v>755</v>
          </cell>
          <cell r="E7416">
            <v>2444.36</v>
          </cell>
          <cell r="F7416">
            <v>3.6584460927152298</v>
          </cell>
        </row>
        <row r="7417">
          <cell r="B7417" t="str">
            <v>70239006</v>
          </cell>
          <cell r="C7417" t="str">
            <v>蓝河光电 户外应急投光灯 LH-YCDT-10W01A 个</v>
          </cell>
          <cell r="D7417">
            <v>3</v>
          </cell>
          <cell r="E7417">
            <v>384.62</v>
          </cell>
          <cell r="F7417">
            <v>144.873533333333</v>
          </cell>
        </row>
        <row r="7418">
          <cell r="B7418" t="str">
            <v>70239008</v>
          </cell>
          <cell r="C7418" t="str">
            <v>嘉西德 手握式冰雪铲 12CM×20CM 个</v>
          </cell>
          <cell r="D7418">
            <v>99</v>
          </cell>
          <cell r="E7418">
            <v>1456.77</v>
          </cell>
          <cell r="F7418">
            <v>16.6277787878788</v>
          </cell>
        </row>
        <row r="7419">
          <cell r="B7419" t="str">
            <v>70239009</v>
          </cell>
          <cell r="C7419" t="str">
            <v>嘉西德 毛刷式冰雪铲 12CM×55CM 个</v>
          </cell>
          <cell r="D7419">
            <v>139</v>
          </cell>
          <cell r="E7419">
            <v>1313.28</v>
          </cell>
          <cell r="F7419">
            <v>10.6763050359712</v>
          </cell>
        </row>
        <row r="7420">
          <cell r="B7420" t="str">
            <v>70244853</v>
          </cell>
          <cell r="C7420" t="str">
            <v>品胜 爱充 5V1A</v>
          </cell>
          <cell r="D7420">
            <v>358</v>
          </cell>
          <cell r="E7420">
            <v>5829.97</v>
          </cell>
          <cell r="F7420">
            <v>18.401860614525098</v>
          </cell>
        </row>
        <row r="7421">
          <cell r="B7421" t="str">
            <v>70244855</v>
          </cell>
          <cell r="C7421" t="str">
            <v>品胜 蓝牙耳机 LE002＋4.0版</v>
          </cell>
          <cell r="D7421">
            <v>17</v>
          </cell>
          <cell r="E7421">
            <v>1133.52</v>
          </cell>
          <cell r="F7421">
            <v>75.345741176470597</v>
          </cell>
        </row>
        <row r="7422">
          <cell r="B7422" t="str">
            <v>70348890</v>
          </cell>
          <cell r="C7422" t="str">
            <v>咔咔酷优特 简约铝合金汽车香氛 黑色 香格里拉香型 淡雅海洋香型 20G</v>
          </cell>
          <cell r="D7422">
            <v>1082</v>
          </cell>
          <cell r="E7422">
            <v>10231.73</v>
          </cell>
          <cell r="F7422">
            <v>10.6856329944547</v>
          </cell>
        </row>
        <row r="7423">
          <cell r="B7423" t="str">
            <v>70348901</v>
          </cell>
          <cell r="C7423" t="str">
            <v>咔咔酷优特 活动式手机支架 80G</v>
          </cell>
          <cell r="D7423">
            <v>728</v>
          </cell>
          <cell r="E7423">
            <v>17018.189999999999</v>
          </cell>
          <cell r="F7423">
            <v>26.4155971153846</v>
          </cell>
        </row>
        <row r="7424">
          <cell r="B7424" t="str">
            <v>70348902</v>
          </cell>
          <cell r="C7424" t="str">
            <v>咔咔酷优特 简约铝合金汽车香氛 玫瑰金色 香格里拉香型 清新白茶香型 20G</v>
          </cell>
          <cell r="D7424">
            <v>1156</v>
          </cell>
          <cell r="E7424">
            <v>10958.64</v>
          </cell>
          <cell r="F7424">
            <v>10.712165397923901</v>
          </cell>
        </row>
        <row r="7425">
          <cell r="B7425" t="str">
            <v>70348903</v>
          </cell>
          <cell r="C7425" t="str">
            <v>咔咔酷优特 胡桃木沸石香氛 苍玉紫檀香型 清新白茶香型 65G</v>
          </cell>
          <cell r="D7425">
            <v>82</v>
          </cell>
          <cell r="E7425">
            <v>4163.07</v>
          </cell>
          <cell r="F7425">
            <v>57.369135365853701</v>
          </cell>
        </row>
        <row r="7426">
          <cell r="B7426" t="str">
            <v>70348904</v>
          </cell>
          <cell r="C7426" t="str">
            <v>咔咔酷优特 吉祥鸟沸石香氛 苍玉紫檀香型 淡雅海洋香型 140G</v>
          </cell>
          <cell r="D7426">
            <v>163</v>
          </cell>
          <cell r="E7426">
            <v>9758.6299999999992</v>
          </cell>
          <cell r="F7426">
            <v>67.651852147239296</v>
          </cell>
        </row>
        <row r="7427">
          <cell r="B7427" t="str">
            <v>70348905</v>
          </cell>
          <cell r="C7427" t="str">
            <v>咔咔酷优特 除味活性炭罐 90G</v>
          </cell>
          <cell r="D7427">
            <v>443</v>
          </cell>
          <cell r="E7427">
            <v>2429.2800000000002</v>
          </cell>
          <cell r="F7427">
            <v>6.1965832957110596</v>
          </cell>
        </row>
        <row r="7428">
          <cell r="B7428" t="str">
            <v>70385728</v>
          </cell>
          <cell r="C7428" t="str">
            <v>昆仑之星 RHY1803柴油防凝剂 0.38KG/桶</v>
          </cell>
          <cell r="D7428">
            <v>2430</v>
          </cell>
          <cell r="E7428">
            <v>66582.759999999995</v>
          </cell>
          <cell r="F7428">
            <v>30.962353415637899</v>
          </cell>
        </row>
        <row r="7429">
          <cell r="B7429" t="str">
            <v>70405855</v>
          </cell>
          <cell r="C7429" t="str">
            <v>昆觅 油铁桶 10L</v>
          </cell>
          <cell r="D7429">
            <v>127</v>
          </cell>
          <cell r="E7429">
            <v>3746.32</v>
          </cell>
          <cell r="F7429">
            <v>33.333398425196798</v>
          </cell>
        </row>
        <row r="7430">
          <cell r="B7430" t="str">
            <v>70405856</v>
          </cell>
          <cell r="C7430" t="str">
            <v>昆觅 油铁桶 30L</v>
          </cell>
          <cell r="D7430">
            <v>70</v>
          </cell>
          <cell r="E7430">
            <v>3441.17</v>
          </cell>
          <cell r="F7430">
            <v>55.550315714285702</v>
          </cell>
        </row>
        <row r="7431">
          <cell r="B7431" t="str">
            <v>70405857</v>
          </cell>
          <cell r="C7431" t="str">
            <v>昆觅 油铁桶 20L</v>
          </cell>
          <cell r="D7431">
            <v>277</v>
          </cell>
          <cell r="E7431">
            <v>11162.18</v>
          </cell>
          <cell r="F7431">
            <v>45.535246931407897</v>
          </cell>
        </row>
        <row r="7432">
          <cell r="B7432" t="str">
            <v>70534676</v>
          </cell>
          <cell r="C7432" t="str">
            <v>金雪驰 LEC40机动车发动机冷却液 10L</v>
          </cell>
          <cell r="D7432">
            <v>402</v>
          </cell>
          <cell r="E7432">
            <v>18628.75</v>
          </cell>
          <cell r="F7432">
            <v>52.3643967661692</v>
          </cell>
        </row>
        <row r="7433">
          <cell r="B7433" t="str">
            <v>70536789</v>
          </cell>
          <cell r="C7433" t="str">
            <v>咔咔酷优特 汽车风窗玻璃清洗液-40℃（新疆） 2L</v>
          </cell>
          <cell r="D7433">
            <v>239937</v>
          </cell>
          <cell r="E7433">
            <v>848350.97</v>
          </cell>
          <cell r="F7433">
            <v>3.9953679344994701</v>
          </cell>
        </row>
        <row r="7434">
          <cell r="B7434" t="str">
            <v>70536790</v>
          </cell>
          <cell r="C7434" t="str">
            <v>咔咔酷优特 汽车风窗玻璃清洗液0℃（新疆） 2L</v>
          </cell>
          <cell r="D7434">
            <v>639677</v>
          </cell>
          <cell r="E7434">
            <v>1843738.07</v>
          </cell>
          <cell r="F7434">
            <v>3.25699379389911</v>
          </cell>
        </row>
        <row r="7435">
          <cell r="B7435" t="str">
            <v>70536791</v>
          </cell>
          <cell r="C7435" t="str">
            <v>咔咔酷优特 AUS32柴油尾气净化液（新疆） 10KG</v>
          </cell>
          <cell r="D7435">
            <v>127399</v>
          </cell>
          <cell r="E7435">
            <v>1807988.49</v>
          </cell>
          <cell r="F7435">
            <v>16.036444506628801</v>
          </cell>
        </row>
        <row r="7436">
          <cell r="B7436" t="str">
            <v>70536792</v>
          </cell>
          <cell r="C7436" t="str">
            <v>咔咔酷优特 AUS32柴油尾气净化液（新疆） 20KG</v>
          </cell>
          <cell r="D7436">
            <v>64148</v>
          </cell>
          <cell r="E7436">
            <v>1794430.54</v>
          </cell>
          <cell r="F7436">
            <v>31.609816521169801</v>
          </cell>
        </row>
        <row r="7437">
          <cell r="B7437" t="str">
            <v>70542724</v>
          </cell>
          <cell r="C7437" t="str">
            <v>柏驰 -45℃有机型防冻液/冷却液（绿色） 1KG</v>
          </cell>
          <cell r="D7437">
            <v>9774</v>
          </cell>
          <cell r="E7437">
            <v>90912.95</v>
          </cell>
          <cell r="F7437">
            <v>10.510705289543701</v>
          </cell>
        </row>
        <row r="7438">
          <cell r="B7438" t="str">
            <v>70542725</v>
          </cell>
          <cell r="C7438" t="str">
            <v>柏驰 -45℃有机型防冻液/冷却液（红色） 1KG</v>
          </cell>
          <cell r="D7438">
            <v>9113</v>
          </cell>
          <cell r="E7438">
            <v>84759.4</v>
          </cell>
          <cell r="F7438">
            <v>10.510053988807201</v>
          </cell>
        </row>
        <row r="7439">
          <cell r="B7439" t="str">
            <v>70542726</v>
          </cell>
          <cell r="C7439" t="str">
            <v>柏驰 -45℃有机型防冻液/冷却液（绿色） 4KG</v>
          </cell>
          <cell r="D7439">
            <v>2497</v>
          </cell>
          <cell r="E7439">
            <v>68014.710000000006</v>
          </cell>
          <cell r="F7439">
            <v>30.7795844213056</v>
          </cell>
        </row>
        <row r="7440">
          <cell r="B7440" t="str">
            <v>70542727</v>
          </cell>
          <cell r="C7440" t="str">
            <v>柏驰 -45℃有机型防冻液/冷却液（红色） 4KG</v>
          </cell>
          <cell r="D7440">
            <v>3305</v>
          </cell>
          <cell r="E7440">
            <v>90025.95</v>
          </cell>
          <cell r="F7440">
            <v>30.780430711043898</v>
          </cell>
        </row>
        <row r="7441">
          <cell r="B7441" t="str">
            <v>70542728</v>
          </cell>
          <cell r="C7441" t="str">
            <v>柏驰 冷却液 绿色(-45°) 9KG</v>
          </cell>
          <cell r="D7441">
            <v>313</v>
          </cell>
          <cell r="E7441">
            <v>12807.57</v>
          </cell>
          <cell r="F7441">
            <v>46.2381920127795</v>
          </cell>
        </row>
        <row r="7442">
          <cell r="B7442" t="str">
            <v>70575092</v>
          </cell>
          <cell r="C7442" t="str">
            <v>得孚 虫胶祛除剂 100ML</v>
          </cell>
          <cell r="D7442">
            <v>29142</v>
          </cell>
          <cell r="E7442">
            <v>704435.76</v>
          </cell>
          <cell r="F7442">
            <v>27.3149546633725</v>
          </cell>
        </row>
        <row r="7443">
          <cell r="B7443" t="str">
            <v>70575093</v>
          </cell>
          <cell r="C7443" t="str">
            <v>得孚 内饰清洗剂 100ML</v>
          </cell>
          <cell r="D7443">
            <v>30603</v>
          </cell>
          <cell r="E7443">
            <v>747459.14</v>
          </cell>
          <cell r="F7443">
            <v>27.599543449988602</v>
          </cell>
        </row>
        <row r="7444">
          <cell r="B7444" t="str">
            <v>70575094</v>
          </cell>
          <cell r="C7444" t="str">
            <v>得孚 玻璃防雾喷剂 100ML</v>
          </cell>
          <cell r="D7444">
            <v>27206</v>
          </cell>
          <cell r="E7444">
            <v>649880.30000000005</v>
          </cell>
          <cell r="F7444">
            <v>26.9927493567595</v>
          </cell>
        </row>
        <row r="7445">
          <cell r="B7445" t="str">
            <v>70575095</v>
          </cell>
          <cell r="C7445" t="str">
            <v>得孚 小分子车漆镀膜 100ML</v>
          </cell>
          <cell r="D7445">
            <v>27844</v>
          </cell>
          <cell r="E7445">
            <v>666740.73</v>
          </cell>
          <cell r="F7445">
            <v>27.058505419479999</v>
          </cell>
        </row>
        <row r="7446">
          <cell r="B7446" t="str">
            <v>70575797</v>
          </cell>
          <cell r="C7446" t="str">
            <v>咔咔酷优特 异味除臭喷雾 30ML</v>
          </cell>
          <cell r="D7446">
            <v>16</v>
          </cell>
          <cell r="E7446">
            <v>145.72</v>
          </cell>
          <cell r="F7446">
            <v>10.291475</v>
          </cell>
        </row>
        <row r="7447">
          <cell r="B7447" t="str">
            <v>70575798</v>
          </cell>
          <cell r="C7447" t="str">
            <v>咔咔酷优特 异味除臭喷雾 100ML</v>
          </cell>
          <cell r="D7447">
            <v>18</v>
          </cell>
          <cell r="E7447">
            <v>324.49</v>
          </cell>
          <cell r="F7447">
            <v>20.370761111111101</v>
          </cell>
        </row>
        <row r="7448">
          <cell r="B7448" t="str">
            <v>70575799</v>
          </cell>
          <cell r="C7448" t="str">
            <v>咔咔酷优特 香氛挂片 1片</v>
          </cell>
          <cell r="D7448">
            <v>180</v>
          </cell>
          <cell r="E7448">
            <v>482.73</v>
          </cell>
          <cell r="F7448">
            <v>3.0304716666666698</v>
          </cell>
        </row>
        <row r="7449">
          <cell r="B7449" t="str">
            <v>70575800</v>
          </cell>
          <cell r="C7449" t="str">
            <v>咔咔酷优特 布艺香包 25G</v>
          </cell>
          <cell r="D7449">
            <v>20</v>
          </cell>
          <cell r="E7449">
            <v>611.5</v>
          </cell>
          <cell r="F7449">
            <v>34.549750000000003</v>
          </cell>
        </row>
        <row r="7450">
          <cell r="B7450" t="str">
            <v>70575801</v>
          </cell>
          <cell r="C7450" t="str">
            <v>咔咔酷优特 车载家居两用香包简盒装 20G</v>
          </cell>
          <cell r="D7450">
            <v>20</v>
          </cell>
          <cell r="E7450">
            <v>646.73</v>
          </cell>
          <cell r="F7450">
            <v>36.540244999999999</v>
          </cell>
        </row>
        <row r="7451">
          <cell r="B7451" t="str">
            <v>70575803</v>
          </cell>
          <cell r="C7451" t="str">
            <v>咔咔酷优特 品牌无火香氛 100ML</v>
          </cell>
          <cell r="D7451">
            <v>7</v>
          </cell>
          <cell r="E7451">
            <v>414.99</v>
          </cell>
          <cell r="F7451">
            <v>66.991242857142893</v>
          </cell>
        </row>
        <row r="7452">
          <cell r="B7452" t="str">
            <v>70575804</v>
          </cell>
          <cell r="C7452" t="str">
            <v>咔咔酷优特 品牌无火香氛 150ML</v>
          </cell>
          <cell r="D7452">
            <v>10</v>
          </cell>
          <cell r="E7452">
            <v>729.47</v>
          </cell>
          <cell r="F7452">
            <v>82.430109999999999</v>
          </cell>
        </row>
        <row r="7453">
          <cell r="B7453" t="str">
            <v>70575806</v>
          </cell>
          <cell r="C7453" t="str">
            <v>咔咔酷优特 车载香囊幸运吊饰 1个</v>
          </cell>
          <cell r="D7453">
            <v>8</v>
          </cell>
          <cell r="E7453">
            <v>163.54</v>
          </cell>
          <cell r="F7453">
            <v>23.100024999999999</v>
          </cell>
        </row>
        <row r="7454">
          <cell r="B7454" t="str">
            <v>70575808</v>
          </cell>
          <cell r="C7454" t="str">
            <v>咔咔酷优特 香薰石膏蜡片 1个</v>
          </cell>
          <cell r="D7454">
            <v>20</v>
          </cell>
          <cell r="E7454">
            <v>390.27</v>
          </cell>
          <cell r="F7454">
            <v>22.050255</v>
          </cell>
        </row>
        <row r="7455">
          <cell r="B7455" t="str">
            <v>70575810</v>
          </cell>
          <cell r="C7455" t="str">
            <v>咔咔酷优特 高级车载香薰挂件 1盒</v>
          </cell>
          <cell r="D7455">
            <v>9</v>
          </cell>
          <cell r="E7455">
            <v>196.57</v>
          </cell>
          <cell r="F7455">
            <v>24.6804555555556</v>
          </cell>
        </row>
        <row r="7456">
          <cell r="B7456" t="str">
            <v>70575811</v>
          </cell>
          <cell r="C7456" t="str">
            <v>咔咔酷优特 天然沉香车用香囊包 1盒</v>
          </cell>
          <cell r="D7456">
            <v>10</v>
          </cell>
          <cell r="E7456">
            <v>492.48</v>
          </cell>
          <cell r="F7456">
            <v>55.650239999999997</v>
          </cell>
        </row>
        <row r="7457">
          <cell r="B7457" t="str">
            <v>70579075</v>
          </cell>
          <cell r="C7457" t="str">
            <v>咔咔酷优特 柴油尾气净化液AUS32（湖北） 10KG</v>
          </cell>
          <cell r="D7457">
            <v>39182</v>
          </cell>
          <cell r="E7457">
            <v>558965.96</v>
          </cell>
          <cell r="F7457">
            <v>16.120451605328999</v>
          </cell>
        </row>
        <row r="7458">
          <cell r="B7458" t="str">
            <v>70579077</v>
          </cell>
          <cell r="C7458" t="str">
            <v>咔咔酷优特 柴油尾气净化液AUS32（湖北） 20KG</v>
          </cell>
          <cell r="D7458">
            <v>3530</v>
          </cell>
          <cell r="E7458">
            <v>98212.84</v>
          </cell>
          <cell r="F7458">
            <v>31.439237733711</v>
          </cell>
        </row>
        <row r="7459">
          <cell r="B7459" t="str">
            <v>70640358</v>
          </cell>
          <cell r="C7459" t="str">
            <v>柏驰 塑料件光亮剂 500ML</v>
          </cell>
          <cell r="D7459">
            <v>61</v>
          </cell>
          <cell r="E7459">
            <v>1079.67</v>
          </cell>
          <cell r="F7459">
            <v>20.000444262295101</v>
          </cell>
        </row>
        <row r="7460">
          <cell r="B7460" t="str">
            <v>70640359</v>
          </cell>
          <cell r="C7460" t="str">
            <v>柏驰 多功能清洁剂 500ML</v>
          </cell>
          <cell r="D7460">
            <v>49</v>
          </cell>
          <cell r="E7460">
            <v>780.55</v>
          </cell>
          <cell r="F7460">
            <v>18.000438775510201</v>
          </cell>
        </row>
        <row r="7461">
          <cell r="B7461" t="str">
            <v>70640360</v>
          </cell>
          <cell r="C7461" t="str">
            <v>柏驰 内饰丝绒织物清洁剂 500ML</v>
          </cell>
          <cell r="D7461">
            <v>14</v>
          </cell>
          <cell r="E7461">
            <v>247.79</v>
          </cell>
          <cell r="F7461">
            <v>20.000192857142899</v>
          </cell>
        </row>
        <row r="7462">
          <cell r="B7462" t="str">
            <v>70680338</v>
          </cell>
          <cell r="C7462" t="str">
            <v>乔霸 900A电瓶搭火线 3.6M</v>
          </cell>
          <cell r="D7462">
            <v>46</v>
          </cell>
          <cell r="E7462">
            <v>4274.32</v>
          </cell>
          <cell r="F7462">
            <v>104.9996</v>
          </cell>
        </row>
        <row r="7463">
          <cell r="B7463" t="str">
            <v>70680339</v>
          </cell>
          <cell r="C7463" t="str">
            <v>乔霸 600A电瓶搭火线 3M</v>
          </cell>
          <cell r="D7463">
            <v>107</v>
          </cell>
          <cell r="E7463">
            <v>6628.37</v>
          </cell>
          <cell r="F7463">
            <v>70.000542990654196</v>
          </cell>
        </row>
        <row r="7464">
          <cell r="B7464" t="str">
            <v>70680838</v>
          </cell>
          <cell r="C7464" t="str">
            <v>乔霸 越野10吨拖车绳 6M</v>
          </cell>
          <cell r="D7464">
            <v>10</v>
          </cell>
          <cell r="E7464">
            <v>1194.69</v>
          </cell>
          <cell r="F7464">
            <v>134.99996999999999</v>
          </cell>
        </row>
        <row r="7465">
          <cell r="B7465" t="str">
            <v>70680839</v>
          </cell>
          <cell r="C7465" t="str">
            <v>乔霸 6米10吨拖车绳 6M</v>
          </cell>
          <cell r="D7465">
            <v>94</v>
          </cell>
          <cell r="E7465">
            <v>4991.2</v>
          </cell>
          <cell r="F7465">
            <v>60.000595744680801</v>
          </cell>
        </row>
        <row r="7466">
          <cell r="B7466" t="str">
            <v>79405852</v>
          </cell>
          <cell r="C7466" t="str">
            <v>昆仑之星 AUS32柴油尾气净化液 20KG</v>
          </cell>
          <cell r="D7466">
            <v>45607</v>
          </cell>
          <cell r="E7466">
            <v>1248884.3600000001</v>
          </cell>
          <cell r="F7466">
            <v>30.943480755147199</v>
          </cell>
        </row>
        <row r="7467">
          <cell r="B7467" t="str">
            <v>400130</v>
          </cell>
          <cell r="C7467" t="str">
            <v>昆仑天威 GL-5 85W-90重负荷车辆齿轮油 3.5kg/桶</v>
          </cell>
          <cell r="D7467">
            <v>208</v>
          </cell>
          <cell r="E7467">
            <v>11169.49</v>
          </cell>
          <cell r="F7467">
            <v>60.680402403846202</v>
          </cell>
        </row>
        <row r="7468">
          <cell r="B7468" t="str">
            <v>400132</v>
          </cell>
          <cell r="C7468" t="str">
            <v>昆仑天威货用车专用重负荷车辆齿轮油 GL-5 85W-90 16kg/桶</v>
          </cell>
          <cell r="D7468">
            <v>8</v>
          </cell>
          <cell r="E7468">
            <v>1844.96</v>
          </cell>
          <cell r="F7468">
            <v>260.60059999999999</v>
          </cell>
        </row>
        <row r="7469">
          <cell r="B7469" t="str">
            <v>400138</v>
          </cell>
          <cell r="C7469" t="str">
            <v>昆仑中负荷工业齿轮油 L-CKC100 170kg/桶</v>
          </cell>
          <cell r="D7469">
            <v>8</v>
          </cell>
          <cell r="E7469">
            <v>16191.56</v>
          </cell>
          <cell r="F7469">
            <v>2287.0578500000001</v>
          </cell>
        </row>
        <row r="7470">
          <cell r="B7470" t="str">
            <v>400160</v>
          </cell>
          <cell r="C7470" t="str">
            <v>昆仑空气压缩机油 L-DAB150 170kg/桶</v>
          </cell>
          <cell r="D7470">
            <v>7</v>
          </cell>
          <cell r="E7470">
            <v>14549.54</v>
          </cell>
          <cell r="F7470">
            <v>2348.7114571428601</v>
          </cell>
        </row>
        <row r="7471">
          <cell r="B7471" t="str">
            <v>400303</v>
          </cell>
          <cell r="C7471" t="str">
            <v>昆仑天鸿重载型商用车用油 CF-4 10W-30 3.5kg/桶 兰州</v>
          </cell>
          <cell r="D7471">
            <v>213</v>
          </cell>
          <cell r="E7471">
            <v>10329.129999999999</v>
          </cell>
          <cell r="F7471">
            <v>54.797731924882598</v>
          </cell>
        </row>
        <row r="7472">
          <cell r="B7472" t="str">
            <v>400311</v>
          </cell>
          <cell r="C7472" t="str">
            <v>昆仑天鸿重载型商用车用油 CF-4 20W-50 3.5kg/桶</v>
          </cell>
          <cell r="D7472">
            <v>112</v>
          </cell>
          <cell r="E7472">
            <v>5871.64</v>
          </cell>
          <cell r="F7472">
            <v>59.240653571428602</v>
          </cell>
        </row>
        <row r="7473">
          <cell r="B7473" t="str">
            <v>400313</v>
          </cell>
          <cell r="C7473" t="str">
            <v>昆仑天鸿重载型商用车用油 CF-4 20W-50 16kg/桶</v>
          </cell>
          <cell r="D7473">
            <v>100</v>
          </cell>
          <cell r="E7473">
            <v>19715.98</v>
          </cell>
          <cell r="F7473">
            <v>222.79057399999999</v>
          </cell>
        </row>
        <row r="7474">
          <cell r="B7474" t="str">
            <v>400337</v>
          </cell>
          <cell r="C7474" t="str">
            <v>昆仑天鸿重载型商用车用油 CD 20W-50 16kg/桶</v>
          </cell>
          <cell r="D7474">
            <v>116</v>
          </cell>
          <cell r="E7474">
            <v>20513.12</v>
          </cell>
          <cell r="F7474">
            <v>199.826082758621</v>
          </cell>
        </row>
        <row r="7475">
          <cell r="B7475" t="str">
            <v>400339</v>
          </cell>
          <cell r="C7475" t="str">
            <v>昆仑天鸿 柴油机油 CD 30 3.5kg/桶</v>
          </cell>
          <cell r="D7475">
            <v>9</v>
          </cell>
          <cell r="E7475">
            <v>371.8</v>
          </cell>
          <cell r="F7475">
            <v>46.681555555555498</v>
          </cell>
        </row>
        <row r="7476">
          <cell r="B7476" t="str">
            <v>400343</v>
          </cell>
          <cell r="C7476" t="str">
            <v>昆仑 天鸿CD40柴机油 3.5Kg/桶 兰洲</v>
          </cell>
          <cell r="D7476">
            <v>355</v>
          </cell>
          <cell r="E7476">
            <v>15606.05</v>
          </cell>
          <cell r="F7476">
            <v>49.675595774647903</v>
          </cell>
        </row>
        <row r="7477">
          <cell r="B7477" t="str">
            <v>400533</v>
          </cell>
          <cell r="C7477" t="str">
            <v>昆仑天威 CH-4 15W-40柴油机油 3.5kg/桶</v>
          </cell>
          <cell r="D7477">
            <v>20</v>
          </cell>
          <cell r="E7477">
            <v>1302.51</v>
          </cell>
          <cell r="F7477">
            <v>73.591814999999997</v>
          </cell>
        </row>
        <row r="7478">
          <cell r="B7478" t="str">
            <v>400535</v>
          </cell>
          <cell r="C7478" t="str">
            <v>昆仑天威 CH-4 15W-40柴油机油 16kg/桶</v>
          </cell>
          <cell r="D7478">
            <v>5</v>
          </cell>
          <cell r="E7478">
            <v>1231.73</v>
          </cell>
          <cell r="F7478">
            <v>278.37097999999997</v>
          </cell>
        </row>
        <row r="7479">
          <cell r="B7479" t="str">
            <v>400539</v>
          </cell>
          <cell r="C7479" t="str">
            <v>昆仑天威 CH-4 20W-50柴油机油 16kg/桶</v>
          </cell>
          <cell r="D7479">
            <v>4</v>
          </cell>
          <cell r="E7479">
            <v>1053.76</v>
          </cell>
          <cell r="F7479">
            <v>297.68720000000002</v>
          </cell>
        </row>
        <row r="7480">
          <cell r="B7480" t="str">
            <v>400744</v>
          </cell>
          <cell r="C7480" t="str">
            <v>昆仑天骄公交专用高级燃气发动机油 低灰 15W-40 3.5KG/桶 兰州</v>
          </cell>
          <cell r="D7480">
            <v>8</v>
          </cell>
          <cell r="E7480">
            <v>562.04</v>
          </cell>
          <cell r="F7480">
            <v>79.388149999999996</v>
          </cell>
        </row>
        <row r="7481">
          <cell r="B7481" t="str">
            <v>400861</v>
          </cell>
          <cell r="C7481" t="str">
            <v>昆仑低温抗磨液压油 L-HV 46 170kg/桶</v>
          </cell>
          <cell r="D7481">
            <v>5</v>
          </cell>
          <cell r="E7481">
            <v>11191.38</v>
          </cell>
          <cell r="F7481">
            <v>2529.2518799999998</v>
          </cell>
        </row>
        <row r="7482">
          <cell r="B7482" t="str">
            <v>401206</v>
          </cell>
          <cell r="C7482" t="str">
            <v>昆仑天鸿 重负荷车辆齿轮油 GL-5 80W-90 3.5kg/桶</v>
          </cell>
          <cell r="D7482">
            <v>65</v>
          </cell>
          <cell r="E7482">
            <v>3447.25</v>
          </cell>
          <cell r="F7482">
            <v>59.9291153846154</v>
          </cell>
        </row>
        <row r="7483">
          <cell r="B7483" t="str">
            <v>401210</v>
          </cell>
          <cell r="C7483" t="str">
            <v>昆仑天鸿重负荷车辆齿轮油 GL-5 85W-90 3.5kg/桶</v>
          </cell>
          <cell r="D7483">
            <v>25</v>
          </cell>
          <cell r="E7483">
            <v>1337.02</v>
          </cell>
          <cell r="F7483">
            <v>60.433304</v>
          </cell>
        </row>
        <row r="7484">
          <cell r="B7484" t="str">
            <v>401212</v>
          </cell>
          <cell r="C7484" t="str">
            <v>昆仑天鸿重负荷车辆齿轮油 GL-5 85W-90 16KG/桶</v>
          </cell>
          <cell r="D7484">
            <v>163</v>
          </cell>
          <cell r="E7484">
            <v>37800.089999999997</v>
          </cell>
          <cell r="F7484">
            <v>262.04970368098202</v>
          </cell>
        </row>
        <row r="7485">
          <cell r="B7485" t="str">
            <v>401245</v>
          </cell>
          <cell r="C7485" t="str">
            <v>昆仑天鸿重载型柴油发动机油 CF-4 15W-40 3.5kg/桶</v>
          </cell>
          <cell r="D7485">
            <v>239</v>
          </cell>
          <cell r="E7485">
            <v>11115.28</v>
          </cell>
          <cell r="F7485">
            <v>52.553415899581601</v>
          </cell>
        </row>
        <row r="7486">
          <cell r="B7486" t="str">
            <v>401265</v>
          </cell>
          <cell r="C7486" t="str">
            <v>昆仑天鸿柴油机油 CD 10W-30 3.5kg/桶</v>
          </cell>
          <cell r="D7486">
            <v>52</v>
          </cell>
          <cell r="E7486">
            <v>2131.39</v>
          </cell>
          <cell r="F7486">
            <v>46.316744230769203</v>
          </cell>
        </row>
        <row r="7487">
          <cell r="B7487" t="str">
            <v>401267</v>
          </cell>
          <cell r="C7487" t="str">
            <v>昆仑天鸿柴油机油 CD 10W-30 16kg/桶</v>
          </cell>
          <cell r="D7487">
            <v>36</v>
          </cell>
          <cell r="E7487">
            <v>6385.72</v>
          </cell>
          <cell r="F7487">
            <v>200.44065555555599</v>
          </cell>
        </row>
        <row r="7488">
          <cell r="B7488" t="str">
            <v>401269</v>
          </cell>
          <cell r="C7488" t="str">
            <v>昆仑天鸿柴油机油 CD 15W-40 3.5KG/桶</v>
          </cell>
          <cell r="D7488">
            <v>129</v>
          </cell>
          <cell r="E7488">
            <v>5160.1099999999997</v>
          </cell>
          <cell r="F7488">
            <v>45.200963565891499</v>
          </cell>
        </row>
        <row r="7489">
          <cell r="B7489" t="str">
            <v>401271</v>
          </cell>
          <cell r="C7489" t="str">
            <v>昆仑天鸿柴油机油 CD15W/40  16KG/桶</v>
          </cell>
          <cell r="D7489">
            <v>35</v>
          </cell>
          <cell r="E7489">
            <v>6239.67</v>
          </cell>
          <cell r="F7489">
            <v>201.45220285714299</v>
          </cell>
        </row>
        <row r="7490">
          <cell r="B7490" t="str">
            <v>401273</v>
          </cell>
          <cell r="C7490" t="str">
            <v>昆仑天鸿柴油机油 CD 20W-50 3.5kg/桶</v>
          </cell>
          <cell r="D7490">
            <v>49</v>
          </cell>
          <cell r="E7490">
            <v>2137.59</v>
          </cell>
          <cell r="F7490">
            <v>49.295442857142902</v>
          </cell>
        </row>
        <row r="7491">
          <cell r="B7491" t="str">
            <v>401279</v>
          </cell>
          <cell r="C7491" t="str">
            <v>昆仑天鸿柴油机油 CD 30 16kg/桶</v>
          </cell>
          <cell r="D7491">
            <v>3</v>
          </cell>
          <cell r="E7491">
            <v>533.42999999999995</v>
          </cell>
          <cell r="F7491">
            <v>200.92529999999999</v>
          </cell>
        </row>
        <row r="7492">
          <cell r="B7492" t="str">
            <v>401283</v>
          </cell>
          <cell r="C7492" t="str">
            <v>昆仑天鸿柴油机油 CD 40 16kg/桶</v>
          </cell>
          <cell r="D7492">
            <v>55</v>
          </cell>
          <cell r="E7492">
            <v>10321.92</v>
          </cell>
          <cell r="F7492">
            <v>212.06853818181801</v>
          </cell>
        </row>
        <row r="7493">
          <cell r="B7493" t="str">
            <v>401285</v>
          </cell>
          <cell r="C7493" t="str">
            <v>昆仑天鸿柴油机油 CD 50 3.5kg/桶</v>
          </cell>
          <cell r="D7493">
            <v>192</v>
          </cell>
          <cell r="E7493">
            <v>8750.91</v>
          </cell>
          <cell r="F7493">
            <v>51.502751562500002</v>
          </cell>
        </row>
        <row r="7494">
          <cell r="B7494" t="str">
            <v>401287</v>
          </cell>
          <cell r="C7494" t="str">
            <v>昆仑天鸿柴油机油 CD 50 16kg/桶</v>
          </cell>
          <cell r="D7494">
            <v>5</v>
          </cell>
          <cell r="E7494">
            <v>894.84</v>
          </cell>
          <cell r="F7494">
            <v>202.23383999999999</v>
          </cell>
        </row>
        <row r="7495">
          <cell r="B7495" t="str">
            <v>401678</v>
          </cell>
          <cell r="C7495" t="str">
            <v>昆仑通用锂基润滑脂 3号 15kg/桶</v>
          </cell>
          <cell r="D7495">
            <v>1063</v>
          </cell>
          <cell r="E7495">
            <v>266086.21000000002</v>
          </cell>
          <cell r="F7495">
            <v>282.85740103480703</v>
          </cell>
        </row>
        <row r="7496">
          <cell r="B7496" t="str">
            <v>401818</v>
          </cell>
          <cell r="C7496" t="str">
            <v>美孚黄油 1kg/桶</v>
          </cell>
          <cell r="D7496">
            <v>6</v>
          </cell>
          <cell r="E7496">
            <v>278.76</v>
          </cell>
          <cell r="F7496">
            <v>52.4998</v>
          </cell>
        </row>
        <row r="7497">
          <cell r="B7497" t="str">
            <v>401943</v>
          </cell>
          <cell r="C7497" t="str">
            <v>昆仑天工拖拉机液压传动刹车三用油 16KG/桶</v>
          </cell>
          <cell r="D7497">
            <v>24</v>
          </cell>
          <cell r="E7497">
            <v>6116.81</v>
          </cell>
          <cell r="F7497">
            <v>287.99980416666699</v>
          </cell>
        </row>
        <row r="7498">
          <cell r="B7498" t="str">
            <v>402100</v>
          </cell>
          <cell r="C7498" t="str">
            <v>美孚黑霸王齿轮油 CG-4 80W-90 3.5kg/桶</v>
          </cell>
          <cell r="D7498">
            <v>58</v>
          </cell>
          <cell r="E7498">
            <v>3457.21</v>
          </cell>
          <cell r="F7498">
            <v>67.355987931034505</v>
          </cell>
        </row>
        <row r="7499">
          <cell r="B7499" t="str">
            <v>402314</v>
          </cell>
          <cell r="C7499" t="str">
            <v>昆仑之星通用锂基润滑脂 3号 5KG/桶 无锡脂</v>
          </cell>
          <cell r="D7499">
            <v>3</v>
          </cell>
          <cell r="E7499">
            <v>186.2</v>
          </cell>
          <cell r="F7499">
            <v>70.135333333333307</v>
          </cell>
        </row>
        <row r="7500">
          <cell r="B7500" t="str">
            <v>402818</v>
          </cell>
          <cell r="C7500" t="str">
            <v>美孚机油1号 SM/CF 5W-40 3.5kg/桶 上海美孚</v>
          </cell>
          <cell r="D7500">
            <v>2</v>
          </cell>
          <cell r="E7500">
            <v>461.85</v>
          </cell>
          <cell r="F7500">
            <v>260.94524999999999</v>
          </cell>
        </row>
        <row r="7501">
          <cell r="B7501" t="str">
            <v>409102</v>
          </cell>
          <cell r="C7501" t="str">
            <v>昆仑K8-22 50重负荷液力传动油 170kg/钢桶</v>
          </cell>
          <cell r="D7501">
            <v>3</v>
          </cell>
          <cell r="E7501">
            <v>11306.55</v>
          </cell>
          <cell r="F7501">
            <v>4258.8005000000003</v>
          </cell>
        </row>
        <row r="7502">
          <cell r="B7502" t="str">
            <v>409141</v>
          </cell>
          <cell r="C7502" t="str">
            <v>昆仑天润KR6 SL 15W-40汽油机油 3.5kg/桶</v>
          </cell>
          <cell r="D7502">
            <v>299</v>
          </cell>
          <cell r="E7502">
            <v>16163.34</v>
          </cell>
          <cell r="F7502">
            <v>61.085532441471599</v>
          </cell>
        </row>
        <row r="7503">
          <cell r="B7503" t="str">
            <v>409144</v>
          </cell>
          <cell r="C7503" t="str">
            <v>昆仑天润KR6 SL 10W-30汽油机油 3.5kg/桶</v>
          </cell>
          <cell r="D7503">
            <v>6</v>
          </cell>
          <cell r="E7503">
            <v>322.42</v>
          </cell>
          <cell r="F7503">
            <v>60.722433333333299</v>
          </cell>
        </row>
        <row r="7504">
          <cell r="B7504" t="str">
            <v>409149</v>
          </cell>
          <cell r="C7504" t="str">
            <v>昆仑天润KR7 SN\SM 10W-40汽油机油 170kg/钢桶</v>
          </cell>
          <cell r="D7504">
            <v>6</v>
          </cell>
          <cell r="E7504">
            <v>22300.880000000001</v>
          </cell>
          <cell r="F7504">
            <v>4199.9990666666699</v>
          </cell>
        </row>
        <row r="7505">
          <cell r="B7505" t="str">
            <v>409152</v>
          </cell>
          <cell r="C7505" t="str">
            <v>昆仑天润KR7 SN\SM 5W-40汽油机油 3.5kg/桶</v>
          </cell>
          <cell r="D7505">
            <v>2</v>
          </cell>
          <cell r="E7505">
            <v>167.72</v>
          </cell>
          <cell r="F7505">
            <v>94.761799999999994</v>
          </cell>
        </row>
        <row r="7506">
          <cell r="B7506" t="str">
            <v>409161</v>
          </cell>
          <cell r="C7506" t="str">
            <v>昆仑天润KR8 SN\SM\GF-5 5W-30汽油机油 3.5kg/桶</v>
          </cell>
          <cell r="D7506">
            <v>1</v>
          </cell>
          <cell r="E7506">
            <v>103.99</v>
          </cell>
          <cell r="F7506">
            <v>117.5087</v>
          </cell>
        </row>
        <row r="7507">
          <cell r="B7507" t="str">
            <v>409168</v>
          </cell>
          <cell r="C7507" t="str">
            <v>昆仑天润KR9 SN\GF-5 5W-30汽油机油 3.5kg/桶</v>
          </cell>
          <cell r="D7507">
            <v>50</v>
          </cell>
          <cell r="E7507">
            <v>8555.7999999999993</v>
          </cell>
          <cell r="F7507">
            <v>193.36107999999999</v>
          </cell>
        </row>
        <row r="7508">
          <cell r="B7508" t="str">
            <v>409171</v>
          </cell>
          <cell r="C7508" t="str">
            <v>昆仑天润KR9 SN\A3/B4\A3/B3 5W-40汽油机油0.85kg/桶</v>
          </cell>
          <cell r="D7508">
            <v>86</v>
          </cell>
          <cell r="E7508">
            <v>3928.27</v>
          </cell>
          <cell r="F7508">
            <v>51.615640697674401</v>
          </cell>
        </row>
        <row r="7509">
          <cell r="B7509" t="str">
            <v>409172</v>
          </cell>
          <cell r="C7509" t="str">
            <v>昆仑天润KR9 SN\A3/B4\A3/B3 5W-40汽油机油 3.5kg/桶</v>
          </cell>
          <cell r="D7509">
            <v>392</v>
          </cell>
          <cell r="E7509">
            <v>63264.23</v>
          </cell>
          <cell r="F7509">
            <v>182.36882627551</v>
          </cell>
        </row>
        <row r="7510">
          <cell r="B7510" t="str">
            <v>409173</v>
          </cell>
          <cell r="C7510" t="str">
            <v>昆仑天润KR9 SN\A3/B4\A3/B3 5W-40汽油机油170kg/钢桶</v>
          </cell>
          <cell r="D7510">
            <v>1</v>
          </cell>
          <cell r="E7510">
            <v>5989.38</v>
          </cell>
          <cell r="F7510">
            <v>6767.9993999999997</v>
          </cell>
        </row>
        <row r="7511">
          <cell r="B7511" t="str">
            <v>409176</v>
          </cell>
          <cell r="C7511" t="str">
            <v>昆仑天润KR9-T SN＋\GF-5 0W-20汽油机油 3.5kg/桶</v>
          </cell>
          <cell r="D7511">
            <v>94</v>
          </cell>
          <cell r="E7511">
            <v>17826.650000000001</v>
          </cell>
          <cell r="F7511">
            <v>214.299090425532</v>
          </cell>
        </row>
        <row r="7512">
          <cell r="B7512" t="str">
            <v>409180</v>
          </cell>
          <cell r="C7512" t="str">
            <v>昆仑天润KR9-T C5 0W-20汽油机油 3.5kg/桶</v>
          </cell>
          <cell r="D7512">
            <v>3</v>
          </cell>
          <cell r="E7512">
            <v>663.82</v>
          </cell>
          <cell r="F7512">
            <v>250.03886666666699</v>
          </cell>
        </row>
        <row r="7513">
          <cell r="B7513" t="str">
            <v>409211</v>
          </cell>
          <cell r="C7513" t="str">
            <v>昆仑天润KR9-T SN\A3/B4\A3/B3 0W-40汽油机油 3.5kg</v>
          </cell>
          <cell r="D7513">
            <v>142</v>
          </cell>
          <cell r="E7513">
            <v>33219.31</v>
          </cell>
          <cell r="F7513">
            <v>264.35084718309901</v>
          </cell>
        </row>
        <row r="7514">
          <cell r="B7514" t="str">
            <v>409213</v>
          </cell>
          <cell r="C7514" t="str">
            <v>昆仑天润KR9-T SN\A3/B4\A3/B3 0W-40汽油机油0.85kg</v>
          </cell>
          <cell r="D7514">
            <v>112</v>
          </cell>
          <cell r="E7514">
            <v>7631.97</v>
          </cell>
          <cell r="F7514">
            <v>77.001125892857104</v>
          </cell>
        </row>
        <row r="7515">
          <cell r="B7515" t="str">
            <v>409215</v>
          </cell>
          <cell r="C7515" t="str">
            <v>昆仑天润KR8 SN\SM\A3/B4\A3/B3 5W-40汽机油0.85kg</v>
          </cell>
          <cell r="D7515">
            <v>10</v>
          </cell>
          <cell r="E7515">
            <v>273.7</v>
          </cell>
          <cell r="F7515">
            <v>30.928100000000001</v>
          </cell>
        </row>
        <row r="7516">
          <cell r="B7516" t="str">
            <v>409217</v>
          </cell>
          <cell r="C7516" t="str">
            <v>昆仑天润KR8 SN\SM\A3/B4\A3/B3 5W-40汽油机油3.5kg</v>
          </cell>
          <cell r="D7516">
            <v>12</v>
          </cell>
          <cell r="E7516">
            <v>1244.8599999999999</v>
          </cell>
          <cell r="F7516">
            <v>117.22431666666699</v>
          </cell>
        </row>
        <row r="7517">
          <cell r="B7517" t="str">
            <v>409957</v>
          </cell>
          <cell r="C7517" t="str">
            <v>昆仑天润KR8 PLUS SN\A3B4\A3B3 5W-40汽油机油3.5kg</v>
          </cell>
          <cell r="D7517">
            <v>0</v>
          </cell>
          <cell r="E7517">
            <v>0</v>
          </cell>
          <cell r="F7517" t="e">
            <v>#DIV/0!</v>
          </cell>
        </row>
        <row r="7518">
          <cell r="B7518" t="str">
            <v>409999</v>
          </cell>
          <cell r="C7518" t="str">
            <v>昆仑天润KR-ATF T3高性能自动变速箱油 0.85kg/桶</v>
          </cell>
          <cell r="D7518">
            <v>7</v>
          </cell>
          <cell r="E7518">
            <v>167.39</v>
          </cell>
          <cell r="F7518">
            <v>27.0215285714286</v>
          </cell>
        </row>
        <row r="7519">
          <cell r="B7519" t="str">
            <v>410000</v>
          </cell>
          <cell r="C7519" t="str">
            <v>昆仑天润KR-ATF T6全合成高性能自动变速箱油 0.85kg/桶</v>
          </cell>
          <cell r="D7519">
            <v>1090</v>
          </cell>
          <cell r="E7519">
            <v>29902.65</v>
          </cell>
          <cell r="F7519">
            <v>30.9999949541284</v>
          </cell>
        </row>
        <row r="7520">
          <cell r="B7520" t="str">
            <v>410271</v>
          </cell>
          <cell r="C7520" t="str">
            <v>昆仑L-DRA46 Plus冷冻机油 170kg/钢桶</v>
          </cell>
          <cell r="D7520">
            <v>17</v>
          </cell>
          <cell r="E7520">
            <v>33325.519999999997</v>
          </cell>
          <cell r="F7520">
            <v>2215.16691764706</v>
          </cell>
        </row>
        <row r="7521">
          <cell r="B7521" t="str">
            <v>411066</v>
          </cell>
          <cell r="C7521" t="str">
            <v>昆仑KL-D润滑脂 3号 15kg/桶</v>
          </cell>
          <cell r="D7521">
            <v>10</v>
          </cell>
          <cell r="E7521">
            <v>1978.96</v>
          </cell>
          <cell r="F7521">
            <v>223.62248</v>
          </cell>
        </row>
        <row r="7522">
          <cell r="B7522" t="str">
            <v>411068</v>
          </cell>
          <cell r="C7522" t="str">
            <v>昆仑KL-D润滑脂 1号 15kg/桶</v>
          </cell>
          <cell r="D7522">
            <v>40</v>
          </cell>
          <cell r="E7522">
            <v>7357.79</v>
          </cell>
          <cell r="F7522">
            <v>207.85756749999999</v>
          </cell>
        </row>
        <row r="7523">
          <cell r="B7523" t="str">
            <v>411296</v>
          </cell>
          <cell r="C7523" t="str">
            <v>昆仑天威CK-4 15W-40柴油机油 16kg/桶</v>
          </cell>
          <cell r="D7523">
            <v>159</v>
          </cell>
          <cell r="E7523">
            <v>55043.8</v>
          </cell>
          <cell r="F7523">
            <v>391.19178616352201</v>
          </cell>
        </row>
        <row r="7524">
          <cell r="B7524" t="str">
            <v>411297</v>
          </cell>
          <cell r="C7524" t="str">
            <v>昆仑天威CK-4 15W-40柴油机油 170kg/钢桶</v>
          </cell>
          <cell r="D7524">
            <v>40</v>
          </cell>
          <cell r="E7524">
            <v>119729.52</v>
          </cell>
          <cell r="F7524">
            <v>3382.3589400000001</v>
          </cell>
        </row>
        <row r="7525">
          <cell r="B7525" t="str">
            <v>411302</v>
          </cell>
          <cell r="C7525" t="str">
            <v>昆仑天威CI-4 5W-40合成柴油机油 16kg/桶</v>
          </cell>
          <cell r="D7525">
            <v>40</v>
          </cell>
          <cell r="E7525">
            <v>11044.25</v>
          </cell>
          <cell r="F7525">
            <v>312.00006250000001</v>
          </cell>
        </row>
        <row r="7526">
          <cell r="B7526" t="str">
            <v>411306</v>
          </cell>
          <cell r="C7526" t="str">
            <v>昆仑天威CI-4 15W-40合成柴油机油 16kg/桶</v>
          </cell>
          <cell r="D7526">
            <v>103</v>
          </cell>
          <cell r="E7526">
            <v>24922.1</v>
          </cell>
          <cell r="F7526">
            <v>273.417213592233</v>
          </cell>
        </row>
        <row r="7527">
          <cell r="B7527" t="str">
            <v>411310</v>
          </cell>
          <cell r="C7527" t="str">
            <v>昆仑天威CI-4 15W-50合成柴油机油 16kg/桶</v>
          </cell>
          <cell r="D7527">
            <v>8</v>
          </cell>
          <cell r="E7527">
            <v>2149.2600000000002</v>
          </cell>
          <cell r="F7527">
            <v>303.58297499999998</v>
          </cell>
        </row>
        <row r="7528">
          <cell r="B7528" t="str">
            <v>411391</v>
          </cell>
          <cell r="C7528" t="str">
            <v>昆仑L-HM68抗磨液压油(高压H) 170kg/钢桶</v>
          </cell>
          <cell r="D7528">
            <v>29</v>
          </cell>
          <cell r="E7528">
            <v>58692.92</v>
          </cell>
          <cell r="F7528">
            <v>2286.9999862068998</v>
          </cell>
        </row>
        <row r="7529">
          <cell r="B7529" t="str">
            <v>411395</v>
          </cell>
          <cell r="C7529" t="str">
            <v>昆仑L-HM 46高压抗磨液压油(H) 16kg/桶</v>
          </cell>
          <cell r="D7529">
            <v>2556</v>
          </cell>
          <cell r="E7529">
            <v>476738.76</v>
          </cell>
          <cell r="F7529">
            <v>210.764788262911</v>
          </cell>
        </row>
        <row r="7530">
          <cell r="B7530" t="str">
            <v>411400</v>
          </cell>
          <cell r="C7530" t="str">
            <v>昆仑L-HM100抗磨液压油(增强型H) 170kg/钢桶</v>
          </cell>
          <cell r="D7530">
            <v>10</v>
          </cell>
          <cell r="E7530">
            <v>21571.68</v>
          </cell>
          <cell r="F7530">
            <v>2437.5998399999999</v>
          </cell>
        </row>
        <row r="7531">
          <cell r="B7531" t="str">
            <v>411403</v>
          </cell>
          <cell r="C7531" t="str">
            <v>昆仑L-HM68抗磨液压油(增强型H) 170kg/钢桶</v>
          </cell>
          <cell r="D7531">
            <v>4</v>
          </cell>
          <cell r="E7531">
            <v>7398.23</v>
          </cell>
          <cell r="F7531">
            <v>2089.9999750000002</v>
          </cell>
        </row>
        <row r="7532">
          <cell r="B7532" t="str">
            <v>411406</v>
          </cell>
          <cell r="C7532" t="str">
            <v>昆仑L-HM46抗磨液压油(增强型H) 170kg/钢桶</v>
          </cell>
          <cell r="D7532">
            <v>51</v>
          </cell>
          <cell r="E7532">
            <v>98850.19</v>
          </cell>
          <cell r="F7532">
            <v>2190.2100921568599</v>
          </cell>
        </row>
        <row r="7533">
          <cell r="B7533" t="str">
            <v>411409</v>
          </cell>
          <cell r="C7533" t="str">
            <v>昆仑L-HM32抗磨液压油(增强型H) 170kg/钢桶</v>
          </cell>
          <cell r="D7533">
            <v>6</v>
          </cell>
          <cell r="E7533">
            <v>11484.96</v>
          </cell>
          <cell r="F7533">
            <v>2163.0007999999998</v>
          </cell>
        </row>
        <row r="7534">
          <cell r="B7534" t="str">
            <v>411412</v>
          </cell>
          <cell r="C7534" t="str">
            <v>昆仑L-HM100抗磨液压油(H) 170kg/钢桶</v>
          </cell>
          <cell r="D7534">
            <v>35</v>
          </cell>
          <cell r="E7534">
            <v>71663.72</v>
          </cell>
          <cell r="F7534">
            <v>2313.7143885714299</v>
          </cell>
        </row>
        <row r="7535">
          <cell r="B7535" t="str">
            <v>411418</v>
          </cell>
          <cell r="C7535" t="str">
            <v>昆仑L-HM46抗磨液压油(H) 170kg/钢桶</v>
          </cell>
          <cell r="D7535">
            <v>141</v>
          </cell>
          <cell r="E7535">
            <v>257954.27</v>
          </cell>
          <cell r="F7535">
            <v>2067.2930858156001</v>
          </cell>
        </row>
        <row r="7536">
          <cell r="B7536" t="str">
            <v>412777</v>
          </cell>
          <cell r="C7536" t="str">
            <v>昆仑天润KR8 SP 5W-40汽油机油 3.5kg/桶</v>
          </cell>
          <cell r="D7536">
            <v>8</v>
          </cell>
          <cell r="E7536">
            <v>857.54</v>
          </cell>
          <cell r="F7536">
            <v>121.12752500000001</v>
          </cell>
        </row>
        <row r="7537">
          <cell r="B7537" t="str">
            <v>412795</v>
          </cell>
          <cell r="C7537" t="str">
            <v>昆仑天润KR9-T SP\GF-6A 0W-20汽油机油 0.85kg/桶</v>
          </cell>
          <cell r="D7537">
            <v>12</v>
          </cell>
          <cell r="E7537">
            <v>658.41</v>
          </cell>
          <cell r="F7537">
            <v>62.000275000000002</v>
          </cell>
        </row>
        <row r="7538">
          <cell r="B7538" t="str">
            <v>412798</v>
          </cell>
          <cell r="C7538" t="str">
            <v>昆仑天润KR9 SP\GF-6A 5W-30汽油机油 170kg/钢桶</v>
          </cell>
          <cell r="D7538">
            <v>9</v>
          </cell>
          <cell r="E7538">
            <v>55278.6</v>
          </cell>
          <cell r="F7538">
            <v>6940.5353333333296</v>
          </cell>
        </row>
        <row r="7539">
          <cell r="B7539" t="str">
            <v>412807</v>
          </cell>
          <cell r="C7539" t="str">
            <v>昆仑天润 KR8 SP 5W-30全合成汽油机油 3.5kg/桶</v>
          </cell>
          <cell r="D7539">
            <v>2</v>
          </cell>
          <cell r="E7539">
            <v>213.26</v>
          </cell>
          <cell r="F7539">
            <v>120.4919</v>
          </cell>
        </row>
        <row r="7540">
          <cell r="B7540" t="str">
            <v>412810</v>
          </cell>
          <cell r="C7540" t="str">
            <v>昆仑天润KR9 SP\GF-6A 5W-20汽油机油 3.5kg/桶</v>
          </cell>
          <cell r="D7540">
            <v>6</v>
          </cell>
          <cell r="E7540">
            <v>945.66</v>
          </cell>
          <cell r="F7540">
            <v>178.0993</v>
          </cell>
        </row>
        <row r="7541">
          <cell r="B7541" t="str">
            <v>412815</v>
          </cell>
          <cell r="C7541" t="str">
            <v>昆仑天润KR9-T C5 0W-20汽油机油(蓝油) 3.5kg/桶</v>
          </cell>
          <cell r="D7541">
            <v>7</v>
          </cell>
          <cell r="E7541">
            <v>1644.7</v>
          </cell>
          <cell r="F7541">
            <v>265.50157142857103</v>
          </cell>
        </row>
        <row r="7542">
          <cell r="B7542" t="str">
            <v>413526</v>
          </cell>
          <cell r="C7542" t="str">
            <v>昆仑天润KR9-T SN 0W-40(中石油加油站) 3.5kg/桶</v>
          </cell>
          <cell r="D7542">
            <v>35</v>
          </cell>
          <cell r="E7542">
            <v>10010.700000000001</v>
          </cell>
          <cell r="F7542">
            <v>323.20260000000002</v>
          </cell>
        </row>
        <row r="7543">
          <cell r="B7543" t="str">
            <v>413527</v>
          </cell>
          <cell r="C7543" t="str">
            <v>昆仑天润KR9 SN 5W-40汽油机油(加油站) 3.5kg/桶</v>
          </cell>
          <cell r="D7543">
            <v>50</v>
          </cell>
          <cell r="E7543">
            <v>10889.47</v>
          </cell>
          <cell r="F7543">
            <v>246.10202200000001</v>
          </cell>
        </row>
        <row r="7544">
          <cell r="B7544" t="str">
            <v>413529</v>
          </cell>
          <cell r="C7544" t="str">
            <v>昆仑天润KR8 PLUS 5W-40(中石油加油站) 3.5kg/桶</v>
          </cell>
          <cell r="D7544">
            <v>16</v>
          </cell>
          <cell r="E7544">
            <v>2718.6</v>
          </cell>
          <cell r="F7544">
            <v>192.001125</v>
          </cell>
        </row>
        <row r="7545">
          <cell r="B7545" t="str">
            <v>413530</v>
          </cell>
          <cell r="C7545" t="str">
            <v>昆仑天润KR8 PLUS 5W-30(中石油加油站) 3.5kg/桶</v>
          </cell>
          <cell r="D7545">
            <v>9</v>
          </cell>
          <cell r="E7545">
            <v>1529.22</v>
          </cell>
          <cell r="F7545">
            <v>192.00206666666699</v>
          </cell>
        </row>
        <row r="7546">
          <cell r="B7546" t="str">
            <v>413531</v>
          </cell>
          <cell r="C7546" t="str">
            <v>昆仑天润KR8 SN GF-5 5W-40(中石油加油站) 3.5kg/桶</v>
          </cell>
          <cell r="D7546">
            <v>6</v>
          </cell>
          <cell r="E7546">
            <v>978.38</v>
          </cell>
          <cell r="F7546">
            <v>184.26156666666699</v>
          </cell>
        </row>
        <row r="7547">
          <cell r="B7547" t="str">
            <v>413734</v>
          </cell>
          <cell r="C7547" t="str">
            <v>昆仑天威CK-4 10W-30柴油机油 170kg/钢桶</v>
          </cell>
          <cell r="D7547">
            <v>40</v>
          </cell>
          <cell r="E7547">
            <v>106938.05</v>
          </cell>
          <cell r="F7547">
            <v>3020.9999124999999</v>
          </cell>
        </row>
        <row r="7548">
          <cell r="B7548" t="str">
            <v>413796</v>
          </cell>
          <cell r="C7548" t="str">
            <v>昆仑天鸿CH-4 15W-40合成重载型柴油机油 170kg/钢桶</v>
          </cell>
          <cell r="D7548">
            <v>14</v>
          </cell>
          <cell r="E7548">
            <v>30761.07</v>
          </cell>
          <cell r="F7548">
            <v>2482.8577928571399</v>
          </cell>
        </row>
        <row r="7549">
          <cell r="B7549" t="str">
            <v>413797</v>
          </cell>
          <cell r="C7549" t="str">
            <v>昆仑天鸿CH-4 15W-40合成重载型柴油机油 16kg/桶</v>
          </cell>
          <cell r="D7549">
            <v>671</v>
          </cell>
          <cell r="E7549">
            <v>141547.9</v>
          </cell>
          <cell r="F7549">
            <v>238.374257824143</v>
          </cell>
        </row>
        <row r="7550">
          <cell r="B7550" t="str">
            <v>413799</v>
          </cell>
          <cell r="C7550" t="str">
            <v>昆仑天鸿CH-4 15W-40合成重载型柴油机油 3.5kg/桶</v>
          </cell>
          <cell r="D7550">
            <v>1434</v>
          </cell>
          <cell r="E7550">
            <v>71288.320000000007</v>
          </cell>
          <cell r="F7550">
            <v>56.175593863319399</v>
          </cell>
        </row>
        <row r="7551">
          <cell r="B7551" t="str">
            <v>413801</v>
          </cell>
          <cell r="C7551" t="str">
            <v>昆仑天鸿CH-4 20W-50合成重载型柴油机油 16kg/桶</v>
          </cell>
          <cell r="D7551">
            <v>377</v>
          </cell>
          <cell r="E7551">
            <v>82831.3</v>
          </cell>
          <cell r="F7551">
            <v>248.274188328912</v>
          </cell>
        </row>
        <row r="7552">
          <cell r="B7552" t="str">
            <v>413802</v>
          </cell>
          <cell r="C7552" t="str">
            <v>昆仑天鸿CH-4 20W-50合成重载型柴油机油 3.5kg/桶</v>
          </cell>
          <cell r="D7552">
            <v>1279</v>
          </cell>
          <cell r="E7552">
            <v>64853.35</v>
          </cell>
          <cell r="F7552">
            <v>57.2981121970289</v>
          </cell>
        </row>
        <row r="7553">
          <cell r="B7553" t="str">
            <v>413822</v>
          </cell>
          <cell r="C7553" t="str">
            <v>昆仑天鸿CI-4 15W-40合成重载型柴油机油 16kg/桶</v>
          </cell>
          <cell r="D7553">
            <v>160</v>
          </cell>
          <cell r="E7553">
            <v>36784.620000000003</v>
          </cell>
          <cell r="F7553">
            <v>259.79137874999998</v>
          </cell>
        </row>
        <row r="7554">
          <cell r="B7554" t="str">
            <v>413827</v>
          </cell>
          <cell r="C7554" t="str">
            <v>昆仑天鸿CI-4 20W-50合成重载型柴油机油 16kg/桶</v>
          </cell>
          <cell r="D7554">
            <v>42</v>
          </cell>
          <cell r="E7554">
            <v>9008.85</v>
          </cell>
          <cell r="F7554">
            <v>242.38096428571399</v>
          </cell>
        </row>
        <row r="7555">
          <cell r="B7555" t="str">
            <v>413832</v>
          </cell>
          <cell r="C7555" t="str">
            <v>昆仑天鸿CK-4 15W-40合成重载型柴油机油 16kg/桶</v>
          </cell>
          <cell r="D7555">
            <v>12</v>
          </cell>
          <cell r="E7555">
            <v>2835.41</v>
          </cell>
          <cell r="F7555">
            <v>267.00110833333298</v>
          </cell>
        </row>
        <row r="7556">
          <cell r="B7556" t="str">
            <v>413838</v>
          </cell>
          <cell r="C7556" t="str">
            <v>昆仑天鸿CK-4 15W-40长效合成重载型柴油机油 16kg/桶</v>
          </cell>
          <cell r="D7556">
            <v>20</v>
          </cell>
          <cell r="E7556">
            <v>5646.02</v>
          </cell>
          <cell r="F7556">
            <v>319.00013000000001</v>
          </cell>
        </row>
        <row r="7557">
          <cell r="B7557" t="str">
            <v>413847</v>
          </cell>
          <cell r="C7557" t="str">
            <v>昆仑天鸿CK-4 15W-40合成重载型柴油机油 3.5kg/桶</v>
          </cell>
          <cell r="D7557">
            <v>36</v>
          </cell>
          <cell r="E7557">
            <v>2261.96</v>
          </cell>
          <cell r="F7557">
            <v>71.000411111111106</v>
          </cell>
        </row>
        <row r="7558">
          <cell r="B7558" t="str">
            <v>413935</v>
          </cell>
          <cell r="C7558" t="str">
            <v>昆仑天润KR8 SP 5W-30汽油机油(中石油加油站) 3.5kg/桶</v>
          </cell>
          <cell r="D7558">
            <v>1</v>
          </cell>
          <cell r="E7558">
            <v>157.08000000000001</v>
          </cell>
          <cell r="F7558">
            <v>177.50040000000001</v>
          </cell>
        </row>
        <row r="7559">
          <cell r="B7559" t="str">
            <v>413939</v>
          </cell>
          <cell r="C7559" t="str">
            <v>昆仑天润KR9-TSP\GF-6A0W-20汽油机油(加油站) 0.85kg/桶</v>
          </cell>
          <cell r="D7559">
            <v>67</v>
          </cell>
          <cell r="E7559">
            <v>3937.05</v>
          </cell>
          <cell r="F7559">
            <v>66.4009925373134</v>
          </cell>
        </row>
        <row r="7560">
          <cell r="B7560" t="str">
            <v>413940</v>
          </cell>
          <cell r="C7560" t="str">
            <v>昆仑天润KR8 PLUSC3\SP5W-40汽油机油(加油站) 0.85kg/桶</v>
          </cell>
          <cell r="D7560">
            <v>81</v>
          </cell>
          <cell r="E7560">
            <v>3225.76</v>
          </cell>
          <cell r="F7560">
            <v>45.001343209876502</v>
          </cell>
        </row>
        <row r="7561">
          <cell r="B7561" t="str">
            <v>413941</v>
          </cell>
          <cell r="C7561" t="str">
            <v>昆仑天润KR9 SP\GF-6A 5W-30汽油机油(加油站) 0.85kg/桶</v>
          </cell>
          <cell r="D7561">
            <v>115</v>
          </cell>
          <cell r="E7561">
            <v>5801.13</v>
          </cell>
          <cell r="F7561">
            <v>57.002407826087001</v>
          </cell>
        </row>
        <row r="7562">
          <cell r="B7562" t="str">
            <v>413942</v>
          </cell>
          <cell r="C7562" t="str">
            <v>昆仑天润KR9 SP\GF-6A 5W-30汽油机油(加油站) 3.5kg/桶</v>
          </cell>
          <cell r="D7562">
            <v>162</v>
          </cell>
          <cell r="E7562">
            <v>35281.85</v>
          </cell>
          <cell r="F7562">
            <v>246.101793209877</v>
          </cell>
        </row>
        <row r="7563">
          <cell r="B7563" t="str">
            <v>413943</v>
          </cell>
          <cell r="C7563" t="str">
            <v>昆仑天润KR8 PLUSC3\SP5W-40汽油机油(加油站) 3.5kg/桶</v>
          </cell>
          <cell r="D7563">
            <v>2</v>
          </cell>
          <cell r="E7563">
            <v>348.34</v>
          </cell>
          <cell r="F7563">
            <v>196.81209999999999</v>
          </cell>
        </row>
        <row r="7564">
          <cell r="B7564" t="str">
            <v>413944</v>
          </cell>
          <cell r="C7564" t="str">
            <v>昆仑天润KR8 PLUSC3\SP5W-30汽油机油(加油站) 3.5kg/桶</v>
          </cell>
          <cell r="D7564">
            <v>58</v>
          </cell>
          <cell r="E7564">
            <v>9854.89</v>
          </cell>
          <cell r="F7564">
            <v>192.00044310344799</v>
          </cell>
        </row>
        <row r="7565">
          <cell r="B7565" t="str">
            <v>413945</v>
          </cell>
          <cell r="C7565" t="str">
            <v>昆仑天润KR8 PLUSC3\SP5W-30汽油机油(加油站) 0.85kg/桶</v>
          </cell>
          <cell r="D7565">
            <v>54</v>
          </cell>
          <cell r="E7565">
            <v>2150.54</v>
          </cell>
          <cell r="F7565">
            <v>45.002040740740703</v>
          </cell>
        </row>
        <row r="7566">
          <cell r="B7566" t="str">
            <v>413946</v>
          </cell>
          <cell r="C7566" t="str">
            <v>昆仑天润KR8 SP 5W-40汽油机油(加油站) 3.5kg/桶</v>
          </cell>
          <cell r="D7566">
            <v>41</v>
          </cell>
          <cell r="E7566">
            <v>6681.76</v>
          </cell>
          <cell r="F7566">
            <v>184.15582439024399</v>
          </cell>
        </row>
        <row r="7567">
          <cell r="B7567" t="str">
            <v>413949</v>
          </cell>
          <cell r="C7567" t="str">
            <v>昆仑天润KR9-T SN 0W-40汽油机油(加油站) 0.85kg/桶</v>
          </cell>
          <cell r="D7567">
            <v>11</v>
          </cell>
          <cell r="E7567">
            <v>783.63</v>
          </cell>
          <cell r="F7567">
            <v>80.500172727272698</v>
          </cell>
        </row>
        <row r="7568">
          <cell r="B7568" t="str">
            <v>413950</v>
          </cell>
          <cell r="C7568" t="str">
            <v>昆仑天润KR8 SP 5W-40汽油机油(加油站) 0.85kg/桶</v>
          </cell>
          <cell r="D7568">
            <v>97</v>
          </cell>
          <cell r="E7568">
            <v>3521.99</v>
          </cell>
          <cell r="F7568">
            <v>41.029368041237099</v>
          </cell>
        </row>
        <row r="7569">
          <cell r="B7569" t="str">
            <v>413951</v>
          </cell>
          <cell r="C7569" t="str">
            <v>昆仑天润KR9 SN 5W-40汽油机油(加油站) 0.85kg/桶</v>
          </cell>
          <cell r="D7569">
            <v>29</v>
          </cell>
          <cell r="E7569">
            <v>1462.87</v>
          </cell>
          <cell r="F7569">
            <v>57.001486206896502</v>
          </cell>
        </row>
        <row r="7570">
          <cell r="B7570" t="str">
            <v>413952</v>
          </cell>
          <cell r="C7570" t="str">
            <v>昆仑天润KR8 SP 5W-30汽油机油(加油站) 0.85kg/桶</v>
          </cell>
          <cell r="D7570">
            <v>35</v>
          </cell>
          <cell r="E7570">
            <v>1269.99</v>
          </cell>
          <cell r="F7570">
            <v>41.002534285714297</v>
          </cell>
        </row>
        <row r="7571">
          <cell r="B7571" t="str">
            <v>413980</v>
          </cell>
          <cell r="C7571" t="str">
            <v>昆仑天润KR9-T SN 0W-40全合成高性能发动机油 3.5kg/桶</v>
          </cell>
          <cell r="D7571">
            <v>34</v>
          </cell>
          <cell r="E7571">
            <v>7799.95</v>
          </cell>
          <cell r="F7571">
            <v>259.23363235294102</v>
          </cell>
        </row>
        <row r="7572">
          <cell r="B7572" t="str">
            <v>413985</v>
          </cell>
          <cell r="C7572" t="str">
            <v>昆仑天鸿CD 20W-50柴油机油(2021版) 16kg/桶</v>
          </cell>
          <cell r="D7572">
            <v>129</v>
          </cell>
          <cell r="E7572">
            <v>22695.57</v>
          </cell>
          <cell r="F7572">
            <v>198.80615581395301</v>
          </cell>
        </row>
        <row r="7573">
          <cell r="B7573" t="str">
            <v>413987</v>
          </cell>
          <cell r="C7573" t="str">
            <v>昆仑天鸿CD 20W-50柴油机油(2021版) 3.5kg/桶</v>
          </cell>
          <cell r="D7573">
            <v>78</v>
          </cell>
          <cell r="E7573">
            <v>3241.16</v>
          </cell>
          <cell r="F7573">
            <v>46.955266666666702</v>
          </cell>
        </row>
        <row r="7574">
          <cell r="B7574" t="str">
            <v>413989</v>
          </cell>
          <cell r="C7574" t="str">
            <v>昆仑天鸿CD 15W-40柴油机油(2021版) 170kg/钢桶</v>
          </cell>
          <cell r="D7574">
            <v>6</v>
          </cell>
          <cell r="E7574">
            <v>11220.96</v>
          </cell>
          <cell r="F7574">
            <v>2113.2808</v>
          </cell>
        </row>
        <row r="7575">
          <cell r="B7575" t="str">
            <v>413990</v>
          </cell>
          <cell r="C7575" t="str">
            <v>昆仑天润KR9 SN 5W-40全合成高性能发动机油 3.5kg/桶</v>
          </cell>
          <cell r="D7575">
            <v>30</v>
          </cell>
          <cell r="E7575">
            <v>4960.6000000000004</v>
          </cell>
          <cell r="F7575">
            <v>186.84926666666701</v>
          </cell>
        </row>
        <row r="7576">
          <cell r="B7576" t="str">
            <v>413992</v>
          </cell>
          <cell r="C7576" t="str">
            <v>昆仑天鸿CD 15W-40柴油机油(2021版) 16kg/桶</v>
          </cell>
          <cell r="D7576">
            <v>157</v>
          </cell>
          <cell r="E7576">
            <v>26929.43</v>
          </cell>
          <cell r="F7576">
            <v>193.82328598726099</v>
          </cell>
        </row>
        <row r="7577">
          <cell r="B7577" t="str">
            <v>414000</v>
          </cell>
          <cell r="C7577" t="str">
            <v>昆仑天鸿CD 15W-40柴油机油(2021版) 3.5kg/桶</v>
          </cell>
          <cell r="D7577">
            <v>121</v>
          </cell>
          <cell r="E7577">
            <v>4983.57</v>
          </cell>
          <cell r="F7577">
            <v>46.540777685950403</v>
          </cell>
        </row>
        <row r="7578">
          <cell r="B7578" t="str">
            <v>414006</v>
          </cell>
          <cell r="C7578" t="str">
            <v>昆仑天鸿CD 10W-30柴油机油(2021版) 16kg/桶</v>
          </cell>
          <cell r="D7578">
            <v>31</v>
          </cell>
          <cell r="E7578">
            <v>5435</v>
          </cell>
          <cell r="F7578">
            <v>198.11451612903201</v>
          </cell>
        </row>
        <row r="7579">
          <cell r="B7579" t="str">
            <v>414007</v>
          </cell>
          <cell r="C7579" t="str">
            <v>昆仑天鸿CD 10W-30柴油机油(2021版) 3.5kg/桶</v>
          </cell>
          <cell r="D7579">
            <v>64</v>
          </cell>
          <cell r="E7579">
            <v>2662.22</v>
          </cell>
          <cell r="F7579">
            <v>47.004821874999998</v>
          </cell>
        </row>
        <row r="7580">
          <cell r="B7580" t="str">
            <v>414010</v>
          </cell>
          <cell r="C7580" t="str">
            <v>昆仑天鸿CD 40柴油机油(2021版) 16kg/桶</v>
          </cell>
          <cell r="D7580">
            <v>40</v>
          </cell>
          <cell r="E7580">
            <v>7185.84</v>
          </cell>
          <cell r="F7580">
            <v>202.99997999999999</v>
          </cell>
        </row>
        <row r="7581">
          <cell r="B7581" t="str">
            <v>414011</v>
          </cell>
          <cell r="C7581" t="str">
            <v>昆仑天鸿CD 40柴油机油(2021版) 3.5kg/桶</v>
          </cell>
          <cell r="D7581">
            <v>784</v>
          </cell>
          <cell r="E7581">
            <v>33051.56</v>
          </cell>
          <cell r="F7581">
            <v>47.6380903061224</v>
          </cell>
        </row>
        <row r="7582">
          <cell r="B7582" t="str">
            <v>414017</v>
          </cell>
          <cell r="C7582" t="str">
            <v>昆仑天鸿CD 40柴油机油(2021版) 170kg/钢桶</v>
          </cell>
          <cell r="D7582">
            <v>13</v>
          </cell>
          <cell r="E7582">
            <v>24053.279999999999</v>
          </cell>
          <cell r="F7582">
            <v>2090.7851076923098</v>
          </cell>
        </row>
        <row r="7583">
          <cell r="B7583" t="str">
            <v>414018</v>
          </cell>
          <cell r="C7583" t="str">
            <v>昆仑天鸿CF-4 10W-30重载型柴油机油(2021版) 3.5kg/桶</v>
          </cell>
          <cell r="D7583">
            <v>2847</v>
          </cell>
          <cell r="E7583">
            <v>131200.32999999999</v>
          </cell>
          <cell r="F7583">
            <v>52.074595328415903</v>
          </cell>
        </row>
        <row r="7584">
          <cell r="B7584" t="str">
            <v>414019</v>
          </cell>
          <cell r="C7584" t="str">
            <v>昆仑天鸿CF-4 15W-40重载型柴油机油(2021版) 170kg/钢桶</v>
          </cell>
          <cell r="D7584">
            <v>13</v>
          </cell>
          <cell r="E7584">
            <v>25016.79</v>
          </cell>
          <cell r="F7584">
            <v>2174.5363615384599</v>
          </cell>
        </row>
        <row r="7585">
          <cell r="B7585" t="str">
            <v>414020</v>
          </cell>
          <cell r="C7585" t="str">
            <v>昆仑天鸿CF-4 15W-40重载型柴油机油(2021版) 16kg/桶</v>
          </cell>
          <cell r="D7585">
            <v>2408</v>
          </cell>
          <cell r="E7585">
            <v>463373.47</v>
          </cell>
          <cell r="F7585">
            <v>217.44685261627899</v>
          </cell>
        </row>
        <row r="7586">
          <cell r="B7586" t="str">
            <v>414021</v>
          </cell>
          <cell r="C7586" t="str">
            <v>昆仑天鸿CF-4 10W-30重载型柴油机油(2021版) 16kg/桶</v>
          </cell>
          <cell r="D7586">
            <v>639</v>
          </cell>
          <cell r="E7586">
            <v>124648.11</v>
          </cell>
          <cell r="F7586">
            <v>220.42623521126799</v>
          </cell>
        </row>
        <row r="7587">
          <cell r="B7587" t="str">
            <v>414030</v>
          </cell>
          <cell r="C7587" t="str">
            <v>昆仑天润KR8 SN 5W-40全合成发动机油 3.5kg/桶</v>
          </cell>
          <cell r="D7587">
            <v>31</v>
          </cell>
          <cell r="E7587">
            <v>4305.6400000000003</v>
          </cell>
          <cell r="F7587">
            <v>156.947522580645</v>
          </cell>
        </row>
        <row r="7588">
          <cell r="B7588" t="str">
            <v>414034</v>
          </cell>
          <cell r="C7588" t="str">
            <v>昆仑天润KR7 SN 5W-40全合成发动机油 170kg/钢桶</v>
          </cell>
          <cell r="D7588">
            <v>5</v>
          </cell>
          <cell r="E7588">
            <v>18403.099999999999</v>
          </cell>
          <cell r="F7588">
            <v>4159.1005999999998</v>
          </cell>
        </row>
        <row r="7589">
          <cell r="B7589" t="str">
            <v>414036</v>
          </cell>
          <cell r="C7589" t="str">
            <v>昆仑天润KR7 SN 5W-40全合成发动机油 3.5kg/桶</v>
          </cell>
          <cell r="D7589">
            <v>0</v>
          </cell>
          <cell r="E7589">
            <v>0</v>
          </cell>
          <cell r="F7589" t="e">
            <v>#DIV/0!</v>
          </cell>
        </row>
        <row r="7590">
          <cell r="B7590" t="str">
            <v>414041</v>
          </cell>
          <cell r="C7590" t="str">
            <v>昆仑天润KR6 SL 20W-50优质多级汽油机油 3.5kg/桶</v>
          </cell>
          <cell r="D7590">
            <v>1</v>
          </cell>
          <cell r="E7590">
            <v>53.1</v>
          </cell>
          <cell r="F7590">
            <v>60.003</v>
          </cell>
        </row>
        <row r="7591">
          <cell r="B7591" t="str">
            <v>414042</v>
          </cell>
          <cell r="C7591" t="str">
            <v>昆仑天润KR6 SL 15W-40优质多级汽油机油 3.5kg/桶</v>
          </cell>
          <cell r="D7591">
            <v>27</v>
          </cell>
          <cell r="E7591">
            <v>1433.67</v>
          </cell>
          <cell r="F7591">
            <v>60.001744444444398</v>
          </cell>
        </row>
        <row r="7592">
          <cell r="B7592" t="str">
            <v>414046</v>
          </cell>
          <cell r="C7592" t="str">
            <v>昆仑天润KR6 SL 10W-30优质多级汽油机油 3.5kg/桶</v>
          </cell>
          <cell r="D7592">
            <v>11</v>
          </cell>
          <cell r="E7592">
            <v>584.09</v>
          </cell>
          <cell r="F7592">
            <v>60.001972727272701</v>
          </cell>
        </row>
        <row r="7593">
          <cell r="B7593" t="str">
            <v>414047</v>
          </cell>
          <cell r="C7593" t="str">
            <v>昆仑天润KR5 SJ 15W-40优质多级汽油机油 3.5kg/桶</v>
          </cell>
          <cell r="D7593">
            <v>12</v>
          </cell>
          <cell r="E7593">
            <v>615.96</v>
          </cell>
          <cell r="F7593">
            <v>58.002899999999997</v>
          </cell>
        </row>
        <row r="7594">
          <cell r="B7594" t="str">
            <v>414053</v>
          </cell>
          <cell r="C7594" t="str">
            <v>昆仑天鸿CI-4 15W-40重载型柴油机油(2021版) 16kg/桶</v>
          </cell>
          <cell r="D7594">
            <v>144</v>
          </cell>
          <cell r="E7594">
            <v>31765.69</v>
          </cell>
          <cell r="F7594">
            <v>249.272428472222</v>
          </cell>
        </row>
        <row r="7595">
          <cell r="B7595" t="str">
            <v>414055</v>
          </cell>
          <cell r="C7595" t="str">
            <v>昆仑天鸿CF-4 15W-40重载型柴油机油(2021版) 3.5kg/桶</v>
          </cell>
          <cell r="D7595">
            <v>6071</v>
          </cell>
          <cell r="E7595">
            <v>281108.7</v>
          </cell>
          <cell r="F7595">
            <v>52.322983198814001</v>
          </cell>
        </row>
        <row r="7596">
          <cell r="B7596" t="str">
            <v>414056</v>
          </cell>
          <cell r="C7596" t="str">
            <v>昆仑天鸿CF-4 20W-50重载型柴油机油(2021版) 16kg/桶</v>
          </cell>
          <cell r="D7596">
            <v>1384</v>
          </cell>
          <cell r="E7596">
            <v>268421.5</v>
          </cell>
          <cell r="F7596">
            <v>219.159172687861</v>
          </cell>
        </row>
        <row r="7597">
          <cell r="B7597" t="str">
            <v>414057</v>
          </cell>
          <cell r="C7597" t="str">
            <v>昆仑天鸿CF-4 20W-50重载型柴油机油(2021版) 3.5kg/桶</v>
          </cell>
          <cell r="D7597">
            <v>3371</v>
          </cell>
          <cell r="E7597">
            <v>153768.66</v>
          </cell>
          <cell r="F7597">
            <v>51.545115929991098</v>
          </cell>
        </row>
        <row r="7598">
          <cell r="B7598" t="str">
            <v>414099</v>
          </cell>
          <cell r="C7598" t="str">
            <v>昆仑天润KR9-TSP\GF-6A0W-20汽油机油(加油站) 3.5kg/桶</v>
          </cell>
          <cell r="D7598">
            <v>121</v>
          </cell>
          <cell r="E7598">
            <v>29939.14</v>
          </cell>
          <cell r="F7598">
            <v>279.59692727272699</v>
          </cell>
        </row>
        <row r="7599">
          <cell r="B7599" t="str">
            <v>414100</v>
          </cell>
          <cell r="C7599" t="str">
            <v>昆仑天润KR7 SN5W-40汽油机油(加油站) 0.85kg/桶</v>
          </cell>
          <cell r="D7599">
            <v>5</v>
          </cell>
          <cell r="E7599">
            <v>149.57</v>
          </cell>
          <cell r="F7599">
            <v>33.802819999999997</v>
          </cell>
        </row>
        <row r="7600">
          <cell r="B7600" t="str">
            <v>414101</v>
          </cell>
          <cell r="C7600" t="str">
            <v>昆仑天润KR7 SN5W-40汽油机油(加油站) 3.5kg/桶</v>
          </cell>
          <cell r="D7600">
            <v>13</v>
          </cell>
          <cell r="E7600">
            <v>1820.4</v>
          </cell>
          <cell r="F7600">
            <v>158.23476923076899</v>
          </cell>
        </row>
        <row r="7601">
          <cell r="B7601" t="str">
            <v>414102</v>
          </cell>
          <cell r="C7601" t="str">
            <v>昆仑天润KR7 SN5W-30汽油机油(加油站) 3.5kg/桶</v>
          </cell>
          <cell r="D7601">
            <v>3</v>
          </cell>
          <cell r="E7601">
            <v>416.69</v>
          </cell>
          <cell r="F7601">
            <v>156.953233333333</v>
          </cell>
        </row>
        <row r="7602">
          <cell r="B7602" t="str">
            <v>414103</v>
          </cell>
          <cell r="C7602" t="str">
            <v>昆仑天润KR7 SN5W-30汽油机油(加油站) 0.85kg/桶</v>
          </cell>
          <cell r="D7602">
            <v>10</v>
          </cell>
          <cell r="E7602">
            <v>299.14</v>
          </cell>
          <cell r="F7602">
            <v>33.802819999999997</v>
          </cell>
        </row>
        <row r="7603">
          <cell r="B7603" t="str">
            <v>414886</v>
          </cell>
          <cell r="C7603" t="str">
            <v>昆仑极压锂基润滑脂KP-E3号 15kg/桶</v>
          </cell>
          <cell r="D7603">
            <v>19</v>
          </cell>
          <cell r="E7603">
            <v>4203.5600000000004</v>
          </cell>
          <cell r="F7603">
            <v>250.00120000000001</v>
          </cell>
        </row>
        <row r="7604">
          <cell r="B7604" t="str">
            <v>414888</v>
          </cell>
          <cell r="C7604" t="str">
            <v>昆仑极压锂基润滑脂KP-E2号 15kg/桶</v>
          </cell>
          <cell r="D7604">
            <v>19</v>
          </cell>
          <cell r="E7604">
            <v>4035.41</v>
          </cell>
          <cell r="F7604">
            <v>240.00069999999999</v>
          </cell>
        </row>
        <row r="7605">
          <cell r="B7605" t="str">
            <v>414962</v>
          </cell>
          <cell r="C7605" t="str">
            <v>昆仑天润KR9 SP\A3/B4 5W-40汽油机油 3.5kg/桶</v>
          </cell>
          <cell r="D7605">
            <v>4</v>
          </cell>
          <cell r="E7605">
            <v>729.56</v>
          </cell>
          <cell r="F7605">
            <v>206.10069999999999</v>
          </cell>
        </row>
        <row r="7606">
          <cell r="B7606" t="str">
            <v>414963</v>
          </cell>
          <cell r="C7606" t="str">
            <v>昆仑天润KR9 SP\A3/B4 5W-40汽油机油 170kg/钢桶</v>
          </cell>
          <cell r="D7606">
            <v>8</v>
          </cell>
          <cell r="E7606">
            <v>48262.16</v>
          </cell>
          <cell r="F7606">
            <v>6817.0300999999999</v>
          </cell>
        </row>
        <row r="7607">
          <cell r="B7607" t="str">
            <v>414966</v>
          </cell>
          <cell r="C7607" t="str">
            <v>昆仑天润KR9-T SP\A3/B4 0W-40汽油机油 3.5kg/桶</v>
          </cell>
          <cell r="D7607">
            <v>23</v>
          </cell>
          <cell r="E7607">
            <v>5396.05</v>
          </cell>
          <cell r="F7607">
            <v>265.11028260869602</v>
          </cell>
        </row>
        <row r="7608">
          <cell r="B7608" t="str">
            <v>415054</v>
          </cell>
          <cell r="C7608" t="str">
            <v>昆仑天润KR7 SP\SN 5W-40汽油机油 3.5kg/桶</v>
          </cell>
          <cell r="D7608">
            <v>298</v>
          </cell>
          <cell r="E7608">
            <v>19251.48</v>
          </cell>
          <cell r="F7608">
            <v>73.000578523489907</v>
          </cell>
        </row>
        <row r="7609">
          <cell r="B7609" t="str">
            <v>415055</v>
          </cell>
          <cell r="C7609" t="str">
            <v>昆仑天润KR7 SP\SN 5W-40汽油机油 170kg/钢桶</v>
          </cell>
          <cell r="D7609">
            <v>5</v>
          </cell>
          <cell r="E7609">
            <v>14646.02</v>
          </cell>
          <cell r="F7609">
            <v>3310.0005200000001</v>
          </cell>
        </row>
        <row r="7610">
          <cell r="B7610" t="str">
            <v>415058</v>
          </cell>
          <cell r="C7610" t="str">
            <v>昆仑天润KR7 SP\SN 5W-30汽油机油 3.5kg/桶</v>
          </cell>
          <cell r="D7610">
            <v>3</v>
          </cell>
          <cell r="E7610">
            <v>238.95</v>
          </cell>
          <cell r="F7610">
            <v>90.004499999999993</v>
          </cell>
        </row>
        <row r="7611">
          <cell r="B7611" t="str">
            <v>415059</v>
          </cell>
          <cell r="C7611" t="str">
            <v>昆仑天润KR7 SP\SN 5W-30汽油机油 170kg/钢桶</v>
          </cell>
          <cell r="D7611">
            <v>1</v>
          </cell>
          <cell r="E7611">
            <v>2793.81</v>
          </cell>
          <cell r="F7611">
            <v>3157.0052999999998</v>
          </cell>
        </row>
        <row r="7612">
          <cell r="B7612" t="str">
            <v>415689</v>
          </cell>
          <cell r="C7612" t="str">
            <v>昆仑天润KR5 SL 15W-40汽油机油 3.5kg/桶</v>
          </cell>
          <cell r="D7612">
            <v>42</v>
          </cell>
          <cell r="E7612">
            <v>2031.26</v>
          </cell>
          <cell r="F7612">
            <v>54.650566666666698</v>
          </cell>
        </row>
        <row r="7613">
          <cell r="B7613" t="str">
            <v>415698</v>
          </cell>
          <cell r="C7613" t="str">
            <v>昆仑天润KR7 SP\SN 5W-40汽油机油(2024) 170kg/钢桶</v>
          </cell>
          <cell r="D7613">
            <v>3</v>
          </cell>
          <cell r="E7613">
            <v>8787.61</v>
          </cell>
          <cell r="F7613">
            <v>3309.99976666667</v>
          </cell>
        </row>
        <row r="7614">
          <cell r="B7614" t="str">
            <v>415700</v>
          </cell>
          <cell r="C7614" t="str">
            <v>昆仑天润KR7 SP\SN 5W-40汽油机油(2024) 3.5kg/桶</v>
          </cell>
          <cell r="D7614">
            <v>4</v>
          </cell>
          <cell r="E7614">
            <v>277.10000000000002</v>
          </cell>
          <cell r="F7614">
            <v>78.280749999999998</v>
          </cell>
        </row>
        <row r="7615">
          <cell r="B7615" t="str">
            <v>415703</v>
          </cell>
          <cell r="C7615" t="str">
            <v>昆仑天润KR7 SP\SN 5W-30汽油机油(2024) 170kg/钢桶</v>
          </cell>
          <cell r="D7615">
            <v>10</v>
          </cell>
          <cell r="E7615">
            <v>27946.9</v>
          </cell>
          <cell r="F7615">
            <v>3157.9996999999998</v>
          </cell>
        </row>
        <row r="7616">
          <cell r="B7616" t="str">
            <v>415704</v>
          </cell>
          <cell r="C7616" t="str">
            <v>昆仑天润KR7 SP\SN 5W-30汽油机油(2024) 3.5kg/桶</v>
          </cell>
          <cell r="D7616">
            <v>5</v>
          </cell>
          <cell r="E7616">
            <v>337.26</v>
          </cell>
          <cell r="F7616">
            <v>76.220759999999999</v>
          </cell>
        </row>
        <row r="7617">
          <cell r="B7617" t="str">
            <v>415712</v>
          </cell>
          <cell r="C7617" t="str">
            <v>昆仑天润KR8 SP\A3/B4 5W-40汽油机油 3.5kg/桶</v>
          </cell>
          <cell r="D7617">
            <v>42</v>
          </cell>
          <cell r="E7617">
            <v>4683.1899999999996</v>
          </cell>
          <cell r="F7617">
            <v>126.00011190476199</v>
          </cell>
        </row>
        <row r="7618">
          <cell r="B7618" t="str">
            <v>415717</v>
          </cell>
          <cell r="C7618" t="str">
            <v>昆仑天润KR8 C3\SP 5W-40汽油机油 3.5kg/桶</v>
          </cell>
          <cell r="D7618">
            <v>0</v>
          </cell>
          <cell r="E7618">
            <v>0</v>
          </cell>
          <cell r="F7618" t="e">
            <v>#DIV/0!</v>
          </cell>
        </row>
        <row r="7619">
          <cell r="B7619" t="str">
            <v>415724</v>
          </cell>
          <cell r="C7619" t="str">
            <v>昆仑天润KR9 SP 5W-40汽油机油 3.5kg/桶</v>
          </cell>
          <cell r="D7619">
            <v>102</v>
          </cell>
          <cell r="E7619">
            <v>18971.689999999999</v>
          </cell>
          <cell r="F7619">
            <v>210.17656568627399</v>
          </cell>
        </row>
        <row r="7620">
          <cell r="B7620" t="str">
            <v>415725</v>
          </cell>
          <cell r="C7620" t="str">
            <v>昆仑天润KR9 SP 5W-30汽油机油(2024) 170kg/钢桶</v>
          </cell>
          <cell r="D7620">
            <v>9</v>
          </cell>
          <cell r="E7620">
            <v>54916.81</v>
          </cell>
          <cell r="F7620">
            <v>6895.1105888888897</v>
          </cell>
        </row>
        <row r="7621">
          <cell r="B7621" t="str">
            <v>415726</v>
          </cell>
          <cell r="C7621" t="str">
            <v>昆仑天润KR8 C3\SP 5W-30汽油机油 3.5kg/桶</v>
          </cell>
          <cell r="D7621">
            <v>14</v>
          </cell>
          <cell r="E7621">
            <v>1626.83</v>
          </cell>
          <cell r="F7621">
            <v>131.30842142857099</v>
          </cell>
        </row>
        <row r="7622">
          <cell r="B7622" t="str">
            <v>415743</v>
          </cell>
          <cell r="C7622" t="str">
            <v>昆仑天润KR9T SP 0W-40汽油机油(2024) 3.5kg/桶</v>
          </cell>
          <cell r="D7622">
            <v>26</v>
          </cell>
          <cell r="E7622">
            <v>6994.73</v>
          </cell>
          <cell r="F7622">
            <v>304.001726923077</v>
          </cell>
        </row>
        <row r="7623">
          <cell r="B7623" t="str">
            <v>416063</v>
          </cell>
          <cell r="C7623" t="str">
            <v>昆仑SL 10W-40优享保护汽油机油 3.5kg/桶</v>
          </cell>
          <cell r="D7623">
            <v>2313</v>
          </cell>
          <cell r="E7623">
            <v>115831.62</v>
          </cell>
          <cell r="F7623">
            <v>56.588729182879398</v>
          </cell>
        </row>
        <row r="7624">
          <cell r="B7624" t="str">
            <v>416065</v>
          </cell>
          <cell r="C7624" t="str">
            <v>昆仑SL 15W-40优享保护汽油机油 3.5kg/桶</v>
          </cell>
          <cell r="D7624">
            <v>2242</v>
          </cell>
          <cell r="E7624">
            <v>108482.54</v>
          </cell>
          <cell r="F7624">
            <v>54.6767485280999</v>
          </cell>
        </row>
        <row r="7625">
          <cell r="B7625" t="str">
            <v>416072</v>
          </cell>
          <cell r="C7625" t="str">
            <v>昆仑C3\SP 5W-40尊享保护汽油机油 3.5kg/桶</v>
          </cell>
          <cell r="D7625">
            <v>289</v>
          </cell>
          <cell r="E7625">
            <v>29061.97</v>
          </cell>
          <cell r="F7625">
            <v>113.633308304498</v>
          </cell>
        </row>
        <row r="7626">
          <cell r="B7626" t="str">
            <v>416073</v>
          </cell>
          <cell r="C7626" t="str">
            <v>昆仑SP 5W-40智享保护汽油机油 3.5kg/桶</v>
          </cell>
          <cell r="D7626">
            <v>1850</v>
          </cell>
          <cell r="E7626">
            <v>132580.91</v>
          </cell>
          <cell r="F7626">
            <v>80.981853135135097</v>
          </cell>
        </row>
        <row r="7627">
          <cell r="B7627" t="str">
            <v>416074</v>
          </cell>
          <cell r="C7627" t="str">
            <v>昆仑C5 0W-20尊享保护汽油机油(蓝油) 3.5kg/桶</v>
          </cell>
          <cell r="D7627">
            <v>77</v>
          </cell>
          <cell r="E7627">
            <v>12364.19</v>
          </cell>
          <cell r="F7627">
            <v>181.44850259740301</v>
          </cell>
        </row>
        <row r="7628">
          <cell r="B7628" t="str">
            <v>416077</v>
          </cell>
          <cell r="C7628" t="str">
            <v>昆仑SP 5W-30智享保护汽油机油 3.5kg/桶</v>
          </cell>
          <cell r="D7628">
            <v>1555</v>
          </cell>
          <cell r="E7628">
            <v>107683.88</v>
          </cell>
          <cell r="F7628">
            <v>78.252594469453399</v>
          </cell>
        </row>
        <row r="7629">
          <cell r="B7629" t="str">
            <v>416080</v>
          </cell>
          <cell r="C7629" t="str">
            <v>昆仑C3\SP 5W-30尊享保护汽油机油 3.5kg/桶</v>
          </cell>
          <cell r="D7629">
            <v>312</v>
          </cell>
          <cell r="E7629">
            <v>31125.61</v>
          </cell>
          <cell r="F7629">
            <v>112.73057467948701</v>
          </cell>
        </row>
        <row r="7630">
          <cell r="B7630" t="str">
            <v>416084</v>
          </cell>
          <cell r="C7630" t="str">
            <v>昆仑SP 0W-20智享保护汽油机油 3.5kg/桶</v>
          </cell>
          <cell r="D7630">
            <v>535</v>
          </cell>
          <cell r="E7630">
            <v>48410.080000000002</v>
          </cell>
          <cell r="F7630">
            <v>102.249327850467</v>
          </cell>
        </row>
        <row r="7631">
          <cell r="B7631" t="str">
            <v>440471</v>
          </cell>
          <cell r="C7631" t="str">
            <v>昆仑天蝎F四冲程摩托车油 SE 15W-40 0.85kg/桶</v>
          </cell>
          <cell r="D7631">
            <v>5</v>
          </cell>
          <cell r="E7631">
            <v>136.97</v>
          </cell>
          <cell r="F7631">
            <v>30.955220000000001</v>
          </cell>
        </row>
        <row r="7632">
          <cell r="B7632" t="str">
            <v>441255</v>
          </cell>
          <cell r="C7632" t="str">
            <v>美孚车用滑脂 MP 1kg/桶</v>
          </cell>
          <cell r="D7632">
            <v>3</v>
          </cell>
          <cell r="E7632">
            <v>126.24</v>
          </cell>
          <cell r="F7632">
            <v>47.550400000000003</v>
          </cell>
        </row>
        <row r="7633">
          <cell r="B7633" t="str">
            <v>441708</v>
          </cell>
          <cell r="C7633" t="str">
            <v>美孚劲力四冲程汽油机油 0.9kg/桶</v>
          </cell>
          <cell r="D7633">
            <v>13</v>
          </cell>
          <cell r="E7633">
            <v>263.95999999999998</v>
          </cell>
          <cell r="F7633">
            <v>22.944215384615401</v>
          </cell>
        </row>
        <row r="7634">
          <cell r="B7634" t="str">
            <v>441753</v>
          </cell>
          <cell r="C7634" t="str">
            <v>昆仑二硫化钼锂基润滑脂 3号 5KG/桶</v>
          </cell>
          <cell r="D7634">
            <v>656</v>
          </cell>
          <cell r="E7634">
            <v>71738.259999999995</v>
          </cell>
          <cell r="F7634">
            <v>123.573527134146</v>
          </cell>
        </row>
        <row r="7635">
          <cell r="B7635" t="str">
            <v>441754</v>
          </cell>
          <cell r="C7635" t="str">
            <v>昆仑二硫化钼锂基润滑脂 3号 15kg/桶</v>
          </cell>
          <cell r="D7635">
            <v>26</v>
          </cell>
          <cell r="E7635">
            <v>7297.67</v>
          </cell>
          <cell r="F7635">
            <v>317.167965384615</v>
          </cell>
        </row>
        <row r="7636">
          <cell r="B7636" t="str">
            <v>444237</v>
          </cell>
          <cell r="C7636" t="str">
            <v>昆仑 1号 通用锂基润滑脂 15kg/桶</v>
          </cell>
          <cell r="D7636">
            <v>121</v>
          </cell>
          <cell r="E7636">
            <v>25699.13</v>
          </cell>
          <cell r="F7636">
            <v>240.000139669421</v>
          </cell>
        </row>
        <row r="7637">
          <cell r="B7637" t="str">
            <v>444239</v>
          </cell>
          <cell r="C7637" t="str">
            <v>昆仑通用锂基润滑脂 2号 15kg/桶</v>
          </cell>
          <cell r="D7637">
            <v>102</v>
          </cell>
          <cell r="E7637">
            <v>26057.79</v>
          </cell>
          <cell r="F7637">
            <v>288.67943823529401</v>
          </cell>
        </row>
        <row r="7638">
          <cell r="B7638" t="str">
            <v>446724</v>
          </cell>
          <cell r="C7638" t="str">
            <v>昆仑天工低温液压油 L-HV 46 散装 独山子</v>
          </cell>
          <cell r="D7638">
            <v>157</v>
          </cell>
          <cell r="E7638">
            <v>2184.52</v>
          </cell>
          <cell r="F7638">
            <v>15.722978343949</v>
          </cell>
        </row>
        <row r="7639">
          <cell r="B7639" t="str">
            <v>454503</v>
          </cell>
          <cell r="C7639" t="str">
            <v>昆仑天工L-HM46抗磨液压油(高压) 13kg/桶</v>
          </cell>
          <cell r="D7639">
            <v>97</v>
          </cell>
          <cell r="E7639">
            <v>14764.61</v>
          </cell>
          <cell r="F7639">
            <v>172.00009587628901</v>
          </cell>
        </row>
        <row r="7640">
          <cell r="B7640" t="str">
            <v>454504</v>
          </cell>
          <cell r="C7640" t="str">
            <v>昆仑天工L-HM46抗磨液压油(高压) 16kg/桶</v>
          </cell>
          <cell r="D7640">
            <v>274</v>
          </cell>
          <cell r="E7640">
            <v>49694.5</v>
          </cell>
          <cell r="F7640">
            <v>204.94447080291999</v>
          </cell>
        </row>
        <row r="7641">
          <cell r="B7641" t="str">
            <v>454505</v>
          </cell>
          <cell r="C7641" t="str">
            <v>昆仑天工L-HM68抗磨液压油(高压) 13kg/桶</v>
          </cell>
          <cell r="D7641">
            <v>2</v>
          </cell>
          <cell r="E7641">
            <v>384.62</v>
          </cell>
          <cell r="F7641">
            <v>217.31030000000001</v>
          </cell>
        </row>
        <row r="7642">
          <cell r="B7642" t="str">
            <v>454518</v>
          </cell>
          <cell r="C7642" t="str">
            <v>昆仑天工8号液力传动油 13kg/桶</v>
          </cell>
          <cell r="D7642">
            <v>893</v>
          </cell>
          <cell r="E7642">
            <v>145435.20000000001</v>
          </cell>
          <cell r="F7642">
            <v>184.033343784994</v>
          </cell>
        </row>
        <row r="7643">
          <cell r="B7643" t="str">
            <v>454519</v>
          </cell>
          <cell r="C7643" t="str">
            <v>昆仑天工8号液力传动油 16kg/桶</v>
          </cell>
          <cell r="D7643">
            <v>41</v>
          </cell>
          <cell r="E7643">
            <v>7960.18</v>
          </cell>
          <cell r="F7643">
            <v>219.39032682926799</v>
          </cell>
        </row>
        <row r="7644">
          <cell r="B7644" t="str">
            <v>454522</v>
          </cell>
          <cell r="C7644" t="str">
            <v>昆仑天工100液压传动两用油 16kg/桶</v>
          </cell>
          <cell r="D7644">
            <v>11</v>
          </cell>
          <cell r="E7644">
            <v>2406.9499999999998</v>
          </cell>
          <cell r="F7644">
            <v>247.259409090909</v>
          </cell>
        </row>
        <row r="7645">
          <cell r="B7645" t="str">
            <v>454529</v>
          </cell>
          <cell r="C7645" t="str">
            <v>昆仑天工L-DAB150空气压缩机油 16kg/桶</v>
          </cell>
          <cell r="D7645">
            <v>7</v>
          </cell>
          <cell r="E7645">
            <v>1499.12</v>
          </cell>
          <cell r="F7645">
            <v>242.0008</v>
          </cell>
        </row>
        <row r="7646">
          <cell r="B7646" t="str">
            <v>454531</v>
          </cell>
          <cell r="C7646" t="str">
            <v>昆仑L-CKC150工业闭式齿轮油 170kg/钢桶</v>
          </cell>
          <cell r="D7646">
            <v>4</v>
          </cell>
          <cell r="E7646">
            <v>8414.8700000000008</v>
          </cell>
          <cell r="F7646">
            <v>2377.2007749999998</v>
          </cell>
        </row>
        <row r="7647">
          <cell r="B7647" t="str">
            <v>454532</v>
          </cell>
          <cell r="C7647" t="str">
            <v>昆仑L-CKC220工业闭式齿轮油 170kg/钢桶</v>
          </cell>
          <cell r="D7647">
            <v>20</v>
          </cell>
          <cell r="E7647">
            <v>47883.8</v>
          </cell>
          <cell r="F7647">
            <v>2705.4346999999998</v>
          </cell>
        </row>
        <row r="7648">
          <cell r="B7648" t="str">
            <v>454533</v>
          </cell>
          <cell r="C7648" t="str">
            <v>昆仑L-CKC320工业闭式齿轮油 170kg/钢桶</v>
          </cell>
          <cell r="D7648">
            <v>4</v>
          </cell>
          <cell r="E7648">
            <v>8623.01</v>
          </cell>
          <cell r="F7648">
            <v>2436.000325</v>
          </cell>
        </row>
        <row r="7649">
          <cell r="B7649" t="str">
            <v>454535</v>
          </cell>
          <cell r="C7649" t="str">
            <v>昆仑L-CKD150工业闭式齿轮油 170kg/钢桶</v>
          </cell>
          <cell r="D7649">
            <v>48</v>
          </cell>
          <cell r="E7649">
            <v>100865.58</v>
          </cell>
          <cell r="F7649">
            <v>2374.5438625000002</v>
          </cell>
        </row>
        <row r="7650">
          <cell r="B7650" t="str">
            <v>454536</v>
          </cell>
          <cell r="C7650" t="str">
            <v>昆仑L-CKD220工业闭式齿轮油 170kg/钢桶</v>
          </cell>
          <cell r="D7650">
            <v>20</v>
          </cell>
          <cell r="E7650">
            <v>43020.36</v>
          </cell>
          <cell r="F7650">
            <v>2430.6503400000001</v>
          </cell>
        </row>
        <row r="7651">
          <cell r="B7651" t="str">
            <v>454537</v>
          </cell>
          <cell r="C7651" t="str">
            <v>昆仑L-CKD320工业闭式齿轮油 170kg/钢桶</v>
          </cell>
          <cell r="D7651">
            <v>39</v>
          </cell>
          <cell r="E7651">
            <v>87405.39</v>
          </cell>
          <cell r="F7651">
            <v>2532.5151461538499</v>
          </cell>
        </row>
        <row r="7652">
          <cell r="B7652" t="str">
            <v>454549</v>
          </cell>
          <cell r="C7652" t="str">
            <v>昆仑L-CKE/P220蜗轮蜗杆油 170kg/钢桶</v>
          </cell>
          <cell r="D7652">
            <v>17</v>
          </cell>
          <cell r="E7652">
            <v>49931.54</v>
          </cell>
          <cell r="F7652">
            <v>3318.97883529412</v>
          </cell>
        </row>
        <row r="7653">
          <cell r="B7653" t="str">
            <v>454562</v>
          </cell>
          <cell r="C7653" t="str">
            <v>昆仑L-HM32抗磨液压油(普通) 170kg/钢桶</v>
          </cell>
          <cell r="D7653">
            <v>5</v>
          </cell>
          <cell r="E7653">
            <v>8681.43</v>
          </cell>
          <cell r="F7653">
            <v>1962.0031799999999</v>
          </cell>
        </row>
        <row r="7654">
          <cell r="B7654" t="str">
            <v>454563</v>
          </cell>
          <cell r="C7654" t="str">
            <v>昆仑L-HM46抗磨液压油(普通) 170kg/钢桶</v>
          </cell>
          <cell r="D7654">
            <v>125</v>
          </cell>
          <cell r="E7654">
            <v>219946.93</v>
          </cell>
          <cell r="F7654">
            <v>1988.3202472</v>
          </cell>
        </row>
        <row r="7655">
          <cell r="B7655" t="str">
            <v>454566</v>
          </cell>
          <cell r="C7655" t="str">
            <v>昆仑L-HM46抗磨液压油(高压) 170kg/钢桶</v>
          </cell>
          <cell r="D7655">
            <v>26</v>
          </cell>
          <cell r="E7655">
            <v>45809.07</v>
          </cell>
          <cell r="F7655">
            <v>1990.9326576923099</v>
          </cell>
        </row>
        <row r="7656">
          <cell r="B7656" t="str">
            <v>454567</v>
          </cell>
          <cell r="C7656" t="str">
            <v>昆仑L-HM68抗磨液压油(高压) 170kg/钢桶</v>
          </cell>
          <cell r="D7656">
            <v>30</v>
          </cell>
          <cell r="E7656">
            <v>52831.86</v>
          </cell>
          <cell r="F7656">
            <v>1990.0000600000001</v>
          </cell>
        </row>
        <row r="7657">
          <cell r="B7657" t="str">
            <v>454569</v>
          </cell>
          <cell r="C7657" t="str">
            <v>昆仑L-HMN46无灰抗磨液压油(高压) 170kg/钢桶</v>
          </cell>
          <cell r="D7657">
            <v>2</v>
          </cell>
          <cell r="E7657">
            <v>3769.92</v>
          </cell>
          <cell r="F7657">
            <v>2130.0048000000002</v>
          </cell>
        </row>
        <row r="7658">
          <cell r="B7658" t="str">
            <v>454578</v>
          </cell>
          <cell r="C7658" t="str">
            <v>昆仑L-HVN46低温无灰液压油 170kg/钢桶</v>
          </cell>
          <cell r="D7658">
            <v>2</v>
          </cell>
          <cell r="E7658">
            <v>5619.35</v>
          </cell>
          <cell r="F7658">
            <v>3174.9327499999999</v>
          </cell>
        </row>
        <row r="7659">
          <cell r="B7659" t="str">
            <v>454586</v>
          </cell>
          <cell r="C7659" t="str">
            <v>昆仑L-HV32低温液压油 170kg/钢桶</v>
          </cell>
          <cell r="D7659">
            <v>46</v>
          </cell>
          <cell r="E7659">
            <v>94096.08</v>
          </cell>
          <cell r="F7659">
            <v>2311.4906608695701</v>
          </cell>
        </row>
        <row r="7660">
          <cell r="B7660" t="str">
            <v>454587</v>
          </cell>
          <cell r="C7660" t="str">
            <v>昆仑L-HV46低温液压油 170kg/钢桶</v>
          </cell>
          <cell r="D7660">
            <v>121</v>
          </cell>
          <cell r="E7660">
            <v>264082.21000000002</v>
          </cell>
          <cell r="F7660">
            <v>2466.2222917355398</v>
          </cell>
        </row>
        <row r="7661">
          <cell r="B7661" t="str">
            <v>454590</v>
          </cell>
          <cell r="C7661" t="str">
            <v>昆仑8号液力传动油 170kg/钢桶</v>
          </cell>
          <cell r="D7661">
            <v>65</v>
          </cell>
          <cell r="E7661">
            <v>130681.28</v>
          </cell>
          <cell r="F7661">
            <v>2271.8437907692301</v>
          </cell>
        </row>
        <row r="7662">
          <cell r="B7662" t="str">
            <v>454591</v>
          </cell>
          <cell r="C7662" t="str">
            <v>昆仑8D号液力传动油 170kg/钢桶</v>
          </cell>
          <cell r="D7662">
            <v>9</v>
          </cell>
          <cell r="E7662">
            <v>22106.66</v>
          </cell>
          <cell r="F7662">
            <v>2775.6139777777798</v>
          </cell>
        </row>
        <row r="7663">
          <cell r="B7663" t="str">
            <v>454624</v>
          </cell>
          <cell r="C7663" t="str">
            <v>昆仑L-TSA32汽轮机油(B级) 170kg/钢桶</v>
          </cell>
          <cell r="D7663">
            <v>2</v>
          </cell>
          <cell r="E7663">
            <v>3706.19</v>
          </cell>
          <cell r="F7663">
            <v>2093.9973500000001</v>
          </cell>
        </row>
        <row r="7664">
          <cell r="B7664" t="str">
            <v>454625</v>
          </cell>
          <cell r="C7664" t="str">
            <v>昆仑L-TSA46汽轮机油(B级) 170kg/钢桶</v>
          </cell>
          <cell r="D7664">
            <v>21</v>
          </cell>
          <cell r="E7664">
            <v>38154.870000000003</v>
          </cell>
          <cell r="F7664">
            <v>2053.0953857142899</v>
          </cell>
        </row>
        <row r="7665">
          <cell r="B7665" t="str">
            <v>454654</v>
          </cell>
          <cell r="C7665" t="str">
            <v>昆仑40固定式燃气发动机油7810(中灰型) 170kg/钢桶</v>
          </cell>
          <cell r="D7665">
            <v>20</v>
          </cell>
          <cell r="E7665">
            <v>56884.959999999999</v>
          </cell>
          <cell r="F7665">
            <v>3214.0002399999998</v>
          </cell>
        </row>
        <row r="7666">
          <cell r="B7666" t="str">
            <v>454655</v>
          </cell>
          <cell r="C7666" t="str">
            <v>昆仑15W-40固定式燃气发动机油7810(中灰型) 170kg/钢桶</v>
          </cell>
          <cell r="D7666">
            <v>30</v>
          </cell>
          <cell r="E7666">
            <v>88194.69</v>
          </cell>
          <cell r="F7666">
            <v>3321.9999899999998</v>
          </cell>
        </row>
        <row r="7667">
          <cell r="B7667" t="str">
            <v>454656</v>
          </cell>
          <cell r="C7667" t="str">
            <v>昆仑20W-50固定式燃气发动机油7810(中灰型) 170kg/钢桶</v>
          </cell>
          <cell r="D7667">
            <v>28</v>
          </cell>
          <cell r="E7667">
            <v>80977</v>
          </cell>
          <cell r="F7667">
            <v>3268.0003571428601</v>
          </cell>
        </row>
        <row r="7668">
          <cell r="B7668" t="str">
            <v>454660</v>
          </cell>
          <cell r="C7668" t="str">
            <v>昆仑L-DAB68空气压缩机油 170kg/钢桶</v>
          </cell>
          <cell r="D7668">
            <v>2</v>
          </cell>
          <cell r="E7668">
            <v>4019.48</v>
          </cell>
          <cell r="F7668">
            <v>2271.0061999999998</v>
          </cell>
        </row>
        <row r="7669">
          <cell r="B7669" t="str">
            <v>454661</v>
          </cell>
          <cell r="C7669" t="str">
            <v>昆仑L-DAB100空气压缩机油 170kg/钢桶</v>
          </cell>
          <cell r="D7669">
            <v>207</v>
          </cell>
          <cell r="E7669">
            <v>424891.46</v>
          </cell>
          <cell r="F7669">
            <v>2319.4557961352698</v>
          </cell>
        </row>
        <row r="7670">
          <cell r="B7670" t="str">
            <v>454662</v>
          </cell>
          <cell r="C7670" t="str">
            <v>昆仑L-DAB150空气压缩机油 170kg/钢桶</v>
          </cell>
          <cell r="D7670">
            <v>118</v>
          </cell>
          <cell r="E7670">
            <v>254291.93</v>
          </cell>
          <cell r="F7670">
            <v>2435.1684822033899</v>
          </cell>
        </row>
        <row r="7671">
          <cell r="B7671" t="str">
            <v>454683</v>
          </cell>
          <cell r="C7671" t="str">
            <v>昆仑L-CKD680工业闭式齿轮油 170kg/钢桶</v>
          </cell>
          <cell r="D7671">
            <v>1</v>
          </cell>
          <cell r="E7671">
            <v>2789.38</v>
          </cell>
          <cell r="F7671">
            <v>3151.9994000000002</v>
          </cell>
        </row>
        <row r="7672">
          <cell r="B7672" t="str">
            <v>454695</v>
          </cell>
          <cell r="C7672" t="str">
            <v>昆仑L-HM100抗磨液压油(普通) 170kg/钢桶</v>
          </cell>
          <cell r="D7672">
            <v>10</v>
          </cell>
          <cell r="E7672">
            <v>19159.29</v>
          </cell>
          <cell r="F7672">
            <v>2164.9997699999999</v>
          </cell>
        </row>
        <row r="7673">
          <cell r="B7673" t="str">
            <v>454756</v>
          </cell>
          <cell r="C7673" t="str">
            <v>昆仑L-QB300有机热载体 170kg/钢桶</v>
          </cell>
          <cell r="D7673">
            <v>33</v>
          </cell>
          <cell r="E7673">
            <v>62320.41</v>
          </cell>
          <cell r="F7673">
            <v>2134.0019181818202</v>
          </cell>
        </row>
        <row r="7674">
          <cell r="B7674" t="str">
            <v>454840</v>
          </cell>
          <cell r="C7674" t="str">
            <v>昆仑天工L-HM46抗磨液压油(高压) 13kg/桶</v>
          </cell>
          <cell r="D7674">
            <v>2</v>
          </cell>
          <cell r="E7674">
            <v>400.37</v>
          </cell>
          <cell r="F7674">
            <v>226.20904999999999</v>
          </cell>
        </row>
        <row r="7675">
          <cell r="B7675" t="str">
            <v>455130</v>
          </cell>
          <cell r="C7675" t="str">
            <v>昆仑通用锂基润滑脂 0号 15kg/桶</v>
          </cell>
          <cell r="D7675">
            <v>33</v>
          </cell>
          <cell r="E7675">
            <v>8707.18</v>
          </cell>
          <cell r="F7675">
            <v>298.15495151515103</v>
          </cell>
        </row>
        <row r="7676">
          <cell r="B7676" t="str">
            <v>455148</v>
          </cell>
          <cell r="C7676" t="str">
            <v>昆仑通用锂基润滑脂 3号 5kg/桶</v>
          </cell>
          <cell r="D7676">
            <v>3002</v>
          </cell>
          <cell r="E7676">
            <v>271554.53000000003</v>
          </cell>
          <cell r="F7676">
            <v>102.217394703531</v>
          </cell>
        </row>
        <row r="7677">
          <cell r="B7677" t="str">
            <v>455193</v>
          </cell>
          <cell r="C7677" t="str">
            <v>昆仑二硫化钼锂基润滑脂 0号 15kg/桶</v>
          </cell>
          <cell r="D7677">
            <v>10</v>
          </cell>
          <cell r="E7677">
            <v>2212.4</v>
          </cell>
          <cell r="F7677">
            <v>250.00120000000001</v>
          </cell>
        </row>
        <row r="7678">
          <cell r="B7678" t="str">
            <v>455294</v>
          </cell>
          <cell r="C7678" t="str">
            <v>昆仑HP-R高温润滑脂 0.8kg/桶</v>
          </cell>
          <cell r="D7678">
            <v>310</v>
          </cell>
          <cell r="E7678">
            <v>10409.68</v>
          </cell>
          <cell r="F7678">
            <v>37.944962580645203</v>
          </cell>
        </row>
        <row r="7679">
          <cell r="B7679" t="str">
            <v>455295</v>
          </cell>
          <cell r="C7679" t="str">
            <v>昆仑HP-R高温润滑脂 2kg/钢桶</v>
          </cell>
          <cell r="D7679">
            <v>1638</v>
          </cell>
          <cell r="E7679">
            <v>107193.87</v>
          </cell>
          <cell r="F7679">
            <v>73.949373076923095</v>
          </cell>
        </row>
        <row r="7680">
          <cell r="B7680" t="str">
            <v>455296</v>
          </cell>
          <cell r="C7680" t="str">
            <v>昆仑HP-R高温润滑脂 15kg/桶</v>
          </cell>
          <cell r="D7680">
            <v>18</v>
          </cell>
          <cell r="E7680">
            <v>6836.01</v>
          </cell>
          <cell r="F7680">
            <v>429.14951666666701</v>
          </cell>
        </row>
        <row r="7681">
          <cell r="B7681" t="str">
            <v>455495</v>
          </cell>
          <cell r="C7681" t="str">
            <v>昆仑8902套管螺纹密封脂 20kg/桶</v>
          </cell>
          <cell r="D7681">
            <v>11</v>
          </cell>
          <cell r="E7681">
            <v>5013.28</v>
          </cell>
          <cell r="F7681">
            <v>515.00058181818201</v>
          </cell>
        </row>
        <row r="7682">
          <cell r="B7682" t="str">
            <v>455502</v>
          </cell>
          <cell r="C7682" t="str">
            <v>昆仑通用航空润滑脂 7008号 15kg/桶</v>
          </cell>
          <cell r="D7682">
            <v>2</v>
          </cell>
          <cell r="E7682">
            <v>2690.27</v>
          </cell>
          <cell r="F7682">
            <v>1520.0025499999999</v>
          </cell>
        </row>
        <row r="7683">
          <cell r="B7683" t="str">
            <v>455572</v>
          </cell>
          <cell r="C7683" t="str">
            <v>昆仑之星7103机动车辆制动液HZY3 0.8kg/桶</v>
          </cell>
          <cell r="D7683">
            <v>52</v>
          </cell>
          <cell r="E7683">
            <v>834.53</v>
          </cell>
          <cell r="F7683">
            <v>18.1349788461538</v>
          </cell>
        </row>
        <row r="7684">
          <cell r="B7684" t="str">
            <v>455576</v>
          </cell>
          <cell r="C7684" t="str">
            <v>昆仑之星719机动车辆制动液HZY3 0.8kg/桶</v>
          </cell>
          <cell r="D7684">
            <v>66</v>
          </cell>
          <cell r="E7684">
            <v>1111.1600000000001</v>
          </cell>
          <cell r="F7684">
            <v>19.024406060606101</v>
          </cell>
        </row>
        <row r="7685">
          <cell r="B7685" t="str">
            <v>455578</v>
          </cell>
          <cell r="C7685" t="str">
            <v>昆仑之星HZY4 7104-1机动车辆制动液 0.8kg/桶</v>
          </cell>
          <cell r="D7685">
            <v>512</v>
          </cell>
          <cell r="E7685">
            <v>10692.92</v>
          </cell>
          <cell r="F7685">
            <v>23.599608593749998</v>
          </cell>
        </row>
        <row r="7686">
          <cell r="B7686" t="str">
            <v>455747</v>
          </cell>
          <cell r="C7686" t="str">
            <v>昆仑KI45X变压器油 170kg/钢桶</v>
          </cell>
          <cell r="D7686">
            <v>3</v>
          </cell>
          <cell r="E7686">
            <v>6026.55</v>
          </cell>
          <cell r="F7686">
            <v>2270.0005000000001</v>
          </cell>
        </row>
        <row r="7687">
          <cell r="B7687" t="str">
            <v>456442</v>
          </cell>
          <cell r="C7687" t="str">
            <v>昆仑天鸿CF-4 15W-40柴油机油 170kg/钢桶</v>
          </cell>
          <cell r="D7687">
            <v>27</v>
          </cell>
          <cell r="E7687">
            <v>53079.38</v>
          </cell>
          <cell r="F7687">
            <v>2221.4703481481502</v>
          </cell>
        </row>
        <row r="7688">
          <cell r="B7688" t="str">
            <v>456444</v>
          </cell>
          <cell r="C7688" t="str">
            <v>昆仑天鸿CH-4 15W-40柴油机油 170kg/钢桶</v>
          </cell>
          <cell r="D7688">
            <v>44</v>
          </cell>
          <cell r="E7688">
            <v>91439.27</v>
          </cell>
          <cell r="F7688">
            <v>2348.3267068181799</v>
          </cell>
        </row>
        <row r="7689">
          <cell r="B7689" t="str">
            <v>456445</v>
          </cell>
          <cell r="C7689" t="str">
            <v>昆仑天鸿CH-4 20W-50柴油机油 3.5kg/桶</v>
          </cell>
          <cell r="D7689">
            <v>51</v>
          </cell>
          <cell r="E7689">
            <v>3102.21</v>
          </cell>
          <cell r="F7689">
            <v>68.735241176470595</v>
          </cell>
        </row>
        <row r="7690">
          <cell r="B7690" t="str">
            <v>456446</v>
          </cell>
          <cell r="C7690" t="str">
            <v>昆仑天鸿CH-4 20W-50柴油机油 16kg/桶</v>
          </cell>
          <cell r="D7690">
            <v>20</v>
          </cell>
          <cell r="E7690">
            <v>4666.46</v>
          </cell>
          <cell r="F7690">
            <v>263.65499</v>
          </cell>
        </row>
        <row r="7691">
          <cell r="B7691" t="str">
            <v>456458</v>
          </cell>
          <cell r="C7691" t="str">
            <v>昆仑天鸿CH-4 15W-40柴油机油 16kg/桶</v>
          </cell>
          <cell r="D7691">
            <v>188</v>
          </cell>
          <cell r="E7691">
            <v>41853.370000000003</v>
          </cell>
          <cell r="F7691">
            <v>251.565468617021</v>
          </cell>
        </row>
        <row r="7692">
          <cell r="B7692" t="str">
            <v>456459</v>
          </cell>
          <cell r="C7692" t="str">
            <v>昆仑天鸿CH-4 15W-40柴油机油 3.5kg/桶</v>
          </cell>
          <cell r="D7692">
            <v>21</v>
          </cell>
          <cell r="E7692">
            <v>1270.47</v>
          </cell>
          <cell r="F7692">
            <v>68.363385714285698</v>
          </cell>
        </row>
        <row r="7693">
          <cell r="B7693" t="str">
            <v>456465</v>
          </cell>
          <cell r="C7693" t="str">
            <v>昆仑天鸿CF-4 10W-30柴油机油 16kg/桶</v>
          </cell>
          <cell r="D7693">
            <v>76</v>
          </cell>
          <cell r="E7693">
            <v>14828.59</v>
          </cell>
          <cell r="F7693">
            <v>220.477719736842</v>
          </cell>
        </row>
        <row r="7694">
          <cell r="B7694" t="str">
            <v>456466</v>
          </cell>
          <cell r="C7694" t="str">
            <v>昆仑天鸿CF-4 15W-40柴油机油 3.5kg/桶</v>
          </cell>
          <cell r="D7694">
            <v>239</v>
          </cell>
          <cell r="E7694">
            <v>12752.83</v>
          </cell>
          <cell r="F7694">
            <v>60.295807112970699</v>
          </cell>
        </row>
        <row r="7695">
          <cell r="B7695" t="str">
            <v>456468</v>
          </cell>
          <cell r="C7695" t="str">
            <v>昆仑天鸿CF-4 15W-40柴油机油 16kg/桶</v>
          </cell>
          <cell r="D7695">
            <v>578</v>
          </cell>
          <cell r="E7695">
            <v>122127.3</v>
          </cell>
          <cell r="F7695">
            <v>238.76098442906601</v>
          </cell>
        </row>
        <row r="7696">
          <cell r="B7696" t="str">
            <v>456469</v>
          </cell>
          <cell r="C7696" t="str">
            <v>昆仑天鸿CF-4 20W-50重载型柴油机油 3.5kg/桶</v>
          </cell>
          <cell r="D7696">
            <v>13</v>
          </cell>
          <cell r="E7696">
            <v>669.81</v>
          </cell>
          <cell r="F7696">
            <v>58.221946153846098</v>
          </cell>
        </row>
        <row r="7697">
          <cell r="B7697" t="str">
            <v>456471</v>
          </cell>
          <cell r="C7697" t="str">
            <v>昆仑天鸿CF-4 20W-50重载型柴油机油 16kg/桶</v>
          </cell>
          <cell r="D7697">
            <v>21</v>
          </cell>
          <cell r="E7697">
            <v>4341.41</v>
          </cell>
          <cell r="F7697">
            <v>233.609204761905</v>
          </cell>
        </row>
        <row r="7698">
          <cell r="B7698" t="str">
            <v>456472</v>
          </cell>
          <cell r="C7698" t="str">
            <v>昆仑天鸿CD 10W-30柴油机油 16kg/桶</v>
          </cell>
          <cell r="D7698">
            <v>1</v>
          </cell>
          <cell r="E7698">
            <v>181.81</v>
          </cell>
          <cell r="F7698">
            <v>205.4453</v>
          </cell>
        </row>
        <row r="7699">
          <cell r="B7699" t="str">
            <v>456477</v>
          </cell>
          <cell r="C7699" t="str">
            <v>昆仑天鸿CD 15W-40柴油机油 3.5kg/桶</v>
          </cell>
          <cell r="D7699">
            <v>3</v>
          </cell>
          <cell r="E7699">
            <v>120.48</v>
          </cell>
          <cell r="F7699">
            <v>45.380800000000001</v>
          </cell>
        </row>
        <row r="7700">
          <cell r="B7700" t="str">
            <v>456480</v>
          </cell>
          <cell r="C7700" t="str">
            <v>昆仑天鸿CD 20W-50柴油机油 3.5kg/桶</v>
          </cell>
          <cell r="D7700">
            <v>5</v>
          </cell>
          <cell r="E7700">
            <v>215.65</v>
          </cell>
          <cell r="F7700">
            <v>48.736899999999999</v>
          </cell>
        </row>
        <row r="7701">
          <cell r="B7701" t="str">
            <v>456489</v>
          </cell>
          <cell r="C7701" t="str">
            <v>昆仑天鸿GL-5 85W-90重负荷车辆齿轮油 170kg/钢桶</v>
          </cell>
          <cell r="D7701">
            <v>108</v>
          </cell>
          <cell r="E7701">
            <v>238216.16</v>
          </cell>
          <cell r="F7701">
            <v>2492.4468592592598</v>
          </cell>
        </row>
        <row r="7702">
          <cell r="B7702" t="str">
            <v>456490</v>
          </cell>
          <cell r="C7702" t="str">
            <v>昆仑天鸿GL-5 85W-90重负荷车辆齿轮油 3.5kg/桶</v>
          </cell>
          <cell r="D7702">
            <v>1138</v>
          </cell>
          <cell r="E7702">
            <v>55675.82</v>
          </cell>
          <cell r="F7702">
            <v>55.284425834797901</v>
          </cell>
        </row>
        <row r="7703">
          <cell r="B7703" t="str">
            <v>456492</v>
          </cell>
          <cell r="C7703" t="str">
            <v>昆仑天鸿CD 10W-30柴油机油 3.5kg/桶</v>
          </cell>
          <cell r="D7703">
            <v>1</v>
          </cell>
          <cell r="E7703">
            <v>43</v>
          </cell>
          <cell r="F7703">
            <v>48.59</v>
          </cell>
        </row>
        <row r="7704">
          <cell r="B7704" t="str">
            <v>456503</v>
          </cell>
          <cell r="C7704" t="str">
            <v>昆仑天鸿CF-4 10W-30柴油机油 170kg/钢桶</v>
          </cell>
          <cell r="D7704">
            <v>2</v>
          </cell>
          <cell r="E7704">
            <v>4007.68</v>
          </cell>
          <cell r="F7704">
            <v>2264.3391999999999</v>
          </cell>
        </row>
        <row r="7705">
          <cell r="B7705" t="str">
            <v>456504</v>
          </cell>
          <cell r="C7705" t="str">
            <v>昆仑天鸿CF-4 10W-30柴油机油 散装</v>
          </cell>
          <cell r="D7705">
            <v>340</v>
          </cell>
          <cell r="E7705">
            <v>4675.72</v>
          </cell>
          <cell r="F7705">
            <v>15.5398929411765</v>
          </cell>
        </row>
        <row r="7706">
          <cell r="B7706" t="str">
            <v>456515</v>
          </cell>
          <cell r="C7706" t="str">
            <v>昆仑天鸿GL-5 80W-90重负荷车辆齿轮油 3.5kg/桶</v>
          </cell>
          <cell r="D7706">
            <v>887</v>
          </cell>
          <cell r="E7706">
            <v>46008.25</v>
          </cell>
          <cell r="F7706">
            <v>58.612539458850101</v>
          </cell>
        </row>
        <row r="7707">
          <cell r="B7707" t="str">
            <v>456517</v>
          </cell>
          <cell r="C7707" t="str">
            <v>昆仑天鸿GL-5 85W-140重负荷车辆齿轮油 16kg/桶</v>
          </cell>
          <cell r="D7707">
            <v>18</v>
          </cell>
          <cell r="E7707">
            <v>4293.88</v>
          </cell>
          <cell r="F7707">
            <v>269.56024444444398</v>
          </cell>
        </row>
        <row r="7708">
          <cell r="B7708" t="str">
            <v>456520</v>
          </cell>
          <cell r="C7708" t="str">
            <v>昆仑天鸿GL-5 85W-90重负荷车辆齿轮油 16kg/桶</v>
          </cell>
          <cell r="D7708">
            <v>541</v>
          </cell>
          <cell r="E7708">
            <v>113366.82</v>
          </cell>
          <cell r="F7708">
            <v>236.79206395563801</v>
          </cell>
        </row>
        <row r="7709">
          <cell r="B7709" t="str">
            <v>456529</v>
          </cell>
          <cell r="C7709" t="str">
            <v>昆仑天鸿CI-4 15W-40柴油机油 3.5kg/桶</v>
          </cell>
          <cell r="D7709">
            <v>30</v>
          </cell>
          <cell r="E7709">
            <v>1682.13</v>
          </cell>
          <cell r="F7709">
            <v>63.360230000000001</v>
          </cell>
        </row>
        <row r="7710">
          <cell r="B7710" t="str">
            <v>456571</v>
          </cell>
          <cell r="C7710" t="str">
            <v>昆仑天润KR9 5W-40通用内燃机油 3.5kg/桶</v>
          </cell>
          <cell r="D7710">
            <v>4</v>
          </cell>
          <cell r="E7710">
            <v>636.20000000000005</v>
          </cell>
          <cell r="F7710">
            <v>179.72649999999999</v>
          </cell>
        </row>
        <row r="7711">
          <cell r="B7711" t="str">
            <v>456580</v>
          </cell>
          <cell r="C7711" t="str">
            <v>昆仑天润KR-A3 ATFⅢ汽车自动传动液 0.85kg/桶</v>
          </cell>
          <cell r="D7711">
            <v>16</v>
          </cell>
          <cell r="E7711">
            <v>323.68</v>
          </cell>
          <cell r="F7711">
            <v>22.8599</v>
          </cell>
        </row>
        <row r="7712">
          <cell r="B7712" t="str">
            <v>456582</v>
          </cell>
          <cell r="C7712" t="str">
            <v>昆仑天润KR9-T 0W-40通用内燃机油 3.5kg/桶</v>
          </cell>
          <cell r="D7712">
            <v>6</v>
          </cell>
          <cell r="E7712">
            <v>1295.67</v>
          </cell>
          <cell r="F7712">
            <v>244.01785000000001</v>
          </cell>
        </row>
        <row r="7713">
          <cell r="B7713" t="str">
            <v>456614</v>
          </cell>
          <cell r="C7713" t="str">
            <v>昆仑天威GL-5 85W-140重负荷车辆齿轮油 3.5kg/桶</v>
          </cell>
          <cell r="D7713">
            <v>53</v>
          </cell>
          <cell r="E7713">
            <v>3032.46</v>
          </cell>
          <cell r="F7713">
            <v>64.654335849056594</v>
          </cell>
        </row>
        <row r="7714">
          <cell r="B7714" t="str">
            <v>456620</v>
          </cell>
          <cell r="C7714" t="str">
            <v>昆仑天威CD 20W-50柴油机油 3.5kg/桶</v>
          </cell>
          <cell r="D7714">
            <v>24</v>
          </cell>
          <cell r="E7714">
            <v>1072.06</v>
          </cell>
          <cell r="F7714">
            <v>50.476158333333302</v>
          </cell>
        </row>
        <row r="7715">
          <cell r="B7715" t="str">
            <v>456627</v>
          </cell>
          <cell r="C7715" t="str">
            <v>昆仑天威CF-4 15W-40柴油机油 16kg/桶</v>
          </cell>
          <cell r="D7715">
            <v>75</v>
          </cell>
          <cell r="E7715">
            <v>14667.58</v>
          </cell>
          <cell r="F7715">
            <v>220.991538666667</v>
          </cell>
        </row>
        <row r="7716">
          <cell r="B7716" t="str">
            <v>456628</v>
          </cell>
          <cell r="C7716" t="str">
            <v>昆仑天威CF-4 15W-40柴油机油 3.5kg/桶</v>
          </cell>
          <cell r="D7716">
            <v>54</v>
          </cell>
          <cell r="E7716">
            <v>2555.09</v>
          </cell>
          <cell r="F7716">
            <v>53.467624074074102</v>
          </cell>
        </row>
        <row r="7717">
          <cell r="B7717" t="str">
            <v>456629</v>
          </cell>
          <cell r="C7717" t="str">
            <v>昆仑天威CF-4 10W-30柴油机油 16kg/桶</v>
          </cell>
          <cell r="D7717">
            <v>14</v>
          </cell>
          <cell r="E7717">
            <v>2960.08</v>
          </cell>
          <cell r="F7717">
            <v>238.92074285714301</v>
          </cell>
        </row>
        <row r="7718">
          <cell r="B7718" t="str">
            <v>456632</v>
          </cell>
          <cell r="C7718" t="str">
            <v>昆仑天威CI-4 15W-40柴油机油 170kg/钢桶</v>
          </cell>
          <cell r="D7718">
            <v>58</v>
          </cell>
          <cell r="E7718">
            <v>130833.44</v>
          </cell>
          <cell r="F7718">
            <v>2548.9963310344801</v>
          </cell>
        </row>
        <row r="7719">
          <cell r="B7719" t="str">
            <v>456633</v>
          </cell>
          <cell r="C7719" t="str">
            <v>昆仑天威CF-4 15W-40柴油机油 170kg/钢桶</v>
          </cell>
          <cell r="D7719">
            <v>2</v>
          </cell>
          <cell r="E7719">
            <v>3883.19</v>
          </cell>
          <cell r="F7719">
            <v>2194.0023500000002</v>
          </cell>
        </row>
        <row r="7720">
          <cell r="B7720" t="str">
            <v>456634</v>
          </cell>
          <cell r="C7720" t="str">
            <v>昆仑天威CH-4 10W-30柴油机油 16kg/桶</v>
          </cell>
          <cell r="D7720">
            <v>112</v>
          </cell>
          <cell r="E7720">
            <v>25670.65</v>
          </cell>
          <cell r="F7720">
            <v>258.99852232142899</v>
          </cell>
        </row>
        <row r="7721">
          <cell r="B7721" t="str">
            <v>456657</v>
          </cell>
          <cell r="C7721" t="str">
            <v>昆仑天威CH-4 20W-50柴油机油 3.5kg/桶</v>
          </cell>
          <cell r="D7721">
            <v>171</v>
          </cell>
          <cell r="E7721">
            <v>10001.469999999999</v>
          </cell>
          <cell r="F7721">
            <v>66.091585380116996</v>
          </cell>
        </row>
        <row r="7722">
          <cell r="B7722" t="str">
            <v>456658</v>
          </cell>
          <cell r="C7722" t="str">
            <v>昆仑天威CH-4 20W-50柴油机油 16kg/桶</v>
          </cell>
          <cell r="D7722">
            <v>290</v>
          </cell>
          <cell r="E7722">
            <v>66733.17</v>
          </cell>
          <cell r="F7722">
            <v>260.02924862069</v>
          </cell>
        </row>
        <row r="7723">
          <cell r="B7723" t="str">
            <v>456659</v>
          </cell>
          <cell r="C7723" t="str">
            <v>昆仑天威CH-4 15W-40柴油机油 170kg/钢桶</v>
          </cell>
          <cell r="D7723">
            <v>34</v>
          </cell>
          <cell r="E7723">
            <v>68326.23</v>
          </cell>
          <cell r="F7723">
            <v>2270.8423499999999</v>
          </cell>
        </row>
        <row r="7724">
          <cell r="B7724" t="str">
            <v>456660</v>
          </cell>
          <cell r="C7724" t="str">
            <v>昆仑天威CH-4 15W-40柴油机油 16kg/桶</v>
          </cell>
          <cell r="D7724">
            <v>213</v>
          </cell>
          <cell r="E7724">
            <v>51694.3</v>
          </cell>
          <cell r="F7724">
            <v>274.24675586854499</v>
          </cell>
        </row>
        <row r="7725">
          <cell r="B7725" t="str">
            <v>456661</v>
          </cell>
          <cell r="C7725" t="str">
            <v>昆仑天威CF-4 20W-50柴油机油 16kg/桶</v>
          </cell>
          <cell r="D7725">
            <v>41</v>
          </cell>
          <cell r="E7725">
            <v>8116.22</v>
          </cell>
          <cell r="F7725">
            <v>223.69094146341499</v>
          </cell>
        </row>
        <row r="7726">
          <cell r="B7726" t="str">
            <v>456665</v>
          </cell>
          <cell r="C7726" t="str">
            <v>昆仑天威GL-5 80W-90重负荷车辆齿轮油 16kg/桶</v>
          </cell>
          <cell r="D7726">
            <v>116</v>
          </cell>
          <cell r="E7726">
            <v>26017.279999999999</v>
          </cell>
          <cell r="F7726">
            <v>253.44419310344799</v>
          </cell>
        </row>
        <row r="7727">
          <cell r="B7727" t="str">
            <v>456674</v>
          </cell>
          <cell r="C7727" t="str">
            <v>昆仑天威CF-4 10W-30柴油机油 3.5kg/桶</v>
          </cell>
          <cell r="D7727">
            <v>2</v>
          </cell>
          <cell r="E7727">
            <v>94.9</v>
          </cell>
          <cell r="F7727">
            <v>53.618499999999997</v>
          </cell>
        </row>
        <row r="7728">
          <cell r="B7728" t="str">
            <v>456679</v>
          </cell>
          <cell r="C7728" t="str">
            <v>昆仑天威CH-4 10W-30柴油机油 3.5kg/桶</v>
          </cell>
          <cell r="D7728">
            <v>120</v>
          </cell>
          <cell r="E7728">
            <v>7766.52</v>
          </cell>
          <cell r="F7728">
            <v>73.134730000000005</v>
          </cell>
        </row>
        <row r="7729">
          <cell r="B7729" t="str">
            <v>456681</v>
          </cell>
          <cell r="C7729" t="str">
            <v>昆仑天威CH-4 15W-40柴油机油 3.5kg/桶</v>
          </cell>
          <cell r="D7729">
            <v>159</v>
          </cell>
          <cell r="E7729">
            <v>9972.99</v>
          </cell>
          <cell r="F7729">
            <v>70.877224528301895</v>
          </cell>
        </row>
        <row r="7730">
          <cell r="B7730" t="str">
            <v>456685</v>
          </cell>
          <cell r="C7730" t="str">
            <v>昆仑天威CI-4 5W-40柴油机油 16kg/桶</v>
          </cell>
          <cell r="D7730">
            <v>14</v>
          </cell>
          <cell r="E7730">
            <v>4437.8900000000003</v>
          </cell>
          <cell r="F7730">
            <v>358.20112142857101</v>
          </cell>
        </row>
        <row r="7731">
          <cell r="B7731" t="str">
            <v>456710</v>
          </cell>
          <cell r="C7731" t="str">
            <v>昆仑天威CF-4 20W-50柴油机油 3.5kg/桶</v>
          </cell>
          <cell r="D7731">
            <v>55</v>
          </cell>
          <cell r="E7731">
            <v>2626.21</v>
          </cell>
          <cell r="F7731">
            <v>53.956678181818198</v>
          </cell>
        </row>
        <row r="7732">
          <cell r="B7732" t="str">
            <v>456720</v>
          </cell>
          <cell r="C7732" t="str">
            <v>昆仑天威KV-DG 15W-40双燃料发动机油(中灰) 16kg/桶</v>
          </cell>
          <cell r="D7732">
            <v>39</v>
          </cell>
          <cell r="E7732">
            <v>8717.07</v>
          </cell>
          <cell r="F7732">
            <v>252.571515384615</v>
          </cell>
        </row>
        <row r="7733">
          <cell r="B7733" t="str">
            <v>456726</v>
          </cell>
          <cell r="C7733" t="str">
            <v>昆仑天威KV-LG 15W-40重负荷移动式燃气发动机油(低灰) 16kg/桶</v>
          </cell>
          <cell r="D7733">
            <v>30</v>
          </cell>
          <cell r="E7733">
            <v>12106.2</v>
          </cell>
          <cell r="F7733">
            <v>456.00020000000001</v>
          </cell>
        </row>
        <row r="7734">
          <cell r="B7734" t="str">
            <v>456727</v>
          </cell>
          <cell r="C7734" t="str">
            <v>昆仑天威KV-G 15W-40重负荷移动式燃气发动机油(低灰) 170kg/钢桶</v>
          </cell>
          <cell r="D7734">
            <v>10</v>
          </cell>
          <cell r="E7734">
            <v>22557.52</v>
          </cell>
          <cell r="F7734">
            <v>2548.9997600000002</v>
          </cell>
        </row>
        <row r="7735">
          <cell r="B7735" t="str">
            <v>456729</v>
          </cell>
          <cell r="C7735" t="str">
            <v>昆仑天威KV-G 15W-40重负荷移动式燃气发动机油(低灰) 16kg/桶</v>
          </cell>
          <cell r="D7735">
            <v>130</v>
          </cell>
          <cell r="E7735">
            <v>28781.82</v>
          </cell>
          <cell r="F7735">
            <v>250.18043538461501</v>
          </cell>
        </row>
        <row r="7736">
          <cell r="B7736" t="str">
            <v>456730</v>
          </cell>
          <cell r="C7736" t="str">
            <v>昆仑天威KV-G 15W-40重负荷移动式燃气发动机油(低灰) 3.5kg/桶</v>
          </cell>
          <cell r="D7736">
            <v>51</v>
          </cell>
          <cell r="E7736">
            <v>3709.91</v>
          </cell>
          <cell r="F7736">
            <v>82.199966666666697</v>
          </cell>
        </row>
        <row r="7737">
          <cell r="B7737" t="str">
            <v>456734</v>
          </cell>
          <cell r="C7737" t="str">
            <v>昆仑天威GL-5 85W-90重负荷车辆齿轮油 16kg/桶</v>
          </cell>
          <cell r="D7737">
            <v>37</v>
          </cell>
          <cell r="E7737">
            <v>8141.77</v>
          </cell>
          <cell r="F7737">
            <v>248.654056756757</v>
          </cell>
        </row>
        <row r="7738">
          <cell r="B7738" t="str">
            <v>456735</v>
          </cell>
          <cell r="C7738" t="str">
            <v>昆仑天威GL-5 85W-90重负荷车辆齿轮油 3.5kg/桶</v>
          </cell>
          <cell r="D7738">
            <v>166</v>
          </cell>
          <cell r="E7738">
            <v>8441.86</v>
          </cell>
          <cell r="F7738">
            <v>57.465673493975899</v>
          </cell>
        </row>
        <row r="7739">
          <cell r="B7739" t="str">
            <v>456737</v>
          </cell>
          <cell r="C7739" t="str">
            <v>昆仑天威CI-4 15W-40柴油机油 3.5kg/桶</v>
          </cell>
          <cell r="D7739">
            <v>284</v>
          </cell>
          <cell r="E7739">
            <v>19596.009999999998</v>
          </cell>
          <cell r="F7739">
            <v>77.970039788732393</v>
          </cell>
        </row>
        <row r="7740">
          <cell r="B7740" t="str">
            <v>456738</v>
          </cell>
          <cell r="C7740" t="str">
            <v>昆仑天威CI-4 15W-40柴油机油 16kg/桶</v>
          </cell>
          <cell r="D7740">
            <v>14</v>
          </cell>
          <cell r="E7740">
            <v>3184.99</v>
          </cell>
          <cell r="F7740">
            <v>257.07419285714298</v>
          </cell>
        </row>
        <row r="7741">
          <cell r="B7741" t="str">
            <v>456755</v>
          </cell>
          <cell r="C7741" t="str">
            <v>昆仑天威CF-4 5W-30柴油机油 16kg/桶</v>
          </cell>
          <cell r="D7741">
            <v>3</v>
          </cell>
          <cell r="E7741">
            <v>748.71</v>
          </cell>
          <cell r="F7741">
            <v>282.01409999999998</v>
          </cell>
        </row>
        <row r="7742">
          <cell r="B7742" t="str">
            <v>456757</v>
          </cell>
          <cell r="C7742" t="str">
            <v>昆仑天威CI-4 10W-30柴油机油 3.5kg/桶</v>
          </cell>
          <cell r="D7742">
            <v>60</v>
          </cell>
          <cell r="E7742">
            <v>3326.66</v>
          </cell>
          <cell r="F7742">
            <v>62.652096666666701</v>
          </cell>
        </row>
        <row r="7743">
          <cell r="B7743" t="str">
            <v>456767</v>
          </cell>
          <cell r="C7743" t="str">
            <v>昆仑天威CI-4 10W-30柴油机油 170kg/钢桶</v>
          </cell>
          <cell r="D7743">
            <v>42</v>
          </cell>
          <cell r="E7743">
            <v>90889.35</v>
          </cell>
          <cell r="F7743">
            <v>2445.35632142857</v>
          </cell>
        </row>
        <row r="7744">
          <cell r="B7744" t="str">
            <v>456787</v>
          </cell>
          <cell r="C7744" t="str">
            <v>昆仑天蝎SJ 15W-40四冲程摩托车油 0.875kg/桶</v>
          </cell>
          <cell r="D7744">
            <v>2611</v>
          </cell>
          <cell r="E7744">
            <v>34655.870000000003</v>
          </cell>
          <cell r="F7744">
            <v>14.998518996553001</v>
          </cell>
        </row>
        <row r="7745">
          <cell r="B7745" t="str">
            <v>456790</v>
          </cell>
          <cell r="C7745" t="str">
            <v>昆仑天蝎SF 15W-40四冲程摩托车油 0.875kg/桶</v>
          </cell>
          <cell r="D7745">
            <v>6327</v>
          </cell>
          <cell r="E7745">
            <v>72409.08</v>
          </cell>
          <cell r="F7745">
            <v>12.9322365101944</v>
          </cell>
        </row>
        <row r="7746">
          <cell r="B7746" t="str">
            <v>456792</v>
          </cell>
          <cell r="C7746" t="str">
            <v>昆仑天蝎SF 10W-30四冲程摩托车油 0.875kg/桶</v>
          </cell>
          <cell r="D7746">
            <v>1852</v>
          </cell>
          <cell r="E7746">
            <v>21685.32</v>
          </cell>
          <cell r="F7746">
            <v>13.2313237580994</v>
          </cell>
        </row>
        <row r="7747">
          <cell r="B7747" t="str">
            <v>456810</v>
          </cell>
          <cell r="C7747" t="str">
            <v>昆仑天蝎SF 20W-50四冲程摩托车油 0.875kg/桶</v>
          </cell>
          <cell r="D7747">
            <v>3550</v>
          </cell>
          <cell r="E7747">
            <v>41780.080000000002</v>
          </cell>
          <cell r="F7747">
            <v>13.2990113802817</v>
          </cell>
        </row>
        <row r="7748">
          <cell r="B7748" t="str">
            <v>456942</v>
          </cell>
          <cell r="C7748" t="str">
            <v>昆仑L-HM46抗磨液压油(经济型) 170kg/钢桶</v>
          </cell>
          <cell r="D7748">
            <v>349</v>
          </cell>
          <cell r="E7748">
            <v>582408.26</v>
          </cell>
          <cell r="F7748">
            <v>1885.7344808022899</v>
          </cell>
        </row>
        <row r="7749">
          <cell r="B7749" t="str">
            <v>456943</v>
          </cell>
          <cell r="C7749" t="str">
            <v>昆仑L-HM68抗磨液压油(经济型) 170kg/钢桶</v>
          </cell>
          <cell r="D7749">
            <v>42</v>
          </cell>
          <cell r="E7749">
            <v>72101.320000000007</v>
          </cell>
          <cell r="F7749">
            <v>1939.86884761905</v>
          </cell>
        </row>
        <row r="7750">
          <cell r="B7750" t="str">
            <v>456954</v>
          </cell>
          <cell r="C7750" t="str">
            <v>昆仑天威CJ-4 15W-40柴油机油 16kg/桶</v>
          </cell>
          <cell r="D7750">
            <v>20</v>
          </cell>
          <cell r="E7750">
            <v>6315.06</v>
          </cell>
          <cell r="F7750">
            <v>356.80088999999998</v>
          </cell>
        </row>
        <row r="7751">
          <cell r="B7751" t="str">
            <v>456955</v>
          </cell>
          <cell r="C7751" t="str">
            <v>昆仑天威CJ-4 15W-40柴油机油 3.5kg/桶</v>
          </cell>
          <cell r="D7751">
            <v>2</v>
          </cell>
          <cell r="E7751">
            <v>160.97999999999999</v>
          </cell>
          <cell r="F7751">
            <v>90.953699999999998</v>
          </cell>
        </row>
        <row r="7752">
          <cell r="B7752" t="str">
            <v>70427253</v>
          </cell>
          <cell r="C7752" t="str">
            <v>美孚 黑霸王傲超K40/CK-4/15W-40 16KG/18L/桶</v>
          </cell>
          <cell r="D7752">
            <v>5</v>
          </cell>
          <cell r="E7752">
            <v>1725.66</v>
          </cell>
          <cell r="F7752">
            <v>389.99916000000002</v>
          </cell>
        </row>
        <row r="7753">
          <cell r="B7753" t="str">
            <v>70427257</v>
          </cell>
          <cell r="C7753" t="str">
            <v>美孚 黑霸王长效X40/CI-4/20W-50 16KG/18L/桶</v>
          </cell>
          <cell r="D7753">
            <v>11</v>
          </cell>
          <cell r="E7753">
            <v>3543.69</v>
          </cell>
          <cell r="F7753">
            <v>364.03360909090901</v>
          </cell>
        </row>
        <row r="7754">
          <cell r="B7754" t="str">
            <v>70534673</v>
          </cell>
          <cell r="C7754" t="str">
            <v>金雪驰 LEC35机动车发动机冷却液 10L</v>
          </cell>
          <cell r="D7754">
            <v>626</v>
          </cell>
          <cell r="E7754">
            <v>29865.25</v>
          </cell>
          <cell r="F7754">
            <v>53.910115814696503</v>
          </cell>
        </row>
        <row r="7755">
          <cell r="B7755" t="str">
            <v>70536225</v>
          </cell>
          <cell r="C7755" t="str">
            <v>金雪驰 采棉机专用摘掟清洗液 18L</v>
          </cell>
          <cell r="D7755">
            <v>110</v>
          </cell>
          <cell r="E7755">
            <v>20752.23</v>
          </cell>
          <cell r="F7755">
            <v>213.18199909090899</v>
          </cell>
        </row>
        <row r="7756">
          <cell r="B7756" t="str">
            <v>70536226</v>
          </cell>
          <cell r="C7756" t="str">
            <v>金雪驰 采棉机专用摘掟润滑脂 18L</v>
          </cell>
          <cell r="D7756">
            <v>164</v>
          </cell>
          <cell r="E7756">
            <v>30867.3</v>
          </cell>
          <cell r="F7756">
            <v>212.68322560975599</v>
          </cell>
        </row>
        <row r="7757">
          <cell r="B7757" t="str">
            <v>70536227</v>
          </cell>
          <cell r="C7757" t="str">
            <v>金雪驰 SP5W-30高清洁汽油机油 4L</v>
          </cell>
          <cell r="D7757">
            <v>78</v>
          </cell>
          <cell r="E7757">
            <v>14081.49</v>
          </cell>
          <cell r="F7757">
            <v>204.00107307692301</v>
          </cell>
        </row>
        <row r="7758">
          <cell r="B7758" t="str">
            <v>70640318</v>
          </cell>
          <cell r="C7758" t="str">
            <v>柏驰 -45℃乙二醇重负荷防冻液/冷却液（绿色） 9KG</v>
          </cell>
          <cell r="D7758">
            <v>316</v>
          </cell>
          <cell r="E7758">
            <v>12914.22</v>
          </cell>
          <cell r="F7758">
            <v>46.180596835442998</v>
          </cell>
        </row>
        <row r="7759">
          <cell r="B7759" t="str">
            <v>70640319</v>
          </cell>
          <cell r="C7759" t="str">
            <v>柏驰 -35℃乙二醇重负荷防冻液/冷却液（绿色） 9KG</v>
          </cell>
          <cell r="D7759">
            <v>438</v>
          </cell>
          <cell r="E7759">
            <v>16280.05</v>
          </cell>
          <cell r="F7759">
            <v>42.001042237442903</v>
          </cell>
        </row>
        <row r="7760">
          <cell r="B7760" t="str">
            <v>70640320</v>
          </cell>
          <cell r="C7760" t="str">
            <v>柏驰 -35℃聚酯级乙二醇防冻液/冷却液（绿色） 4KG</v>
          </cell>
          <cell r="D7760">
            <v>1096</v>
          </cell>
          <cell r="E7760">
            <v>19437.21</v>
          </cell>
          <cell r="F7760">
            <v>20.040189142335802</v>
          </cell>
        </row>
        <row r="7761">
          <cell r="B7761" t="str">
            <v>70640321</v>
          </cell>
          <cell r="C7761" t="str">
            <v>柏驰 -35℃聚酯级乙二醇防冻液/冷却液（红色） 4KG</v>
          </cell>
          <cell r="D7761">
            <v>1045</v>
          </cell>
          <cell r="E7761">
            <v>18523.34</v>
          </cell>
          <cell r="F7761">
            <v>20.0300231578947</v>
          </cell>
        </row>
        <row r="7762">
          <cell r="B7762" t="str">
            <v>70640322</v>
          </cell>
          <cell r="C7762" t="str">
            <v>柏驰 -40℃乙二醇重负荷防冻液/冷却液（绿色） 9KG</v>
          </cell>
          <cell r="D7762">
            <v>460</v>
          </cell>
          <cell r="E7762">
            <v>18195.34</v>
          </cell>
          <cell r="F7762">
            <v>44.6972482608696</v>
          </cell>
        </row>
        <row r="7763">
          <cell r="B7763" t="str">
            <v>70640323</v>
          </cell>
          <cell r="C7763" t="str">
            <v>柏驰 -40℃聚酯级乙二醇防冻液/冷却液（绿色） 4KG</v>
          </cell>
          <cell r="D7763">
            <v>1442</v>
          </cell>
          <cell r="E7763">
            <v>28187.94</v>
          </cell>
          <cell r="F7763">
            <v>22.0890237170596</v>
          </cell>
        </row>
        <row r="7764">
          <cell r="B7764" t="str">
            <v>70640324</v>
          </cell>
          <cell r="C7764" t="str">
            <v>柏驰 -40℃聚酯级乙二醇防冻液/冷却液（红色） 4KG</v>
          </cell>
          <cell r="D7764">
            <v>1700</v>
          </cell>
          <cell r="E7764">
            <v>33178.839999999997</v>
          </cell>
          <cell r="F7764">
            <v>22.0541701176471</v>
          </cell>
        </row>
        <row r="7765">
          <cell r="B7765" t="str">
            <v>70640361</v>
          </cell>
          <cell r="C7765" t="str">
            <v>柏驰 -35℃乙二醇重负荷防冻液/冷却液（绿色） 200KG</v>
          </cell>
          <cell r="D7765">
            <v>11</v>
          </cell>
          <cell r="E7765">
            <v>8761.06</v>
          </cell>
          <cell r="F7765">
            <v>899.99980000000005</v>
          </cell>
        </row>
        <row r="7766">
          <cell r="B7766" t="str">
            <v>70640362</v>
          </cell>
          <cell r="C7766" t="str">
            <v>柏驰 -40℃乙二醇重负荷防冻液/冷却液（绿色） 200KG</v>
          </cell>
          <cell r="D7766">
            <v>1</v>
          </cell>
          <cell r="E7766">
            <v>840.71</v>
          </cell>
          <cell r="F7766">
            <v>950.00229999999999</v>
          </cell>
        </row>
        <row r="7767">
          <cell r="B7767" t="str">
            <v>79400138</v>
          </cell>
          <cell r="C7767" t="str">
            <v>美孚 抗磨液压油 HM 46 16KG/桶</v>
          </cell>
          <cell r="D7767">
            <v>39</v>
          </cell>
          <cell r="E7767">
            <v>10309.040000000001</v>
          </cell>
          <cell r="F7767">
            <v>298.69782564102599</v>
          </cell>
        </row>
        <row r="7768">
          <cell r="B7768" t="str">
            <v>79400140</v>
          </cell>
          <cell r="C7768" t="str">
            <v>美孚 超级黑霸王 SAE 15W-40 16KG/桶</v>
          </cell>
          <cell r="D7768">
            <v>1</v>
          </cell>
          <cell r="E7768">
            <v>308.56</v>
          </cell>
          <cell r="F7768">
            <v>348.6728</v>
          </cell>
        </row>
        <row r="7769">
          <cell r="B7769" t="str">
            <v>79400144</v>
          </cell>
          <cell r="C7769" t="str">
            <v>美孚 车辆齿轮油 GL-5 80-90 3.5KG/桶</v>
          </cell>
          <cell r="D7769">
            <v>88</v>
          </cell>
          <cell r="E7769">
            <v>7108.12</v>
          </cell>
          <cell r="F7769">
            <v>91.274722727272703</v>
          </cell>
        </row>
        <row r="7770">
          <cell r="B7770" t="str">
            <v>79400723</v>
          </cell>
          <cell r="C7770" t="str">
            <v>美孚 力霸机油 SJ 15W-50 3.5KG/桶</v>
          </cell>
          <cell r="D7770">
            <v>153</v>
          </cell>
          <cell r="E7770">
            <v>10627.8</v>
          </cell>
          <cell r="F7770">
            <v>78.492901960784295</v>
          </cell>
        </row>
        <row r="7771">
          <cell r="B7771" t="str">
            <v>79400727</v>
          </cell>
          <cell r="C7771" t="str">
            <v>美孚 液力传动油 424 16KG/桶</v>
          </cell>
          <cell r="D7771">
            <v>9</v>
          </cell>
          <cell r="E7771">
            <v>3146.03</v>
          </cell>
          <cell r="F7771">
            <v>395.00154444444399</v>
          </cell>
        </row>
        <row r="7772">
          <cell r="B7772" t="str">
            <v>79400732</v>
          </cell>
          <cell r="C7772" t="str">
            <v>美孚 力图抗磨液压油 68号 16KG</v>
          </cell>
          <cell r="D7772">
            <v>15</v>
          </cell>
          <cell r="E7772">
            <v>4008.9</v>
          </cell>
          <cell r="F7772">
            <v>302.00380000000001</v>
          </cell>
        </row>
        <row r="7773">
          <cell r="B7773" t="str">
            <v>79400742</v>
          </cell>
          <cell r="C7773" t="str">
            <v>美孚 黑霸王机油 1300 10W-30 3.5KG/桶</v>
          </cell>
          <cell r="D7773">
            <v>1</v>
          </cell>
          <cell r="E7773">
            <v>77.099999999999994</v>
          </cell>
          <cell r="F7773">
            <v>87.123000000000005</v>
          </cell>
        </row>
        <row r="7774">
          <cell r="B7774" t="str">
            <v>79400744</v>
          </cell>
          <cell r="C7774" t="str">
            <v>美孚 超级黑霸王15W/40 3.5KG</v>
          </cell>
          <cell r="D7774">
            <v>1</v>
          </cell>
          <cell r="E7774">
            <v>89.61</v>
          </cell>
          <cell r="F7774">
            <v>101.2593</v>
          </cell>
        </row>
        <row r="7775">
          <cell r="B7775" t="str">
            <v>79401192</v>
          </cell>
          <cell r="C7775" t="str">
            <v>新西亚 液压油 HL 46 2.5KG/桶</v>
          </cell>
          <cell r="D7775">
            <v>1</v>
          </cell>
          <cell r="E7775">
            <v>20.34</v>
          </cell>
          <cell r="F7775">
            <v>22.984200000000001</v>
          </cell>
        </row>
        <row r="7776">
          <cell r="B7776" t="str">
            <v>79401229</v>
          </cell>
          <cell r="C7776" t="str">
            <v>新西亚 柴油机油 CD 40 散装</v>
          </cell>
          <cell r="D7776">
            <v>170</v>
          </cell>
          <cell r="E7776">
            <v>1325.75</v>
          </cell>
          <cell r="F7776">
            <v>8.8123382352941206</v>
          </cell>
        </row>
        <row r="7777">
          <cell r="B7777" t="str">
            <v>79401431</v>
          </cell>
          <cell r="C7777" t="str">
            <v>美孚 黑霸王机油 1300 20W-50 16KG</v>
          </cell>
          <cell r="D7777">
            <v>2</v>
          </cell>
          <cell r="E7777">
            <v>566.38</v>
          </cell>
          <cell r="F7777">
            <v>320.00470000000001</v>
          </cell>
        </row>
        <row r="7778">
          <cell r="B7778" t="str">
            <v>79401432</v>
          </cell>
          <cell r="C7778" t="str">
            <v>美孚 黑霸王机油 1300 10W-30 16KG</v>
          </cell>
          <cell r="D7778">
            <v>12</v>
          </cell>
          <cell r="E7778">
            <v>3506.74</v>
          </cell>
          <cell r="F7778">
            <v>330.21801666666698</v>
          </cell>
        </row>
        <row r="7779">
          <cell r="B7779" t="str">
            <v>79401447</v>
          </cell>
          <cell r="C7779" t="str">
            <v>美孚 黑霸王 1300 15W-40 16kg</v>
          </cell>
          <cell r="D7779">
            <v>5</v>
          </cell>
          <cell r="E7779">
            <v>1371.35</v>
          </cell>
          <cell r="F7779">
            <v>309.92509999999999</v>
          </cell>
        </row>
        <row r="7780">
          <cell r="B7780" t="str">
            <v>79403092</v>
          </cell>
          <cell r="C7780" t="str">
            <v>美孚 力图H46液压油 180KG/桶</v>
          </cell>
          <cell r="D7780">
            <v>1</v>
          </cell>
          <cell r="E7780">
            <v>2654.87</v>
          </cell>
          <cell r="F7780">
            <v>3000.0030999999999</v>
          </cell>
        </row>
        <row r="7781">
          <cell r="B7781" t="str">
            <v>79403151</v>
          </cell>
          <cell r="C7781" t="str">
            <v>美孚 金装1号 0W/40 3.5KG</v>
          </cell>
          <cell r="D7781">
            <v>16</v>
          </cell>
          <cell r="E7781">
            <v>4365.67</v>
          </cell>
          <cell r="F7781">
            <v>308.32544374999998</v>
          </cell>
        </row>
        <row r="7782">
          <cell r="B7782" t="str">
            <v>79404231</v>
          </cell>
          <cell r="C7782" t="str">
            <v>美孚 润滑脂 XHP222 2KG/桶</v>
          </cell>
          <cell r="D7782">
            <v>230</v>
          </cell>
          <cell r="E7782">
            <v>20421.3</v>
          </cell>
          <cell r="F7782">
            <v>100.330734782609</v>
          </cell>
        </row>
        <row r="7783">
          <cell r="B7783" t="str">
            <v>79404740</v>
          </cell>
          <cell r="C7783" t="str">
            <v>美孚 滑脂 XHP222/铁桶 2KG</v>
          </cell>
          <cell r="D7783">
            <v>12</v>
          </cell>
          <cell r="E7783">
            <v>945.13</v>
          </cell>
          <cell r="F7783">
            <v>88.999741666666694</v>
          </cell>
        </row>
        <row r="7784">
          <cell r="B7784" t="str">
            <v>79404811</v>
          </cell>
          <cell r="C7784" t="str">
            <v>美孚 合成齿轮油SHC220 180KG/桶</v>
          </cell>
          <cell r="D7784">
            <v>6</v>
          </cell>
          <cell r="E7784">
            <v>21238.94</v>
          </cell>
          <cell r="F7784">
            <v>4000.0003666666698</v>
          </cell>
        </row>
        <row r="7785">
          <cell r="B7785" t="str">
            <v>79406118</v>
          </cell>
          <cell r="C7785" t="str">
            <v>美孚黑霸王 傲超轻享C35W30 4L</v>
          </cell>
          <cell r="D7785">
            <v>44</v>
          </cell>
          <cell r="E7785">
            <v>5715.37</v>
          </cell>
          <cell r="F7785">
            <v>146.78109318181799</v>
          </cell>
        </row>
        <row r="7786">
          <cell r="B7786" t="str">
            <v>79406120</v>
          </cell>
          <cell r="C7786" t="str">
            <v>美孚黑霸王 长效X2015W40 4L</v>
          </cell>
          <cell r="D7786">
            <v>22</v>
          </cell>
          <cell r="E7786">
            <v>1669.06</v>
          </cell>
          <cell r="F7786">
            <v>85.728990909090896</v>
          </cell>
        </row>
        <row r="7787">
          <cell r="B7787" t="str">
            <v>79406262</v>
          </cell>
          <cell r="C7787" t="str">
            <v>美孚黑霸王 长效X2015W40 18L</v>
          </cell>
          <cell r="D7787">
            <v>2</v>
          </cell>
          <cell r="E7787">
            <v>587.62</v>
          </cell>
          <cell r="F7787">
            <v>332.00529999999998</v>
          </cell>
        </row>
        <row r="7788">
          <cell r="B7788" t="str">
            <v>79406264</v>
          </cell>
          <cell r="C7788" t="str">
            <v>美孚黑霸王 长效X4015W40 18L</v>
          </cell>
          <cell r="D7788">
            <v>8</v>
          </cell>
          <cell r="E7788">
            <v>2548.6799999999998</v>
          </cell>
          <cell r="F7788">
            <v>360.00105000000002</v>
          </cell>
        </row>
        <row r="7789">
          <cell r="B7789" t="str">
            <v>79406266</v>
          </cell>
          <cell r="C7789" t="str">
            <v>美孚黑霸王 傲超15W40K40 4L</v>
          </cell>
          <cell r="D7789">
            <v>96</v>
          </cell>
          <cell r="E7789">
            <v>8893.4599999999991</v>
          </cell>
          <cell r="F7789">
            <v>104.683435416667</v>
          </cell>
        </row>
        <row r="7790">
          <cell r="B7790" t="str">
            <v>79406270</v>
          </cell>
          <cell r="C7790" t="str">
            <v>美孚 1号定制表现5W40APISP 1L</v>
          </cell>
          <cell r="D7790">
            <v>177</v>
          </cell>
          <cell r="E7790">
            <v>11515.26</v>
          </cell>
          <cell r="F7790">
            <v>73.515501694915201</v>
          </cell>
        </row>
        <row r="7791">
          <cell r="B7791" t="str">
            <v>79406294</v>
          </cell>
          <cell r="C7791" t="str">
            <v>美孚 黑霸王傲超10W-40K60CK-4 18L</v>
          </cell>
          <cell r="D7791">
            <v>7</v>
          </cell>
          <cell r="E7791">
            <v>2535.4</v>
          </cell>
          <cell r="F7791">
            <v>409.286</v>
          </cell>
        </row>
        <row r="7792">
          <cell r="B7792" t="str">
            <v>79406298</v>
          </cell>
          <cell r="C7792" t="str">
            <v>美孚 黑霸王CF-420W-50 18L</v>
          </cell>
          <cell r="D7792">
            <v>28</v>
          </cell>
          <cell r="E7792">
            <v>6938.07</v>
          </cell>
          <cell r="F7792">
            <v>280.00068214285699</v>
          </cell>
        </row>
        <row r="7793">
          <cell r="B7793" t="str">
            <v>79406526</v>
          </cell>
          <cell r="C7793" t="str">
            <v>昆仑天润KR7 SP\SN10W-40汽油机油 3.5KG/桶</v>
          </cell>
          <cell r="D7793">
            <v>6</v>
          </cell>
          <cell r="E7793">
            <v>477.9</v>
          </cell>
          <cell r="F7793">
            <v>90.004499999999993</v>
          </cell>
        </row>
        <row r="7794">
          <cell r="B7794" t="str">
            <v>79406694</v>
          </cell>
          <cell r="C7794" t="str">
            <v>美孚 美孚金1号0W40 1L</v>
          </cell>
          <cell r="D7794">
            <v>154</v>
          </cell>
          <cell r="E7794">
            <v>10549.11</v>
          </cell>
          <cell r="F7794">
            <v>77.4058071428571</v>
          </cell>
        </row>
        <row r="7795">
          <cell r="B7795" t="str">
            <v>79406696</v>
          </cell>
          <cell r="C7795" t="str">
            <v>美孚 美孚金1号0W40 4L</v>
          </cell>
          <cell r="D7795">
            <v>158</v>
          </cell>
          <cell r="E7795">
            <v>44971.1</v>
          </cell>
          <cell r="F7795">
            <v>321.628753164557</v>
          </cell>
        </row>
        <row r="7796">
          <cell r="B7796" t="str">
            <v>79406808</v>
          </cell>
          <cell r="C7796" t="str">
            <v>金雪驰 SN5W40高清洁汽油机油 4L</v>
          </cell>
          <cell r="D7796">
            <v>14</v>
          </cell>
          <cell r="E7796">
            <v>1424.78</v>
          </cell>
          <cell r="F7796">
            <v>115.0001</v>
          </cell>
        </row>
        <row r="7797">
          <cell r="B7797" t="str">
            <v>79406812</v>
          </cell>
          <cell r="C7797" t="str">
            <v>金雪驰 SN5W30高清洁汽油机油 1L</v>
          </cell>
          <cell r="D7797">
            <v>8</v>
          </cell>
          <cell r="E7797">
            <v>368.16</v>
          </cell>
          <cell r="F7797">
            <v>52.002600000000001</v>
          </cell>
        </row>
        <row r="7798">
          <cell r="B7798" t="str">
            <v>79406814</v>
          </cell>
          <cell r="C7798" t="str">
            <v>金雪驰 CI4柴油发动机机油 18L</v>
          </cell>
          <cell r="D7798">
            <v>66</v>
          </cell>
          <cell r="E7798">
            <v>13603.65</v>
          </cell>
          <cell r="F7798">
            <v>232.910977272727</v>
          </cell>
        </row>
        <row r="7799">
          <cell r="B7799" t="str">
            <v>79406816</v>
          </cell>
          <cell r="C7799" t="str">
            <v>金雪驰 CH4柴油发动机机油 18L</v>
          </cell>
          <cell r="D7799">
            <v>47</v>
          </cell>
          <cell r="E7799">
            <v>9418.61</v>
          </cell>
          <cell r="F7799">
            <v>226.447431914894</v>
          </cell>
        </row>
        <row r="7800">
          <cell r="B7800" t="str">
            <v>79406820</v>
          </cell>
          <cell r="C7800" t="str">
            <v>金雪驰 齿轮油GL585W90 18L</v>
          </cell>
          <cell r="D7800">
            <v>92</v>
          </cell>
          <cell r="E7800">
            <v>17973.46</v>
          </cell>
          <cell r="F7800">
            <v>220.76097608695599</v>
          </cell>
        </row>
        <row r="7801">
          <cell r="B7801" t="str">
            <v>79406822</v>
          </cell>
          <cell r="C7801" t="str">
            <v>金雪驰 CK4柴油发动机机油 18L</v>
          </cell>
          <cell r="D7801">
            <v>1</v>
          </cell>
          <cell r="E7801">
            <v>318.58</v>
          </cell>
          <cell r="F7801">
            <v>359.99540000000002</v>
          </cell>
        </row>
        <row r="7802">
          <cell r="B7802" t="str">
            <v>79406824</v>
          </cell>
          <cell r="C7802" t="str">
            <v>美孚 黑霸王CF-4 15W-40 4L</v>
          </cell>
          <cell r="D7802">
            <v>27</v>
          </cell>
          <cell r="E7802">
            <v>1628.23</v>
          </cell>
          <cell r="F7802">
            <v>68.144440740740706</v>
          </cell>
        </row>
        <row r="7803">
          <cell r="B7803" t="str">
            <v>79406826</v>
          </cell>
          <cell r="C7803" t="str">
            <v>美孚 速霸1000-10W40 4L</v>
          </cell>
          <cell r="D7803">
            <v>46</v>
          </cell>
          <cell r="E7803">
            <v>5268.29</v>
          </cell>
          <cell r="F7803">
            <v>129.416689130435</v>
          </cell>
        </row>
        <row r="7804">
          <cell r="B7804" t="str">
            <v>79406828</v>
          </cell>
          <cell r="C7804" t="str">
            <v>美孚 黑霸王CF-4 20W-50 4L</v>
          </cell>
          <cell r="D7804">
            <v>1</v>
          </cell>
          <cell r="E7804">
            <v>60.18</v>
          </cell>
          <cell r="F7804">
            <v>68.003399999999999</v>
          </cell>
        </row>
        <row r="7805">
          <cell r="B7805" t="str">
            <v>79406830</v>
          </cell>
          <cell r="C7805" t="str">
            <v>美孚 黑霸王CF-4 20W-50 18L</v>
          </cell>
          <cell r="D7805">
            <v>3</v>
          </cell>
          <cell r="E7805">
            <v>743.37</v>
          </cell>
          <cell r="F7805">
            <v>280.0027</v>
          </cell>
        </row>
        <row r="7806">
          <cell r="B7806" t="str">
            <v>79406852</v>
          </cell>
          <cell r="C7806" t="str">
            <v>美孚 1号5W40 4L</v>
          </cell>
          <cell r="D7806">
            <v>377</v>
          </cell>
          <cell r="E7806">
            <v>88596.97</v>
          </cell>
          <cell r="F7806">
            <v>265.55590477453597</v>
          </cell>
        </row>
        <row r="7807">
          <cell r="B7807" t="str">
            <v>79406854</v>
          </cell>
          <cell r="C7807" t="str">
            <v>美孚 速霸1000-5W30 4L</v>
          </cell>
          <cell r="D7807">
            <v>594</v>
          </cell>
          <cell r="E7807">
            <v>68012.63</v>
          </cell>
          <cell r="F7807">
            <v>129.38429612794599</v>
          </cell>
        </row>
        <row r="7808">
          <cell r="B7808" t="str">
            <v>79406856</v>
          </cell>
          <cell r="C7808" t="str">
            <v>美孚 黑霸王傲超K60 10W40 CK-4 4L</v>
          </cell>
          <cell r="D7808">
            <v>52</v>
          </cell>
          <cell r="E7808">
            <v>5163.72</v>
          </cell>
          <cell r="F7808">
            <v>112.21160769230799</v>
          </cell>
        </row>
        <row r="7809">
          <cell r="B7809" t="str">
            <v>79406858</v>
          </cell>
          <cell r="C7809" t="str">
            <v>美孚 1号5W30 1L</v>
          </cell>
          <cell r="D7809">
            <v>522</v>
          </cell>
          <cell r="E7809">
            <v>33244.57</v>
          </cell>
          <cell r="F7809">
            <v>71.966214750957803</v>
          </cell>
        </row>
        <row r="7810">
          <cell r="B7810" t="str">
            <v>79406860</v>
          </cell>
          <cell r="C7810" t="str">
            <v>美孚 1号5W30 4L</v>
          </cell>
          <cell r="D7810">
            <v>164</v>
          </cell>
          <cell r="E7810">
            <v>38940.58</v>
          </cell>
          <cell r="F7810">
            <v>268.31009390243901</v>
          </cell>
        </row>
        <row r="7811">
          <cell r="B7811" t="str">
            <v>79406862</v>
          </cell>
          <cell r="C7811" t="str">
            <v>美孚 黑霸王长效X40 15W40 CI-4 4L</v>
          </cell>
          <cell r="D7811">
            <v>100</v>
          </cell>
          <cell r="E7811">
            <v>8222.52</v>
          </cell>
          <cell r="F7811">
            <v>92.914475999999993</v>
          </cell>
        </row>
        <row r="7812">
          <cell r="B7812" t="str">
            <v>79406866</v>
          </cell>
          <cell r="C7812" t="str">
            <v>美孚 黑霸王长效X20 20W50 CH-4 4L</v>
          </cell>
          <cell r="D7812">
            <v>10</v>
          </cell>
          <cell r="E7812">
            <v>752.22</v>
          </cell>
          <cell r="F7812">
            <v>85.000860000000003</v>
          </cell>
        </row>
        <row r="7813">
          <cell r="B7813" t="str">
            <v>79406868</v>
          </cell>
          <cell r="C7813" t="str">
            <v>美孚 黑霸王长效X20 20W50 CH-4 18L</v>
          </cell>
          <cell r="D7813">
            <v>8</v>
          </cell>
          <cell r="E7813">
            <v>2350.46</v>
          </cell>
          <cell r="F7813">
            <v>332.002475</v>
          </cell>
        </row>
        <row r="7814">
          <cell r="B7814" t="str">
            <v>79406870</v>
          </cell>
          <cell r="C7814" t="str">
            <v>美孚 力霸5W30 4L</v>
          </cell>
          <cell r="D7814">
            <v>1149</v>
          </cell>
          <cell r="E7814">
            <v>78721.45</v>
          </cell>
          <cell r="F7814">
            <v>77.419702785030495</v>
          </cell>
        </row>
        <row r="7815">
          <cell r="B7815" t="str">
            <v>79406872</v>
          </cell>
          <cell r="C7815" t="str">
            <v>美孚 黑霸王长效X40 10W30 CI-4 4L</v>
          </cell>
          <cell r="D7815">
            <v>80</v>
          </cell>
          <cell r="E7815">
            <v>6702.13</v>
          </cell>
          <cell r="F7815">
            <v>94.667586249999999</v>
          </cell>
        </row>
        <row r="7816">
          <cell r="B7816" t="str">
            <v>79406874</v>
          </cell>
          <cell r="C7816" t="str">
            <v>美孚 自动排挡油 ATF220 1L</v>
          </cell>
          <cell r="D7816">
            <v>142</v>
          </cell>
          <cell r="E7816">
            <v>4035.27</v>
          </cell>
          <cell r="F7816">
            <v>32.111655633802798</v>
          </cell>
        </row>
        <row r="7817">
          <cell r="B7817" t="str">
            <v>79406876</v>
          </cell>
          <cell r="C7817" t="str">
            <v>美孚 黑霸王长效X40 20W50 CI-4 4L</v>
          </cell>
          <cell r="D7817">
            <v>87</v>
          </cell>
          <cell r="E7817">
            <v>7175.93</v>
          </cell>
          <cell r="F7817">
            <v>93.204608045976997</v>
          </cell>
        </row>
        <row r="7818">
          <cell r="B7818" t="str">
            <v>79406880</v>
          </cell>
          <cell r="C7818" t="str">
            <v>美孚 黑霸王CF-4 15W-40 18L</v>
          </cell>
          <cell r="D7818">
            <v>9</v>
          </cell>
          <cell r="E7818">
            <v>2150.46</v>
          </cell>
          <cell r="F7818">
            <v>270.00220000000002</v>
          </cell>
        </row>
        <row r="7819">
          <cell r="B7819" t="str">
            <v>79406882</v>
          </cell>
          <cell r="C7819" t="str">
            <v>美孚 力霸10W40 4L</v>
          </cell>
          <cell r="D7819">
            <v>1150</v>
          </cell>
          <cell r="E7819">
            <v>78745.53</v>
          </cell>
          <cell r="F7819">
            <v>77.376042521739095</v>
          </cell>
        </row>
        <row r="7820">
          <cell r="B7820" t="str">
            <v>79406884</v>
          </cell>
          <cell r="C7820" t="str">
            <v>美孚 黑霸王傲超燃气机油G60 15W40 18L</v>
          </cell>
          <cell r="D7820">
            <v>3</v>
          </cell>
          <cell r="E7820">
            <v>1115.04</v>
          </cell>
          <cell r="F7820">
            <v>419.9984</v>
          </cell>
        </row>
        <row r="7821">
          <cell r="B7821" t="str">
            <v>79406892</v>
          </cell>
          <cell r="C7821" t="str">
            <v>美孚 黑霸王齿轮油HD80W90 18L</v>
          </cell>
          <cell r="D7821">
            <v>22</v>
          </cell>
          <cell r="E7821">
            <v>6539.82</v>
          </cell>
          <cell r="F7821">
            <v>335.90893636363597</v>
          </cell>
        </row>
        <row r="7822">
          <cell r="B7822" t="str">
            <v>79406902</v>
          </cell>
          <cell r="C7822" t="str">
            <v>美孚 防冻液 4L</v>
          </cell>
          <cell r="D7822">
            <v>162</v>
          </cell>
          <cell r="E7822">
            <v>8387.83</v>
          </cell>
          <cell r="F7822">
            <v>58.507703086419802</v>
          </cell>
        </row>
        <row r="7823">
          <cell r="B7823" t="str">
            <v>79406904</v>
          </cell>
          <cell r="C7823" t="str">
            <v>美孚 刹车油DOT4 1L</v>
          </cell>
          <cell r="D7823">
            <v>328</v>
          </cell>
          <cell r="E7823">
            <v>15997.64</v>
          </cell>
          <cell r="F7823">
            <v>55.1138207317073</v>
          </cell>
        </row>
        <row r="7824">
          <cell r="B7824" t="str">
            <v>79408122</v>
          </cell>
          <cell r="C7824" t="str">
            <v>美孚 SHC1号车用齿轮油 75W-90 20L</v>
          </cell>
          <cell r="D7824">
            <v>2</v>
          </cell>
          <cell r="E7824">
            <v>3628.32</v>
          </cell>
          <cell r="F7824">
            <v>2050.0007999999998</v>
          </cell>
        </row>
        <row r="7825">
          <cell r="B7825" t="str">
            <v>79408132</v>
          </cell>
          <cell r="C7825" t="str">
            <v>美孚 自动变速箱油 ATF660 1L</v>
          </cell>
          <cell r="D7825">
            <v>188</v>
          </cell>
          <cell r="E7825">
            <v>7486.75</v>
          </cell>
          <cell r="F7825">
            <v>45.0001462765957</v>
          </cell>
        </row>
        <row r="7826">
          <cell r="B7826" t="str">
            <v>79408146</v>
          </cell>
          <cell r="C7826" t="str">
            <v>金雪驰 L-HM46抗磨液压油(经典) 170KG</v>
          </cell>
          <cell r="D7826">
            <v>7</v>
          </cell>
          <cell r="E7826">
            <v>11274.34</v>
          </cell>
          <cell r="F7826">
            <v>1820.0006000000001</v>
          </cell>
        </row>
        <row r="7827">
          <cell r="B7827" t="str">
            <v>79408148</v>
          </cell>
          <cell r="C7827" t="str">
            <v>金雪驰 L-CKD320工业闭式齿轮油 170KG</v>
          </cell>
          <cell r="D7827">
            <v>5</v>
          </cell>
          <cell r="E7827">
            <v>9756.64</v>
          </cell>
          <cell r="F7827">
            <v>2205.0006400000002</v>
          </cell>
        </row>
        <row r="7828">
          <cell r="B7828" t="str">
            <v>79408160</v>
          </cell>
          <cell r="C7828" t="str">
            <v>金雪驰 L-DAB100空气压缩机油 170KG</v>
          </cell>
          <cell r="D7828">
            <v>3</v>
          </cell>
          <cell r="E7828">
            <v>5522.13</v>
          </cell>
          <cell r="F7828">
            <v>2080.0023000000001</v>
          </cell>
        </row>
        <row r="7829">
          <cell r="B7829" t="str">
            <v>79408164</v>
          </cell>
          <cell r="C7829" t="str">
            <v>金雪驰 L-CKD220工业闭式齿轮油 170KG</v>
          </cell>
          <cell r="D7829">
            <v>4</v>
          </cell>
          <cell r="E7829">
            <v>7327.43</v>
          </cell>
          <cell r="F7829">
            <v>2069.998975</v>
          </cell>
        </row>
        <row r="7830">
          <cell r="B7830" t="str">
            <v>79408166</v>
          </cell>
          <cell r="C7830" t="str">
            <v>金雪驰 ND100液压传动两用油 18L</v>
          </cell>
          <cell r="D7830">
            <v>39</v>
          </cell>
          <cell r="E7830">
            <v>9249.58</v>
          </cell>
          <cell r="F7830">
            <v>268.00065128205102</v>
          </cell>
        </row>
        <row r="7831">
          <cell r="B7831" t="str">
            <v>79408172</v>
          </cell>
          <cell r="C7831" t="str">
            <v>金雪驰 8号液力传动油 18L</v>
          </cell>
          <cell r="D7831">
            <v>16</v>
          </cell>
          <cell r="E7831">
            <v>3323.01</v>
          </cell>
          <cell r="F7831">
            <v>234.68758124999999</v>
          </cell>
        </row>
        <row r="7832">
          <cell r="B7832" t="str">
            <v>79408186</v>
          </cell>
          <cell r="C7832" t="str">
            <v>金雪驰 L-CKC150工业闭式齿轮油 170KG</v>
          </cell>
          <cell r="D7832">
            <v>1</v>
          </cell>
          <cell r="E7832">
            <v>1915.04</v>
          </cell>
          <cell r="F7832">
            <v>2163.9951999999998</v>
          </cell>
        </row>
        <row r="7833">
          <cell r="B7833" t="str">
            <v>79408376</v>
          </cell>
          <cell r="C7833" t="str">
            <v>金雪驰 CK-4-10W-40王牌K2柴油机油 4L</v>
          </cell>
          <cell r="D7833">
            <v>11</v>
          </cell>
          <cell r="E7833">
            <v>924.78</v>
          </cell>
          <cell r="F7833">
            <v>95.000127272727298</v>
          </cell>
        </row>
        <row r="7834">
          <cell r="B7834" t="str">
            <v>79408407</v>
          </cell>
          <cell r="C7834" t="str">
            <v>金雪驰 L-HM46抗磨液压油（高压） 170KG</v>
          </cell>
          <cell r="D7834">
            <v>15</v>
          </cell>
          <cell r="E7834">
            <v>26761.06</v>
          </cell>
          <cell r="F7834">
            <v>2015.9998533333301</v>
          </cell>
        </row>
        <row r="7835">
          <cell r="B7835" t="str">
            <v>79408416</v>
          </cell>
          <cell r="C7835" t="str">
            <v>金雪驰 CH-4-10W-30劲驰P8柴油机油 4L</v>
          </cell>
          <cell r="D7835">
            <v>12</v>
          </cell>
          <cell r="E7835">
            <v>637.16999999999996</v>
          </cell>
          <cell r="F7835">
            <v>60.000174999999999</v>
          </cell>
        </row>
        <row r="7836">
          <cell r="B7836" t="str">
            <v>79408443</v>
          </cell>
          <cell r="C7836" t="str">
            <v>金雪驰 CI-4-10W-30劲驰P9柴油机油 4L</v>
          </cell>
          <cell r="D7836">
            <v>12</v>
          </cell>
          <cell r="E7836">
            <v>637.16999999999996</v>
          </cell>
          <cell r="F7836">
            <v>60.000174999999999</v>
          </cell>
        </row>
        <row r="7837">
          <cell r="B7837" t="str">
            <v>79408445</v>
          </cell>
          <cell r="C7837" t="str">
            <v>金雪驰 SL-5W-30净道C6汽油机油 4L</v>
          </cell>
          <cell r="D7837">
            <v>8</v>
          </cell>
          <cell r="E7837">
            <v>566.4</v>
          </cell>
          <cell r="F7837">
            <v>80.004000000000005</v>
          </cell>
        </row>
        <row r="7838">
          <cell r="B7838" t="str">
            <v>79408447</v>
          </cell>
          <cell r="C7838" t="str">
            <v>金雪驰 SL-10W-40净道C6汽油机油 4L</v>
          </cell>
          <cell r="D7838">
            <v>8</v>
          </cell>
          <cell r="E7838">
            <v>566.4</v>
          </cell>
          <cell r="F7838">
            <v>80.004000000000005</v>
          </cell>
        </row>
        <row r="7839">
          <cell r="B7839" t="str">
            <v>79408449</v>
          </cell>
          <cell r="C7839" t="str">
            <v>金雪驰 15W-40-碳金N9-6万公里长效燃气发动机油 4L</v>
          </cell>
          <cell r="D7839">
            <v>12</v>
          </cell>
          <cell r="E7839">
            <v>902.65</v>
          </cell>
          <cell r="F7839">
            <v>84.999541666666701</v>
          </cell>
        </row>
        <row r="7840">
          <cell r="B7840" t="str">
            <v>79408494</v>
          </cell>
          <cell r="C7840" t="str">
            <v>金雪驰 API-SP-ILSAC-GF-6A-0W-20金雪驰1号汽油机油 4L</v>
          </cell>
          <cell r="D7840">
            <v>4</v>
          </cell>
          <cell r="E7840">
            <v>778.76</v>
          </cell>
          <cell r="F7840">
            <v>219.99969999999999</v>
          </cell>
        </row>
        <row r="7841">
          <cell r="B7841" t="str">
            <v>79408515</v>
          </cell>
          <cell r="C7841" t="str">
            <v>金雪驰 API-SP-ACEA-C3-5W-30T族特级全合成汽油机油 1L</v>
          </cell>
          <cell r="D7841">
            <v>21</v>
          </cell>
          <cell r="E7841">
            <v>910.63</v>
          </cell>
          <cell r="F7841">
            <v>49.0005666666667</v>
          </cell>
        </row>
        <row r="7842">
          <cell r="B7842" t="str">
            <v>79408551</v>
          </cell>
          <cell r="C7842" t="str">
            <v>金雪驰 CI-4-15W-40劲驰P9柴油机油 4L</v>
          </cell>
          <cell r="D7842">
            <v>22</v>
          </cell>
          <cell r="E7842">
            <v>1168.1500000000001</v>
          </cell>
          <cell r="F7842">
            <v>60.000431818181802</v>
          </cell>
        </row>
        <row r="7843">
          <cell r="B7843" t="str">
            <v>79408590</v>
          </cell>
          <cell r="C7843" t="str">
            <v>金雪驰 CH-4-15W-40劲驰P8柴油机油 4L</v>
          </cell>
          <cell r="D7843">
            <v>11</v>
          </cell>
          <cell r="E7843">
            <v>584.08000000000004</v>
          </cell>
          <cell r="F7843">
            <v>60.000945454545501</v>
          </cell>
        </row>
        <row r="7844">
          <cell r="B7844" t="str">
            <v>79408593</v>
          </cell>
          <cell r="C7844" t="str">
            <v>金雪驰 API-SP-ACEA-C3-5W-40T族特级全合成汽油机油 1L</v>
          </cell>
          <cell r="D7844">
            <v>19</v>
          </cell>
          <cell r="E7844">
            <v>907.98</v>
          </cell>
          <cell r="F7844">
            <v>54.000915789473702</v>
          </cell>
        </row>
        <row r="7845">
          <cell r="B7845" t="str">
            <v>79408597</v>
          </cell>
          <cell r="C7845" t="str">
            <v>金雪驰 API-SP-ACEA-C3-5W-30T族特级全合成汽油机油 4L</v>
          </cell>
          <cell r="D7845">
            <v>17</v>
          </cell>
          <cell r="E7845">
            <v>3202.48</v>
          </cell>
          <cell r="F7845">
            <v>212.87072941176501</v>
          </cell>
        </row>
        <row r="7846">
          <cell r="B7846" t="str">
            <v>79408599</v>
          </cell>
          <cell r="C7846" t="str">
            <v>金雪驰 API-SP-ACEA-C3-5W-40T族特级全合成汽油机油 4L</v>
          </cell>
          <cell r="D7846">
            <v>2</v>
          </cell>
          <cell r="E7846">
            <v>378.76</v>
          </cell>
          <cell r="F7846">
            <v>213.99940000000001</v>
          </cell>
        </row>
        <row r="7847">
          <cell r="B7847" t="str">
            <v>79408752</v>
          </cell>
          <cell r="C7847" t="str">
            <v>美孚 黑霸王CF-420W-50 4L</v>
          </cell>
          <cell r="D7847">
            <v>134</v>
          </cell>
          <cell r="E7847">
            <v>8308.59</v>
          </cell>
          <cell r="F7847">
            <v>70.064975373134303</v>
          </cell>
        </row>
        <row r="7848">
          <cell r="B7848" t="str">
            <v>79408754</v>
          </cell>
          <cell r="C7848" t="str">
            <v>美孚 黑霸王长效X2015W40CH-4 18L</v>
          </cell>
          <cell r="D7848">
            <v>18</v>
          </cell>
          <cell r="E7848">
            <v>5288.5</v>
          </cell>
          <cell r="F7848">
            <v>332.00027777777802</v>
          </cell>
        </row>
        <row r="7849">
          <cell r="B7849" t="str">
            <v>79408756</v>
          </cell>
          <cell r="C7849" t="str">
            <v>美孚 黑霸王长效X2015W40CH-4 4L</v>
          </cell>
          <cell r="D7849">
            <v>70</v>
          </cell>
          <cell r="E7849">
            <v>5450.73</v>
          </cell>
          <cell r="F7849">
            <v>87.990355714285698</v>
          </cell>
        </row>
        <row r="7850">
          <cell r="B7850" t="str">
            <v>79408759</v>
          </cell>
          <cell r="C7850" t="str">
            <v>美孚 金装1号0W40 1L</v>
          </cell>
          <cell r="D7850">
            <v>884</v>
          </cell>
          <cell r="E7850">
            <v>61969.61</v>
          </cell>
          <cell r="F7850">
            <v>79.214546719457005</v>
          </cell>
        </row>
        <row r="7851">
          <cell r="B7851" t="str">
            <v>79408763</v>
          </cell>
          <cell r="C7851" t="str">
            <v>美孚 金装1号0W40 4L</v>
          </cell>
          <cell r="D7851">
            <v>265</v>
          </cell>
          <cell r="E7851">
            <v>75878.12</v>
          </cell>
          <cell r="F7851">
            <v>323.55575698113199</v>
          </cell>
        </row>
        <row r="7852">
          <cell r="B7852" t="str">
            <v>79408764</v>
          </cell>
          <cell r="C7852" t="str">
            <v>美孚 黑霸王长效X2020W50CH-4 18L</v>
          </cell>
          <cell r="D7852">
            <v>16</v>
          </cell>
          <cell r="E7852">
            <v>4700.8900000000003</v>
          </cell>
          <cell r="F7852">
            <v>332.00035624999998</v>
          </cell>
        </row>
        <row r="7853">
          <cell r="B7853" t="str">
            <v>79408767</v>
          </cell>
          <cell r="C7853" t="str">
            <v>美孚 万能4T 1L</v>
          </cell>
          <cell r="D7853">
            <v>263</v>
          </cell>
          <cell r="E7853">
            <v>5144.51</v>
          </cell>
          <cell r="F7853">
            <v>22.1037882129278</v>
          </cell>
        </row>
        <row r="7854">
          <cell r="B7854" t="str">
            <v>79408768</v>
          </cell>
          <cell r="C7854" t="str">
            <v>美孚 黑霸王长效X2020W50CH-4 4L</v>
          </cell>
          <cell r="D7854">
            <v>61</v>
          </cell>
          <cell r="E7854">
            <v>4770.59</v>
          </cell>
          <cell r="F7854">
            <v>88.3732245901639</v>
          </cell>
        </row>
        <row r="7855">
          <cell r="B7855" t="str">
            <v>79408771</v>
          </cell>
          <cell r="C7855" t="str">
            <v>美孚 速霸抗磨倍护5W40 4L</v>
          </cell>
          <cell r="D7855">
            <v>38</v>
          </cell>
          <cell r="E7855">
            <v>6994.85</v>
          </cell>
          <cell r="F7855">
            <v>208.00475</v>
          </cell>
        </row>
        <row r="7856">
          <cell r="B7856" t="str">
            <v>79408774</v>
          </cell>
          <cell r="C7856" t="str">
            <v>美孚 1号5W40 1L</v>
          </cell>
          <cell r="D7856">
            <v>757</v>
          </cell>
          <cell r="E7856">
            <v>47261.45</v>
          </cell>
          <cell r="F7856">
            <v>70.548795904887697</v>
          </cell>
        </row>
        <row r="7857">
          <cell r="B7857" t="str">
            <v>79408782</v>
          </cell>
          <cell r="C7857" t="str">
            <v>美孚 高温滑脂滑脂XHP222 1.8KG</v>
          </cell>
          <cell r="D7857">
            <v>6</v>
          </cell>
          <cell r="E7857">
            <v>557.52</v>
          </cell>
          <cell r="F7857">
            <v>104.9996</v>
          </cell>
        </row>
        <row r="7858">
          <cell r="B7858" t="str">
            <v>79408784</v>
          </cell>
          <cell r="C7858" t="str">
            <v>美孚 黑霸王CF-415W-40 4L</v>
          </cell>
          <cell r="D7858">
            <v>447</v>
          </cell>
          <cell r="E7858">
            <v>27516.91</v>
          </cell>
          <cell r="F7858">
            <v>69.561763534675606</v>
          </cell>
        </row>
        <row r="7859">
          <cell r="B7859" t="str">
            <v>79408786</v>
          </cell>
          <cell r="C7859" t="str">
            <v>美孚 黑霸王CF-415W-40 18L</v>
          </cell>
          <cell r="D7859">
            <v>55</v>
          </cell>
          <cell r="E7859">
            <v>13141.63</v>
          </cell>
          <cell r="F7859">
            <v>270.00076181818201</v>
          </cell>
        </row>
        <row r="7860">
          <cell r="B7860" t="str">
            <v>70310299</v>
          </cell>
          <cell r="C7860" t="str">
            <v>宜化 尿素（新疆宜化化工）1000KG</v>
          </cell>
          <cell r="D7860">
            <v>68</v>
          </cell>
          <cell r="E7860">
            <v>97412.85</v>
          </cell>
          <cell r="F7860">
            <v>1618.7723602941201</v>
          </cell>
        </row>
        <row r="7861">
          <cell r="B7861" t="str">
            <v>70310301</v>
          </cell>
          <cell r="C7861" t="str">
            <v>泉河 尿素 1000KG</v>
          </cell>
          <cell r="D7861">
            <v>171</v>
          </cell>
          <cell r="E7861">
            <v>233752.29</v>
          </cell>
          <cell r="F7861">
            <v>1544.6788754386</v>
          </cell>
        </row>
        <row r="7862">
          <cell r="B7862" t="str">
            <v>70329265</v>
          </cell>
          <cell r="C7862" t="str">
            <v>中化三环 64％二铵 18-46-0 50KG</v>
          </cell>
          <cell r="D7862">
            <v>212</v>
          </cell>
          <cell r="E7862">
            <v>46157.34</v>
          </cell>
          <cell r="F7862">
            <v>246.02733113207501</v>
          </cell>
        </row>
        <row r="7863">
          <cell r="B7863" t="str">
            <v>70413953</v>
          </cell>
          <cell r="C7863" t="str">
            <v>宜化 尿素（新疆宜化化工） 40KG</v>
          </cell>
          <cell r="D7863">
            <v>3589</v>
          </cell>
          <cell r="E7863">
            <v>196242.82</v>
          </cell>
          <cell r="F7863">
            <v>61.787235051546403</v>
          </cell>
        </row>
        <row r="7864">
          <cell r="B7864" t="str">
            <v>70440932</v>
          </cell>
          <cell r="C7864" t="str">
            <v>好苗子 64％含量磷酸二铵 1000KG</v>
          </cell>
          <cell r="D7864">
            <v>0.72</v>
          </cell>
          <cell r="E7864">
            <v>2774.32</v>
          </cell>
          <cell r="F7864">
            <v>4354.1411111111101</v>
          </cell>
        </row>
        <row r="7865">
          <cell r="B7865" t="str">
            <v>70440933</v>
          </cell>
          <cell r="C7865" t="str">
            <v>好苗子 64％含量磷酸二铵 50KG</v>
          </cell>
          <cell r="D7865">
            <v>4796</v>
          </cell>
          <cell r="E7865">
            <v>1021363.03</v>
          </cell>
          <cell r="F7865">
            <v>240.64641866138399</v>
          </cell>
        </row>
        <row r="7866">
          <cell r="B7866" t="str">
            <v>70440939</v>
          </cell>
          <cell r="C7866" t="str">
            <v>一面旗 复合肥（15-15-15含菌） 40KG</v>
          </cell>
          <cell r="D7866">
            <v>541</v>
          </cell>
          <cell r="E7866">
            <v>60835.96</v>
          </cell>
          <cell r="F7866">
            <v>127.069565249538</v>
          </cell>
        </row>
        <row r="7867">
          <cell r="B7867" t="str">
            <v>70440941</v>
          </cell>
          <cell r="C7867" t="str">
            <v>一面旗 复合肥（17-17-17硫基） 40KG</v>
          </cell>
          <cell r="D7867">
            <v>123</v>
          </cell>
          <cell r="E7867">
            <v>20113.21</v>
          </cell>
          <cell r="F7867">
            <v>184.779896747967</v>
          </cell>
        </row>
        <row r="7868">
          <cell r="B7868" t="str">
            <v>70440943</v>
          </cell>
          <cell r="C7868" t="str">
            <v>一面旗 水溶肥（10-20-20） 25KG</v>
          </cell>
          <cell r="D7868">
            <v>852</v>
          </cell>
          <cell r="E7868">
            <v>105647.94</v>
          </cell>
          <cell r="F7868">
            <v>140.11992042253499</v>
          </cell>
        </row>
        <row r="7869">
          <cell r="B7869" t="str">
            <v>70440944</v>
          </cell>
          <cell r="C7869" t="str">
            <v>一面旗 水溶肥（8-30-22） 1000KG</v>
          </cell>
          <cell r="D7869">
            <v>8</v>
          </cell>
          <cell r="E7869">
            <v>39192.69</v>
          </cell>
          <cell r="F7869">
            <v>5535.9674624999998</v>
          </cell>
        </row>
        <row r="7870">
          <cell r="B7870" t="str">
            <v>70440945</v>
          </cell>
          <cell r="C7870" t="str">
            <v>一面旗 水溶肥（8-30-22） 25KG</v>
          </cell>
          <cell r="D7870">
            <v>1124</v>
          </cell>
          <cell r="E7870">
            <v>156212.15</v>
          </cell>
          <cell r="F7870">
            <v>157.046022686833</v>
          </cell>
        </row>
        <row r="7871">
          <cell r="B7871" t="str">
            <v>70440947</v>
          </cell>
          <cell r="C7871" t="str">
            <v>一面旗 水溶肥（18-18-18） 25KG</v>
          </cell>
          <cell r="D7871">
            <v>1899</v>
          </cell>
          <cell r="E7871">
            <v>244423.85</v>
          </cell>
          <cell r="F7871">
            <v>145.44441837809401</v>
          </cell>
        </row>
        <row r="7872">
          <cell r="B7872" t="str">
            <v>70442684</v>
          </cell>
          <cell r="C7872" t="str">
            <v>红狮玛 73％含量磷酸一铵 1000KG</v>
          </cell>
          <cell r="D7872">
            <v>0</v>
          </cell>
          <cell r="E7872">
            <v>0</v>
          </cell>
          <cell r="F7872" t="e">
            <v>#DIV/0!</v>
          </cell>
        </row>
        <row r="7873">
          <cell r="B7873" t="str">
            <v>70442685</v>
          </cell>
          <cell r="C7873" t="str">
            <v>红狮玛 73％含量磷酸一铵 25KG</v>
          </cell>
          <cell r="D7873">
            <v>74</v>
          </cell>
          <cell r="E7873">
            <v>11337.7</v>
          </cell>
          <cell r="F7873">
            <v>173.12974324324301</v>
          </cell>
        </row>
        <row r="7874">
          <cell r="B7874" t="str">
            <v>70444056</v>
          </cell>
          <cell r="C7874" t="str">
            <v>优翠露 30G含量腐殖酸水溶肥 1升</v>
          </cell>
          <cell r="D7874">
            <v>21</v>
          </cell>
          <cell r="E7874">
            <v>674.31</v>
          </cell>
          <cell r="F7874">
            <v>36.284300000000002</v>
          </cell>
        </row>
        <row r="7875">
          <cell r="B7875" t="str">
            <v>70444058</v>
          </cell>
          <cell r="C7875" t="str">
            <v>昆仑 尿素（小颗粒） 40KG</v>
          </cell>
          <cell r="D7875">
            <v>7</v>
          </cell>
          <cell r="E7875">
            <v>400.62</v>
          </cell>
          <cell r="F7875">
            <v>64.671514285714295</v>
          </cell>
        </row>
        <row r="7876">
          <cell r="B7876" t="str">
            <v>70444060</v>
          </cell>
          <cell r="C7876" t="str">
            <v>中能 尿素 40KG</v>
          </cell>
          <cell r="D7876">
            <v>278</v>
          </cell>
          <cell r="E7876">
            <v>13874.71</v>
          </cell>
          <cell r="F7876">
            <v>56.397202517985598</v>
          </cell>
        </row>
        <row r="7877">
          <cell r="B7877" t="str">
            <v>70444063</v>
          </cell>
          <cell r="C7877" t="str">
            <v>良友 64％含量磷酸二铵 1袋 50KG</v>
          </cell>
          <cell r="D7877">
            <v>0</v>
          </cell>
          <cell r="E7877">
            <v>0</v>
          </cell>
          <cell r="F7877" t="e">
            <v>#DIV/0!</v>
          </cell>
        </row>
        <row r="7878">
          <cell r="B7878" t="str">
            <v>70446097</v>
          </cell>
          <cell r="C7878" t="str">
            <v>水滴丰 有机水溶肥料 10KG</v>
          </cell>
          <cell r="D7878">
            <v>383</v>
          </cell>
          <cell r="E7878">
            <v>16867.32</v>
          </cell>
          <cell r="F7878">
            <v>49.7652</v>
          </cell>
        </row>
        <row r="7879">
          <cell r="B7879" t="str">
            <v>70451543</v>
          </cell>
          <cell r="C7879" t="str">
            <v>龙蟒 73％含量磷酸一铵 50KG</v>
          </cell>
          <cell r="D7879">
            <v>17</v>
          </cell>
          <cell r="E7879">
            <v>6363.3</v>
          </cell>
          <cell r="F7879">
            <v>422.97229411764698</v>
          </cell>
        </row>
        <row r="7880">
          <cell r="B7880" t="str">
            <v>70466875</v>
          </cell>
          <cell r="C7880" t="str">
            <v>优加 复合肥料16-23-5硫基 40KG</v>
          </cell>
          <cell r="D7880">
            <v>101</v>
          </cell>
          <cell r="E7880">
            <v>13777.58</v>
          </cell>
          <cell r="F7880">
            <v>154.14520198019801</v>
          </cell>
        </row>
        <row r="7881">
          <cell r="B7881" t="str">
            <v>70486249</v>
          </cell>
          <cell r="C7881" t="str">
            <v>一面旗 家庭园艺有机水溶肥料海藻精华型 100ml</v>
          </cell>
          <cell r="D7881">
            <v>887</v>
          </cell>
          <cell r="E7881">
            <v>9916.8799999999992</v>
          </cell>
          <cell r="F7881">
            <v>12.633680270575001</v>
          </cell>
        </row>
        <row r="7882">
          <cell r="B7882" t="str">
            <v>70486250</v>
          </cell>
          <cell r="C7882" t="str">
            <v>一面旗 家庭园艺大量元素水溶肥料平衡营养型 100ml</v>
          </cell>
          <cell r="D7882">
            <v>469</v>
          </cell>
          <cell r="E7882">
            <v>3509.19</v>
          </cell>
          <cell r="F7882">
            <v>8.4549780383795294</v>
          </cell>
        </row>
        <row r="7883">
          <cell r="B7883" t="str">
            <v>70486251</v>
          </cell>
          <cell r="C7883" t="str">
            <v>一面旗 家庭园艺大量元素水溶肥料养花促果型 100ml</v>
          </cell>
          <cell r="D7883">
            <v>426</v>
          </cell>
          <cell r="E7883">
            <v>3126.67</v>
          </cell>
          <cell r="F7883">
            <v>8.2937490610328606</v>
          </cell>
        </row>
        <row r="7884">
          <cell r="B7884" t="str">
            <v>70488169</v>
          </cell>
          <cell r="C7884" t="str">
            <v>一面旗 含腐殖酸水溶肥 1L/瓶</v>
          </cell>
          <cell r="D7884">
            <v>1020</v>
          </cell>
          <cell r="E7884">
            <v>30895.95</v>
          </cell>
          <cell r="F7884">
            <v>34.227866176470599</v>
          </cell>
        </row>
        <row r="7885">
          <cell r="B7885" t="str">
            <v>70488781</v>
          </cell>
          <cell r="C7885" t="str">
            <v>安沃农耕 帝沃2号菠菜杂交种 500粒/袋</v>
          </cell>
          <cell r="D7885">
            <v>15</v>
          </cell>
          <cell r="E7885">
            <v>119.85</v>
          </cell>
          <cell r="F7885">
            <v>9.0287000000000006</v>
          </cell>
        </row>
        <row r="7886">
          <cell r="B7886" t="str">
            <v>70488782</v>
          </cell>
          <cell r="C7886" t="str">
            <v>安沃农耕 阿美资5号樱桃小番茄 20粒/袋</v>
          </cell>
          <cell r="D7886">
            <v>52</v>
          </cell>
          <cell r="E7886">
            <v>780</v>
          </cell>
          <cell r="F7886">
            <v>16.95</v>
          </cell>
        </row>
        <row r="7887">
          <cell r="B7887" t="str">
            <v>70495917</v>
          </cell>
          <cell r="C7887" t="str">
            <v>水滴丰 35％含量黄腐酸钾 25KG</v>
          </cell>
          <cell r="D7887">
            <v>175</v>
          </cell>
          <cell r="E7887">
            <v>14810.91</v>
          </cell>
          <cell r="F7887">
            <v>95.636161714285706</v>
          </cell>
        </row>
        <row r="7888">
          <cell r="B7888" t="str">
            <v>70519931</v>
          </cell>
          <cell r="C7888" t="str">
            <v>菌越红 复合肥15-15-15硫酸钾型 40KG</v>
          </cell>
          <cell r="D7888">
            <v>44</v>
          </cell>
          <cell r="E7888">
            <v>7104.59</v>
          </cell>
          <cell r="F7888">
            <v>182.45878863636401</v>
          </cell>
        </row>
        <row r="7889">
          <cell r="B7889" t="str">
            <v>70522228</v>
          </cell>
          <cell r="C7889" t="str">
            <v>菌越红 复合肥17-17-17硫酸钾型 40KG</v>
          </cell>
          <cell r="D7889">
            <v>1220</v>
          </cell>
          <cell r="E7889">
            <v>196206.84</v>
          </cell>
          <cell r="F7889">
            <v>181.73256491803301</v>
          </cell>
        </row>
        <row r="7890">
          <cell r="B7890" t="str">
            <v>70522806</v>
          </cell>
          <cell r="C7890" t="str">
            <v>一面旗 矿源黄腐酸钾 20KG</v>
          </cell>
          <cell r="D7890">
            <v>413</v>
          </cell>
          <cell r="E7890">
            <v>34089.93</v>
          </cell>
          <cell r="F7890">
            <v>93.272689830508497</v>
          </cell>
        </row>
        <row r="7891">
          <cell r="B7891" t="str">
            <v>70525187</v>
          </cell>
          <cell r="C7891" t="str">
            <v>水滴丰 99％含量磷酸二氢钾 20KG</v>
          </cell>
          <cell r="D7891">
            <v>454</v>
          </cell>
          <cell r="E7891">
            <v>93939.13</v>
          </cell>
          <cell r="F7891">
            <v>233.8132530837</v>
          </cell>
        </row>
        <row r="7892">
          <cell r="B7892" t="str">
            <v>70539754</v>
          </cell>
          <cell r="C7892" t="str">
            <v>中化 磷酸一铵晶体73％12-61-0 25KG</v>
          </cell>
          <cell r="D7892">
            <v>159</v>
          </cell>
          <cell r="E7892">
            <v>29663.77</v>
          </cell>
          <cell r="F7892">
            <v>210.817988050314</v>
          </cell>
        </row>
        <row r="7893">
          <cell r="B7893" t="str">
            <v>70580448</v>
          </cell>
          <cell r="C7893" t="str">
            <v>梅花 有机类肥料裸粒45-10颗粒 50KG</v>
          </cell>
          <cell r="D7893">
            <v>166</v>
          </cell>
          <cell r="E7893">
            <v>6853.27</v>
          </cell>
          <cell r="F7893">
            <v>46.651777710843398</v>
          </cell>
        </row>
        <row r="7894">
          <cell r="B7894" t="str">
            <v>70580449</v>
          </cell>
          <cell r="C7894" t="str">
            <v>冠无双 农药13.4％氨基酸锰锌水溶肥料 1L</v>
          </cell>
          <cell r="D7894">
            <v>72</v>
          </cell>
          <cell r="E7894">
            <v>6275.28</v>
          </cell>
          <cell r="F7894">
            <v>98.487033333333301</v>
          </cell>
        </row>
        <row r="7895">
          <cell r="B7895" t="str">
            <v>70583887</v>
          </cell>
          <cell r="C7895" t="str">
            <v>伽葆 50％硫酸钾 1000KG</v>
          </cell>
          <cell r="D7895">
            <v>0</v>
          </cell>
          <cell r="E7895">
            <v>0</v>
          </cell>
          <cell r="F7895" t="e">
            <v>#DIV/0!</v>
          </cell>
        </row>
        <row r="7896">
          <cell r="B7896" t="str">
            <v>70593716</v>
          </cell>
          <cell r="C7896" t="str">
            <v>爱放牧 昆壮复合肥料17-17-17（高塔硫基） 40KG</v>
          </cell>
          <cell r="D7896">
            <v>204</v>
          </cell>
          <cell r="E7896">
            <v>32190.9</v>
          </cell>
          <cell r="F7896">
            <v>178.31233823529399</v>
          </cell>
        </row>
        <row r="7897">
          <cell r="B7897" t="str">
            <v>70597207</v>
          </cell>
          <cell r="C7897" t="str">
            <v>大肥熊 50％高磷微生物菌剂含海藻酸氨基酸聚谷氨酸 25KG</v>
          </cell>
          <cell r="D7897">
            <v>15</v>
          </cell>
          <cell r="E7897">
            <v>1737.37</v>
          </cell>
          <cell r="F7897">
            <v>130.881873333333</v>
          </cell>
        </row>
        <row r="7898">
          <cell r="B7898" t="str">
            <v>70597213</v>
          </cell>
          <cell r="C7898" t="str">
            <v>大肥熊 53％高钾含大量元素海藻酸氨基酸聚谷氨酸 25KG</v>
          </cell>
          <cell r="D7898">
            <v>15</v>
          </cell>
          <cell r="E7898">
            <v>1496.56</v>
          </cell>
          <cell r="F7898">
            <v>112.74085333333301</v>
          </cell>
        </row>
        <row r="7899">
          <cell r="B7899" t="str">
            <v>70597225</v>
          </cell>
          <cell r="C7899" t="str">
            <v>大肥熊 61％微生物菌剂含海藻酸氨基酸聚谷氨酸 25KG</v>
          </cell>
          <cell r="D7899">
            <v>5</v>
          </cell>
          <cell r="E7899">
            <v>670.88</v>
          </cell>
          <cell r="F7899">
            <v>151.61887999999999</v>
          </cell>
        </row>
        <row r="7900">
          <cell r="B7900" t="str">
            <v>70601927</v>
          </cell>
          <cell r="C7900" t="str">
            <v>爱放牧 昆壮氨基酸微量水溶肥 5KG</v>
          </cell>
          <cell r="D7900">
            <v>200</v>
          </cell>
          <cell r="E7900">
            <v>13761.47</v>
          </cell>
          <cell r="F7900">
            <v>77.752305500000006</v>
          </cell>
        </row>
        <row r="7901">
          <cell r="B7901" t="str">
            <v>70601929</v>
          </cell>
          <cell r="C7901" t="str">
            <v>爱放牧 昆壮生物质有机肥 40KG</v>
          </cell>
          <cell r="D7901">
            <v>209</v>
          </cell>
          <cell r="E7901">
            <v>9203.7800000000007</v>
          </cell>
          <cell r="F7901">
            <v>49.762064114832498</v>
          </cell>
        </row>
        <row r="7902">
          <cell r="B7902" t="str">
            <v>70715041</v>
          </cell>
          <cell r="C7902" t="str">
            <v>心大户 水溶肥 12-35-5 25KG</v>
          </cell>
          <cell r="D7902">
            <v>12</v>
          </cell>
          <cell r="E7902">
            <v>1656.88</v>
          </cell>
          <cell r="F7902">
            <v>156.022866666667</v>
          </cell>
        </row>
        <row r="7903">
          <cell r="B7903" t="str">
            <v>70715125</v>
          </cell>
          <cell r="C7903" t="str">
            <v>心连心 中颗粒尿素 40KG</v>
          </cell>
          <cell r="D7903">
            <v>104</v>
          </cell>
          <cell r="E7903">
            <v>5533.96</v>
          </cell>
          <cell r="F7903">
            <v>60.128603846153801</v>
          </cell>
        </row>
        <row r="7904">
          <cell r="B7904" t="str">
            <v>70715126</v>
          </cell>
          <cell r="C7904" t="str">
            <v>心连心 黑力旺尿素 40KG</v>
          </cell>
          <cell r="D7904">
            <v>398</v>
          </cell>
          <cell r="E7904">
            <v>23076.71</v>
          </cell>
          <cell r="F7904">
            <v>65.519302261306507</v>
          </cell>
        </row>
        <row r="7905">
          <cell r="B7905" t="str">
            <v>70715127</v>
          </cell>
          <cell r="C7905" t="str">
            <v>多巨能 大量元素水溶肥料 15-30-5S 25KG</v>
          </cell>
          <cell r="D7905">
            <v>2</v>
          </cell>
          <cell r="E7905">
            <v>258.26</v>
          </cell>
          <cell r="F7905">
            <v>145.9169</v>
          </cell>
        </row>
        <row r="7906">
          <cell r="B7906" t="str">
            <v>70715128</v>
          </cell>
          <cell r="C7906" t="str">
            <v>聚能网 大量元素水溶肥料 10-5-35S 25KG</v>
          </cell>
          <cell r="D7906">
            <v>72</v>
          </cell>
          <cell r="E7906">
            <v>8653.2099999999991</v>
          </cell>
          <cell r="F7906">
            <v>135.807323611111</v>
          </cell>
        </row>
        <row r="7907">
          <cell r="B7907" t="str">
            <v>70717886</v>
          </cell>
          <cell r="C7907" t="str">
            <v>胖墩熊 大量元素（菌，15-46-0，滴灌二铵）水溶肥 25KG</v>
          </cell>
          <cell r="D7907">
            <v>10</v>
          </cell>
          <cell r="E7907">
            <v>1341.74</v>
          </cell>
          <cell r="F7907">
            <v>151.61662000000001</v>
          </cell>
        </row>
        <row r="7908">
          <cell r="B7908" t="str">
            <v>70722988</v>
          </cell>
          <cell r="C7908" t="str">
            <v>中化 55％酸性磷葆二铵 40KG</v>
          </cell>
          <cell r="D7908">
            <v>2462</v>
          </cell>
          <cell r="E7908">
            <v>399792.68</v>
          </cell>
          <cell r="F7908">
            <v>183.495421770918</v>
          </cell>
        </row>
        <row r="7909">
          <cell r="B7909" t="str">
            <v>70263331</v>
          </cell>
          <cell r="C7909" t="str">
            <v>一起游 旅游票券 1</v>
          </cell>
          <cell r="D7909">
            <v>83</v>
          </cell>
          <cell r="E7909">
            <v>0</v>
          </cell>
          <cell r="F7909">
            <v>0</v>
          </cell>
        </row>
        <row r="7910">
          <cell r="B7910" t="str">
            <v>70284443</v>
          </cell>
          <cell r="C7910" t="str">
            <v>无品牌 鸡蛋 个</v>
          </cell>
          <cell r="D7910">
            <v>497</v>
          </cell>
          <cell r="E7910">
            <v>11443</v>
          </cell>
          <cell r="F7910">
            <v>26.017283702213302</v>
          </cell>
        </row>
        <row r="7911">
          <cell r="B7911" t="str">
            <v>55000190</v>
          </cell>
          <cell r="C7911" t="str">
            <v>咔咔 自建自营</v>
          </cell>
          <cell r="D7911">
            <v>0</v>
          </cell>
          <cell r="E7911">
            <v>0</v>
          </cell>
          <cell r="F7911" t="e">
            <v>#DIV/0!</v>
          </cell>
        </row>
        <row r="7912">
          <cell r="B7912" t="str">
            <v>55000191</v>
          </cell>
          <cell r="C7912" t="str">
            <v>咔咔 洗车 15元</v>
          </cell>
          <cell r="D7912">
            <v>0</v>
          </cell>
          <cell r="E7912">
            <v>0</v>
          </cell>
          <cell r="F7912" t="e">
            <v>#DIV/0!</v>
          </cell>
        </row>
        <row r="7913">
          <cell r="B7913" t="str">
            <v>55000525</v>
          </cell>
          <cell r="C7913" t="str">
            <v>咔咔洗车 洗车服务 1</v>
          </cell>
          <cell r="D7913">
            <v>0</v>
          </cell>
          <cell r="E7913">
            <v>0</v>
          </cell>
          <cell r="F7913" t="e">
            <v>#DIV/0!</v>
          </cell>
        </row>
        <row r="7914">
          <cell r="B7914" t="str">
            <v>55000526</v>
          </cell>
          <cell r="C7914" t="str">
            <v>咔咔洗车 其他 1</v>
          </cell>
          <cell r="D7914">
            <v>0</v>
          </cell>
          <cell r="E7914">
            <v>0</v>
          </cell>
          <cell r="F7914" t="e">
            <v>#DIV/0!</v>
          </cell>
        </row>
        <row r="7915">
          <cell r="B7915" t="str">
            <v>55002305</v>
          </cell>
          <cell r="C7915" t="str">
            <v>咔咔 洗车6元 1个</v>
          </cell>
          <cell r="D7915">
            <v>0</v>
          </cell>
          <cell r="E7915">
            <v>0</v>
          </cell>
          <cell r="F7915" t="e">
            <v>#DIV/0!</v>
          </cell>
        </row>
        <row r="7916">
          <cell r="B7916" t="str">
            <v>70277576</v>
          </cell>
          <cell r="C7916" t="str">
            <v>无品牌 洗车服务收费 1个</v>
          </cell>
          <cell r="D7916">
            <v>640</v>
          </cell>
          <cell r="E7916">
            <v>495.07</v>
          </cell>
          <cell r="F7916">
            <v>0.87410796874999996</v>
          </cell>
        </row>
        <row r="7917">
          <cell r="B7917" t="str">
            <v>70290986</v>
          </cell>
          <cell r="C7917" t="str">
            <v>咔咔 洗车 个</v>
          </cell>
          <cell r="D7917">
            <v>156</v>
          </cell>
          <cell r="E7917">
            <v>0</v>
          </cell>
          <cell r="F7917">
            <v>0</v>
          </cell>
        </row>
        <row r="7918">
          <cell r="B7918" t="str">
            <v>70294893</v>
          </cell>
          <cell r="C7918" t="str">
            <v>洗车</v>
          </cell>
          <cell r="D7918">
            <v>28748</v>
          </cell>
          <cell r="E7918">
            <v>0</v>
          </cell>
          <cell r="F7918">
            <v>0</v>
          </cell>
        </row>
        <row r="7919">
          <cell r="B7919" t="str">
            <v>70317445</v>
          </cell>
          <cell r="C7919" t="str">
            <v>站外合作洗车1 1次</v>
          </cell>
          <cell r="D7919">
            <v>12918</v>
          </cell>
          <cell r="E7919">
            <v>0</v>
          </cell>
          <cell r="F7919">
            <v>0</v>
          </cell>
        </row>
        <row r="7920">
          <cell r="B7920" t="str">
            <v>70321541</v>
          </cell>
          <cell r="C7920" t="str">
            <v>洗车  次</v>
          </cell>
          <cell r="D7920">
            <v>3657</v>
          </cell>
          <cell r="E7920">
            <v>0</v>
          </cell>
          <cell r="F7920">
            <v>0</v>
          </cell>
        </row>
        <row r="7921">
          <cell r="B7921" t="str">
            <v>70324985</v>
          </cell>
          <cell r="C7921" t="str">
            <v>杭州大盒子 普洗洗车券 个</v>
          </cell>
          <cell r="D7921">
            <v>5275</v>
          </cell>
          <cell r="E7921">
            <v>0</v>
          </cell>
          <cell r="F7921">
            <v>0</v>
          </cell>
        </row>
        <row r="7922">
          <cell r="B7922" t="str">
            <v>70327268</v>
          </cell>
          <cell r="C7922" t="str">
            <v>咔咔 洗车券</v>
          </cell>
          <cell r="D7922">
            <v>154628</v>
          </cell>
          <cell r="E7922">
            <v>81.569999999999993</v>
          </cell>
          <cell r="F7922">
            <v>5.9610225832320098E-4</v>
          </cell>
        </row>
        <row r="7923">
          <cell r="B7923" t="str">
            <v>70334503</v>
          </cell>
          <cell r="C7923" t="str">
            <v>无品牌 车洗洗洗车 1次</v>
          </cell>
          <cell r="D7923">
            <v>12837</v>
          </cell>
          <cell r="E7923">
            <v>0</v>
          </cell>
          <cell r="F7923">
            <v>0</v>
          </cell>
        </row>
        <row r="7924">
          <cell r="B7924" t="str">
            <v>70418654</v>
          </cell>
          <cell r="C7924" t="str">
            <v>洗车 快洗11元 1个</v>
          </cell>
          <cell r="D7924">
            <v>42383</v>
          </cell>
          <cell r="E7924">
            <v>0</v>
          </cell>
          <cell r="F7924">
            <v>0</v>
          </cell>
        </row>
        <row r="7925">
          <cell r="B7925" t="str">
            <v>70531700</v>
          </cell>
          <cell r="C7925" t="str">
            <v>洗车 15元洗车收费 1*1</v>
          </cell>
          <cell r="D7925">
            <v>684</v>
          </cell>
          <cell r="E7925">
            <v>0</v>
          </cell>
          <cell r="F7925">
            <v>0</v>
          </cell>
        </row>
        <row r="7926">
          <cell r="B7926" t="str">
            <v>70666852</v>
          </cell>
          <cell r="C7926" t="str">
            <v>无品牌 标准换胎 防爆胎/AT胎17寸及以下</v>
          </cell>
          <cell r="D7926">
            <v>0</v>
          </cell>
          <cell r="E7926">
            <v>0</v>
          </cell>
          <cell r="F7926" t="e">
            <v>#DIV/0!</v>
          </cell>
        </row>
        <row r="7927">
          <cell r="B7927" t="str">
            <v>70680330</v>
          </cell>
          <cell r="C7927" t="str">
            <v>百洁帮 清洁保护剂 瓶</v>
          </cell>
          <cell r="D7927">
            <v>663</v>
          </cell>
          <cell r="E7927">
            <v>3989.75</v>
          </cell>
          <cell r="F7927">
            <v>6.8000263951734503</v>
          </cell>
        </row>
        <row r="7928">
          <cell r="B7928" t="str">
            <v>70680335</v>
          </cell>
          <cell r="C7928" t="str">
            <v>雪清灵 多功能冰雪铲 66CM</v>
          </cell>
          <cell r="D7928">
            <v>179</v>
          </cell>
          <cell r="E7928">
            <v>1029.7</v>
          </cell>
          <cell r="F7928">
            <v>6.5003407821229002</v>
          </cell>
        </row>
        <row r="7929">
          <cell r="B7929" t="str">
            <v>70680336</v>
          </cell>
          <cell r="C7929" t="str">
            <v>雪清灵 伸缩折叠冰雪铲 60CM</v>
          </cell>
          <cell r="D7929">
            <v>36</v>
          </cell>
          <cell r="E7929">
            <v>892.08</v>
          </cell>
          <cell r="F7929">
            <v>28.0014</v>
          </cell>
        </row>
        <row r="7930">
          <cell r="B7930" t="str">
            <v>70680337</v>
          </cell>
          <cell r="C7930" t="str">
            <v>雪清灵 便携式双铲面冰雪铲 32CM</v>
          </cell>
          <cell r="D7930">
            <v>215</v>
          </cell>
          <cell r="E7930">
            <v>1807.83</v>
          </cell>
          <cell r="F7930">
            <v>9.5016181395348802</v>
          </cell>
        </row>
        <row r="7931">
          <cell r="B7931" t="str">
            <v>70680834</v>
          </cell>
          <cell r="C7931" t="str">
            <v>绿芙洁 多功能麂皮擦车巾 个</v>
          </cell>
          <cell r="D7931">
            <v>1913</v>
          </cell>
          <cell r="E7931">
            <v>17787.66</v>
          </cell>
          <cell r="F7931">
            <v>10.5070861474124</v>
          </cell>
        </row>
        <row r="7932">
          <cell r="B7932" t="str">
            <v>70680835</v>
          </cell>
          <cell r="C7932" t="str">
            <v>百洁帮 浅痕修复膏 个</v>
          </cell>
          <cell r="D7932">
            <v>365</v>
          </cell>
          <cell r="E7932">
            <v>1716.28</v>
          </cell>
          <cell r="F7932">
            <v>5.3134147945205497</v>
          </cell>
        </row>
        <row r="7933">
          <cell r="B7933" t="str">
            <v>70680837</v>
          </cell>
          <cell r="C7933" t="str">
            <v>雪清灵 弯管式伸缩冰雪铲 62CM</v>
          </cell>
          <cell r="D7933">
            <v>24</v>
          </cell>
          <cell r="E7933">
            <v>913.27</v>
          </cell>
          <cell r="F7933">
            <v>42.999795833333302</v>
          </cell>
        </row>
        <row r="7934">
          <cell r="B7934" t="str">
            <v>70680841</v>
          </cell>
          <cell r="C7934" t="str">
            <v>百洁帮 燃油清洁剂（铁罐） 瓶</v>
          </cell>
          <cell r="D7934">
            <v>2377</v>
          </cell>
          <cell r="E7934">
            <v>19562.95</v>
          </cell>
          <cell r="F7934">
            <v>9.3000140933950295</v>
          </cell>
        </row>
        <row r="7935">
          <cell r="B7935" t="str">
            <v>70680842</v>
          </cell>
          <cell r="C7935" t="str">
            <v>百洁帮 玻璃油膜去渍膏 个</v>
          </cell>
          <cell r="D7935">
            <v>1494</v>
          </cell>
          <cell r="E7935">
            <v>6881.06</v>
          </cell>
          <cell r="F7935">
            <v>5.2045500669343996</v>
          </cell>
        </row>
        <row r="7936">
          <cell r="B7936" t="str">
            <v>70686592</v>
          </cell>
          <cell r="C7936" t="str">
            <v>水浜昆韵 虫胶去除剂 238ML</v>
          </cell>
          <cell r="D7936">
            <v>780</v>
          </cell>
          <cell r="E7936">
            <v>12424.76</v>
          </cell>
          <cell r="F7936">
            <v>17.999972820512799</v>
          </cell>
        </row>
        <row r="7937">
          <cell r="B7937" t="str">
            <v>75000765</v>
          </cell>
          <cell r="C7937" t="str">
            <v>水浜昆韵 玻璃内侧清洁剂 238ml</v>
          </cell>
          <cell r="D7937">
            <v>149650</v>
          </cell>
          <cell r="E7937">
            <v>2384493.4300000002</v>
          </cell>
          <cell r="F7937">
            <v>18.005195963247601</v>
          </cell>
        </row>
        <row r="7938">
          <cell r="B7938" t="str">
            <v>75000766</v>
          </cell>
          <cell r="C7938" t="str">
            <v>水浜昆韵 内饰清洗剂 238ml</v>
          </cell>
          <cell r="D7938">
            <v>158655</v>
          </cell>
          <cell r="E7938">
            <v>2528264.73</v>
          </cell>
          <cell r="F7938">
            <v>18.0072430424506</v>
          </cell>
        </row>
        <row r="7939">
          <cell r="B7939" t="str">
            <v>70304743</v>
          </cell>
          <cell r="C7939" t="str">
            <v>无品牌 包子 1</v>
          </cell>
          <cell r="D7939">
            <v>9</v>
          </cell>
          <cell r="E7939">
            <v>119.47</v>
          </cell>
          <cell r="F7939">
            <v>15.000122222222201</v>
          </cell>
        </row>
        <row r="7940">
          <cell r="B7940" t="str">
            <v>70304744</v>
          </cell>
          <cell r="C7940" t="str">
            <v>无品牌 烤肠 1</v>
          </cell>
          <cell r="D7940">
            <v>428</v>
          </cell>
          <cell r="E7940">
            <v>1137.1300000000001</v>
          </cell>
          <cell r="F7940">
            <v>3.0022357476635499</v>
          </cell>
        </row>
        <row r="7941">
          <cell r="B7941" t="str">
            <v>70446412</v>
          </cell>
          <cell r="C7941" t="str">
            <v>无品牌 烤肠一 个</v>
          </cell>
          <cell r="D7941">
            <v>198</v>
          </cell>
          <cell r="E7941">
            <v>964.26</v>
          </cell>
          <cell r="F7941">
            <v>5.5030999999999999</v>
          </cell>
        </row>
        <row r="7942">
          <cell r="B7942" t="str">
            <v>70643000</v>
          </cell>
          <cell r="C7942" t="str">
            <v>相遇好客 面包 EA</v>
          </cell>
          <cell r="D7942">
            <v>3520</v>
          </cell>
          <cell r="E7942">
            <v>52332.77</v>
          </cell>
          <cell r="F7942">
            <v>16.800008551136401</v>
          </cell>
        </row>
        <row r="7943">
          <cell r="B7943" t="str">
            <v>70725662</v>
          </cell>
          <cell r="C7943" t="str">
            <v>相遇好客 酸梅汤 个</v>
          </cell>
          <cell r="D7943">
            <v>143</v>
          </cell>
          <cell r="E7943">
            <v>850.43</v>
          </cell>
          <cell r="F7943">
            <v>6.7201811188811202</v>
          </cell>
        </row>
        <row r="7944">
          <cell r="B7944" t="str">
            <v>70725663</v>
          </cell>
          <cell r="C7944" t="str">
            <v>相遇好客 甜筒 个</v>
          </cell>
          <cell r="D7944">
            <v>145</v>
          </cell>
          <cell r="E7944">
            <v>538.94000000000005</v>
          </cell>
          <cell r="F7944">
            <v>4.2000151724137904</v>
          </cell>
        </row>
        <row r="7945">
          <cell r="B7945" t="str">
            <v>70725664</v>
          </cell>
          <cell r="C7945" t="str">
            <v>相遇好客 鸭头 盒</v>
          </cell>
          <cell r="D7945">
            <v>150</v>
          </cell>
          <cell r="E7945">
            <v>2230.09</v>
          </cell>
          <cell r="F7945">
            <v>16.800011333333298</v>
          </cell>
        </row>
        <row r="7946">
          <cell r="B7946" t="str">
            <v>70725665</v>
          </cell>
          <cell r="C7946" t="str">
            <v>相遇好客 蛋挞 个</v>
          </cell>
          <cell r="D7946">
            <v>150</v>
          </cell>
          <cell r="E7946">
            <v>557.52</v>
          </cell>
          <cell r="F7946">
            <v>4.1999839999999997</v>
          </cell>
        </row>
        <row r="7947">
          <cell r="B7947" t="str">
            <v>70725666</v>
          </cell>
          <cell r="C7947" t="str">
            <v>相遇好客 榴莲披萨 个</v>
          </cell>
          <cell r="D7947">
            <v>100</v>
          </cell>
          <cell r="E7947">
            <v>4311.5</v>
          </cell>
          <cell r="F7947">
            <v>48.719949999999997</v>
          </cell>
        </row>
        <row r="7948">
          <cell r="B7948" t="str">
            <v>70725667</v>
          </cell>
          <cell r="C7948" t="str">
            <v>相遇好客 鸡肉披萨 个</v>
          </cell>
          <cell r="D7948">
            <v>100</v>
          </cell>
          <cell r="E7948">
            <v>3568.14</v>
          </cell>
          <cell r="F7948">
            <v>40.319982000000003</v>
          </cell>
        </row>
        <row r="7949">
          <cell r="B7949" t="str">
            <v>70725668</v>
          </cell>
          <cell r="C7949" t="str">
            <v>相遇好客 卤牛肉 250G</v>
          </cell>
          <cell r="D7949">
            <v>150</v>
          </cell>
          <cell r="E7949">
            <v>4977.87</v>
          </cell>
          <cell r="F7949">
            <v>37.499954000000002</v>
          </cell>
        </row>
        <row r="7950">
          <cell r="B7950" t="str">
            <v>70725669</v>
          </cell>
          <cell r="C7950" t="str">
            <v>相遇好客 奥尔良鸡腿堡套餐 个</v>
          </cell>
          <cell r="D7950">
            <v>149</v>
          </cell>
          <cell r="E7950">
            <v>3599.74</v>
          </cell>
          <cell r="F7950">
            <v>27.300041610738301</v>
          </cell>
        </row>
        <row r="7951">
          <cell r="B7951" t="str">
            <v>70725891</v>
          </cell>
          <cell r="C7951" t="str">
            <v>相遇好客 水果披萨 个</v>
          </cell>
          <cell r="D7951">
            <v>100</v>
          </cell>
          <cell r="E7951">
            <v>3568.14</v>
          </cell>
          <cell r="F7951">
            <v>40.319982000000003</v>
          </cell>
        </row>
        <row r="7952">
          <cell r="B7952" t="str">
            <v>70725900</v>
          </cell>
          <cell r="C7952" t="str">
            <v>相遇好客 牛肉披萨 个</v>
          </cell>
          <cell r="D7952">
            <v>100</v>
          </cell>
          <cell r="E7952">
            <v>3568.14</v>
          </cell>
          <cell r="F7952">
            <v>40.319982000000003</v>
          </cell>
        </row>
        <row r="7953">
          <cell r="B7953" t="str">
            <v>70725901</v>
          </cell>
          <cell r="C7953" t="str">
            <v>相遇好客 蛋挞套装 个</v>
          </cell>
          <cell r="D7953">
            <v>100</v>
          </cell>
          <cell r="E7953">
            <v>1115.04</v>
          </cell>
          <cell r="F7953">
            <v>12.599952</v>
          </cell>
        </row>
        <row r="7954">
          <cell r="B7954" t="str">
            <v>70725902</v>
          </cell>
          <cell r="C7954" t="str">
            <v>相遇好客 黄金鸡块 个</v>
          </cell>
          <cell r="D7954">
            <v>150</v>
          </cell>
          <cell r="E7954">
            <v>1338.06</v>
          </cell>
          <cell r="F7954">
            <v>10.080052</v>
          </cell>
        </row>
        <row r="7955">
          <cell r="B7955" t="str">
            <v>70725903</v>
          </cell>
          <cell r="C7955" t="str">
            <v>相遇好客 热牛奶 个</v>
          </cell>
          <cell r="D7955">
            <v>150</v>
          </cell>
          <cell r="E7955">
            <v>1003.54</v>
          </cell>
          <cell r="F7955">
            <v>7.5600013333333296</v>
          </cell>
        </row>
        <row r="7956">
          <cell r="B7956" t="str">
            <v>70725904</v>
          </cell>
          <cell r="C7956" t="str">
            <v>相遇好客 圣代草莓/巧克力 个</v>
          </cell>
          <cell r="D7956">
            <v>150</v>
          </cell>
          <cell r="E7956">
            <v>892.04</v>
          </cell>
          <cell r="F7956">
            <v>6.7200346666666704</v>
          </cell>
        </row>
        <row r="7957">
          <cell r="B7957" t="str">
            <v>70725905</v>
          </cell>
          <cell r="C7957" t="str">
            <v>相遇好客 奥尔良鸡腿堡 个</v>
          </cell>
          <cell r="D7957">
            <v>142</v>
          </cell>
          <cell r="E7957">
            <v>1688.94</v>
          </cell>
          <cell r="F7957">
            <v>13.440156338028199</v>
          </cell>
        </row>
        <row r="7958">
          <cell r="B7958" t="str">
            <v>70725906</v>
          </cell>
          <cell r="C7958" t="str">
            <v>相遇好客 鸭脖 盒</v>
          </cell>
          <cell r="D7958">
            <v>149</v>
          </cell>
          <cell r="E7958">
            <v>2769.03</v>
          </cell>
          <cell r="F7958">
            <v>21.0000261744966</v>
          </cell>
        </row>
        <row r="7959">
          <cell r="B7959" t="str">
            <v>70725907</v>
          </cell>
          <cell r="C7959" t="str">
            <v>相遇好客 鸡排套餐 个</v>
          </cell>
          <cell r="D7959">
            <v>150</v>
          </cell>
          <cell r="E7959">
            <v>3623.89</v>
          </cell>
          <cell r="F7959">
            <v>27.2999713333333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索引"/>
      <sheetName val="0.1竞品排他品类"/>
      <sheetName val="0.2配套保障政策"/>
      <sheetName val="1.0暂停订货目录"/>
      <sheetName val="1.1集采目录"/>
      <sheetName val="1.2自有商品含地区公司集中运营"/>
      <sheetName val="3.供应商通讯录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F1" t="str">
            <v>商品编码</v>
          </cell>
          <cell r="G1" t="str">
            <v>品牌</v>
          </cell>
          <cell r="H1" t="str">
            <v>二级品牌</v>
          </cell>
          <cell r="I1" t="str">
            <v>商品品类</v>
          </cell>
          <cell r="J1" t="str">
            <v>中品类</v>
          </cell>
          <cell r="K1" t="str">
            <v>商品名称</v>
          </cell>
          <cell r="L1" t="str">
            <v>基础规格</v>
          </cell>
          <cell r="M1" t="str">
            <v>基础
单位</v>
          </cell>
          <cell r="N1" t="str">
            <v>地区公司
供货价格
（元）</v>
          </cell>
          <cell r="O1" t="str">
            <v>建议
零售价
（元）</v>
          </cell>
          <cell r="P1" t="str">
            <v>毛利率</v>
          </cell>
        </row>
        <row r="2">
          <cell r="F2" t="str">
            <v>456857</v>
          </cell>
          <cell r="G2" t="str">
            <v>昆仑之星AUS</v>
          </cell>
          <cell r="H2" t="str">
            <v>昆仑之星AUS</v>
          </cell>
          <cell r="I2" t="str">
            <v>汽车用品</v>
          </cell>
          <cell r="J2" t="str">
            <v>车用尿素</v>
          </cell>
          <cell r="K2" t="str">
            <v>昆仑之星AUS 32柴油发动机尾气净化液 10kg/桶</v>
          </cell>
          <cell r="L2" t="str">
            <v>10kg/桶</v>
          </cell>
          <cell r="M2" t="str">
            <v>桶</v>
          </cell>
          <cell r="N2">
            <v>16.04</v>
          </cell>
          <cell r="O2">
            <v>55</v>
          </cell>
          <cell r="P2">
            <v>0.7</v>
          </cell>
        </row>
        <row r="3">
          <cell r="F3" t="str">
            <v>79405852</v>
          </cell>
          <cell r="G3" t="str">
            <v>昆仑之星AUS</v>
          </cell>
          <cell r="H3" t="str">
            <v>昆仑之星AUS</v>
          </cell>
          <cell r="I3" t="str">
            <v>汽车用品</v>
          </cell>
          <cell r="J3" t="str">
            <v>车用尿素</v>
          </cell>
          <cell r="K3" t="str">
            <v>昆仑之星AUS 32柴油发动机尾气净化液 20kg</v>
          </cell>
          <cell r="L3" t="str">
            <v>20kg</v>
          </cell>
          <cell r="M3" t="str">
            <v>桶</v>
          </cell>
          <cell r="N3">
            <v>31.16</v>
          </cell>
          <cell r="O3">
            <v>80</v>
          </cell>
          <cell r="P3">
            <v>0.60124999999999995</v>
          </cell>
        </row>
        <row r="4">
          <cell r="F4" t="str">
            <v>70356177</v>
          </cell>
          <cell r="G4" t="str">
            <v>泰国红牛（维生素）</v>
          </cell>
          <cell r="H4" t="str">
            <v>泰国红牛（维生素）</v>
          </cell>
          <cell r="I4" t="str">
            <v>包装饮料</v>
          </cell>
          <cell r="J4" t="str">
            <v>功能饮料</v>
          </cell>
          <cell r="K4" t="str">
            <v>红牛 红牛®维生素风味饮料 250mL</v>
          </cell>
          <cell r="L4" t="str">
            <v>250mL</v>
          </cell>
          <cell r="M4" t="str">
            <v>罐</v>
          </cell>
          <cell r="N4">
            <v>4.57</v>
          </cell>
          <cell r="O4">
            <v>6.5</v>
          </cell>
          <cell r="P4">
            <v>0.290769230769231</v>
          </cell>
        </row>
        <row r="5">
          <cell r="F5" t="str">
            <v>70368365</v>
          </cell>
          <cell r="G5" t="str">
            <v>泰国红牛（维生素）</v>
          </cell>
          <cell r="H5" t="str">
            <v>泰国红牛（维生素）</v>
          </cell>
          <cell r="I5" t="str">
            <v>包装饮料</v>
          </cell>
          <cell r="J5" t="str">
            <v>功能饮料</v>
          </cell>
          <cell r="K5" t="str">
            <v>红牛 红牛®维生素风味饮料 250mL*6</v>
          </cell>
          <cell r="L5" t="str">
            <v>250mL*6</v>
          </cell>
          <cell r="M5" t="str">
            <v>个</v>
          </cell>
          <cell r="N5">
            <v>27.39</v>
          </cell>
          <cell r="O5">
            <v>39</v>
          </cell>
          <cell r="P5">
            <v>0.290769230769231</v>
          </cell>
        </row>
        <row r="6">
          <cell r="F6" t="str">
            <v>70514538</v>
          </cell>
          <cell r="G6" t="str">
            <v>泰国红牛（维生素）</v>
          </cell>
          <cell r="H6" t="str">
            <v>泰国红牛（维生素）</v>
          </cell>
          <cell r="I6" t="str">
            <v>包装饮料</v>
          </cell>
          <cell r="J6" t="str">
            <v>功能饮料</v>
          </cell>
          <cell r="K6" t="str">
            <v>红牛 维生素能量饮料百香果味 325mL</v>
          </cell>
          <cell r="L6" t="str">
            <v>325mL</v>
          </cell>
          <cell r="M6" t="str">
            <v>罐</v>
          </cell>
          <cell r="N6">
            <v>4.8499999999999996</v>
          </cell>
          <cell r="O6">
            <v>9.5</v>
          </cell>
          <cell r="P6">
            <v>0.48421052631578898</v>
          </cell>
        </row>
        <row r="7">
          <cell r="F7" t="str">
            <v>70514539</v>
          </cell>
          <cell r="G7" t="str">
            <v>泰国红牛（维生素）</v>
          </cell>
          <cell r="H7" t="str">
            <v>泰国红牛（维生素）</v>
          </cell>
          <cell r="I7" t="str">
            <v>包装饮料</v>
          </cell>
          <cell r="J7" t="str">
            <v>功能饮料</v>
          </cell>
          <cell r="K7" t="str">
            <v>红牛 维生素能量饮料百香果味 325mL*24</v>
          </cell>
          <cell r="L7" t="str">
            <v>325mL*24</v>
          </cell>
          <cell r="M7" t="str">
            <v>箱</v>
          </cell>
          <cell r="N7">
            <v>116.35</v>
          </cell>
          <cell r="O7">
            <v>228</v>
          </cell>
          <cell r="P7">
            <v>0.484649122807018</v>
          </cell>
        </row>
        <row r="8">
          <cell r="F8" t="str">
            <v>70514540</v>
          </cell>
          <cell r="G8" t="str">
            <v>泰国红牛（维生素）</v>
          </cell>
          <cell r="H8" t="str">
            <v>泰国红牛（维生素）</v>
          </cell>
          <cell r="I8" t="str">
            <v>包装饮料</v>
          </cell>
          <cell r="J8" t="str">
            <v>功能饮料</v>
          </cell>
          <cell r="K8" t="str">
            <v>红牛 维生素能量饮料混合水果味 325mL</v>
          </cell>
          <cell r="L8" t="str">
            <v>325mL</v>
          </cell>
          <cell r="M8" t="str">
            <v>罐</v>
          </cell>
          <cell r="N8">
            <v>4.8499999999999996</v>
          </cell>
          <cell r="O8">
            <v>9.5</v>
          </cell>
          <cell r="P8">
            <v>0.48421052631578898</v>
          </cell>
        </row>
        <row r="9">
          <cell r="F9" t="str">
            <v>70514541</v>
          </cell>
          <cell r="G9" t="str">
            <v>泰国红牛（维生素）</v>
          </cell>
          <cell r="H9" t="str">
            <v>泰国红牛（维生素）</v>
          </cell>
          <cell r="I9" t="str">
            <v>包装饮料</v>
          </cell>
          <cell r="J9" t="str">
            <v>功能饮料</v>
          </cell>
          <cell r="K9" t="str">
            <v>红牛 维生素能量饮料混合水果味 325mL*24</v>
          </cell>
          <cell r="L9" t="str">
            <v>325mL*24</v>
          </cell>
          <cell r="M9" t="str">
            <v>箱</v>
          </cell>
          <cell r="N9">
            <v>116.35</v>
          </cell>
          <cell r="O9">
            <v>228</v>
          </cell>
          <cell r="P9">
            <v>0.484649122807018</v>
          </cell>
        </row>
        <row r="10">
          <cell r="F10" t="str">
            <v>70514542</v>
          </cell>
          <cell r="G10" t="str">
            <v>泰国红牛（维生素）</v>
          </cell>
          <cell r="H10" t="str">
            <v>泰国红牛（维生素）</v>
          </cell>
          <cell r="I10" t="str">
            <v>包装饮料</v>
          </cell>
          <cell r="J10" t="str">
            <v>功能饮料</v>
          </cell>
          <cell r="K10" t="str">
            <v>红牛 能量饮料 400mL</v>
          </cell>
          <cell r="L10" t="str">
            <v>400mL</v>
          </cell>
          <cell r="M10" t="str">
            <v>罐</v>
          </cell>
          <cell r="N10">
            <v>4.55</v>
          </cell>
          <cell r="O10">
            <v>6.8</v>
          </cell>
          <cell r="P10">
            <v>0.32500000000000001</v>
          </cell>
        </row>
        <row r="11">
          <cell r="F11" t="str">
            <v>70514516</v>
          </cell>
          <cell r="G11" t="str">
            <v>泰国红牛（维生素）</v>
          </cell>
          <cell r="H11" t="str">
            <v>泰国红牛（维生素）</v>
          </cell>
          <cell r="I11" t="str">
            <v>包装饮料</v>
          </cell>
          <cell r="J11" t="str">
            <v>功能饮料</v>
          </cell>
          <cell r="K11" t="str">
            <v>红牛 能量饮料 400mL*15</v>
          </cell>
          <cell r="L11" t="str">
            <v>400mL*15</v>
          </cell>
          <cell r="M11" t="str">
            <v>箱</v>
          </cell>
          <cell r="N11">
            <v>68.180000000000007</v>
          </cell>
          <cell r="O11">
            <v>102</v>
          </cell>
          <cell r="P11">
            <v>0.32500000000000001</v>
          </cell>
        </row>
        <row r="12">
          <cell r="F12" t="str">
            <v>70235652</v>
          </cell>
          <cell r="G12" t="str">
            <v>东鹏</v>
          </cell>
          <cell r="H12" t="str">
            <v>东鹏</v>
          </cell>
          <cell r="I12" t="str">
            <v>包装饮料</v>
          </cell>
          <cell r="J12" t="str">
            <v>功能饮料</v>
          </cell>
          <cell r="K12" t="str">
            <v>东鹏 特饮金罐罐装 250mL</v>
          </cell>
          <cell r="L12" t="str">
            <v>250mL</v>
          </cell>
          <cell r="M12" t="str">
            <v>罐</v>
          </cell>
          <cell r="N12">
            <v>3.03</v>
          </cell>
          <cell r="O12">
            <v>4</v>
          </cell>
          <cell r="P12">
            <v>0.23499999999999999</v>
          </cell>
        </row>
        <row r="13">
          <cell r="F13" t="str">
            <v>70283778</v>
          </cell>
          <cell r="G13" t="str">
            <v>东鹏</v>
          </cell>
          <cell r="H13" t="str">
            <v>东鹏</v>
          </cell>
          <cell r="I13" t="str">
            <v>包装饮料</v>
          </cell>
          <cell r="J13" t="str">
            <v>功能饮料</v>
          </cell>
          <cell r="K13" t="str">
            <v>东鹏 特饮金罐4罐装 250mL*4</v>
          </cell>
          <cell r="L13" t="str">
            <v>250mL*4</v>
          </cell>
          <cell r="M13" t="str">
            <v>包</v>
          </cell>
          <cell r="N13">
            <v>12.12</v>
          </cell>
          <cell r="O13">
            <v>16</v>
          </cell>
          <cell r="P13">
            <v>0.23499999999999999</v>
          </cell>
        </row>
        <row r="14">
          <cell r="F14" t="str">
            <v>70311843</v>
          </cell>
          <cell r="G14" t="str">
            <v>东鹏</v>
          </cell>
          <cell r="H14" t="str">
            <v>东鹏</v>
          </cell>
          <cell r="I14" t="str">
            <v>包装饮料</v>
          </cell>
          <cell r="J14" t="str">
            <v>功能饮料</v>
          </cell>
          <cell r="K14" t="str">
            <v>东鹏 特饮功能饮料金罐250mL*12罐礼盒装</v>
          </cell>
          <cell r="L14" t="str">
            <v>250mL*12</v>
          </cell>
          <cell r="M14" t="str">
            <v>箱</v>
          </cell>
          <cell r="N14">
            <v>36.36</v>
          </cell>
          <cell r="O14">
            <v>48</v>
          </cell>
          <cell r="P14">
            <v>0.23499999999999999</v>
          </cell>
        </row>
        <row r="15">
          <cell r="F15" t="str">
            <v>70159985</v>
          </cell>
          <cell r="G15" t="str">
            <v>东鹏</v>
          </cell>
          <cell r="H15" t="str">
            <v>东鹏</v>
          </cell>
          <cell r="I15" t="str">
            <v>包装饮料</v>
          </cell>
          <cell r="J15" t="str">
            <v>功能饮料</v>
          </cell>
          <cell r="K15" t="str">
            <v>东鹏 特饮维生素功能饮料 250mL</v>
          </cell>
          <cell r="L15" t="str">
            <v>250mL</v>
          </cell>
          <cell r="M15" t="str">
            <v>瓶</v>
          </cell>
          <cell r="N15">
            <v>2.69</v>
          </cell>
          <cell r="O15">
            <v>3.5</v>
          </cell>
          <cell r="P15">
            <v>0.22571428571428601</v>
          </cell>
        </row>
        <row r="16">
          <cell r="F16" t="str">
            <v>70404898</v>
          </cell>
          <cell r="G16" t="str">
            <v>东鹏</v>
          </cell>
          <cell r="H16" t="str">
            <v>东鹏</v>
          </cell>
          <cell r="I16" t="str">
            <v>包装饮料</v>
          </cell>
          <cell r="J16" t="str">
            <v>功能饮料</v>
          </cell>
          <cell r="K16" t="str">
            <v>东鹏 特饮维生素能量饮料金瓶（非保健食品） 250mL</v>
          </cell>
          <cell r="L16" t="str">
            <v>250mL</v>
          </cell>
          <cell r="M16" t="str">
            <v>瓶</v>
          </cell>
          <cell r="N16">
            <v>2.69</v>
          </cell>
          <cell r="O16">
            <v>3.5</v>
          </cell>
          <cell r="P16">
            <v>0.22571428571428601</v>
          </cell>
        </row>
        <row r="17">
          <cell r="F17" t="str">
            <v>70291240</v>
          </cell>
          <cell r="G17" t="str">
            <v>东鹏</v>
          </cell>
          <cell r="H17" t="str">
            <v>东鹏</v>
          </cell>
          <cell r="I17" t="str">
            <v>包装饮料</v>
          </cell>
          <cell r="J17" t="str">
            <v>功能饮料</v>
          </cell>
          <cell r="K17" t="str">
            <v>东鹏 特饮金瓶*6瓶装 250mL</v>
          </cell>
          <cell r="L17" t="str">
            <v>250mL*6</v>
          </cell>
          <cell r="M17" t="str">
            <v>瓶</v>
          </cell>
          <cell r="N17">
            <v>16.12</v>
          </cell>
          <cell r="O17">
            <v>21</v>
          </cell>
          <cell r="P17">
            <v>0.224761904761905</v>
          </cell>
        </row>
        <row r="18">
          <cell r="F18" t="str">
            <v>70404902</v>
          </cell>
          <cell r="G18" t="str">
            <v>东鹏</v>
          </cell>
          <cell r="H18" t="str">
            <v>东鹏</v>
          </cell>
          <cell r="I18" t="str">
            <v>包装饮料</v>
          </cell>
          <cell r="J18" t="str">
            <v>功能饮料</v>
          </cell>
          <cell r="K18" t="str">
            <v>东鹏 特饮维生素能量饮料金瓶（非保健食品） 250mL*6</v>
          </cell>
          <cell r="L18" t="str">
            <v>250mL*6</v>
          </cell>
          <cell r="M18" t="str">
            <v>包</v>
          </cell>
          <cell r="N18">
            <v>16.12</v>
          </cell>
          <cell r="O18">
            <v>21</v>
          </cell>
          <cell r="P18">
            <v>0.224761904761905</v>
          </cell>
        </row>
        <row r="19">
          <cell r="F19" t="str">
            <v>70290540</v>
          </cell>
          <cell r="G19" t="str">
            <v>东鹏</v>
          </cell>
          <cell r="H19" t="str">
            <v>东鹏</v>
          </cell>
          <cell r="I19" t="str">
            <v>包装饮料</v>
          </cell>
          <cell r="J19" t="str">
            <v>功能饮料</v>
          </cell>
          <cell r="K19" t="str">
            <v>东鹏 特饮金瓶1*12礼盒装 250mL</v>
          </cell>
          <cell r="L19" t="str">
            <v>250mL*12</v>
          </cell>
          <cell r="M19" t="str">
            <v>箱</v>
          </cell>
          <cell r="N19">
            <v>32.24</v>
          </cell>
          <cell r="O19">
            <v>42</v>
          </cell>
          <cell r="P19">
            <v>0.224761904761905</v>
          </cell>
        </row>
        <row r="20">
          <cell r="F20" t="str">
            <v>70282557</v>
          </cell>
          <cell r="G20" t="str">
            <v>东鹏</v>
          </cell>
          <cell r="H20" t="str">
            <v>东鹏</v>
          </cell>
          <cell r="I20" t="str">
            <v>包装饮料</v>
          </cell>
          <cell r="J20" t="str">
            <v>功能饮料</v>
          </cell>
          <cell r="K20" t="str">
            <v>东鹏 特饮金瓶 500mL</v>
          </cell>
          <cell r="L20" t="str">
            <v>500mL</v>
          </cell>
          <cell r="M20" t="str">
            <v>瓶</v>
          </cell>
          <cell r="N20">
            <v>4.16</v>
          </cell>
          <cell r="O20">
            <v>5.5</v>
          </cell>
          <cell r="P20">
            <v>0.236363636363636</v>
          </cell>
        </row>
        <row r="21">
          <cell r="F21" t="str">
            <v>70391145</v>
          </cell>
          <cell r="G21" t="str">
            <v>东鹏</v>
          </cell>
          <cell r="H21" t="str">
            <v>东鹏</v>
          </cell>
          <cell r="I21" t="str">
            <v>包装饮料</v>
          </cell>
          <cell r="J21" t="str">
            <v>功能饮料</v>
          </cell>
          <cell r="K21" t="str">
            <v>东鹏 特饮维生素能量饮料金瓶（非保健食品） 500mL</v>
          </cell>
          <cell r="L21" t="str">
            <v>500mL</v>
          </cell>
          <cell r="M21" t="str">
            <v>瓶</v>
          </cell>
          <cell r="N21">
            <v>4.16</v>
          </cell>
          <cell r="O21">
            <v>5.5</v>
          </cell>
          <cell r="P21">
            <v>0.236363636363636</v>
          </cell>
        </row>
        <row r="22">
          <cell r="F22" t="str">
            <v>70440951</v>
          </cell>
          <cell r="G22" t="str">
            <v>东鹏</v>
          </cell>
          <cell r="H22" t="str">
            <v>东鹏</v>
          </cell>
          <cell r="I22" t="str">
            <v>包装饮料</v>
          </cell>
          <cell r="J22" t="str">
            <v>功能饮料</v>
          </cell>
          <cell r="K22" t="str">
            <v>东鹏 特饮金瓶瓶装 500mL*4</v>
          </cell>
          <cell r="L22" t="str">
            <v>500mL*4</v>
          </cell>
          <cell r="M22" t="str">
            <v>包</v>
          </cell>
          <cell r="N22">
            <v>16.64</v>
          </cell>
          <cell r="O22">
            <v>22</v>
          </cell>
          <cell r="P22">
            <v>0.23590909090909101</v>
          </cell>
        </row>
        <row r="23">
          <cell r="F23" t="str">
            <v>70543493</v>
          </cell>
          <cell r="G23" t="str">
            <v>东鹏</v>
          </cell>
          <cell r="H23" t="str">
            <v>东鹏</v>
          </cell>
          <cell r="I23" t="str">
            <v>包装饮料</v>
          </cell>
          <cell r="J23" t="str">
            <v>功能饮料</v>
          </cell>
          <cell r="K23" t="str">
            <v>东鹏 特饮牛磺酸B族维生素饮料 250mL</v>
          </cell>
          <cell r="L23" t="str">
            <v>250mL</v>
          </cell>
          <cell r="M23" t="str">
            <v>罐</v>
          </cell>
          <cell r="N23">
            <v>2.5299999999999998</v>
          </cell>
          <cell r="O23">
            <v>3.5</v>
          </cell>
          <cell r="P23">
            <v>0.27142857142857102</v>
          </cell>
        </row>
        <row r="24">
          <cell r="F24" t="str">
            <v>70543422</v>
          </cell>
          <cell r="G24" t="str">
            <v>东鹏</v>
          </cell>
          <cell r="H24" t="str">
            <v>东鹏</v>
          </cell>
          <cell r="I24" t="str">
            <v>包装饮料</v>
          </cell>
          <cell r="J24" t="str">
            <v>功能饮料</v>
          </cell>
          <cell r="K24" t="str">
            <v>东鹏 特饮牛磺酸B族维生素饮料 250mL*4</v>
          </cell>
          <cell r="L24" t="str">
            <v>250mL*4</v>
          </cell>
          <cell r="M24" t="str">
            <v>包</v>
          </cell>
          <cell r="N24">
            <v>10.1</v>
          </cell>
          <cell r="O24">
            <v>14</v>
          </cell>
          <cell r="P24">
            <v>0.27142857142857102</v>
          </cell>
        </row>
        <row r="25">
          <cell r="F25" t="str">
            <v>70524423</v>
          </cell>
          <cell r="G25" t="str">
            <v>东鹏</v>
          </cell>
          <cell r="H25" t="str">
            <v>东鹏</v>
          </cell>
          <cell r="I25" t="str">
            <v>包装饮料</v>
          </cell>
          <cell r="J25" t="str">
            <v>茶饮料</v>
          </cell>
          <cell r="K25" t="str">
            <v>东鹏 多喝多润菊花蜜茶 1L</v>
          </cell>
          <cell r="L25" t="str">
            <v>1L</v>
          </cell>
          <cell r="M25" t="str">
            <v>瓶</v>
          </cell>
          <cell r="N25">
            <v>3.94</v>
          </cell>
          <cell r="O25">
            <v>5</v>
          </cell>
          <cell r="P25">
            <v>0.20399999999999999</v>
          </cell>
        </row>
        <row r="26">
          <cell r="F26" t="str">
            <v>70524424</v>
          </cell>
          <cell r="G26" t="str">
            <v>东鹏</v>
          </cell>
          <cell r="H26" t="str">
            <v>东鹏</v>
          </cell>
          <cell r="I26" t="str">
            <v>包装饮料</v>
          </cell>
          <cell r="J26" t="str">
            <v>茶饮料</v>
          </cell>
          <cell r="K26" t="str">
            <v>东鹏 多喝多润蜂蜜绿茶 1L</v>
          </cell>
          <cell r="L26" t="str">
            <v>1L</v>
          </cell>
          <cell r="M26" t="str">
            <v>瓶</v>
          </cell>
          <cell r="N26">
            <v>3.94</v>
          </cell>
          <cell r="O26">
            <v>5</v>
          </cell>
          <cell r="P26">
            <v>0.20399999999999999</v>
          </cell>
        </row>
        <row r="27">
          <cell r="F27" t="str">
            <v>70485036</v>
          </cell>
          <cell r="G27" t="str">
            <v>东鹏</v>
          </cell>
          <cell r="H27" t="str">
            <v>东鹏</v>
          </cell>
          <cell r="I27" t="str">
            <v>包装饮料</v>
          </cell>
          <cell r="J27" t="str">
            <v>功能饮料</v>
          </cell>
          <cell r="K27" t="str">
            <v>东鹏 补水啦电解质饮料西柚味 1L</v>
          </cell>
          <cell r="L27" t="str">
            <v>1L</v>
          </cell>
          <cell r="M27" t="str">
            <v>瓶</v>
          </cell>
          <cell r="N27">
            <v>3.94</v>
          </cell>
          <cell r="O27">
            <v>7</v>
          </cell>
          <cell r="P27">
            <v>0.43142857142857099</v>
          </cell>
        </row>
        <row r="28">
          <cell r="F28" t="str">
            <v>70543417</v>
          </cell>
          <cell r="G28" t="str">
            <v>东鹏</v>
          </cell>
          <cell r="H28" t="str">
            <v>东鹏</v>
          </cell>
          <cell r="I28" t="str">
            <v>包装饮料</v>
          </cell>
          <cell r="J28" t="str">
            <v>功能饮料</v>
          </cell>
          <cell r="K28" t="str">
            <v>东鹏 补水啦电解质饮料柠檬味 1L</v>
          </cell>
          <cell r="L28" t="str">
            <v>1L</v>
          </cell>
          <cell r="M28" t="str">
            <v>瓶</v>
          </cell>
          <cell r="N28">
            <v>3.94</v>
          </cell>
          <cell r="O28">
            <v>7</v>
          </cell>
          <cell r="P28">
            <v>0.43142857142857099</v>
          </cell>
        </row>
        <row r="29">
          <cell r="F29" t="str">
            <v>70392421</v>
          </cell>
          <cell r="G29" t="str">
            <v>农夫山泉</v>
          </cell>
          <cell r="H29" t="str">
            <v>东方树叶</v>
          </cell>
          <cell r="I29" t="str">
            <v>包装饮料</v>
          </cell>
          <cell r="J29" t="str">
            <v>茶饮料</v>
          </cell>
          <cell r="K29" t="str">
            <v>农夫山泉 东方树叶-青柑普洱茶 500mL</v>
          </cell>
          <cell r="L29" t="str">
            <v>500mL</v>
          </cell>
          <cell r="M29" t="str">
            <v>瓶</v>
          </cell>
          <cell r="N29">
            <v>3.64</v>
          </cell>
          <cell r="O29">
            <v>5</v>
          </cell>
          <cell r="P29">
            <v>0.26600000000000001</v>
          </cell>
        </row>
        <row r="30">
          <cell r="F30" t="str">
            <v>70166518</v>
          </cell>
          <cell r="G30" t="str">
            <v>农夫山泉</v>
          </cell>
          <cell r="H30" t="str">
            <v>东方树叶</v>
          </cell>
          <cell r="I30" t="str">
            <v>包装饮料</v>
          </cell>
          <cell r="J30" t="str">
            <v>茶饮料</v>
          </cell>
          <cell r="K30" t="str">
            <v>农夫山泉 东方树叶-乌龙茶 500mL</v>
          </cell>
          <cell r="L30" t="str">
            <v>500mL</v>
          </cell>
          <cell r="M30" t="str">
            <v>瓶</v>
          </cell>
          <cell r="N30">
            <v>3.64</v>
          </cell>
          <cell r="O30">
            <v>5</v>
          </cell>
          <cell r="P30">
            <v>0.26600000000000001</v>
          </cell>
        </row>
        <row r="31">
          <cell r="F31" t="str">
            <v>70166519</v>
          </cell>
          <cell r="G31" t="str">
            <v>农夫山泉</v>
          </cell>
          <cell r="H31" t="str">
            <v>东方树叶</v>
          </cell>
          <cell r="I31" t="str">
            <v>包装饮料</v>
          </cell>
          <cell r="J31" t="str">
            <v>茶饮料</v>
          </cell>
          <cell r="K31" t="str">
            <v>农夫山泉 东方树叶-茉莉花茶 500mL</v>
          </cell>
          <cell r="L31" t="str">
            <v>500mL</v>
          </cell>
          <cell r="M31" t="str">
            <v>瓶</v>
          </cell>
          <cell r="N31">
            <v>3.64</v>
          </cell>
          <cell r="O31">
            <v>5</v>
          </cell>
          <cell r="P31">
            <v>0.26600000000000001</v>
          </cell>
        </row>
        <row r="32">
          <cell r="F32" t="str">
            <v>70166516</v>
          </cell>
          <cell r="G32" t="str">
            <v>农夫山泉</v>
          </cell>
          <cell r="H32" t="str">
            <v>东方树叶</v>
          </cell>
          <cell r="I32" t="str">
            <v>包装饮料</v>
          </cell>
          <cell r="J32" t="str">
            <v>茶饮料</v>
          </cell>
          <cell r="K32" t="str">
            <v>农夫山泉 东方树叶-绿茶 500mL</v>
          </cell>
          <cell r="L32" t="str">
            <v>500mL</v>
          </cell>
          <cell r="M32" t="str">
            <v>瓶</v>
          </cell>
          <cell r="N32">
            <v>3.64</v>
          </cell>
          <cell r="O32">
            <v>5</v>
          </cell>
          <cell r="P32">
            <v>0.26600000000000001</v>
          </cell>
        </row>
        <row r="33">
          <cell r="F33" t="str">
            <v>70166517</v>
          </cell>
          <cell r="G33" t="str">
            <v>农夫山泉</v>
          </cell>
          <cell r="H33" t="str">
            <v>东方树叶</v>
          </cell>
          <cell r="I33" t="str">
            <v>包装饮料</v>
          </cell>
          <cell r="J33" t="str">
            <v>茶饮料</v>
          </cell>
          <cell r="K33" t="str">
            <v>农夫山泉 东方树叶-红茶 500mL</v>
          </cell>
          <cell r="L33" t="str">
            <v>500mL</v>
          </cell>
          <cell r="M33" t="str">
            <v>瓶</v>
          </cell>
          <cell r="N33">
            <v>3.64</v>
          </cell>
          <cell r="O33">
            <v>5</v>
          </cell>
          <cell r="P33">
            <v>0.26600000000000001</v>
          </cell>
        </row>
        <row r="34">
          <cell r="F34" t="str">
            <v>70491275</v>
          </cell>
          <cell r="G34" t="str">
            <v>农夫山泉</v>
          </cell>
          <cell r="H34" t="str">
            <v>东方树叶</v>
          </cell>
          <cell r="I34" t="str">
            <v>包装饮料</v>
          </cell>
          <cell r="J34" t="str">
            <v>茶饮料</v>
          </cell>
          <cell r="K34" t="str">
            <v>农夫山泉 东方树叶-新黑乌龙原味茶 500mL</v>
          </cell>
          <cell r="L34" t="str">
            <v>500mL</v>
          </cell>
          <cell r="M34" t="str">
            <v>瓶</v>
          </cell>
          <cell r="N34">
            <v>3.64</v>
          </cell>
          <cell r="O34">
            <v>5</v>
          </cell>
          <cell r="P34">
            <v>0.26600000000000001</v>
          </cell>
        </row>
        <row r="35">
          <cell r="F35" t="str">
            <v>70484722</v>
          </cell>
          <cell r="G35" t="str">
            <v>农夫山泉</v>
          </cell>
          <cell r="H35" t="str">
            <v>东方树叶</v>
          </cell>
          <cell r="I35" t="str">
            <v>包装饮料</v>
          </cell>
          <cell r="J35" t="str">
            <v>茶饮料</v>
          </cell>
          <cell r="K35" t="str">
            <v>农夫山泉 东方树叶-茉莉花茶 900mL</v>
          </cell>
          <cell r="L35" t="str">
            <v>900mL</v>
          </cell>
          <cell r="M35" t="str">
            <v>瓶</v>
          </cell>
          <cell r="N35">
            <v>5.66</v>
          </cell>
          <cell r="O35">
            <v>7</v>
          </cell>
          <cell r="P35">
            <v>9.71428571428571E-2</v>
          </cell>
        </row>
        <row r="36">
          <cell r="F36" t="str">
            <v>70484726</v>
          </cell>
          <cell r="G36" t="str">
            <v>农夫山泉</v>
          </cell>
          <cell r="H36" t="str">
            <v>东方树叶</v>
          </cell>
          <cell r="I36" t="str">
            <v>包装饮料</v>
          </cell>
          <cell r="J36" t="str">
            <v>茶饮料</v>
          </cell>
          <cell r="K36" t="str">
            <v>农夫山泉 东方树叶-青柑普洱 900mL</v>
          </cell>
          <cell r="L36" t="str">
            <v>900mL</v>
          </cell>
          <cell r="M36" t="str">
            <v>瓶</v>
          </cell>
          <cell r="N36">
            <v>5.66</v>
          </cell>
          <cell r="O36">
            <v>7</v>
          </cell>
          <cell r="P36">
            <v>9.71428571428571E-2</v>
          </cell>
        </row>
        <row r="37">
          <cell r="F37" t="str">
            <v>70334769</v>
          </cell>
          <cell r="G37" t="str">
            <v>农夫山泉</v>
          </cell>
          <cell r="H37" t="str">
            <v>东方树叶</v>
          </cell>
          <cell r="I37" t="str">
            <v>包装饮料</v>
          </cell>
          <cell r="J37" t="str">
            <v>茶饮料</v>
          </cell>
          <cell r="K37" t="str">
            <v>农夫山泉 东方树叶-茉莉花茶 335mL</v>
          </cell>
          <cell r="L37" t="str">
            <v>335mL</v>
          </cell>
          <cell r="M37" t="str">
            <v>瓶</v>
          </cell>
          <cell r="N37">
            <v>2.78</v>
          </cell>
          <cell r="O37">
            <v>4</v>
          </cell>
          <cell r="P37">
            <v>0.29749999999999999</v>
          </cell>
        </row>
        <row r="38">
          <cell r="F38" t="str">
            <v>70334767</v>
          </cell>
          <cell r="G38" t="str">
            <v>农夫山泉</v>
          </cell>
          <cell r="H38" t="str">
            <v>东方树叶</v>
          </cell>
          <cell r="I38" t="str">
            <v>包装饮料</v>
          </cell>
          <cell r="J38" t="str">
            <v>茶饮料</v>
          </cell>
          <cell r="K38" t="str">
            <v>农夫山泉 东方树叶-红茶 335mL</v>
          </cell>
          <cell r="L38" t="str">
            <v>335mL</v>
          </cell>
          <cell r="M38" t="str">
            <v>瓶</v>
          </cell>
          <cell r="N38">
            <v>2.78</v>
          </cell>
          <cell r="O38">
            <v>4</v>
          </cell>
          <cell r="P38">
            <v>0.29749999999999999</v>
          </cell>
        </row>
        <row r="39">
          <cell r="F39" t="str">
            <v>70258242</v>
          </cell>
          <cell r="G39" t="str">
            <v>农夫山泉</v>
          </cell>
          <cell r="H39" t="str">
            <v>茶π</v>
          </cell>
          <cell r="I39" t="str">
            <v>包装饮料</v>
          </cell>
          <cell r="J39" t="str">
            <v>茶饮料</v>
          </cell>
          <cell r="K39" t="str">
            <v>农夫山泉 茶π柚子绿茶 500mL</v>
          </cell>
          <cell r="L39" t="str">
            <v>500mL</v>
          </cell>
          <cell r="M39" t="str">
            <v>瓶</v>
          </cell>
          <cell r="N39">
            <v>3.72</v>
          </cell>
          <cell r="O39">
            <v>5</v>
          </cell>
          <cell r="P39">
            <v>0.25</v>
          </cell>
        </row>
        <row r="40">
          <cell r="F40" t="str">
            <v>70258243</v>
          </cell>
          <cell r="G40" t="str">
            <v>农夫山泉</v>
          </cell>
          <cell r="H40" t="str">
            <v>茶π</v>
          </cell>
          <cell r="I40" t="str">
            <v>包装饮料</v>
          </cell>
          <cell r="J40" t="str">
            <v>茶饮料</v>
          </cell>
          <cell r="K40" t="str">
            <v>农夫山泉 茶π柠檬红茶 500mL</v>
          </cell>
          <cell r="L40" t="str">
            <v>500mL</v>
          </cell>
          <cell r="M40" t="str">
            <v>瓶</v>
          </cell>
          <cell r="N40">
            <v>3.72</v>
          </cell>
          <cell r="O40">
            <v>5</v>
          </cell>
          <cell r="P40">
            <v>0.25</v>
          </cell>
        </row>
        <row r="41">
          <cell r="F41" t="str">
            <v>70258240</v>
          </cell>
          <cell r="G41" t="str">
            <v>农夫山泉</v>
          </cell>
          <cell r="H41" t="str">
            <v>茶π</v>
          </cell>
          <cell r="I41" t="str">
            <v>包装饮料</v>
          </cell>
          <cell r="J41" t="str">
            <v>茶饮料</v>
          </cell>
          <cell r="K41" t="str">
            <v>农夫山泉 茶π西柚茉莉花 500mL</v>
          </cell>
          <cell r="L41" t="str">
            <v>500mL</v>
          </cell>
          <cell r="M41" t="str">
            <v>瓶</v>
          </cell>
          <cell r="N41">
            <v>3.72</v>
          </cell>
          <cell r="O41">
            <v>5</v>
          </cell>
          <cell r="P41">
            <v>0.25</v>
          </cell>
        </row>
        <row r="42">
          <cell r="F42" t="str">
            <v>70258241</v>
          </cell>
          <cell r="G42" t="str">
            <v>农夫山泉</v>
          </cell>
          <cell r="H42" t="str">
            <v>茶π</v>
          </cell>
          <cell r="I42" t="str">
            <v>包装饮料</v>
          </cell>
          <cell r="J42" t="str">
            <v>茶饮料</v>
          </cell>
          <cell r="K42" t="str">
            <v>农夫山泉 茶π蜜桃乌龙 500mL</v>
          </cell>
          <cell r="L42" t="str">
            <v>500mL</v>
          </cell>
          <cell r="M42" t="str">
            <v>瓶</v>
          </cell>
          <cell r="N42">
            <v>3.72</v>
          </cell>
          <cell r="O42">
            <v>5</v>
          </cell>
          <cell r="P42">
            <v>0.25</v>
          </cell>
        </row>
        <row r="43">
          <cell r="F43" t="str">
            <v>70441776</v>
          </cell>
          <cell r="G43" t="str">
            <v>农夫山泉</v>
          </cell>
          <cell r="H43" t="str">
            <v>茶π</v>
          </cell>
          <cell r="I43" t="str">
            <v>包装饮料</v>
          </cell>
          <cell r="J43" t="str">
            <v>茶饮料</v>
          </cell>
          <cell r="K43" t="str">
            <v>农夫山泉 茶π青提乌龙茶 500mL</v>
          </cell>
          <cell r="L43" t="str">
            <v>500mL</v>
          </cell>
          <cell r="M43" t="str">
            <v>瓶</v>
          </cell>
          <cell r="N43">
            <v>3.72</v>
          </cell>
          <cell r="O43">
            <v>5</v>
          </cell>
          <cell r="P43">
            <v>0.25</v>
          </cell>
        </row>
        <row r="44">
          <cell r="F44" t="str">
            <v>70486029</v>
          </cell>
          <cell r="G44" t="str">
            <v>农夫山泉</v>
          </cell>
          <cell r="H44" t="str">
            <v>茶π</v>
          </cell>
          <cell r="I44" t="str">
            <v>包装饮料</v>
          </cell>
          <cell r="J44" t="str">
            <v>茶饮料</v>
          </cell>
          <cell r="K44" t="str">
            <v>农夫山泉 茶π柚子绿茶 900mL</v>
          </cell>
          <cell r="L44" t="str">
            <v>900mL</v>
          </cell>
          <cell r="M44" t="str">
            <v>瓶</v>
          </cell>
          <cell r="N44">
            <v>5.05</v>
          </cell>
          <cell r="O44">
            <v>7</v>
          </cell>
          <cell r="P44">
            <v>0.27142857142857102</v>
          </cell>
        </row>
        <row r="45">
          <cell r="F45" t="str">
            <v>70345181</v>
          </cell>
          <cell r="G45" t="str">
            <v>农夫山泉</v>
          </cell>
          <cell r="H45" t="str">
            <v>茶π</v>
          </cell>
          <cell r="I45" t="str">
            <v>包装饮料</v>
          </cell>
          <cell r="J45" t="str">
            <v>茶饮料</v>
          </cell>
          <cell r="K45" t="str">
            <v>农夫山泉 茶π蜜桃乌龙 900mL</v>
          </cell>
          <cell r="L45" t="str">
            <v>900mL</v>
          </cell>
          <cell r="M45" t="str">
            <v>瓶</v>
          </cell>
          <cell r="N45">
            <v>5.05</v>
          </cell>
          <cell r="O45">
            <v>7</v>
          </cell>
          <cell r="P45">
            <v>0.27142857142857102</v>
          </cell>
        </row>
        <row r="46">
          <cell r="F46" t="str">
            <v>70345183</v>
          </cell>
          <cell r="G46" t="str">
            <v>农夫山泉</v>
          </cell>
          <cell r="H46" t="str">
            <v>茶π</v>
          </cell>
          <cell r="I46" t="str">
            <v>包装饮料</v>
          </cell>
          <cell r="J46" t="str">
            <v>茶饮料</v>
          </cell>
          <cell r="K46" t="str">
            <v>农夫山泉 茶π柠檬红茶 900mL</v>
          </cell>
          <cell r="L46" t="str">
            <v>900mL</v>
          </cell>
          <cell r="M46" t="str">
            <v>瓶</v>
          </cell>
          <cell r="N46">
            <v>5.05</v>
          </cell>
          <cell r="O46">
            <v>7</v>
          </cell>
          <cell r="P46">
            <v>0.27142857142857102</v>
          </cell>
        </row>
        <row r="47">
          <cell r="F47" t="str">
            <v>70543455</v>
          </cell>
          <cell r="G47" t="str">
            <v>农夫山泉</v>
          </cell>
          <cell r="H47" t="str">
            <v>茶π</v>
          </cell>
          <cell r="I47" t="str">
            <v>包装饮料</v>
          </cell>
          <cell r="J47" t="str">
            <v>茶饮料</v>
          </cell>
          <cell r="K47" t="str">
            <v>农夫山泉 茶π茉莉花柠檬茶 500mL</v>
          </cell>
          <cell r="L47" t="str">
            <v>500mL</v>
          </cell>
          <cell r="M47" t="str">
            <v>瓶</v>
          </cell>
          <cell r="N47">
            <v>3.72</v>
          </cell>
          <cell r="O47">
            <v>5</v>
          </cell>
          <cell r="P47">
            <v>0.25</v>
          </cell>
        </row>
        <row r="48">
          <cell r="F48" t="str">
            <v>70000702</v>
          </cell>
          <cell r="G48" t="str">
            <v>农夫山泉</v>
          </cell>
          <cell r="H48" t="str">
            <v>尖叫</v>
          </cell>
          <cell r="I48" t="str">
            <v>包装饮料</v>
          </cell>
          <cell r="J48" t="str">
            <v>功能饮料</v>
          </cell>
          <cell r="K48" t="str">
            <v>农夫山泉 尖叫 (活性肽)功能饮料 550mL</v>
          </cell>
          <cell r="L48" t="str">
            <v>550mL</v>
          </cell>
          <cell r="M48" t="str">
            <v>瓶</v>
          </cell>
          <cell r="N48">
            <v>3.43</v>
          </cell>
          <cell r="O48">
            <v>5</v>
          </cell>
          <cell r="P48">
            <v>0.30599999999999999</v>
          </cell>
        </row>
        <row r="49">
          <cell r="F49" t="str">
            <v>70000703</v>
          </cell>
          <cell r="G49" t="str">
            <v>农夫山泉</v>
          </cell>
          <cell r="H49" t="str">
            <v>尖叫</v>
          </cell>
          <cell r="I49" t="str">
            <v>包装饮料</v>
          </cell>
          <cell r="J49" t="str">
            <v>功能饮料</v>
          </cell>
          <cell r="K49" t="str">
            <v>农夫山泉 尖叫 (纤维)功能饮料 550mL</v>
          </cell>
          <cell r="L49" t="str">
            <v>550mL</v>
          </cell>
          <cell r="M49" t="str">
            <v>瓶</v>
          </cell>
          <cell r="N49">
            <v>3.43</v>
          </cell>
          <cell r="O49">
            <v>5</v>
          </cell>
          <cell r="P49">
            <v>0.30599999999999999</v>
          </cell>
        </row>
        <row r="50">
          <cell r="F50" t="str">
            <v>70543456</v>
          </cell>
          <cell r="G50" t="str">
            <v>农夫山泉</v>
          </cell>
          <cell r="H50" t="str">
            <v>尖叫</v>
          </cell>
          <cell r="I50" t="str">
            <v>包装饮料</v>
          </cell>
          <cell r="J50" t="str">
            <v>功能饮料</v>
          </cell>
          <cell r="K50" t="str">
            <v>农夫山泉 尖叫 乳钙型柑橘味 550mL</v>
          </cell>
          <cell r="L50" t="str">
            <v>550mL</v>
          </cell>
          <cell r="M50" t="str">
            <v>瓶</v>
          </cell>
          <cell r="N50">
            <v>3.43</v>
          </cell>
          <cell r="O50">
            <v>5</v>
          </cell>
          <cell r="P50">
            <v>0.30599999999999999</v>
          </cell>
        </row>
        <row r="51">
          <cell r="F51" t="str">
            <v>70543442</v>
          </cell>
          <cell r="G51" t="str">
            <v>农夫山泉</v>
          </cell>
          <cell r="H51" t="str">
            <v>尖叫</v>
          </cell>
          <cell r="I51" t="str">
            <v>包装饮料</v>
          </cell>
          <cell r="J51" t="str">
            <v>功能饮料</v>
          </cell>
          <cell r="K51" t="str">
            <v>农夫山泉 尖叫 茶氨酸型黄金桃味 550mL</v>
          </cell>
          <cell r="L51" t="str">
            <v>550mL</v>
          </cell>
          <cell r="M51" t="str">
            <v>瓶</v>
          </cell>
          <cell r="N51">
            <v>3.43</v>
          </cell>
          <cell r="O51">
            <v>5</v>
          </cell>
          <cell r="P51">
            <v>0.30599999999999999</v>
          </cell>
        </row>
        <row r="52">
          <cell r="F52" t="str">
            <v>70157878</v>
          </cell>
          <cell r="G52" t="str">
            <v>农夫山泉</v>
          </cell>
          <cell r="H52" t="str">
            <v>维他命水</v>
          </cell>
          <cell r="I52" t="str">
            <v>包装饮料</v>
          </cell>
          <cell r="J52" t="str">
            <v>功能饮料</v>
          </cell>
          <cell r="K52" t="str">
            <v>农夫山泉 维他命水石榴蓝莓风味 500mL</v>
          </cell>
          <cell r="L52" t="str">
            <v>500mL</v>
          </cell>
          <cell r="M52" t="str">
            <v>瓶</v>
          </cell>
          <cell r="N52">
            <v>3.43</v>
          </cell>
          <cell r="O52">
            <v>5</v>
          </cell>
          <cell r="P52">
            <v>0.30599999999999999</v>
          </cell>
        </row>
        <row r="53">
          <cell r="F53" t="str">
            <v>70157877</v>
          </cell>
          <cell r="G53" t="str">
            <v>农夫山泉</v>
          </cell>
          <cell r="H53" t="str">
            <v>维他命水</v>
          </cell>
          <cell r="I53" t="str">
            <v>包装饮料</v>
          </cell>
          <cell r="J53" t="str">
            <v>功能饮料</v>
          </cell>
          <cell r="K53" t="str">
            <v>农夫山泉 维他命水蓝莓树莓 500mL</v>
          </cell>
          <cell r="L53" t="str">
            <v>500mL</v>
          </cell>
          <cell r="M53" t="str">
            <v>瓶</v>
          </cell>
          <cell r="N53">
            <v>3.43</v>
          </cell>
          <cell r="O53">
            <v>5</v>
          </cell>
          <cell r="P53">
            <v>0.30599999999999999</v>
          </cell>
        </row>
        <row r="54">
          <cell r="F54" t="str">
            <v>70157880</v>
          </cell>
          <cell r="G54" t="str">
            <v>农夫山泉</v>
          </cell>
          <cell r="H54" t="str">
            <v>维他命水</v>
          </cell>
          <cell r="I54" t="str">
            <v>包装饮料</v>
          </cell>
          <cell r="J54" t="str">
            <v>功能饮料</v>
          </cell>
          <cell r="K54" t="str">
            <v>农夫山泉 维他命水柠檬风味 500mL</v>
          </cell>
          <cell r="L54" t="str">
            <v>500mL</v>
          </cell>
          <cell r="M54" t="str">
            <v>瓶</v>
          </cell>
          <cell r="N54">
            <v>3.43</v>
          </cell>
          <cell r="O54">
            <v>5</v>
          </cell>
          <cell r="P54">
            <v>0.30599999999999999</v>
          </cell>
        </row>
        <row r="55">
          <cell r="F55" t="str">
            <v>70157882</v>
          </cell>
          <cell r="G55" t="str">
            <v>农夫山泉</v>
          </cell>
          <cell r="H55" t="str">
            <v>维他命水</v>
          </cell>
          <cell r="I55" t="str">
            <v>包装饮料</v>
          </cell>
          <cell r="J55" t="str">
            <v>功能饮料</v>
          </cell>
          <cell r="K55" t="str">
            <v>农夫山泉 维他命水柑橘风味 500mL</v>
          </cell>
          <cell r="L55" t="str">
            <v>500mL</v>
          </cell>
          <cell r="M55" t="str">
            <v>瓶</v>
          </cell>
          <cell r="N55">
            <v>3.43</v>
          </cell>
          <cell r="O55">
            <v>5</v>
          </cell>
          <cell r="P55">
            <v>0.30599999999999999</v>
          </cell>
        </row>
        <row r="56">
          <cell r="F56" t="str">
            <v>70001549</v>
          </cell>
          <cell r="G56" t="str">
            <v>农夫山泉</v>
          </cell>
          <cell r="H56" t="str">
            <v>水溶C100</v>
          </cell>
          <cell r="I56" t="str">
            <v>包装饮料</v>
          </cell>
          <cell r="J56" t="str">
            <v>果蔬汁</v>
          </cell>
          <cell r="K56" t="str">
            <v>农夫山泉 水溶C100-柠檬味 445mL</v>
          </cell>
          <cell r="L56" t="str">
            <v>445mL</v>
          </cell>
          <cell r="M56" t="str">
            <v>瓶</v>
          </cell>
          <cell r="N56">
            <v>3.64</v>
          </cell>
          <cell r="O56">
            <v>5</v>
          </cell>
          <cell r="P56">
            <v>0.26600000000000001</v>
          </cell>
        </row>
        <row r="57">
          <cell r="F57" t="str">
            <v>70238841</v>
          </cell>
          <cell r="G57" t="str">
            <v>农夫山泉</v>
          </cell>
          <cell r="H57" t="str">
            <v>水溶C100</v>
          </cell>
          <cell r="I57" t="str">
            <v>包装饮料</v>
          </cell>
          <cell r="J57" t="str">
            <v>果蔬汁</v>
          </cell>
          <cell r="K57" t="str">
            <v>农夫山泉 水溶C100-青皮桔味 445mL</v>
          </cell>
          <cell r="L57" t="str">
            <v>445mL</v>
          </cell>
          <cell r="M57" t="str">
            <v>瓶</v>
          </cell>
          <cell r="N57">
            <v>3.64</v>
          </cell>
          <cell r="O57">
            <v>5</v>
          </cell>
          <cell r="P57">
            <v>0.26600000000000001</v>
          </cell>
        </row>
        <row r="58">
          <cell r="F58" t="str">
            <v>70034028</v>
          </cell>
          <cell r="G58" t="str">
            <v>农夫山泉</v>
          </cell>
          <cell r="H58" t="str">
            <v>水溶C100</v>
          </cell>
          <cell r="I58" t="str">
            <v>包装饮料</v>
          </cell>
          <cell r="J58" t="str">
            <v>果蔬汁</v>
          </cell>
          <cell r="K58" t="str">
            <v>农夫山泉 水溶C100-西柚味 445mL</v>
          </cell>
          <cell r="L58" t="str">
            <v>445mL</v>
          </cell>
          <cell r="M58" t="str">
            <v>瓶</v>
          </cell>
          <cell r="N58">
            <v>3.64</v>
          </cell>
          <cell r="O58">
            <v>5</v>
          </cell>
          <cell r="P58">
            <v>0.26600000000000001</v>
          </cell>
        </row>
        <row r="59">
          <cell r="F59" t="str">
            <v>70519620</v>
          </cell>
          <cell r="G59" t="str">
            <v>农夫山泉</v>
          </cell>
          <cell r="H59" t="str">
            <v>水溶C100</v>
          </cell>
          <cell r="I59" t="str">
            <v>包装饮料</v>
          </cell>
          <cell r="J59" t="str">
            <v>果蔬汁</v>
          </cell>
          <cell r="K59" t="str">
            <v>农夫山泉 水溶C100-血橙味 445mL</v>
          </cell>
          <cell r="L59" t="str">
            <v>445mL</v>
          </cell>
          <cell r="M59" t="str">
            <v>瓶</v>
          </cell>
          <cell r="N59">
            <v>3.64</v>
          </cell>
          <cell r="O59">
            <v>5</v>
          </cell>
          <cell r="P59">
            <v>0.26600000000000001</v>
          </cell>
        </row>
        <row r="60">
          <cell r="F60" t="str">
            <v>70324060</v>
          </cell>
          <cell r="G60" t="str">
            <v>农夫山泉</v>
          </cell>
          <cell r="H60" t="str">
            <v>农夫果园</v>
          </cell>
          <cell r="I60" t="str">
            <v>包装饮料</v>
          </cell>
          <cell r="J60" t="str">
            <v>果蔬汁</v>
          </cell>
          <cell r="K60" t="str">
            <v>农夫山泉 农夫果园30%桃苹果芭乐 450mL</v>
          </cell>
          <cell r="L60" t="str">
            <v>450mL</v>
          </cell>
          <cell r="M60" t="str">
            <v>瓶</v>
          </cell>
          <cell r="N60">
            <v>3.64</v>
          </cell>
          <cell r="O60">
            <v>5</v>
          </cell>
          <cell r="P60">
            <v>0.26600000000000001</v>
          </cell>
        </row>
        <row r="61">
          <cell r="F61" t="str">
            <v>70334011</v>
          </cell>
          <cell r="G61" t="str">
            <v>农夫山泉</v>
          </cell>
          <cell r="H61" t="str">
            <v>农夫果园</v>
          </cell>
          <cell r="I61" t="str">
            <v>包装饮料</v>
          </cell>
          <cell r="J61" t="str">
            <v>果蔬汁</v>
          </cell>
          <cell r="K61" t="str">
            <v>农夫山泉 农夫果园30%葡萄苹果蓝莓 450mL</v>
          </cell>
          <cell r="L61" t="str">
            <v>450mL</v>
          </cell>
          <cell r="M61" t="str">
            <v>瓶</v>
          </cell>
          <cell r="N61">
            <v>3.64</v>
          </cell>
          <cell r="O61">
            <v>5</v>
          </cell>
          <cell r="P61">
            <v>0.26600000000000001</v>
          </cell>
        </row>
        <row r="62">
          <cell r="F62" t="str">
            <v>70000710</v>
          </cell>
          <cell r="G62" t="str">
            <v>农夫山泉</v>
          </cell>
          <cell r="H62" t="str">
            <v>农夫果园</v>
          </cell>
          <cell r="I62" t="str">
            <v>包装饮料</v>
          </cell>
          <cell r="J62" t="str">
            <v>果蔬汁</v>
          </cell>
          <cell r="K62" t="str">
            <v>农夫山泉 农夫果园30%混合果汁凤梨苹果芒果 450mL</v>
          </cell>
          <cell r="L62" t="str">
            <v>450mL</v>
          </cell>
          <cell r="M62" t="str">
            <v>瓶</v>
          </cell>
          <cell r="N62">
            <v>3.84</v>
          </cell>
          <cell r="O62">
            <v>5</v>
          </cell>
          <cell r="P62">
            <v>0.224</v>
          </cell>
        </row>
        <row r="63">
          <cell r="F63" t="str">
            <v>70000709</v>
          </cell>
          <cell r="G63" t="str">
            <v>农夫山泉</v>
          </cell>
          <cell r="H63" t="str">
            <v>农夫果园</v>
          </cell>
          <cell r="I63" t="str">
            <v>包装饮料</v>
          </cell>
          <cell r="J63" t="str">
            <v>果蔬汁</v>
          </cell>
          <cell r="K63" t="str">
            <v>农夫山泉 农夫果园30%混合果汁橙苹果樱桃李 450mL</v>
          </cell>
          <cell r="L63" t="str">
            <v>450mL</v>
          </cell>
          <cell r="M63" t="str">
            <v>瓶</v>
          </cell>
          <cell r="N63">
            <v>3.84</v>
          </cell>
          <cell r="O63">
            <v>5</v>
          </cell>
          <cell r="P63">
            <v>0.224</v>
          </cell>
        </row>
        <row r="64">
          <cell r="F64" t="str">
            <v>70003184</v>
          </cell>
          <cell r="G64" t="str">
            <v>农夫山泉</v>
          </cell>
          <cell r="H64" t="str">
            <v>农夫果园</v>
          </cell>
          <cell r="I64" t="str">
            <v>包装饮料</v>
          </cell>
          <cell r="J64" t="str">
            <v>果蔬汁</v>
          </cell>
          <cell r="K64" t="str">
            <v>农夫山泉 农夫果园30%混合果汁凤梨苹果芒果 1.25L</v>
          </cell>
          <cell r="L64" t="str">
            <v>1.25L</v>
          </cell>
          <cell r="M64" t="str">
            <v>瓶</v>
          </cell>
          <cell r="N64">
            <v>8.08</v>
          </cell>
          <cell r="O64">
            <v>10</v>
          </cell>
          <cell r="P64">
            <v>0.184</v>
          </cell>
        </row>
        <row r="65">
          <cell r="F65" t="str">
            <v>70003183</v>
          </cell>
          <cell r="G65" t="str">
            <v>农夫山泉</v>
          </cell>
          <cell r="H65" t="str">
            <v>农夫果园</v>
          </cell>
          <cell r="I65" t="str">
            <v>包装饮料</v>
          </cell>
          <cell r="J65" t="str">
            <v>果蔬汁</v>
          </cell>
          <cell r="K65" t="str">
            <v>农夫山泉 农夫果园30%混合果汁凤梨苹果芒果 1.25L</v>
          </cell>
          <cell r="L65" t="str">
            <v>1.25L</v>
          </cell>
          <cell r="M65" t="str">
            <v>瓶</v>
          </cell>
          <cell r="N65">
            <v>8.08</v>
          </cell>
          <cell r="O65">
            <v>10</v>
          </cell>
          <cell r="P65">
            <v>0.184</v>
          </cell>
        </row>
        <row r="66">
          <cell r="F66" t="str">
            <v>70345483</v>
          </cell>
          <cell r="G66" t="str">
            <v>农夫山泉</v>
          </cell>
          <cell r="H66" t="str">
            <v>农夫山泉</v>
          </cell>
          <cell r="I66" t="str">
            <v>包装饮料</v>
          </cell>
          <cell r="J66" t="str">
            <v>苏打水</v>
          </cell>
          <cell r="K66" t="str">
            <v>农夫山泉 苏打天然水-白桃风味 410mL</v>
          </cell>
          <cell r="L66" t="str">
            <v>410mL</v>
          </cell>
          <cell r="M66" t="str">
            <v>瓶</v>
          </cell>
          <cell r="N66">
            <v>2.83</v>
          </cell>
          <cell r="O66">
            <v>4</v>
          </cell>
          <cell r="P66">
            <v>0.28499999999999998</v>
          </cell>
        </row>
        <row r="67">
          <cell r="F67" t="str">
            <v>70345484</v>
          </cell>
          <cell r="G67" t="str">
            <v>农夫山泉</v>
          </cell>
          <cell r="H67" t="str">
            <v>农夫山泉</v>
          </cell>
          <cell r="I67" t="str">
            <v>包装饮料</v>
          </cell>
          <cell r="J67" t="str">
            <v>苏打水</v>
          </cell>
          <cell r="K67" t="str">
            <v>农夫山泉 苏打天然水-柠檬风味 410mL</v>
          </cell>
          <cell r="L67" t="str">
            <v>410mL</v>
          </cell>
          <cell r="M67" t="str">
            <v>瓶</v>
          </cell>
          <cell r="N67">
            <v>2.83</v>
          </cell>
          <cell r="O67">
            <v>4</v>
          </cell>
          <cell r="P67">
            <v>0.28499999999999998</v>
          </cell>
        </row>
        <row r="68">
          <cell r="F68" t="str">
            <v>70370954</v>
          </cell>
          <cell r="G68" t="str">
            <v>农夫山泉</v>
          </cell>
          <cell r="H68" t="str">
            <v>农夫山泉</v>
          </cell>
          <cell r="I68" t="str">
            <v>包装饮料</v>
          </cell>
          <cell r="J68" t="str">
            <v>苏打水</v>
          </cell>
          <cell r="K68" t="str">
            <v>农夫山泉 苏打天然水饮品柑橘风味 410mL</v>
          </cell>
          <cell r="L68" t="str">
            <v>410mL</v>
          </cell>
          <cell r="M68" t="str">
            <v>瓶</v>
          </cell>
          <cell r="N68">
            <v>2.83</v>
          </cell>
          <cell r="O68">
            <v>4</v>
          </cell>
          <cell r="P68">
            <v>0.28499999999999998</v>
          </cell>
        </row>
        <row r="69">
          <cell r="F69" t="str">
            <v>70290478</v>
          </cell>
          <cell r="G69" t="str">
            <v>农夫山泉</v>
          </cell>
          <cell r="H69" t="str">
            <v>NFC</v>
          </cell>
          <cell r="I69" t="str">
            <v>包装饮料</v>
          </cell>
          <cell r="J69" t="str">
            <v>果蔬汁</v>
          </cell>
          <cell r="K69" t="str">
            <v>农夫山泉 100%NFC橙汁 900mL</v>
          </cell>
          <cell r="L69" t="str">
            <v>900mL</v>
          </cell>
          <cell r="M69" t="str">
            <v>瓶</v>
          </cell>
          <cell r="N69">
            <v>16.41</v>
          </cell>
          <cell r="O69">
            <v>23</v>
          </cell>
          <cell r="P69">
            <v>0.27913043478260902</v>
          </cell>
        </row>
        <row r="70">
          <cell r="F70" t="str">
            <v>70290479</v>
          </cell>
          <cell r="G70" t="str">
            <v>农夫山泉</v>
          </cell>
          <cell r="H70" t="str">
            <v>NFC</v>
          </cell>
          <cell r="I70" t="str">
            <v>包装饮料</v>
          </cell>
          <cell r="J70" t="str">
            <v>果蔬汁</v>
          </cell>
          <cell r="K70" t="str">
            <v>农夫山泉 100%NFC芒果混合汁 900mL</v>
          </cell>
          <cell r="L70" t="str">
            <v>900mL</v>
          </cell>
          <cell r="M70" t="str">
            <v>瓶</v>
          </cell>
          <cell r="N70">
            <v>16.41</v>
          </cell>
          <cell r="O70">
            <v>23</v>
          </cell>
          <cell r="P70">
            <v>0.27913043478260902</v>
          </cell>
        </row>
        <row r="71">
          <cell r="F71" t="str">
            <v>70267917</v>
          </cell>
          <cell r="G71" t="str">
            <v>农夫山泉</v>
          </cell>
          <cell r="H71" t="str">
            <v>NFC</v>
          </cell>
          <cell r="I71" t="str">
            <v>包装饮料</v>
          </cell>
          <cell r="J71" t="str">
            <v>蔬/果汁</v>
          </cell>
          <cell r="K71" t="str">
            <v>农夫山泉 NFC-100%橙汁 300mL</v>
          </cell>
          <cell r="L71" t="str">
            <v>300mL</v>
          </cell>
          <cell r="M71" t="str">
            <v>瓶</v>
          </cell>
          <cell r="N71">
            <v>5.72</v>
          </cell>
          <cell r="O71">
            <v>8</v>
          </cell>
          <cell r="P71">
            <v>0.27875</v>
          </cell>
        </row>
        <row r="72">
          <cell r="F72" t="str">
            <v>70267918</v>
          </cell>
          <cell r="G72" t="str">
            <v>农夫山泉</v>
          </cell>
          <cell r="H72" t="str">
            <v>NFC</v>
          </cell>
          <cell r="I72" t="str">
            <v>包装饮料</v>
          </cell>
          <cell r="J72" t="str">
            <v>蔬/果汁</v>
          </cell>
          <cell r="K72" t="str">
            <v>农夫山泉 NFC-100%苹果香蕉 300mL</v>
          </cell>
          <cell r="L72" t="str">
            <v>300mL</v>
          </cell>
          <cell r="M72" t="str">
            <v>瓶</v>
          </cell>
          <cell r="N72">
            <v>5.72</v>
          </cell>
          <cell r="O72">
            <v>8</v>
          </cell>
          <cell r="P72">
            <v>0.27875</v>
          </cell>
        </row>
        <row r="73">
          <cell r="F73" t="str">
            <v>70420234</v>
          </cell>
          <cell r="G73" t="str">
            <v>农夫山泉</v>
          </cell>
          <cell r="H73" t="str">
            <v>NFC</v>
          </cell>
          <cell r="I73" t="str">
            <v>包装饮料</v>
          </cell>
          <cell r="J73" t="str">
            <v>蔬/果汁</v>
          </cell>
          <cell r="K73" t="str">
            <v>农夫山泉 NFC-100%鲜果冷压榨-番石榴混合汁 300mL</v>
          </cell>
          <cell r="L73" t="str">
            <v>300mL</v>
          </cell>
          <cell r="M73" t="str">
            <v>瓶</v>
          </cell>
          <cell r="N73">
            <v>5.72</v>
          </cell>
          <cell r="O73">
            <v>8</v>
          </cell>
          <cell r="P73">
            <v>0.27875</v>
          </cell>
        </row>
        <row r="74">
          <cell r="F74" t="str">
            <v>70564375</v>
          </cell>
          <cell r="G74" t="str">
            <v>农夫山泉</v>
          </cell>
          <cell r="H74" t="str">
            <v>农夫山泉</v>
          </cell>
          <cell r="I74" t="str">
            <v>包装饮料</v>
          </cell>
          <cell r="J74" t="str">
            <v>茶饮料</v>
          </cell>
          <cell r="K74" t="str">
            <v>农夫山泉 东方树叶-醇香乌龙茶 335mL</v>
          </cell>
          <cell r="L74" t="str">
            <v>335mL</v>
          </cell>
          <cell r="M74" t="str">
            <v>瓶</v>
          </cell>
          <cell r="N74">
            <v>2.78</v>
          </cell>
          <cell r="O74">
            <v>4</v>
          </cell>
          <cell r="P74">
            <v>0.29749999999999999</v>
          </cell>
        </row>
        <row r="75">
          <cell r="F75" t="str">
            <v>70495770</v>
          </cell>
          <cell r="G75" t="str">
            <v>农夫山泉</v>
          </cell>
          <cell r="H75" t="str">
            <v>茶π</v>
          </cell>
          <cell r="I75" t="str">
            <v>包装饮料</v>
          </cell>
          <cell r="J75" t="str">
            <v>茶饮料</v>
          </cell>
          <cell r="K75" t="str">
            <v>茶π 西柚茉莉花茶 900mL</v>
          </cell>
          <cell r="L75" t="str">
            <v>900mL</v>
          </cell>
          <cell r="M75" t="str">
            <v>瓶</v>
          </cell>
          <cell r="N75">
            <v>5.05</v>
          </cell>
          <cell r="O75">
            <v>7</v>
          </cell>
          <cell r="P75">
            <v>0.27142857142857102</v>
          </cell>
        </row>
        <row r="76">
          <cell r="F76" t="str">
            <v>70290477</v>
          </cell>
          <cell r="G76" t="str">
            <v>农夫山泉</v>
          </cell>
          <cell r="H76" t="str">
            <v>NFC</v>
          </cell>
          <cell r="I76" t="str">
            <v>包装饮料</v>
          </cell>
          <cell r="J76" t="str">
            <v>果蔬汁</v>
          </cell>
          <cell r="K76" t="str">
            <v>NFC-100%芒果混合汁-300mL</v>
          </cell>
          <cell r="L76" t="str">
            <v>300mL</v>
          </cell>
          <cell r="M76" t="str">
            <v>瓶</v>
          </cell>
          <cell r="N76">
            <v>5.72</v>
          </cell>
          <cell r="O76">
            <v>8</v>
          </cell>
          <cell r="P76">
            <v>0.27875</v>
          </cell>
        </row>
        <row r="77">
          <cell r="F77" t="str">
            <v>70373318</v>
          </cell>
          <cell r="G77" t="str">
            <v>星巴克</v>
          </cell>
          <cell r="H77" t="str">
            <v>星巴克</v>
          </cell>
          <cell r="I77" t="str">
            <v>包装饮料</v>
          </cell>
          <cell r="J77" t="str">
            <v>咖啡</v>
          </cell>
          <cell r="K77" t="str">
            <v>星巴克星选咖啡拿铁咖啡饮料270mL瓶装</v>
          </cell>
          <cell r="L77" t="str">
            <v>270mL</v>
          </cell>
          <cell r="M77" t="str">
            <v>瓶</v>
          </cell>
          <cell r="N77">
            <v>7.27</v>
          </cell>
          <cell r="O77">
            <v>11.9</v>
          </cell>
          <cell r="P77">
            <v>0.38319327731092401</v>
          </cell>
        </row>
        <row r="78">
          <cell r="F78" t="str">
            <v>70373324</v>
          </cell>
          <cell r="G78" t="str">
            <v>星巴克</v>
          </cell>
          <cell r="H78" t="str">
            <v>星巴克</v>
          </cell>
          <cell r="I78" t="str">
            <v>包装饮料</v>
          </cell>
          <cell r="J78" t="str">
            <v>咖啡</v>
          </cell>
          <cell r="K78" t="str">
            <v>星巴克星选芝士奶香拿铁咖啡饮料270mL瓶装</v>
          </cell>
          <cell r="L78" t="str">
            <v>270mL</v>
          </cell>
          <cell r="M78" t="str">
            <v>瓶</v>
          </cell>
          <cell r="N78">
            <v>7.27</v>
          </cell>
          <cell r="O78">
            <v>11.9</v>
          </cell>
          <cell r="P78">
            <v>0.38319327731092401</v>
          </cell>
        </row>
        <row r="79">
          <cell r="F79" t="str">
            <v>70410278</v>
          </cell>
          <cell r="G79" t="str">
            <v>星巴克</v>
          </cell>
          <cell r="H79" t="str">
            <v>星巴克</v>
          </cell>
          <cell r="I79" t="str">
            <v>包装饮料</v>
          </cell>
          <cell r="J79" t="str">
            <v>咖啡</v>
          </cell>
          <cell r="K79" t="str">
            <v>星巴克星选美式咖啡饮料270mL瓶装</v>
          </cell>
          <cell r="L79" t="str">
            <v>270mL</v>
          </cell>
          <cell r="M79" t="str">
            <v>瓶</v>
          </cell>
          <cell r="N79">
            <v>7.27</v>
          </cell>
          <cell r="O79">
            <v>11.9</v>
          </cell>
          <cell r="P79">
            <v>0.38319327731092401</v>
          </cell>
        </row>
        <row r="80">
          <cell r="F80" t="str">
            <v>70574251</v>
          </cell>
          <cell r="G80" t="str">
            <v>星巴克</v>
          </cell>
          <cell r="H80" t="str">
            <v>星巴克</v>
          </cell>
          <cell r="I80" t="str">
            <v>包装饮料</v>
          </cell>
          <cell r="J80" t="str">
            <v>咖啡</v>
          </cell>
          <cell r="K80" t="str">
            <v>星巴克 星选馥芮白咖啡饮料瓶装 270mL</v>
          </cell>
          <cell r="L80" t="str">
            <v>270mL</v>
          </cell>
          <cell r="M80" t="str">
            <v>瓶</v>
          </cell>
          <cell r="N80">
            <v>7.27</v>
          </cell>
          <cell r="O80">
            <v>11.9</v>
          </cell>
          <cell r="P80">
            <v>0.38319327731092401</v>
          </cell>
        </row>
        <row r="81">
          <cell r="F81" t="str">
            <v>70534926</v>
          </cell>
          <cell r="G81" t="str">
            <v>星巴克</v>
          </cell>
          <cell r="H81" t="str">
            <v>星巴克</v>
          </cell>
          <cell r="I81" t="str">
            <v>包装饮料</v>
          </cell>
          <cell r="J81" t="str">
            <v>咖啡</v>
          </cell>
          <cell r="K81" t="str">
            <v>星巴克生咖粉粉生咖轻咖啡因果汁饮料270mL瓶装</v>
          </cell>
          <cell r="L81" t="str">
            <v>270mL</v>
          </cell>
          <cell r="M81" t="str">
            <v>瓶</v>
          </cell>
          <cell r="N81">
            <v>7.27</v>
          </cell>
          <cell r="O81">
            <v>11.9</v>
          </cell>
          <cell r="P81">
            <v>0.38319327731092401</v>
          </cell>
        </row>
        <row r="82">
          <cell r="F82" t="str">
            <v>70524116</v>
          </cell>
          <cell r="G82" t="str">
            <v>星巴克</v>
          </cell>
          <cell r="H82" t="str">
            <v>星巴克</v>
          </cell>
          <cell r="I82" t="str">
            <v>包装饮料</v>
          </cell>
          <cell r="J82" t="str">
            <v>果蔬汁</v>
          </cell>
          <cell r="K82" t="str">
            <v>星巴克生咖芒果火龙果柠檬风味轻咖啡因果汁饮料270mL瓶装</v>
          </cell>
          <cell r="L82" t="str">
            <v>270mL</v>
          </cell>
          <cell r="M82" t="str">
            <v>瓶</v>
          </cell>
          <cell r="N82">
            <v>7.27</v>
          </cell>
          <cell r="O82">
            <v>11.9</v>
          </cell>
          <cell r="P82">
            <v>0.38319327731092401</v>
          </cell>
        </row>
        <row r="83">
          <cell r="F83" t="str">
            <v>70511155</v>
          </cell>
          <cell r="G83" t="str">
            <v>星巴克</v>
          </cell>
          <cell r="H83" t="str">
            <v>星巴克</v>
          </cell>
          <cell r="I83" t="str">
            <v>包装饮料</v>
          </cell>
          <cell r="J83" t="str">
            <v>茶饮料</v>
          </cell>
          <cell r="K83" t="str">
            <v>星巴克星茶饮桃桃乌龙茶果汁茶饮料330mL瓶装</v>
          </cell>
          <cell r="L83" t="str">
            <v>330mL</v>
          </cell>
          <cell r="M83" t="str">
            <v>瓶</v>
          </cell>
          <cell r="N83">
            <v>4.9000000000000004</v>
          </cell>
          <cell r="O83">
            <v>6.9</v>
          </cell>
          <cell r="P83">
            <v>0.282608695652174</v>
          </cell>
        </row>
        <row r="84">
          <cell r="F84" t="str">
            <v>70511156</v>
          </cell>
          <cell r="G84" t="str">
            <v>星巴克</v>
          </cell>
          <cell r="H84" t="str">
            <v>星巴克</v>
          </cell>
          <cell r="I84" t="str">
            <v>包装饮料</v>
          </cell>
          <cell r="J84" t="str">
            <v>茶饮料</v>
          </cell>
          <cell r="K84" t="str">
            <v>星巴克星茶饮莓莓黑加仑红茶果汁茶饮料330mL瓶装</v>
          </cell>
          <cell r="L84" t="str">
            <v>330mL</v>
          </cell>
          <cell r="M84" t="str">
            <v>瓶</v>
          </cell>
          <cell r="N84">
            <v>4.9000000000000004</v>
          </cell>
          <cell r="O84">
            <v>6.9</v>
          </cell>
          <cell r="P84">
            <v>0.282608695652174</v>
          </cell>
        </row>
        <row r="85">
          <cell r="F85" t="str">
            <v>70054447</v>
          </cell>
          <cell r="G85" t="str">
            <v>统一饮料</v>
          </cell>
          <cell r="H85" t="str">
            <v>阿萨姆</v>
          </cell>
          <cell r="I85" t="str">
            <v>包装饮料</v>
          </cell>
          <cell r="J85" t="str">
            <v>茶饮料</v>
          </cell>
          <cell r="K85" t="str">
            <v>统一 阿萨姆奶茶原味PET 500mL</v>
          </cell>
          <cell r="L85" t="str">
            <v>500mL</v>
          </cell>
          <cell r="M85" t="str">
            <v>瓶</v>
          </cell>
          <cell r="N85">
            <v>2.91</v>
          </cell>
          <cell r="O85">
            <v>5</v>
          </cell>
          <cell r="P85">
            <v>0.41199999999999998</v>
          </cell>
        </row>
        <row r="86">
          <cell r="F86" t="str">
            <v>70000867</v>
          </cell>
          <cell r="G86" t="str">
            <v>统一饮料</v>
          </cell>
          <cell r="H86" t="str">
            <v>统一饮料</v>
          </cell>
          <cell r="I86" t="str">
            <v>包装饮料</v>
          </cell>
          <cell r="J86" t="str">
            <v>茶饮料</v>
          </cell>
          <cell r="K86" t="str">
            <v>统一 绿茶茉莉花味PET 500mL</v>
          </cell>
          <cell r="L86" t="str">
            <v>500mL</v>
          </cell>
          <cell r="M86" t="str">
            <v>个</v>
          </cell>
          <cell r="N86">
            <v>1.99</v>
          </cell>
          <cell r="O86">
            <v>3.5</v>
          </cell>
          <cell r="P86">
            <v>0.42571428571428599</v>
          </cell>
        </row>
        <row r="87">
          <cell r="F87" t="str">
            <v>70000868</v>
          </cell>
          <cell r="G87" t="str">
            <v>统一饮料</v>
          </cell>
          <cell r="H87" t="str">
            <v>统一饮料</v>
          </cell>
          <cell r="I87" t="str">
            <v>包装饮料</v>
          </cell>
          <cell r="J87" t="str">
            <v>茶饮料</v>
          </cell>
          <cell r="K87" t="str">
            <v>统一 冰红茶[柠檬]PET 500mL</v>
          </cell>
          <cell r="L87" t="str">
            <v>500mL</v>
          </cell>
          <cell r="M87" t="str">
            <v>个</v>
          </cell>
          <cell r="N87">
            <v>1.99</v>
          </cell>
          <cell r="O87">
            <v>3.5</v>
          </cell>
          <cell r="P87">
            <v>0.42571428571428599</v>
          </cell>
        </row>
        <row r="88">
          <cell r="F88" t="str">
            <v>70112382</v>
          </cell>
          <cell r="G88" t="str">
            <v>统一饮料</v>
          </cell>
          <cell r="H88" t="str">
            <v>统一饮料</v>
          </cell>
          <cell r="I88" t="str">
            <v>包装饮料</v>
          </cell>
          <cell r="J88" t="str">
            <v>茶饮料</v>
          </cell>
          <cell r="K88" t="str">
            <v>统一 绿茶茉莉花味 1L</v>
          </cell>
          <cell r="L88" t="str">
            <v>1L</v>
          </cell>
          <cell r="M88" t="str">
            <v>瓶</v>
          </cell>
          <cell r="N88">
            <v>2.93</v>
          </cell>
          <cell r="O88">
            <v>5</v>
          </cell>
          <cell r="P88">
            <v>0.40799999999999997</v>
          </cell>
        </row>
        <row r="89">
          <cell r="F89" t="str">
            <v>70246151</v>
          </cell>
          <cell r="G89" t="str">
            <v>统一饮料</v>
          </cell>
          <cell r="H89" t="str">
            <v>小茗同学</v>
          </cell>
          <cell r="I89" t="str">
            <v>包装饮料</v>
          </cell>
          <cell r="J89" t="str">
            <v>茶饮料</v>
          </cell>
          <cell r="K89" t="str">
            <v>统一 小茗同学青柠红茶PET 480mL</v>
          </cell>
          <cell r="L89" t="str">
            <v>480mL</v>
          </cell>
          <cell r="M89" t="str">
            <v>瓶</v>
          </cell>
          <cell r="N89">
            <v>3.54</v>
          </cell>
          <cell r="O89">
            <v>5.5</v>
          </cell>
          <cell r="P89">
            <v>0.350909090909091</v>
          </cell>
        </row>
        <row r="90">
          <cell r="F90" t="str">
            <v>70056252</v>
          </cell>
          <cell r="G90" t="str">
            <v>统一饮料</v>
          </cell>
          <cell r="H90" t="str">
            <v>统一饮料</v>
          </cell>
          <cell r="I90" t="str">
            <v>包装饮料</v>
          </cell>
          <cell r="J90" t="str">
            <v>茶饮料</v>
          </cell>
          <cell r="K90" t="str">
            <v>统一 冰红茶 1L</v>
          </cell>
          <cell r="L90" t="str">
            <v>1L</v>
          </cell>
          <cell r="M90" t="str">
            <v>瓶</v>
          </cell>
          <cell r="N90">
            <v>2.93</v>
          </cell>
          <cell r="O90">
            <v>5</v>
          </cell>
          <cell r="P90">
            <v>0.40799999999999997</v>
          </cell>
        </row>
        <row r="91">
          <cell r="F91" t="str">
            <v>70257883</v>
          </cell>
          <cell r="G91" t="str">
            <v>统一饮料</v>
          </cell>
          <cell r="H91" t="str">
            <v>小茗同学</v>
          </cell>
          <cell r="I91" t="str">
            <v>包装饮料</v>
          </cell>
          <cell r="J91" t="str">
            <v>茶饮料</v>
          </cell>
          <cell r="K91" t="str">
            <v>统一 小茗同学溜溜哒PET 480mL</v>
          </cell>
          <cell r="L91" t="str">
            <v>480mL</v>
          </cell>
          <cell r="M91" t="str">
            <v>瓶</v>
          </cell>
          <cell r="N91">
            <v>3.54</v>
          </cell>
          <cell r="O91">
            <v>5.5</v>
          </cell>
          <cell r="P91">
            <v>0.350909090909091</v>
          </cell>
        </row>
        <row r="92">
          <cell r="F92" t="str">
            <v>70233572</v>
          </cell>
          <cell r="G92" t="str">
            <v>统一饮料</v>
          </cell>
          <cell r="H92" t="str">
            <v>海之言</v>
          </cell>
          <cell r="I92" t="str">
            <v>包装饮料</v>
          </cell>
          <cell r="J92" t="str">
            <v>茶饮料</v>
          </cell>
          <cell r="K92" t="str">
            <v>统一 海之言柠檬口味 500mL</v>
          </cell>
          <cell r="L92" t="str">
            <v>500mL</v>
          </cell>
          <cell r="M92" t="str">
            <v>瓶</v>
          </cell>
          <cell r="N92">
            <v>2.93</v>
          </cell>
          <cell r="O92">
            <v>5</v>
          </cell>
          <cell r="P92">
            <v>0.40799999999999997</v>
          </cell>
        </row>
        <row r="93">
          <cell r="F93" t="str">
            <v>70158874</v>
          </cell>
          <cell r="G93" t="str">
            <v>统一饮料</v>
          </cell>
          <cell r="H93" t="str">
            <v>统一饮料</v>
          </cell>
          <cell r="I93" t="str">
            <v>包装饮料</v>
          </cell>
          <cell r="J93" t="str">
            <v>茶饮料</v>
          </cell>
          <cell r="K93" t="str">
            <v>统一 冰糖雪梨 500mL</v>
          </cell>
          <cell r="L93" t="str">
            <v>500mL</v>
          </cell>
          <cell r="M93" t="str">
            <v>瓶</v>
          </cell>
          <cell r="N93">
            <v>2.63</v>
          </cell>
          <cell r="O93">
            <v>4</v>
          </cell>
          <cell r="P93">
            <v>0.33750000000000002</v>
          </cell>
        </row>
        <row r="94">
          <cell r="F94" t="str">
            <v>70219060</v>
          </cell>
          <cell r="G94" t="str">
            <v>统一饮料</v>
          </cell>
          <cell r="H94" t="str">
            <v>统一饮料</v>
          </cell>
          <cell r="I94" t="str">
            <v>包装饮料</v>
          </cell>
          <cell r="J94" t="str">
            <v>茶饮料</v>
          </cell>
          <cell r="K94" t="str">
            <v>统一 金桔柠檬 500mL</v>
          </cell>
          <cell r="L94" t="str">
            <v>500mL</v>
          </cell>
          <cell r="M94" t="str">
            <v>瓶</v>
          </cell>
          <cell r="N94">
            <v>2.63</v>
          </cell>
          <cell r="O94">
            <v>4</v>
          </cell>
          <cell r="P94">
            <v>0.33750000000000002</v>
          </cell>
        </row>
        <row r="95">
          <cell r="F95" t="str">
            <v>70003055</v>
          </cell>
          <cell r="G95" t="str">
            <v>统一饮料</v>
          </cell>
          <cell r="H95" t="str">
            <v>统一饮料</v>
          </cell>
          <cell r="I95" t="str">
            <v>包装饮料</v>
          </cell>
          <cell r="J95" t="str">
            <v>茶饮料</v>
          </cell>
          <cell r="K95" t="str">
            <v>统一 青梅绿茶PET 500mL</v>
          </cell>
          <cell r="L95" t="str">
            <v>500mL</v>
          </cell>
          <cell r="M95" t="str">
            <v>罐</v>
          </cell>
          <cell r="N95">
            <v>1.89</v>
          </cell>
          <cell r="O95">
            <v>3.5</v>
          </cell>
          <cell r="P95">
            <v>0.45428571428571402</v>
          </cell>
        </row>
        <row r="96">
          <cell r="F96" t="str">
            <v>70316320</v>
          </cell>
          <cell r="G96" t="str">
            <v>统一饮料</v>
          </cell>
          <cell r="H96" t="str">
            <v>茶里王</v>
          </cell>
          <cell r="I96" t="str">
            <v>包装饮料</v>
          </cell>
          <cell r="J96" t="str">
            <v>茶饮料</v>
          </cell>
          <cell r="K96" t="str">
            <v>统一 茶里王无糖日式绿茶 420mL</v>
          </cell>
          <cell r="L96" t="str">
            <v>420mL</v>
          </cell>
          <cell r="M96" t="str">
            <v>瓶</v>
          </cell>
          <cell r="N96">
            <v>3.84</v>
          </cell>
          <cell r="O96">
            <v>6</v>
          </cell>
          <cell r="P96">
            <v>0.353333333333333</v>
          </cell>
        </row>
        <row r="97">
          <cell r="F97" t="str">
            <v>70316319</v>
          </cell>
          <cell r="G97" t="str">
            <v>统一饮料</v>
          </cell>
          <cell r="H97" t="str">
            <v>茶里王</v>
          </cell>
          <cell r="I97" t="str">
            <v>包装饮料</v>
          </cell>
          <cell r="J97" t="str">
            <v>茶饮料</v>
          </cell>
          <cell r="K97" t="str">
            <v>统一 茶里王无糖台式乌龙茶 420mL</v>
          </cell>
          <cell r="L97" t="str">
            <v>420mL</v>
          </cell>
          <cell r="M97" t="str">
            <v>瓶</v>
          </cell>
          <cell r="N97">
            <v>3.84</v>
          </cell>
          <cell r="O97">
            <v>6</v>
          </cell>
          <cell r="P97">
            <v>0.353333333333333</v>
          </cell>
        </row>
        <row r="98">
          <cell r="F98" t="str">
            <v>70225940</v>
          </cell>
          <cell r="G98" t="str">
            <v>统一饮料</v>
          </cell>
          <cell r="H98" t="str">
            <v>煎茶</v>
          </cell>
          <cell r="I98" t="str">
            <v>包装饮料</v>
          </cell>
          <cell r="J98" t="str">
            <v>茶饮料</v>
          </cell>
          <cell r="K98" t="str">
            <v>统一 煎茶奶绿奶茶 450mL</v>
          </cell>
          <cell r="L98" t="str">
            <v>450mL</v>
          </cell>
          <cell r="M98" t="str">
            <v>瓶</v>
          </cell>
          <cell r="N98">
            <v>2.91</v>
          </cell>
          <cell r="O98">
            <v>5</v>
          </cell>
          <cell r="P98">
            <v>0.41199999999999998</v>
          </cell>
        </row>
        <row r="99">
          <cell r="F99" t="str">
            <v>70315233</v>
          </cell>
          <cell r="G99" t="str">
            <v>统一饮料</v>
          </cell>
          <cell r="H99" t="str">
            <v>海之言</v>
          </cell>
          <cell r="I99" t="str">
            <v>包装饮料</v>
          </cell>
          <cell r="J99" t="str">
            <v>茶饮料</v>
          </cell>
          <cell r="K99" t="str">
            <v>统一 海之言百香果口味 500mL</v>
          </cell>
          <cell r="L99" t="str">
            <v>500mL</v>
          </cell>
          <cell r="M99" t="str">
            <v>瓶</v>
          </cell>
          <cell r="N99">
            <v>2.93</v>
          </cell>
          <cell r="O99">
            <v>5</v>
          </cell>
          <cell r="P99">
            <v>0.40799999999999997</v>
          </cell>
        </row>
        <row r="100">
          <cell r="F100" t="str">
            <v>70283803</v>
          </cell>
          <cell r="G100" t="str">
            <v>统一饮料</v>
          </cell>
          <cell r="H100" t="str">
            <v>阿萨姆</v>
          </cell>
          <cell r="I100" t="str">
            <v>包装饮料</v>
          </cell>
          <cell r="J100" t="str">
            <v>茶饮料</v>
          </cell>
          <cell r="K100" t="str">
            <v>统一 阿萨姆岩盐芝士 450mL</v>
          </cell>
          <cell r="L100" t="str">
            <v>450mL</v>
          </cell>
          <cell r="M100" t="str">
            <v>瓶</v>
          </cell>
          <cell r="N100">
            <v>2.91</v>
          </cell>
          <cell r="O100">
            <v>5</v>
          </cell>
          <cell r="P100">
            <v>0.41199999999999998</v>
          </cell>
        </row>
        <row r="101">
          <cell r="F101" t="str">
            <v>70236969</v>
          </cell>
          <cell r="G101" t="str">
            <v>统一饮料</v>
          </cell>
          <cell r="H101" t="str">
            <v>统一饮料</v>
          </cell>
          <cell r="I101" t="str">
            <v>包装饮料</v>
          </cell>
          <cell r="J101" t="str">
            <v>茶饮料</v>
          </cell>
          <cell r="K101" t="str">
            <v>统一 冰红茶[柠檬] 500mL*4</v>
          </cell>
          <cell r="L101" t="str">
            <v>500mL*4</v>
          </cell>
          <cell r="M101" t="str">
            <v>包</v>
          </cell>
          <cell r="N101">
            <v>7.96</v>
          </cell>
          <cell r="O101">
            <v>14</v>
          </cell>
          <cell r="P101">
            <v>0.42571428571428599</v>
          </cell>
        </row>
        <row r="102">
          <cell r="F102" t="str">
            <v>70368039</v>
          </cell>
          <cell r="G102" t="str">
            <v>统一饮料</v>
          </cell>
          <cell r="H102" t="str">
            <v>太魔性</v>
          </cell>
          <cell r="I102" t="str">
            <v>包装饮料</v>
          </cell>
          <cell r="J102" t="str">
            <v>茶饮料</v>
          </cell>
          <cell r="K102" t="str">
            <v>统一 太魔性柠檬红茶 250mL</v>
          </cell>
          <cell r="L102" t="str">
            <v>250mL</v>
          </cell>
          <cell r="M102" t="str">
            <v>瓶</v>
          </cell>
          <cell r="N102">
            <v>0.91</v>
          </cell>
          <cell r="O102">
            <v>1.5</v>
          </cell>
          <cell r="P102">
            <v>0.38666666666666699</v>
          </cell>
        </row>
        <row r="103">
          <cell r="F103" t="str">
            <v>70394352</v>
          </cell>
          <cell r="G103" t="str">
            <v>统一饮料</v>
          </cell>
          <cell r="H103" t="str">
            <v>统一饮料</v>
          </cell>
          <cell r="I103" t="str">
            <v>包装饮料</v>
          </cell>
          <cell r="J103" t="str">
            <v>茶饮料</v>
          </cell>
          <cell r="K103" t="str">
            <v>统一 冰绿茶青梅绿茶PET 1L</v>
          </cell>
          <cell r="L103" t="str">
            <v>1L</v>
          </cell>
          <cell r="M103" t="str">
            <v>瓶</v>
          </cell>
          <cell r="N103">
            <v>3.13</v>
          </cell>
          <cell r="O103">
            <v>4.5</v>
          </cell>
          <cell r="P103">
            <v>0.29777777777777797</v>
          </cell>
        </row>
        <row r="104">
          <cell r="F104" t="str">
            <v>70368041</v>
          </cell>
          <cell r="G104" t="str">
            <v>统一饮料</v>
          </cell>
          <cell r="H104" t="str">
            <v>太魔性</v>
          </cell>
          <cell r="I104" t="str">
            <v>包装饮料</v>
          </cell>
          <cell r="J104" t="str">
            <v>茶饮料</v>
          </cell>
          <cell r="K104" t="str">
            <v>统一 太魔性柠檬红茶 250mL*6</v>
          </cell>
          <cell r="L104" t="str">
            <v>250mL*6</v>
          </cell>
          <cell r="M104" t="str">
            <v>包</v>
          </cell>
          <cell r="N104">
            <v>5.45</v>
          </cell>
          <cell r="O104">
            <v>8.9</v>
          </cell>
          <cell r="P104">
            <v>0.38089887640449399</v>
          </cell>
        </row>
        <row r="105">
          <cell r="F105" t="str">
            <v>70378413</v>
          </cell>
          <cell r="G105" t="str">
            <v>统一饮料</v>
          </cell>
          <cell r="H105" t="str">
            <v>统一饮料</v>
          </cell>
          <cell r="I105" t="str">
            <v>包装饮料</v>
          </cell>
          <cell r="J105" t="str">
            <v>茶饮料</v>
          </cell>
          <cell r="K105" t="str">
            <v>统一 冰红茶[柠檬] 1L*3</v>
          </cell>
          <cell r="L105" t="str">
            <v>1L*3</v>
          </cell>
          <cell r="M105" t="str">
            <v>瓶</v>
          </cell>
          <cell r="N105">
            <v>8.7899999999999991</v>
          </cell>
          <cell r="O105">
            <v>15</v>
          </cell>
          <cell r="P105">
            <v>0.40866666666666701</v>
          </cell>
        </row>
        <row r="106">
          <cell r="F106" t="str">
            <v>70378414</v>
          </cell>
          <cell r="G106" t="str">
            <v>统一饮料</v>
          </cell>
          <cell r="H106" t="str">
            <v>统一饮料</v>
          </cell>
          <cell r="I106" t="str">
            <v>包装饮料</v>
          </cell>
          <cell r="J106" t="str">
            <v>茶饮料</v>
          </cell>
          <cell r="K106" t="str">
            <v>统一 绿茶茉莉花味 1L*3</v>
          </cell>
          <cell r="L106" t="str">
            <v>1L*3</v>
          </cell>
          <cell r="M106" t="str">
            <v>瓶</v>
          </cell>
          <cell r="N106">
            <v>8.7899999999999991</v>
          </cell>
          <cell r="O106">
            <v>15</v>
          </cell>
          <cell r="P106">
            <v>0.40866666666666701</v>
          </cell>
        </row>
        <row r="107">
          <cell r="F107" t="str">
            <v>70414513</v>
          </cell>
          <cell r="G107" t="str">
            <v>统一饮料</v>
          </cell>
          <cell r="H107" t="str">
            <v>小茗同学</v>
          </cell>
          <cell r="I107" t="str">
            <v>包装饮料</v>
          </cell>
          <cell r="J107" t="str">
            <v>茶饮料</v>
          </cell>
          <cell r="K107" t="str">
            <v>统一 小茗同学青柠红茶 330mL</v>
          </cell>
          <cell r="L107" t="str">
            <v>330mL</v>
          </cell>
          <cell r="M107" t="str">
            <v>瓶</v>
          </cell>
          <cell r="N107">
            <v>2.73</v>
          </cell>
          <cell r="O107">
            <v>4</v>
          </cell>
          <cell r="P107">
            <v>0.3125</v>
          </cell>
        </row>
        <row r="108">
          <cell r="F108" t="str">
            <v>70247248</v>
          </cell>
          <cell r="G108" t="str">
            <v>统一饮料</v>
          </cell>
          <cell r="H108" t="str">
            <v>统一饮料</v>
          </cell>
          <cell r="I108" t="str">
            <v>包装饮料</v>
          </cell>
          <cell r="J108" t="str">
            <v>茶饮料</v>
          </cell>
          <cell r="K108" t="str">
            <v>统一 绿茶茉莉花味 500mL*4</v>
          </cell>
          <cell r="L108" t="str">
            <v>500mL*4</v>
          </cell>
          <cell r="M108" t="str">
            <v>包</v>
          </cell>
          <cell r="N108">
            <v>7.96</v>
          </cell>
          <cell r="O108">
            <v>14</v>
          </cell>
          <cell r="P108">
            <v>0.42571428571428599</v>
          </cell>
        </row>
        <row r="109">
          <cell r="F109" t="str">
            <v>70003342</v>
          </cell>
          <cell r="G109" t="str">
            <v>统一饮料</v>
          </cell>
          <cell r="H109" t="str">
            <v>统一饮料</v>
          </cell>
          <cell r="I109" t="str">
            <v>包装饮料</v>
          </cell>
          <cell r="J109" t="str">
            <v>茶饮料</v>
          </cell>
          <cell r="K109" t="str">
            <v>统一 鲜橙多 450mL</v>
          </cell>
          <cell r="L109" t="str">
            <v>450mL</v>
          </cell>
          <cell r="M109" t="str">
            <v>瓶</v>
          </cell>
          <cell r="N109">
            <v>2.3199999999999998</v>
          </cell>
          <cell r="O109">
            <v>3.5</v>
          </cell>
          <cell r="P109">
            <v>0.32857142857142901</v>
          </cell>
        </row>
        <row r="110">
          <cell r="F110" t="str">
            <v>70414515</v>
          </cell>
          <cell r="G110" t="str">
            <v>统一饮料</v>
          </cell>
          <cell r="H110" t="str">
            <v>元气觉醒</v>
          </cell>
          <cell r="I110" t="str">
            <v>包装饮料</v>
          </cell>
          <cell r="J110" t="str">
            <v>茶饮料</v>
          </cell>
          <cell r="K110" t="str">
            <v>统一 元气觉醒100%橙汁 300mL</v>
          </cell>
          <cell r="L110" t="str">
            <v>300mL</v>
          </cell>
          <cell r="M110" t="str">
            <v>瓶</v>
          </cell>
          <cell r="N110">
            <v>5.15</v>
          </cell>
          <cell r="O110">
            <v>8</v>
          </cell>
          <cell r="P110">
            <v>0.35</v>
          </cell>
        </row>
        <row r="111">
          <cell r="F111" t="str">
            <v>70414521</v>
          </cell>
          <cell r="G111" t="str">
            <v>统一饮料</v>
          </cell>
          <cell r="H111" t="str">
            <v>元气觉醒</v>
          </cell>
          <cell r="I111" t="str">
            <v>包装饮料</v>
          </cell>
          <cell r="J111" t="str">
            <v>茶饮料</v>
          </cell>
          <cell r="K111" t="str">
            <v>统一 元气觉醒100%葡萄汁 300mL</v>
          </cell>
          <cell r="L111" t="str">
            <v>300mL</v>
          </cell>
          <cell r="M111" t="str">
            <v>瓶</v>
          </cell>
          <cell r="N111">
            <v>5.15</v>
          </cell>
          <cell r="O111">
            <v>8</v>
          </cell>
          <cell r="P111">
            <v>0.35</v>
          </cell>
        </row>
        <row r="112">
          <cell r="F112" t="str">
            <v>70441554</v>
          </cell>
          <cell r="G112" t="str">
            <v>统一饮料</v>
          </cell>
          <cell r="H112" t="str">
            <v>阿萨姆</v>
          </cell>
          <cell r="I112" t="str">
            <v>包装饮料</v>
          </cell>
          <cell r="J112" t="str">
            <v>茶饮料</v>
          </cell>
          <cell r="K112" t="str">
            <v>统一 阿萨姆奶茶原味PET 300mL</v>
          </cell>
          <cell r="L112" t="str">
            <v>300mL</v>
          </cell>
          <cell r="M112" t="str">
            <v>瓶</v>
          </cell>
          <cell r="N112">
            <v>2.3199999999999998</v>
          </cell>
          <cell r="O112">
            <v>3.5</v>
          </cell>
          <cell r="P112">
            <v>0.32857142857142901</v>
          </cell>
        </row>
        <row r="113">
          <cell r="F113" t="str">
            <v>70412041</v>
          </cell>
          <cell r="G113" t="str">
            <v>统一饮料</v>
          </cell>
          <cell r="H113" t="str">
            <v>统一饮料</v>
          </cell>
          <cell r="I113" t="str">
            <v>包装饮料</v>
          </cell>
          <cell r="J113" t="str">
            <v>茶饮料</v>
          </cell>
          <cell r="K113" t="str">
            <v>统一 金桔柠檬PET 1L</v>
          </cell>
          <cell r="L113" t="str">
            <v>1L</v>
          </cell>
          <cell r="M113" t="str">
            <v>瓶</v>
          </cell>
          <cell r="N113">
            <v>3.23</v>
          </cell>
          <cell r="O113">
            <v>4.5</v>
          </cell>
          <cell r="P113">
            <v>0.275555555555556</v>
          </cell>
        </row>
        <row r="114">
          <cell r="F114" t="str">
            <v>70231967</v>
          </cell>
          <cell r="G114" t="str">
            <v>统一饮料</v>
          </cell>
          <cell r="H114" t="str">
            <v>统一饮料</v>
          </cell>
          <cell r="I114" t="str">
            <v>包装饮料</v>
          </cell>
          <cell r="J114" t="str">
            <v>茶饮料</v>
          </cell>
          <cell r="K114" t="str">
            <v>统一 冰糖雪梨 1L</v>
          </cell>
          <cell r="L114" t="str">
            <v>1L</v>
          </cell>
          <cell r="M114" t="str">
            <v>瓶</v>
          </cell>
          <cell r="N114">
            <v>3.23</v>
          </cell>
          <cell r="O114">
            <v>4.5</v>
          </cell>
          <cell r="P114">
            <v>0.275555555555556</v>
          </cell>
        </row>
        <row r="115">
          <cell r="F115" t="str">
            <v>70485929</v>
          </cell>
          <cell r="G115" t="str">
            <v>统一饮料</v>
          </cell>
          <cell r="H115" t="str">
            <v>焕神</v>
          </cell>
          <cell r="I115" t="str">
            <v>包装饮料</v>
          </cell>
          <cell r="J115" t="str">
            <v>茶饮料</v>
          </cell>
          <cell r="K115" t="str">
            <v>统一 焕神维生素能量饮料 500mL</v>
          </cell>
          <cell r="L115" t="str">
            <v>500mL</v>
          </cell>
          <cell r="M115" t="str">
            <v>瓶</v>
          </cell>
          <cell r="N115">
            <v>2.2200000000000002</v>
          </cell>
          <cell r="O115">
            <v>4</v>
          </cell>
          <cell r="P115">
            <v>0.44</v>
          </cell>
        </row>
        <row r="116">
          <cell r="F116" t="str">
            <v>70485917</v>
          </cell>
          <cell r="G116" t="str">
            <v>统一饮料</v>
          </cell>
          <cell r="H116" t="str">
            <v>统一饮料</v>
          </cell>
          <cell r="I116" t="str">
            <v>包装饮料</v>
          </cell>
          <cell r="J116" t="str">
            <v>茶饮料</v>
          </cell>
          <cell r="K116" t="str">
            <v>统一 双萃柠檬茶PET 500mL</v>
          </cell>
          <cell r="L116" t="str">
            <v>500mL</v>
          </cell>
          <cell r="M116" t="str">
            <v>瓶</v>
          </cell>
          <cell r="N116">
            <v>2.12</v>
          </cell>
          <cell r="O116">
            <v>3.5</v>
          </cell>
          <cell r="P116">
            <v>0.38857142857142901</v>
          </cell>
        </row>
        <row r="117">
          <cell r="F117" t="str">
            <v>70485941</v>
          </cell>
          <cell r="G117" t="str">
            <v>统一饮料</v>
          </cell>
          <cell r="H117" t="str">
            <v>阿萨姆</v>
          </cell>
          <cell r="I117" t="str">
            <v>包装饮料</v>
          </cell>
          <cell r="J117" t="str">
            <v>茶饮料</v>
          </cell>
          <cell r="K117" t="str">
            <v>统一 阿萨姆白桃观音奶茶PET 450mL</v>
          </cell>
          <cell r="L117" t="str">
            <v>450mL</v>
          </cell>
          <cell r="M117" t="str">
            <v>瓶</v>
          </cell>
          <cell r="N117">
            <v>3.43</v>
          </cell>
          <cell r="O117">
            <v>5</v>
          </cell>
          <cell r="P117">
            <v>0.30599999999999999</v>
          </cell>
        </row>
        <row r="118">
          <cell r="F118" t="str">
            <v>70485937</v>
          </cell>
          <cell r="G118" t="str">
            <v>统一饮料</v>
          </cell>
          <cell r="H118" t="str">
            <v>阿萨姆</v>
          </cell>
          <cell r="I118" t="str">
            <v>包装饮料</v>
          </cell>
          <cell r="J118" t="str">
            <v>茶饮料</v>
          </cell>
          <cell r="K118" t="str">
            <v>统一 阿萨姆青提茉莉奶茶PET 450mL</v>
          </cell>
          <cell r="L118" t="str">
            <v>450mL</v>
          </cell>
          <cell r="M118" t="str">
            <v>瓶</v>
          </cell>
          <cell r="N118">
            <v>3.43</v>
          </cell>
          <cell r="O118">
            <v>5</v>
          </cell>
          <cell r="P118">
            <v>0.30599999999999999</v>
          </cell>
        </row>
        <row r="119">
          <cell r="F119" t="str">
            <v>70562861</v>
          </cell>
          <cell r="G119" t="str">
            <v>统一饮料</v>
          </cell>
          <cell r="H119" t="str">
            <v>焕神</v>
          </cell>
          <cell r="I119" t="str">
            <v>包装饮料</v>
          </cell>
          <cell r="J119" t="str">
            <v>功能饮料</v>
          </cell>
          <cell r="K119" t="str">
            <v>统一 焕神维生素能量饮料 1L</v>
          </cell>
          <cell r="L119" t="str">
            <v>1L</v>
          </cell>
          <cell r="M119" t="str">
            <v>瓶</v>
          </cell>
          <cell r="N119">
            <v>3.67</v>
          </cell>
          <cell r="O119">
            <v>6</v>
          </cell>
          <cell r="P119">
            <v>0.38333333333333303</v>
          </cell>
        </row>
        <row r="120">
          <cell r="F120" t="str">
            <v>70542809</v>
          </cell>
          <cell r="G120" t="str">
            <v>统一饮料</v>
          </cell>
          <cell r="H120" t="str">
            <v>海之言</v>
          </cell>
          <cell r="I120" t="str">
            <v>包装饮料</v>
          </cell>
          <cell r="J120" t="str">
            <v>功能饮料</v>
          </cell>
          <cell r="K120" t="str">
            <v>统一 海之言等渗电解质饮料 900mL</v>
          </cell>
          <cell r="L120" t="str">
            <v>900mL</v>
          </cell>
          <cell r="M120" t="str">
            <v>瓶</v>
          </cell>
          <cell r="N120">
            <v>3.82</v>
          </cell>
          <cell r="O120">
            <v>6</v>
          </cell>
          <cell r="P120">
            <v>0.35666666666666702</v>
          </cell>
        </row>
        <row r="121">
          <cell r="F121" t="str">
            <v>70534525</v>
          </cell>
          <cell r="G121" t="str">
            <v>统一饮料</v>
          </cell>
          <cell r="H121" t="str">
            <v>统一饮料</v>
          </cell>
          <cell r="I121" t="str">
            <v>包装饮料</v>
          </cell>
          <cell r="J121" t="str">
            <v>茶饮料</v>
          </cell>
          <cell r="K121" t="str">
            <v>统一 无糖春拂云雾绿茶 900mL</v>
          </cell>
          <cell r="L121" t="str">
            <v>900mL</v>
          </cell>
          <cell r="M121" t="str">
            <v>瓶</v>
          </cell>
          <cell r="N121">
            <v>3.67</v>
          </cell>
          <cell r="O121">
            <v>6</v>
          </cell>
          <cell r="P121">
            <v>0.38333333333333303</v>
          </cell>
        </row>
        <row r="122">
          <cell r="F122" t="str">
            <v>70534534</v>
          </cell>
          <cell r="G122" t="str">
            <v>统一饮料</v>
          </cell>
          <cell r="H122" t="str">
            <v>统一饮料</v>
          </cell>
          <cell r="I122" t="str">
            <v>包装饮料</v>
          </cell>
          <cell r="J122" t="str">
            <v>茶饮料</v>
          </cell>
          <cell r="K122" t="str">
            <v>统一 无糖春拂云雾绿茶 500ml</v>
          </cell>
          <cell r="L122" t="str">
            <v>500mL</v>
          </cell>
          <cell r="M122" t="str">
            <v>瓶</v>
          </cell>
          <cell r="N122">
            <v>2.5499999999999998</v>
          </cell>
          <cell r="O122">
            <v>4</v>
          </cell>
          <cell r="P122">
            <v>0.35749999999999998</v>
          </cell>
        </row>
        <row r="123">
          <cell r="F123" t="str">
            <v>70240822</v>
          </cell>
          <cell r="G123" t="str">
            <v>统一饮料</v>
          </cell>
          <cell r="H123" t="str">
            <v>海之言</v>
          </cell>
          <cell r="I123" t="str">
            <v>包装饮料</v>
          </cell>
          <cell r="J123" t="str">
            <v>功能饮料</v>
          </cell>
          <cell r="K123" t="str">
            <v>统一 海之言等渗电解质饮料 500mL</v>
          </cell>
          <cell r="L123" t="str">
            <v>500mL</v>
          </cell>
          <cell r="M123" t="str">
            <v>瓶</v>
          </cell>
          <cell r="N123">
            <v>2.83</v>
          </cell>
          <cell r="O123">
            <v>5</v>
          </cell>
          <cell r="P123">
            <v>0.42799999999999999</v>
          </cell>
        </row>
        <row r="124">
          <cell r="F124" t="str">
            <v>70303734</v>
          </cell>
          <cell r="G124" t="str">
            <v>元气森林</v>
          </cell>
          <cell r="H124" t="str">
            <v>元气森林</v>
          </cell>
          <cell r="I124" t="str">
            <v>包装饮料</v>
          </cell>
          <cell r="J124" t="str">
            <v>苏打水</v>
          </cell>
          <cell r="K124" t="str">
            <v>元気森林 白桃味苏打气泡水 480mL</v>
          </cell>
          <cell r="L124" t="str">
            <v>480mL</v>
          </cell>
          <cell r="M124" t="str">
            <v>瓶</v>
          </cell>
          <cell r="N124">
            <v>3.64</v>
          </cell>
          <cell r="O124">
            <v>6.5</v>
          </cell>
          <cell r="P124">
            <v>0.43538461538461498</v>
          </cell>
        </row>
        <row r="125">
          <cell r="F125" t="str">
            <v>70378427</v>
          </cell>
          <cell r="G125" t="str">
            <v>元气森林</v>
          </cell>
          <cell r="H125" t="str">
            <v>元气森林</v>
          </cell>
          <cell r="I125" t="str">
            <v>包装饮料</v>
          </cell>
          <cell r="J125" t="str">
            <v>苏打水</v>
          </cell>
          <cell r="K125" t="str">
            <v>元气森林 夏黑葡萄味苏打气泡水 480mL</v>
          </cell>
          <cell r="L125" t="str">
            <v>480mL</v>
          </cell>
          <cell r="M125" t="str">
            <v>瓶</v>
          </cell>
          <cell r="N125">
            <v>3.64</v>
          </cell>
          <cell r="O125">
            <v>6.5</v>
          </cell>
          <cell r="P125">
            <v>0.43538461538461498</v>
          </cell>
        </row>
        <row r="126">
          <cell r="F126" t="str">
            <v>70523351</v>
          </cell>
          <cell r="G126" t="str">
            <v>元气森林</v>
          </cell>
          <cell r="H126" t="str">
            <v>元气森林</v>
          </cell>
          <cell r="I126" t="str">
            <v>包装饮料</v>
          </cell>
          <cell r="J126" t="str">
            <v>汽水</v>
          </cell>
          <cell r="K126" t="str">
            <v>元气森林 柠檬味苏打气泡水 480mL</v>
          </cell>
          <cell r="L126" t="str">
            <v>480mL</v>
          </cell>
          <cell r="M126" t="str">
            <v>瓶</v>
          </cell>
          <cell r="N126">
            <v>3.64</v>
          </cell>
          <cell r="O126">
            <v>6.5</v>
          </cell>
          <cell r="P126">
            <v>0.43538461538461498</v>
          </cell>
        </row>
        <row r="127">
          <cell r="F127" t="str">
            <v>70545154</v>
          </cell>
          <cell r="G127" t="str">
            <v>元气森林</v>
          </cell>
          <cell r="H127" t="str">
            <v>元气森林</v>
          </cell>
          <cell r="I127" t="str">
            <v>包装饮料</v>
          </cell>
          <cell r="J127" t="str">
            <v>汽水</v>
          </cell>
          <cell r="K127" t="str">
            <v>元气森林 维C橙味苏打气泡水 480mL</v>
          </cell>
          <cell r="L127" t="str">
            <v>480mL</v>
          </cell>
          <cell r="M127" t="str">
            <v>瓶</v>
          </cell>
          <cell r="N127">
            <v>3.64</v>
          </cell>
          <cell r="O127">
            <v>6.5</v>
          </cell>
          <cell r="P127">
            <v>0.43538461538461498</v>
          </cell>
        </row>
        <row r="128">
          <cell r="F128" t="str">
            <v>70377419</v>
          </cell>
          <cell r="G128" t="str">
            <v>元气森林</v>
          </cell>
          <cell r="H128" t="str">
            <v>外星人</v>
          </cell>
          <cell r="I128" t="str">
            <v>包装饮料</v>
          </cell>
          <cell r="J128" t="str">
            <v>汽水</v>
          </cell>
          <cell r="K128" t="str">
            <v>外星人 电解质饮料荔枝海盐味 600mL</v>
          </cell>
          <cell r="L128" t="str">
            <v>600mL</v>
          </cell>
          <cell r="M128" t="str">
            <v>瓶</v>
          </cell>
          <cell r="N128">
            <v>4.04</v>
          </cell>
          <cell r="O128">
            <v>7</v>
          </cell>
          <cell r="P128">
            <v>0.41714285714285698</v>
          </cell>
        </row>
        <row r="129">
          <cell r="F129" t="str">
            <v>70377422</v>
          </cell>
          <cell r="G129" t="str">
            <v>元气森林</v>
          </cell>
          <cell r="H129" t="str">
            <v>外星人</v>
          </cell>
          <cell r="I129" t="str">
            <v>包装饮料</v>
          </cell>
          <cell r="J129" t="str">
            <v>汽水</v>
          </cell>
          <cell r="K129" t="str">
            <v>外星人 电解质水青柠味 600mL</v>
          </cell>
          <cell r="L129" t="str">
            <v>600mL</v>
          </cell>
          <cell r="M129" t="str">
            <v>瓶</v>
          </cell>
          <cell r="N129">
            <v>4.04</v>
          </cell>
          <cell r="O129">
            <v>7</v>
          </cell>
          <cell r="P129">
            <v>0.41714285714285698</v>
          </cell>
        </row>
        <row r="130">
          <cell r="F130" t="str">
            <v>70439071</v>
          </cell>
          <cell r="G130" t="str">
            <v>元气森林</v>
          </cell>
          <cell r="H130" t="str">
            <v>外星人</v>
          </cell>
          <cell r="I130" t="str">
            <v>包装饮料</v>
          </cell>
          <cell r="J130" t="str">
            <v>汽水</v>
          </cell>
          <cell r="K130" t="str">
            <v>外星人 电解质水白桃味 600mL</v>
          </cell>
          <cell r="L130" t="str">
            <v>600mL</v>
          </cell>
          <cell r="M130" t="str">
            <v>瓶</v>
          </cell>
          <cell r="N130">
            <v>4.04</v>
          </cell>
          <cell r="O130">
            <v>7</v>
          </cell>
          <cell r="P130">
            <v>0.41714285714285698</v>
          </cell>
        </row>
        <row r="131">
          <cell r="F131" t="str">
            <v>70510881</v>
          </cell>
          <cell r="G131" t="str">
            <v>元气森林</v>
          </cell>
          <cell r="H131" t="str">
            <v>元气森林</v>
          </cell>
          <cell r="I131" t="str">
            <v>包装饮料</v>
          </cell>
          <cell r="J131" t="str">
            <v>茶饮料</v>
          </cell>
          <cell r="K131" t="str">
            <v>元气森林 减糖柠檬冰茶 900mL</v>
          </cell>
          <cell r="L131" t="str">
            <v>900mL</v>
          </cell>
          <cell r="M131" t="str">
            <v>瓶</v>
          </cell>
          <cell r="N131">
            <v>4.3</v>
          </cell>
          <cell r="O131">
            <v>6.5</v>
          </cell>
          <cell r="P131">
            <v>0.33076923076923098</v>
          </cell>
        </row>
        <row r="132">
          <cell r="F132" t="str">
            <v>70522243</v>
          </cell>
          <cell r="G132" t="str">
            <v>元气森林</v>
          </cell>
          <cell r="H132" t="str">
            <v>元气森林</v>
          </cell>
          <cell r="I132" t="str">
            <v>包装饮料</v>
          </cell>
          <cell r="J132" t="str">
            <v>茶饮料</v>
          </cell>
          <cell r="K132" t="str">
            <v>元气森林 自在水 红豆薏米水 500mL</v>
          </cell>
          <cell r="L132" t="str">
            <v>500mL</v>
          </cell>
          <cell r="M132" t="str">
            <v>瓶</v>
          </cell>
          <cell r="N132">
            <v>3.54</v>
          </cell>
          <cell r="O132">
            <v>5.5</v>
          </cell>
          <cell r="P132">
            <v>0.350909090909091</v>
          </cell>
        </row>
        <row r="133">
          <cell r="F133" t="str">
            <v>70522244</v>
          </cell>
          <cell r="G133" t="str">
            <v>元气森林</v>
          </cell>
          <cell r="H133" t="str">
            <v>元气森林</v>
          </cell>
          <cell r="I133" t="str">
            <v>包装饮料</v>
          </cell>
          <cell r="J133" t="str">
            <v>茶饮料</v>
          </cell>
          <cell r="K133" t="str">
            <v>元气森林 自在水 红枣枸杞水 500mL</v>
          </cell>
          <cell r="L133" t="str">
            <v>500mL</v>
          </cell>
          <cell r="M133" t="str">
            <v>瓶</v>
          </cell>
          <cell r="N133">
            <v>3.54</v>
          </cell>
          <cell r="O133">
            <v>5.5</v>
          </cell>
          <cell r="P133">
            <v>0.350909090909091</v>
          </cell>
        </row>
        <row r="134">
          <cell r="F134" t="str">
            <v>70543435</v>
          </cell>
          <cell r="G134" t="str">
            <v>元气森林</v>
          </cell>
          <cell r="H134" t="str">
            <v>外星人</v>
          </cell>
          <cell r="I134" t="str">
            <v>包装饮料</v>
          </cell>
          <cell r="J134" t="str">
            <v>果汁饮料</v>
          </cell>
          <cell r="K134" t="str">
            <v>外星人 维C水-西西里柠檬 500mL</v>
          </cell>
          <cell r="L134" t="str">
            <v>500mL</v>
          </cell>
          <cell r="M134" t="str">
            <v>瓶</v>
          </cell>
          <cell r="N134">
            <v>3.64</v>
          </cell>
          <cell r="O134">
            <v>6</v>
          </cell>
          <cell r="P134">
            <v>0.38833333333333298</v>
          </cell>
        </row>
        <row r="135">
          <cell r="F135" t="str">
            <v>70540468</v>
          </cell>
          <cell r="G135" t="str">
            <v>元气森林</v>
          </cell>
          <cell r="H135" t="str">
            <v>外星人</v>
          </cell>
          <cell r="I135" t="str">
            <v>包装饮料</v>
          </cell>
          <cell r="J135" t="str">
            <v>果汁饮料</v>
          </cell>
          <cell r="K135" t="str">
            <v>外星人 维C水-车厘子蔓越莓 500mL</v>
          </cell>
          <cell r="L135" t="str">
            <v>500mL</v>
          </cell>
          <cell r="M135" t="str">
            <v>瓶</v>
          </cell>
          <cell r="N135">
            <v>3.64</v>
          </cell>
          <cell r="O135">
            <v>6</v>
          </cell>
          <cell r="P135">
            <v>0.38833333333333298</v>
          </cell>
        </row>
        <row r="136">
          <cell r="F136" t="str">
            <v>70574254</v>
          </cell>
          <cell r="G136" t="str">
            <v>元气森林</v>
          </cell>
          <cell r="H136" t="str">
            <v>外星人</v>
          </cell>
          <cell r="I136" t="str">
            <v>包装饮料</v>
          </cell>
          <cell r="J136" t="str">
            <v>功能饮料</v>
          </cell>
          <cell r="K136" t="str">
            <v>外星人 电解质水低糖-青柠PET 600mL</v>
          </cell>
          <cell r="L136" t="str">
            <v>600mL</v>
          </cell>
          <cell r="M136" t="str">
            <v>瓶</v>
          </cell>
          <cell r="N136">
            <v>4.04</v>
          </cell>
          <cell r="O136">
            <v>7</v>
          </cell>
          <cell r="P136">
            <v>0.41714285714285698</v>
          </cell>
        </row>
        <row r="137">
          <cell r="F137" t="str">
            <v>70574840</v>
          </cell>
          <cell r="G137" t="str">
            <v>元气森林</v>
          </cell>
          <cell r="H137" t="str">
            <v>外星人</v>
          </cell>
          <cell r="I137" t="str">
            <v>包装饮料</v>
          </cell>
          <cell r="J137" t="str">
            <v>功能饮料</v>
          </cell>
          <cell r="K137" t="str">
            <v>外星人 电解质水低糖-椰子PET 600mL</v>
          </cell>
          <cell r="L137" t="str">
            <v>600mL</v>
          </cell>
          <cell r="M137" t="str">
            <v>瓶</v>
          </cell>
          <cell r="N137">
            <v>4.04</v>
          </cell>
          <cell r="O137">
            <v>7</v>
          </cell>
          <cell r="P137">
            <v>0.41714285714285698</v>
          </cell>
        </row>
        <row r="138">
          <cell r="F138" t="str">
            <v>70574841</v>
          </cell>
          <cell r="G138" t="str">
            <v>元气森林</v>
          </cell>
          <cell r="H138" t="str">
            <v>外星人</v>
          </cell>
          <cell r="I138" t="str">
            <v>包装饮料</v>
          </cell>
          <cell r="J138" t="str">
            <v>功能饮料</v>
          </cell>
          <cell r="K138" t="str">
            <v>外星人 电解质水低糖-西柚PET 600mL</v>
          </cell>
          <cell r="L138" t="str">
            <v>600mL</v>
          </cell>
          <cell r="M138" t="str">
            <v>瓶</v>
          </cell>
          <cell r="N138">
            <v>4.04</v>
          </cell>
          <cell r="O138">
            <v>7</v>
          </cell>
          <cell r="P138">
            <v>0.41714285714285698</v>
          </cell>
        </row>
        <row r="139">
          <cell r="F139" t="str">
            <v>70118757</v>
          </cell>
          <cell r="G139" t="str">
            <v>宜简</v>
          </cell>
          <cell r="H139" t="str">
            <v>宜简</v>
          </cell>
          <cell r="I139" t="str">
            <v>包装饮料</v>
          </cell>
          <cell r="J139" t="str">
            <v>苏打水</v>
          </cell>
          <cell r="K139" t="str">
            <v>宜简 无汽苏打水 360mL</v>
          </cell>
          <cell r="L139" t="str">
            <v>360mL</v>
          </cell>
          <cell r="M139" t="str">
            <v>瓶</v>
          </cell>
          <cell r="N139">
            <v>2.02</v>
          </cell>
          <cell r="O139">
            <v>3.5</v>
          </cell>
          <cell r="P139">
            <v>0.41714285714285698</v>
          </cell>
        </row>
        <row r="140">
          <cell r="F140" t="str">
            <v>70351921</v>
          </cell>
          <cell r="G140" t="str">
            <v>宜简</v>
          </cell>
          <cell r="H140" t="str">
            <v>宜简</v>
          </cell>
          <cell r="I140" t="str">
            <v>包装饮料</v>
          </cell>
          <cell r="J140" t="str">
            <v>苏打水</v>
          </cell>
          <cell r="K140" t="str">
            <v>宜简 白桃味苏打水饮品 360mL</v>
          </cell>
          <cell r="L140" t="str">
            <v>360mL</v>
          </cell>
          <cell r="M140" t="str">
            <v>瓶</v>
          </cell>
          <cell r="N140">
            <v>2.02</v>
          </cell>
          <cell r="O140">
            <v>3</v>
          </cell>
          <cell r="P140">
            <v>0.32</v>
          </cell>
        </row>
        <row r="141">
          <cell r="F141" t="str">
            <v>70388914</v>
          </cell>
          <cell r="G141" t="str">
            <v>宜简</v>
          </cell>
          <cell r="H141" t="str">
            <v>宜简</v>
          </cell>
          <cell r="I141" t="str">
            <v>包装饮料</v>
          </cell>
          <cell r="J141" t="str">
            <v>苏打水</v>
          </cell>
          <cell r="K141" t="str">
            <v>宜简 晴王葡萄味苏打水 360mL</v>
          </cell>
          <cell r="L141" t="str">
            <v>360mL</v>
          </cell>
          <cell r="M141" t="str">
            <v>瓶</v>
          </cell>
          <cell r="N141">
            <v>2.02</v>
          </cell>
          <cell r="O141">
            <v>3.5</v>
          </cell>
          <cell r="P141">
            <v>0.41714285714285698</v>
          </cell>
        </row>
        <row r="142">
          <cell r="F142" t="str">
            <v>70543484</v>
          </cell>
          <cell r="G142" t="str">
            <v>宜简</v>
          </cell>
          <cell r="H142" t="str">
            <v>宜简</v>
          </cell>
          <cell r="I142" t="str">
            <v>包装饮料</v>
          </cell>
          <cell r="J142" t="str">
            <v>果味饮料</v>
          </cell>
          <cell r="K142" t="str">
            <v>宜简 果也蜜桃水 750mL</v>
          </cell>
          <cell r="L142" t="str">
            <v>750mL</v>
          </cell>
          <cell r="M142" t="str">
            <v>瓶</v>
          </cell>
          <cell r="N142">
            <v>2.02</v>
          </cell>
          <cell r="O142">
            <v>3</v>
          </cell>
          <cell r="P142">
            <v>0.32</v>
          </cell>
        </row>
        <row r="143">
          <cell r="F143" t="str">
            <v>70543434</v>
          </cell>
          <cell r="G143" t="str">
            <v>宜简</v>
          </cell>
          <cell r="H143" t="str">
            <v>宜简</v>
          </cell>
          <cell r="I143" t="str">
            <v>包装饮料</v>
          </cell>
          <cell r="J143" t="str">
            <v>果味饮料</v>
          </cell>
          <cell r="K143" t="str">
            <v>宜简 果也柠檬水 750mL</v>
          </cell>
          <cell r="L143" t="str">
            <v>750mL</v>
          </cell>
          <cell r="M143" t="str">
            <v>瓶</v>
          </cell>
          <cell r="N143">
            <v>2.02</v>
          </cell>
          <cell r="O143">
            <v>3</v>
          </cell>
          <cell r="P143">
            <v>0.32</v>
          </cell>
        </row>
        <row r="144">
          <cell r="F144" t="str">
            <v>70543462</v>
          </cell>
          <cell r="G144" t="str">
            <v>宜简</v>
          </cell>
          <cell r="H144" t="str">
            <v>宜简</v>
          </cell>
          <cell r="I144" t="str">
            <v>包装饮料</v>
          </cell>
          <cell r="J144" t="str">
            <v>果味饮料</v>
          </cell>
          <cell r="K144" t="str">
            <v>宜简 青柠味薄荷水饮品 450mL</v>
          </cell>
          <cell r="L144" t="str">
            <v>450mL</v>
          </cell>
          <cell r="M144" t="str">
            <v>瓶</v>
          </cell>
          <cell r="N144">
            <v>2.02</v>
          </cell>
          <cell r="O144">
            <v>3</v>
          </cell>
          <cell r="P144">
            <v>0.32</v>
          </cell>
        </row>
        <row r="145">
          <cell r="F145" t="str">
            <v>70543457</v>
          </cell>
          <cell r="G145" t="str">
            <v>宜简</v>
          </cell>
          <cell r="H145" t="str">
            <v>宜简</v>
          </cell>
          <cell r="I145" t="str">
            <v>包装饮料</v>
          </cell>
          <cell r="J145" t="str">
            <v>茶饮料</v>
          </cell>
          <cell r="K145" t="str">
            <v>宜简 茉莉绿茶苏打茶 500mL</v>
          </cell>
          <cell r="L145" t="str">
            <v>500mL</v>
          </cell>
          <cell r="M145" t="str">
            <v>瓶</v>
          </cell>
          <cell r="N145">
            <v>2.17</v>
          </cell>
          <cell r="O145">
            <v>4</v>
          </cell>
          <cell r="P145">
            <v>0.45250000000000001</v>
          </cell>
        </row>
        <row r="146">
          <cell r="F146" t="str">
            <v>70543485</v>
          </cell>
          <cell r="G146" t="str">
            <v>宜简</v>
          </cell>
          <cell r="H146" t="str">
            <v>宜简</v>
          </cell>
          <cell r="I146" t="str">
            <v>包装饮料</v>
          </cell>
          <cell r="J146" t="str">
            <v>茶饮料</v>
          </cell>
          <cell r="K146" t="str">
            <v>宜简 玄米乌龙苏打茶 500mL</v>
          </cell>
          <cell r="L146" t="str">
            <v>500mL</v>
          </cell>
          <cell r="M146" t="str">
            <v>瓶</v>
          </cell>
          <cell r="N146">
            <v>2.17</v>
          </cell>
          <cell r="O146">
            <v>4</v>
          </cell>
          <cell r="P146">
            <v>0.45250000000000001</v>
          </cell>
        </row>
        <row r="147">
          <cell r="F147" t="str">
            <v>70003387</v>
          </cell>
          <cell r="G147" t="str">
            <v>脉动</v>
          </cell>
          <cell r="H147" t="str">
            <v>脉动</v>
          </cell>
          <cell r="I147" t="str">
            <v>包装饮料</v>
          </cell>
          <cell r="J147" t="str">
            <v>运动饮料</v>
          </cell>
          <cell r="K147" t="str">
            <v>脉动 青柠口味 600mL</v>
          </cell>
          <cell r="L147" t="str">
            <v>600mL</v>
          </cell>
          <cell r="M147" t="str">
            <v>瓶</v>
          </cell>
          <cell r="N147">
            <v>3.91</v>
          </cell>
          <cell r="O147">
            <v>6</v>
          </cell>
          <cell r="P147">
            <v>0.34166666666666701</v>
          </cell>
        </row>
        <row r="148">
          <cell r="F148" t="str">
            <v>70003391</v>
          </cell>
          <cell r="G148" t="str">
            <v>脉动</v>
          </cell>
          <cell r="H148" t="str">
            <v>脉动</v>
          </cell>
          <cell r="I148" t="str">
            <v>包装饮料</v>
          </cell>
          <cell r="J148" t="str">
            <v>运动饮料</v>
          </cell>
          <cell r="K148" t="str">
            <v>脉动 桃子口味 600mL</v>
          </cell>
          <cell r="L148" t="str">
            <v>600mL</v>
          </cell>
          <cell r="M148" t="str">
            <v>瓶</v>
          </cell>
          <cell r="N148">
            <v>3.91</v>
          </cell>
          <cell r="O148">
            <v>6</v>
          </cell>
          <cell r="P148">
            <v>0.34166666666666701</v>
          </cell>
        </row>
        <row r="149">
          <cell r="F149" t="str">
            <v>70001498</v>
          </cell>
          <cell r="G149" t="str">
            <v>脉动</v>
          </cell>
          <cell r="H149" t="str">
            <v>脉动</v>
          </cell>
          <cell r="I149" t="str">
            <v>包装饮料</v>
          </cell>
          <cell r="J149" t="str">
            <v>运动饮料</v>
          </cell>
          <cell r="K149" t="str">
            <v>脉动 雪柚橘子口味 600mL</v>
          </cell>
          <cell r="L149" t="str">
            <v>600mL</v>
          </cell>
          <cell r="M149" t="str">
            <v>瓶</v>
          </cell>
          <cell r="N149">
            <v>3.91</v>
          </cell>
          <cell r="O149">
            <v>6</v>
          </cell>
          <cell r="P149">
            <v>0.34166666666666701</v>
          </cell>
        </row>
        <row r="150">
          <cell r="F150" t="str">
            <v>70273067</v>
          </cell>
          <cell r="G150" t="str">
            <v>脉动</v>
          </cell>
          <cell r="H150" t="str">
            <v>脉动</v>
          </cell>
          <cell r="I150" t="str">
            <v>包装饮料</v>
          </cell>
          <cell r="J150" t="str">
            <v>运动饮料</v>
          </cell>
          <cell r="K150" t="str">
            <v>脉动 菠萝口味 600mL</v>
          </cell>
          <cell r="L150" t="str">
            <v>600mL</v>
          </cell>
          <cell r="M150" t="str">
            <v>瓶</v>
          </cell>
          <cell r="N150">
            <v>3.91</v>
          </cell>
          <cell r="O150">
            <v>6</v>
          </cell>
          <cell r="P150">
            <v>0.34166666666666701</v>
          </cell>
        </row>
        <row r="151">
          <cell r="F151" t="str">
            <v>70293151</v>
          </cell>
          <cell r="G151" t="str">
            <v>脉动</v>
          </cell>
          <cell r="H151" t="str">
            <v>脉动</v>
          </cell>
          <cell r="I151" t="str">
            <v>包装饮料</v>
          </cell>
          <cell r="J151" t="str">
            <v>运动饮料</v>
          </cell>
          <cell r="K151" t="str">
            <v>脉动 芒果口味 600mL</v>
          </cell>
          <cell r="L151" t="str">
            <v>600mL</v>
          </cell>
          <cell r="M151" t="str">
            <v>瓶</v>
          </cell>
          <cell r="N151">
            <v>3.91</v>
          </cell>
          <cell r="O151">
            <v>6</v>
          </cell>
          <cell r="P151">
            <v>0.34166666666666701</v>
          </cell>
        </row>
        <row r="152">
          <cell r="F152" t="str">
            <v>70485477</v>
          </cell>
          <cell r="G152" t="str">
            <v>脉动</v>
          </cell>
          <cell r="H152" t="str">
            <v>脉动</v>
          </cell>
          <cell r="I152" t="str">
            <v>包装饮料</v>
          </cell>
          <cell r="J152" t="str">
            <v>运动饮料</v>
          </cell>
          <cell r="K152" t="str">
            <v>脉动 玫瑰葡萄口味 600mL</v>
          </cell>
          <cell r="L152" t="str">
            <v>600mL</v>
          </cell>
          <cell r="M152" t="str">
            <v>瓶</v>
          </cell>
          <cell r="N152">
            <v>3.91</v>
          </cell>
          <cell r="O152">
            <v>6</v>
          </cell>
          <cell r="P152">
            <v>0.34166666666666701</v>
          </cell>
        </row>
        <row r="153">
          <cell r="F153" t="str">
            <v>70524260</v>
          </cell>
          <cell r="G153" t="str">
            <v>脉动</v>
          </cell>
          <cell r="H153" t="str">
            <v>脉动</v>
          </cell>
          <cell r="I153" t="str">
            <v>包装饮料</v>
          </cell>
          <cell r="J153" t="str">
            <v>功能饮料</v>
          </cell>
          <cell r="K153" t="str">
            <v>脉动 电解质+运动饮料西柚口味 600mL</v>
          </cell>
          <cell r="L153" t="str">
            <v>600mL</v>
          </cell>
          <cell r="M153" t="str">
            <v>瓶</v>
          </cell>
          <cell r="N153">
            <v>3.91</v>
          </cell>
          <cell r="O153">
            <v>6</v>
          </cell>
          <cell r="P153">
            <v>0.39420289855072499</v>
          </cell>
        </row>
        <row r="154">
          <cell r="F154" t="str">
            <v>70389756</v>
          </cell>
          <cell r="G154" t="str">
            <v>脉动</v>
          </cell>
          <cell r="H154" t="str">
            <v>脉动</v>
          </cell>
          <cell r="I154" t="str">
            <v>包装饮料</v>
          </cell>
          <cell r="J154" t="str">
            <v>运动饮料</v>
          </cell>
          <cell r="K154" t="str">
            <v>脉动 香水柠檬口味 600mL</v>
          </cell>
          <cell r="L154" t="str">
            <v>600mL</v>
          </cell>
          <cell r="M154" t="str">
            <v>瓶</v>
          </cell>
          <cell r="N154">
            <v>3.91</v>
          </cell>
          <cell r="O154">
            <v>6</v>
          </cell>
          <cell r="P154">
            <v>0.34166666666666701</v>
          </cell>
        </row>
        <row r="155">
          <cell r="F155" t="str">
            <v>70389757</v>
          </cell>
          <cell r="G155" t="str">
            <v>脉动</v>
          </cell>
          <cell r="H155" t="str">
            <v>脉动</v>
          </cell>
          <cell r="I155" t="str">
            <v>包装饮料</v>
          </cell>
          <cell r="J155" t="str">
            <v>运动饮料</v>
          </cell>
          <cell r="K155" t="str">
            <v>脉动 白桃口味 600mL</v>
          </cell>
          <cell r="L155" t="str">
            <v>600mL</v>
          </cell>
          <cell r="M155" t="str">
            <v>瓶</v>
          </cell>
          <cell r="N155">
            <v>3.91</v>
          </cell>
          <cell r="O155">
            <v>6</v>
          </cell>
          <cell r="P155">
            <v>0.34166666666666701</v>
          </cell>
        </row>
        <row r="156">
          <cell r="F156" t="str">
            <v>70229988</v>
          </cell>
          <cell r="G156" t="str">
            <v>脉动</v>
          </cell>
          <cell r="H156" t="str">
            <v>脉动</v>
          </cell>
          <cell r="I156" t="str">
            <v>包装饮料</v>
          </cell>
          <cell r="J156" t="str">
            <v>运动饮料</v>
          </cell>
          <cell r="K156" t="str">
            <v>脉动 青柠口味 1L</v>
          </cell>
          <cell r="L156" t="str">
            <v>1L</v>
          </cell>
          <cell r="M156" t="str">
            <v>瓶</v>
          </cell>
          <cell r="N156">
            <v>5.15</v>
          </cell>
          <cell r="O156">
            <v>7.5</v>
          </cell>
          <cell r="P156">
            <v>0.30666666666666698</v>
          </cell>
        </row>
        <row r="157">
          <cell r="F157" t="str">
            <v>70229989</v>
          </cell>
          <cell r="G157" t="str">
            <v>脉动</v>
          </cell>
          <cell r="H157" t="str">
            <v>脉动</v>
          </cell>
          <cell r="I157" t="str">
            <v>包装饮料</v>
          </cell>
          <cell r="J157" t="str">
            <v>运动饮料</v>
          </cell>
          <cell r="K157" t="str">
            <v>脉动 桃子口味 1L</v>
          </cell>
          <cell r="L157" t="str">
            <v>1L</v>
          </cell>
          <cell r="M157" t="str">
            <v>瓶</v>
          </cell>
          <cell r="N157">
            <v>5.15</v>
          </cell>
          <cell r="O157">
            <v>7.5</v>
          </cell>
          <cell r="P157">
            <v>0.30666666666666698</v>
          </cell>
        </row>
        <row r="158">
          <cell r="F158" t="str">
            <v>70317797</v>
          </cell>
          <cell r="G158" t="str">
            <v>脉动</v>
          </cell>
          <cell r="H158" t="str">
            <v>脉动</v>
          </cell>
          <cell r="I158" t="str">
            <v>包装饮料</v>
          </cell>
          <cell r="J158" t="str">
            <v>运动饮料</v>
          </cell>
          <cell r="K158" t="str">
            <v>脉动 青柠口味 600mL*4</v>
          </cell>
          <cell r="L158" t="str">
            <v>600mL*4</v>
          </cell>
          <cell r="M158" t="str">
            <v>瓶</v>
          </cell>
          <cell r="N158">
            <v>14.75</v>
          </cell>
          <cell r="O158">
            <v>21.9</v>
          </cell>
          <cell r="P158">
            <v>0.32009132420091302</v>
          </cell>
        </row>
        <row r="159">
          <cell r="F159" t="str">
            <v>70079679</v>
          </cell>
          <cell r="G159" t="str">
            <v>脉动</v>
          </cell>
          <cell r="H159" t="str">
            <v>脉动</v>
          </cell>
          <cell r="I159" t="str">
            <v>包装饮料</v>
          </cell>
          <cell r="J159" t="str">
            <v>运动饮料</v>
          </cell>
          <cell r="K159" t="str">
            <v>脉动 桃子口味 600mL*4</v>
          </cell>
          <cell r="L159" t="str">
            <v>600mL*4</v>
          </cell>
          <cell r="M159" t="str">
            <v>瓶</v>
          </cell>
          <cell r="N159">
            <v>14.75</v>
          </cell>
          <cell r="O159">
            <v>21.9</v>
          </cell>
          <cell r="P159">
            <v>0.32009132420091302</v>
          </cell>
        </row>
        <row r="160">
          <cell r="F160" t="str">
            <v>70379399</v>
          </cell>
          <cell r="G160" t="str">
            <v>脉动</v>
          </cell>
          <cell r="H160" t="str">
            <v>脉动</v>
          </cell>
          <cell r="I160" t="str">
            <v>包装饮料</v>
          </cell>
          <cell r="J160" t="str">
            <v>运动饮料</v>
          </cell>
          <cell r="K160" t="str">
            <v>脉动 青柠口味 400mL*8</v>
          </cell>
          <cell r="L160" t="str">
            <v>400mL*8</v>
          </cell>
          <cell r="M160" t="str">
            <v>包</v>
          </cell>
          <cell r="N160">
            <v>20.100000000000001</v>
          </cell>
          <cell r="O160">
            <v>29.9</v>
          </cell>
          <cell r="P160">
            <v>0.32107023411371199</v>
          </cell>
        </row>
        <row r="161">
          <cell r="F161" t="str">
            <v>70379400</v>
          </cell>
          <cell r="G161" t="str">
            <v>脉动</v>
          </cell>
          <cell r="H161" t="str">
            <v>脉动</v>
          </cell>
          <cell r="I161" t="str">
            <v>包装饮料</v>
          </cell>
          <cell r="J161" t="str">
            <v>运动饮料</v>
          </cell>
          <cell r="K161" t="str">
            <v>脉动 桃子口味 400mL*8</v>
          </cell>
          <cell r="L161" t="str">
            <v>400mL*8</v>
          </cell>
          <cell r="M161" t="str">
            <v>包</v>
          </cell>
          <cell r="N161">
            <v>20.100000000000001</v>
          </cell>
          <cell r="O161">
            <v>29.9</v>
          </cell>
          <cell r="P161">
            <v>0.32107023411371199</v>
          </cell>
        </row>
        <row r="162">
          <cell r="F162" t="str">
            <v>70003387</v>
          </cell>
          <cell r="G162" t="str">
            <v>脉动</v>
          </cell>
          <cell r="H162" t="str">
            <v>脉动</v>
          </cell>
          <cell r="I162" t="str">
            <v>包装饮料</v>
          </cell>
          <cell r="J162" t="str">
            <v>运动饮料</v>
          </cell>
          <cell r="K162" t="str">
            <v>脉动 青柠口味 600mL</v>
          </cell>
          <cell r="L162" t="str">
            <v>600mL</v>
          </cell>
          <cell r="M162" t="str">
            <v>瓶</v>
          </cell>
          <cell r="N162">
            <v>3.91</v>
          </cell>
          <cell r="O162">
            <v>6</v>
          </cell>
          <cell r="P162">
            <v>0.34166666666666701</v>
          </cell>
        </row>
        <row r="163">
          <cell r="F163" t="str">
            <v>70003391</v>
          </cell>
          <cell r="G163" t="str">
            <v>脉动</v>
          </cell>
          <cell r="H163" t="str">
            <v>脉动</v>
          </cell>
          <cell r="I163" t="str">
            <v>包装饮料</v>
          </cell>
          <cell r="J163" t="str">
            <v>运动饮料</v>
          </cell>
          <cell r="K163" t="str">
            <v>脉动 桃子口味 600mL</v>
          </cell>
          <cell r="L163" t="str">
            <v>600mL</v>
          </cell>
          <cell r="M163" t="str">
            <v>瓶</v>
          </cell>
          <cell r="N163">
            <v>3.91</v>
          </cell>
          <cell r="O163">
            <v>6</v>
          </cell>
          <cell r="P163">
            <v>0.34166666666666701</v>
          </cell>
        </row>
        <row r="164">
          <cell r="F164" t="str">
            <v>70001498</v>
          </cell>
          <cell r="G164" t="str">
            <v>脉动</v>
          </cell>
          <cell r="H164" t="str">
            <v>脉动</v>
          </cell>
          <cell r="I164" t="str">
            <v>包装饮料</v>
          </cell>
          <cell r="J164" t="str">
            <v>运动饮料</v>
          </cell>
          <cell r="K164" t="str">
            <v>脉动 雪柚橘子口味 600mL</v>
          </cell>
          <cell r="L164" t="str">
            <v>600mL</v>
          </cell>
          <cell r="M164" t="str">
            <v>瓶</v>
          </cell>
          <cell r="N164">
            <v>3.91</v>
          </cell>
          <cell r="O164">
            <v>6</v>
          </cell>
          <cell r="P164">
            <v>0.34166666666666701</v>
          </cell>
        </row>
        <row r="165">
          <cell r="F165" t="str">
            <v>70273067</v>
          </cell>
          <cell r="G165" t="str">
            <v>脉动</v>
          </cell>
          <cell r="H165" t="str">
            <v>脉动</v>
          </cell>
          <cell r="I165" t="str">
            <v>包装饮料</v>
          </cell>
          <cell r="J165" t="str">
            <v>运动饮料</v>
          </cell>
          <cell r="K165" t="str">
            <v>脉动 菠萝口味 600mL</v>
          </cell>
          <cell r="L165" t="str">
            <v>600mL</v>
          </cell>
          <cell r="M165" t="str">
            <v>瓶</v>
          </cell>
          <cell r="N165">
            <v>3.91</v>
          </cell>
          <cell r="O165">
            <v>6</v>
          </cell>
          <cell r="P165">
            <v>0.34166666666666701</v>
          </cell>
        </row>
        <row r="166">
          <cell r="F166" t="str">
            <v>70293151</v>
          </cell>
          <cell r="G166" t="str">
            <v>脉动</v>
          </cell>
          <cell r="H166" t="str">
            <v>脉动</v>
          </cell>
          <cell r="I166" t="str">
            <v>包装饮料</v>
          </cell>
          <cell r="J166" t="str">
            <v>运动饮料</v>
          </cell>
          <cell r="K166" t="str">
            <v>脉动 芒果口味 600mL</v>
          </cell>
          <cell r="L166" t="str">
            <v>600mL</v>
          </cell>
          <cell r="M166" t="str">
            <v>瓶</v>
          </cell>
          <cell r="N166">
            <v>3.91</v>
          </cell>
          <cell r="O166">
            <v>6</v>
          </cell>
          <cell r="P166">
            <v>0.34166666666666701</v>
          </cell>
        </row>
        <row r="167">
          <cell r="F167" t="str">
            <v>70485477</v>
          </cell>
          <cell r="G167" t="str">
            <v>脉动</v>
          </cell>
          <cell r="H167" t="str">
            <v>脉动</v>
          </cell>
          <cell r="I167" t="str">
            <v>包装饮料</v>
          </cell>
          <cell r="J167" t="str">
            <v>运动饮料</v>
          </cell>
          <cell r="K167" t="str">
            <v>脉动 玫瑰葡萄口味 600mL</v>
          </cell>
          <cell r="L167" t="str">
            <v>600mL</v>
          </cell>
          <cell r="M167" t="str">
            <v>瓶</v>
          </cell>
          <cell r="N167">
            <v>3.91</v>
          </cell>
          <cell r="O167">
            <v>6</v>
          </cell>
          <cell r="P167">
            <v>0.34166666666666701</v>
          </cell>
        </row>
        <row r="168">
          <cell r="F168" t="str">
            <v>70524260</v>
          </cell>
          <cell r="G168" t="str">
            <v>脉动</v>
          </cell>
          <cell r="H168" t="str">
            <v>脉动</v>
          </cell>
          <cell r="I168" t="str">
            <v>包装饮料</v>
          </cell>
          <cell r="J168" t="str">
            <v>功能饮料</v>
          </cell>
          <cell r="K168" t="str">
            <v>脉动 电解质+运动饮料西柚口味 600mL</v>
          </cell>
          <cell r="L168" t="str">
            <v>600mL</v>
          </cell>
          <cell r="M168" t="str">
            <v>瓶</v>
          </cell>
          <cell r="N168">
            <v>3.91</v>
          </cell>
          <cell r="O168">
            <v>6</v>
          </cell>
          <cell r="P168">
            <v>0.39420289855072499</v>
          </cell>
        </row>
        <row r="169">
          <cell r="F169" t="str">
            <v>70389756</v>
          </cell>
          <cell r="G169" t="str">
            <v>脉动</v>
          </cell>
          <cell r="H169" t="str">
            <v>脉动</v>
          </cell>
          <cell r="I169" t="str">
            <v>包装饮料</v>
          </cell>
          <cell r="J169" t="str">
            <v>运动饮料</v>
          </cell>
          <cell r="K169" t="str">
            <v>脉动 香水柠檬口味 600mL</v>
          </cell>
          <cell r="L169" t="str">
            <v>600mL</v>
          </cell>
          <cell r="M169" t="str">
            <v>瓶</v>
          </cell>
          <cell r="N169">
            <v>3.91</v>
          </cell>
          <cell r="O169">
            <v>6</v>
          </cell>
          <cell r="P169">
            <v>0.34166666666666701</v>
          </cell>
        </row>
        <row r="170">
          <cell r="F170" t="str">
            <v>70389757</v>
          </cell>
          <cell r="G170" t="str">
            <v>脉动</v>
          </cell>
          <cell r="H170" t="str">
            <v>脉动</v>
          </cell>
          <cell r="I170" t="str">
            <v>包装饮料</v>
          </cell>
          <cell r="J170" t="str">
            <v>运动饮料</v>
          </cell>
          <cell r="K170" t="str">
            <v>脉动 白桃口味 600mL</v>
          </cell>
          <cell r="L170" t="str">
            <v>600mL</v>
          </cell>
          <cell r="M170" t="str">
            <v>瓶</v>
          </cell>
          <cell r="N170">
            <v>3.91</v>
          </cell>
          <cell r="O170">
            <v>6</v>
          </cell>
          <cell r="P170">
            <v>0.34166666666666701</v>
          </cell>
        </row>
        <row r="171">
          <cell r="F171" t="str">
            <v>70229988</v>
          </cell>
          <cell r="G171" t="str">
            <v>脉动</v>
          </cell>
          <cell r="H171" t="str">
            <v>脉动</v>
          </cell>
          <cell r="I171" t="str">
            <v>包装饮料</v>
          </cell>
          <cell r="J171" t="str">
            <v>运动饮料</v>
          </cell>
          <cell r="K171" t="str">
            <v>脉动 青柠口味 1L</v>
          </cell>
          <cell r="L171" t="str">
            <v>1L</v>
          </cell>
          <cell r="M171" t="str">
            <v>瓶</v>
          </cell>
          <cell r="N171">
            <v>5.15</v>
          </cell>
          <cell r="O171">
            <v>7.5</v>
          </cell>
          <cell r="P171">
            <v>0.30666666666666698</v>
          </cell>
        </row>
        <row r="172">
          <cell r="F172" t="str">
            <v>70229989</v>
          </cell>
          <cell r="G172" t="str">
            <v>脉动</v>
          </cell>
          <cell r="H172" t="str">
            <v>脉动</v>
          </cell>
          <cell r="I172" t="str">
            <v>包装饮料</v>
          </cell>
          <cell r="J172" t="str">
            <v>运动饮料</v>
          </cell>
          <cell r="K172" t="str">
            <v>脉动 桃子口味 1L</v>
          </cell>
          <cell r="L172" t="str">
            <v>1L</v>
          </cell>
          <cell r="M172" t="str">
            <v>瓶</v>
          </cell>
          <cell r="N172">
            <v>5.15</v>
          </cell>
          <cell r="O172">
            <v>7.5</v>
          </cell>
          <cell r="P172">
            <v>0.30666666666666698</v>
          </cell>
        </row>
        <row r="173">
          <cell r="F173" t="str">
            <v>70317797</v>
          </cell>
          <cell r="G173" t="str">
            <v>脉动</v>
          </cell>
          <cell r="H173" t="str">
            <v>脉动</v>
          </cell>
          <cell r="I173" t="str">
            <v>包装饮料</v>
          </cell>
          <cell r="J173" t="str">
            <v>运动饮料</v>
          </cell>
          <cell r="K173" t="str">
            <v>脉动 青柠口味 600mL*4</v>
          </cell>
          <cell r="L173" t="str">
            <v>600mL*4</v>
          </cell>
          <cell r="M173" t="str">
            <v>瓶</v>
          </cell>
          <cell r="N173">
            <v>14.75</v>
          </cell>
          <cell r="O173">
            <v>21.9</v>
          </cell>
          <cell r="P173">
            <v>0.32009132420091302</v>
          </cell>
        </row>
        <row r="174">
          <cell r="F174" t="str">
            <v>70079679</v>
          </cell>
          <cell r="G174" t="str">
            <v>脉动</v>
          </cell>
          <cell r="H174" t="str">
            <v>脉动</v>
          </cell>
          <cell r="I174" t="str">
            <v>包装饮料</v>
          </cell>
          <cell r="J174" t="str">
            <v>运动饮料</v>
          </cell>
          <cell r="K174" t="str">
            <v>脉动 桃子口味 600mL*4</v>
          </cell>
          <cell r="L174" t="str">
            <v>600mL*4</v>
          </cell>
          <cell r="M174" t="str">
            <v>瓶</v>
          </cell>
          <cell r="N174">
            <v>14.75</v>
          </cell>
          <cell r="O174">
            <v>21.9</v>
          </cell>
          <cell r="P174">
            <v>0.32009132420091302</v>
          </cell>
        </row>
        <row r="175">
          <cell r="F175" t="str">
            <v>70379399</v>
          </cell>
          <cell r="G175" t="str">
            <v>脉动</v>
          </cell>
          <cell r="H175" t="str">
            <v>脉动</v>
          </cell>
          <cell r="I175" t="str">
            <v>包装饮料</v>
          </cell>
          <cell r="J175" t="str">
            <v>运动饮料</v>
          </cell>
          <cell r="K175" t="str">
            <v>脉动 青柠口味 400mL*8</v>
          </cell>
          <cell r="L175" t="str">
            <v>400mL*8</v>
          </cell>
          <cell r="M175" t="str">
            <v>包</v>
          </cell>
          <cell r="N175">
            <v>20.100000000000001</v>
          </cell>
          <cell r="O175">
            <v>29.9</v>
          </cell>
          <cell r="P175">
            <v>0.32107023411371199</v>
          </cell>
        </row>
        <row r="176">
          <cell r="F176" t="str">
            <v>70379400</v>
          </cell>
          <cell r="G176" t="str">
            <v>脉动</v>
          </cell>
          <cell r="H176" t="str">
            <v>脉动</v>
          </cell>
          <cell r="I176" t="str">
            <v>包装饮料</v>
          </cell>
          <cell r="J176" t="str">
            <v>运动饮料</v>
          </cell>
          <cell r="K176" t="str">
            <v>脉动 桃子口味 400mL*8</v>
          </cell>
          <cell r="L176" t="str">
            <v>400mL*8</v>
          </cell>
          <cell r="M176" t="str">
            <v>包</v>
          </cell>
          <cell r="N176">
            <v>20.100000000000001</v>
          </cell>
          <cell r="O176">
            <v>29.9</v>
          </cell>
          <cell r="P176">
            <v>0.32107023411371199</v>
          </cell>
        </row>
        <row r="177">
          <cell r="F177" t="str">
            <v>70000038</v>
          </cell>
          <cell r="G177" t="str">
            <v>加多宝</v>
          </cell>
          <cell r="H177" t="str">
            <v>加多宝</v>
          </cell>
          <cell r="I177" t="str">
            <v>包装饮料</v>
          </cell>
          <cell r="J177" t="str">
            <v>凉茶</v>
          </cell>
          <cell r="K177" t="str">
            <v>加多宝 红罐植物凉茶 310mL</v>
          </cell>
          <cell r="L177" t="str">
            <v>310mL</v>
          </cell>
          <cell r="M177" t="str">
            <v>罐</v>
          </cell>
          <cell r="N177">
            <v>2.37</v>
          </cell>
          <cell r="O177">
            <v>4</v>
          </cell>
          <cell r="P177">
            <v>0.4</v>
          </cell>
        </row>
        <row r="178">
          <cell r="F178" t="str">
            <v>70230929</v>
          </cell>
          <cell r="G178" t="str">
            <v>加多宝</v>
          </cell>
          <cell r="H178" t="str">
            <v>加多宝</v>
          </cell>
          <cell r="I178" t="str">
            <v>包装饮料</v>
          </cell>
          <cell r="J178" t="str">
            <v>凉茶</v>
          </cell>
          <cell r="K178" t="str">
            <v>加多宝 瓶装植物凉茶 500mL</v>
          </cell>
          <cell r="L178" t="str">
            <v>500mL</v>
          </cell>
          <cell r="M178" t="str">
            <v>罐</v>
          </cell>
          <cell r="N178">
            <v>2.97</v>
          </cell>
          <cell r="O178">
            <v>5</v>
          </cell>
          <cell r="P178">
            <v>0.4</v>
          </cell>
        </row>
        <row r="179">
          <cell r="F179" t="str">
            <v>70574250</v>
          </cell>
          <cell r="G179" t="str">
            <v>加多宝</v>
          </cell>
          <cell r="H179" t="str">
            <v>加多宝</v>
          </cell>
          <cell r="I179" t="str">
            <v>包装饮料</v>
          </cell>
          <cell r="J179" t="str">
            <v>茶饮料</v>
          </cell>
          <cell r="K179" t="str">
            <v>加多宝 植物凉茶瓶装 900mL</v>
          </cell>
          <cell r="L179" t="str">
            <v>900mL</v>
          </cell>
          <cell r="M179" t="str">
            <v>瓶</v>
          </cell>
          <cell r="N179">
            <v>4.7300000000000004</v>
          </cell>
          <cell r="O179">
            <v>6.9</v>
          </cell>
          <cell r="P179">
            <v>0.30869565217391298</v>
          </cell>
        </row>
        <row r="180">
          <cell r="F180" t="str">
            <v>70043518</v>
          </cell>
          <cell r="G180" t="str">
            <v>王老吉</v>
          </cell>
          <cell r="H180" t="str">
            <v>王老吉</v>
          </cell>
          <cell r="I180" t="str">
            <v>包装饮料</v>
          </cell>
          <cell r="J180" t="str">
            <v>凉茶</v>
          </cell>
          <cell r="K180" t="str">
            <v>王老吉 凉茶（罐装） 310mL</v>
          </cell>
          <cell r="L180" t="str">
            <v>310mL</v>
          </cell>
          <cell r="M180" t="str">
            <v>罐</v>
          </cell>
          <cell r="N180">
            <v>2.3199999999999998</v>
          </cell>
          <cell r="O180">
            <v>4</v>
          </cell>
          <cell r="P180">
            <v>0.41249999999999998</v>
          </cell>
        </row>
        <row r="181">
          <cell r="F181" t="str">
            <v>70209192</v>
          </cell>
          <cell r="G181" t="str">
            <v>王老吉</v>
          </cell>
          <cell r="H181" t="str">
            <v>王老吉</v>
          </cell>
          <cell r="I181" t="str">
            <v>包装饮料</v>
          </cell>
          <cell r="J181" t="str">
            <v>凉茶</v>
          </cell>
          <cell r="K181" t="str">
            <v>王老吉 凉茶植物饮料瓶装 500mL</v>
          </cell>
          <cell r="L181" t="str">
            <v>500mL</v>
          </cell>
          <cell r="M181" t="str">
            <v>瓶</v>
          </cell>
          <cell r="N181">
            <v>2.88</v>
          </cell>
          <cell r="O181">
            <v>5</v>
          </cell>
          <cell r="P181">
            <v>0.41799999999999998</v>
          </cell>
        </row>
        <row r="182">
          <cell r="F182" t="str">
            <v>70439057</v>
          </cell>
          <cell r="G182" t="str">
            <v>王老吉</v>
          </cell>
          <cell r="H182" t="str">
            <v>王老吉</v>
          </cell>
          <cell r="I182" t="str">
            <v>包装饮料</v>
          </cell>
          <cell r="J182" t="str">
            <v>凉茶</v>
          </cell>
          <cell r="K182" t="str">
            <v>王老吉 瓶装凉茶 300mL</v>
          </cell>
          <cell r="L182" t="str">
            <v>300mL</v>
          </cell>
          <cell r="M182" t="str">
            <v>瓶</v>
          </cell>
          <cell r="N182">
            <v>2.2200000000000002</v>
          </cell>
          <cell r="O182">
            <v>4</v>
          </cell>
          <cell r="P182">
            <v>0.44</v>
          </cell>
        </row>
        <row r="183">
          <cell r="F183" t="str">
            <v>70328620</v>
          </cell>
          <cell r="G183" t="str">
            <v>王老吉</v>
          </cell>
          <cell r="H183" t="str">
            <v>王老吉</v>
          </cell>
          <cell r="I183" t="str">
            <v>包装饮料</v>
          </cell>
          <cell r="J183" t="str">
            <v>蔬/果汁</v>
          </cell>
          <cell r="K183" t="str">
            <v>王老吉 刺柠吉天然高维C饮料（罐装）230mL</v>
          </cell>
          <cell r="L183" t="str">
            <v>230mL</v>
          </cell>
          <cell r="M183" t="str">
            <v>罐</v>
          </cell>
          <cell r="N183">
            <v>3.64</v>
          </cell>
          <cell r="O183">
            <v>6</v>
          </cell>
          <cell r="P183">
            <v>0.38833333333333298</v>
          </cell>
        </row>
        <row r="184">
          <cell r="F184" t="str">
            <v>70543447</v>
          </cell>
          <cell r="G184" t="str">
            <v>王老吉</v>
          </cell>
          <cell r="H184" t="str">
            <v>王老吉</v>
          </cell>
          <cell r="I184" t="str">
            <v>包装饮料</v>
          </cell>
          <cell r="J184" t="str">
            <v>凉茶</v>
          </cell>
          <cell r="K184" t="str">
            <v>王老吉 原味凉茶植物饮料 300mL</v>
          </cell>
          <cell r="L184" t="str">
            <v>300mL</v>
          </cell>
          <cell r="M184" t="str">
            <v>瓶</v>
          </cell>
          <cell r="N184">
            <v>2.5299999999999998</v>
          </cell>
          <cell r="O184">
            <v>4</v>
          </cell>
          <cell r="P184">
            <v>0.36249999999999999</v>
          </cell>
        </row>
        <row r="185">
          <cell r="F185" t="str">
            <v>70543459</v>
          </cell>
          <cell r="G185" t="str">
            <v>王老吉</v>
          </cell>
          <cell r="H185" t="str">
            <v>王老吉</v>
          </cell>
          <cell r="I185" t="str">
            <v>包装饮料</v>
          </cell>
          <cell r="J185" t="str">
            <v>凉茶</v>
          </cell>
          <cell r="K185" t="str">
            <v>王老吉 原味凉茶植物饮料 500mL</v>
          </cell>
          <cell r="L185" t="str">
            <v>500mL</v>
          </cell>
          <cell r="M185" t="str">
            <v>瓶</v>
          </cell>
          <cell r="N185">
            <v>3.54</v>
          </cell>
          <cell r="O185">
            <v>6</v>
          </cell>
          <cell r="P185">
            <v>0.40500000000000003</v>
          </cell>
        </row>
        <row r="186">
          <cell r="F186" t="str">
            <v>70543408</v>
          </cell>
          <cell r="G186" t="str">
            <v>王老吉</v>
          </cell>
          <cell r="H186" t="str">
            <v>王老吉</v>
          </cell>
          <cell r="I186" t="str">
            <v>包装饮料</v>
          </cell>
          <cell r="J186" t="str">
            <v>疏/果汁饮料</v>
          </cell>
          <cell r="K186" t="str">
            <v>王老吉 刺柠吉天然高维C果汁饮料 500mL</v>
          </cell>
          <cell r="L186" t="str">
            <v>500mL</v>
          </cell>
          <cell r="M186" t="str">
            <v>瓶</v>
          </cell>
          <cell r="N186">
            <v>3.84</v>
          </cell>
          <cell r="O186">
            <v>6</v>
          </cell>
          <cell r="P186">
            <v>0.353333333333333</v>
          </cell>
        </row>
        <row r="187">
          <cell r="F187" t="str">
            <v>70181899</v>
          </cell>
          <cell r="G187" t="str">
            <v>香飘飘</v>
          </cell>
          <cell r="H187" t="str">
            <v>香飘飘</v>
          </cell>
          <cell r="I187" t="str">
            <v>家庭食品</v>
          </cell>
          <cell r="J187" t="str">
            <v>冲调类</v>
          </cell>
          <cell r="K187" t="str">
            <v>香飘飘 红豆奶茶 64g</v>
          </cell>
          <cell r="L187" t="str">
            <v>64g</v>
          </cell>
          <cell r="M187" t="str">
            <v>杯</v>
          </cell>
          <cell r="N187">
            <v>4.0199999999999996</v>
          </cell>
          <cell r="O187">
            <v>6</v>
          </cell>
          <cell r="P187">
            <v>0.32333333333333297</v>
          </cell>
        </row>
        <row r="188">
          <cell r="F188" t="str">
            <v>70001154</v>
          </cell>
          <cell r="G188" t="str">
            <v>香飘飘</v>
          </cell>
          <cell r="H188" t="str">
            <v>香飘飘</v>
          </cell>
          <cell r="I188" t="str">
            <v>家庭食品</v>
          </cell>
          <cell r="J188" t="str">
            <v>冲调类</v>
          </cell>
          <cell r="K188" t="str">
            <v>香飘飘 原味奶茶 80g</v>
          </cell>
          <cell r="L188" t="str">
            <v>80g</v>
          </cell>
          <cell r="M188" t="str">
            <v>杯</v>
          </cell>
          <cell r="N188">
            <v>2.93</v>
          </cell>
          <cell r="O188">
            <v>4.5</v>
          </cell>
          <cell r="P188">
            <v>0.34222222222222198</v>
          </cell>
        </row>
        <row r="189">
          <cell r="F189" t="str">
            <v>70001680</v>
          </cell>
          <cell r="G189" t="str">
            <v>香飘飘</v>
          </cell>
          <cell r="H189" t="str">
            <v>香飘飘</v>
          </cell>
          <cell r="I189" t="str">
            <v>家庭食品</v>
          </cell>
          <cell r="J189" t="str">
            <v>冲调类</v>
          </cell>
          <cell r="K189" t="str">
            <v>香飘飘 香芋奶茶 80g</v>
          </cell>
          <cell r="L189" t="str">
            <v>80g</v>
          </cell>
          <cell r="M189" t="str">
            <v>杯</v>
          </cell>
          <cell r="N189">
            <v>2.93</v>
          </cell>
          <cell r="O189">
            <v>4.5</v>
          </cell>
          <cell r="P189">
            <v>0.34222222222222198</v>
          </cell>
        </row>
        <row r="190">
          <cell r="F190" t="str">
            <v>70304561</v>
          </cell>
          <cell r="G190" t="str">
            <v>香飘飘</v>
          </cell>
          <cell r="H190" t="str">
            <v>香飘飘</v>
          </cell>
          <cell r="I190" t="str">
            <v>包装饮料</v>
          </cell>
          <cell r="J190" t="str">
            <v>果汁饮料</v>
          </cell>
          <cell r="K190" t="str">
            <v>香飘飘 Meco泰式青柠果汁茶 400mL</v>
          </cell>
          <cell r="L190" t="str">
            <v>400mL</v>
          </cell>
          <cell r="M190" t="str">
            <v>瓶</v>
          </cell>
          <cell r="N190">
            <v>4.04</v>
          </cell>
          <cell r="O190">
            <v>6</v>
          </cell>
          <cell r="P190">
            <v>0.32</v>
          </cell>
        </row>
        <row r="191">
          <cell r="F191" t="str">
            <v>70304559</v>
          </cell>
          <cell r="G191" t="str">
            <v>香飘飘</v>
          </cell>
          <cell r="H191" t="str">
            <v>香飘飘</v>
          </cell>
          <cell r="I191" t="str">
            <v>包装饮料</v>
          </cell>
          <cell r="J191" t="str">
            <v>果汁饮料</v>
          </cell>
          <cell r="K191" t="str">
            <v>香飘飘 Meco桃桃红柚果汁茶 400mL</v>
          </cell>
          <cell r="L191" t="str">
            <v>400mL</v>
          </cell>
          <cell r="M191" t="str">
            <v>瓶</v>
          </cell>
          <cell r="N191">
            <v>4.04</v>
          </cell>
          <cell r="O191">
            <v>6</v>
          </cell>
          <cell r="P191">
            <v>0.32</v>
          </cell>
        </row>
        <row r="192">
          <cell r="F192" t="str">
            <v>70001153</v>
          </cell>
          <cell r="G192" t="str">
            <v>香飘飘</v>
          </cell>
          <cell r="H192" t="str">
            <v>香飘飘</v>
          </cell>
          <cell r="I192" t="str">
            <v>家庭食品</v>
          </cell>
          <cell r="J192" t="str">
            <v>冲调类</v>
          </cell>
          <cell r="K192" t="str">
            <v>香飘飘 草莓奶茶 80g</v>
          </cell>
          <cell r="L192" t="str">
            <v>80g</v>
          </cell>
          <cell r="M192" t="str">
            <v>杯</v>
          </cell>
          <cell r="N192">
            <v>2.93</v>
          </cell>
          <cell r="O192">
            <v>4.5</v>
          </cell>
          <cell r="P192">
            <v>0.34222222222222198</v>
          </cell>
        </row>
        <row r="193">
          <cell r="F193" t="str">
            <v>70485887</v>
          </cell>
          <cell r="G193" t="str">
            <v>香飘飘</v>
          </cell>
          <cell r="H193" t="str">
            <v>香飘飘</v>
          </cell>
          <cell r="I193" t="str">
            <v>包装饮料</v>
          </cell>
          <cell r="J193" t="str">
            <v>冲调类</v>
          </cell>
          <cell r="K193" t="str">
            <v>香飘飘 兰芳园冻柠茶 500mL</v>
          </cell>
          <cell r="L193" t="str">
            <v>500mL</v>
          </cell>
          <cell r="M193" t="str">
            <v>瓶</v>
          </cell>
          <cell r="N193">
            <v>4.04</v>
          </cell>
          <cell r="O193">
            <v>6</v>
          </cell>
          <cell r="P193">
            <v>0.32</v>
          </cell>
        </row>
        <row r="194">
          <cell r="F194" t="str">
            <v>70442702</v>
          </cell>
          <cell r="G194" t="str">
            <v>香飘飘</v>
          </cell>
          <cell r="H194" t="str">
            <v>香飘飘</v>
          </cell>
          <cell r="I194" t="str">
            <v>包装饮料</v>
          </cell>
          <cell r="J194" t="str">
            <v>果汁饮料</v>
          </cell>
          <cell r="K194" t="str">
            <v>香飘飘 MECO荔枝百香果汁茶 400mL</v>
          </cell>
          <cell r="L194" t="str">
            <v>400mL</v>
          </cell>
          <cell r="M194" t="str">
            <v>瓶</v>
          </cell>
          <cell r="N194">
            <v>4.04</v>
          </cell>
          <cell r="O194">
            <v>6</v>
          </cell>
          <cell r="P194">
            <v>0.32</v>
          </cell>
        </row>
        <row r="195">
          <cell r="F195" t="str">
            <v>70442701</v>
          </cell>
          <cell r="G195" t="str">
            <v>香飘飘</v>
          </cell>
          <cell r="H195" t="str">
            <v>香飘飘</v>
          </cell>
          <cell r="I195" t="str">
            <v>包装饮料</v>
          </cell>
          <cell r="J195" t="str">
            <v>果汁饮料</v>
          </cell>
          <cell r="K195" t="str">
            <v>香飘飘 MECO红石榴白葡萄果汁茶 400mL</v>
          </cell>
          <cell r="L195" t="str">
            <v>400mL</v>
          </cell>
          <cell r="M195" t="str">
            <v>瓶</v>
          </cell>
          <cell r="N195">
            <v>4.04</v>
          </cell>
          <cell r="O195">
            <v>6</v>
          </cell>
          <cell r="P195">
            <v>0.32</v>
          </cell>
        </row>
        <row r="196">
          <cell r="F196" t="str">
            <v>70381837</v>
          </cell>
          <cell r="G196" t="str">
            <v>香飘飘</v>
          </cell>
          <cell r="H196" t="str">
            <v>香飘飘</v>
          </cell>
          <cell r="I196" t="str">
            <v>包装饮料</v>
          </cell>
          <cell r="J196" t="str">
            <v>冲调类</v>
          </cell>
          <cell r="K196" t="str">
            <v>香飘飘 MECO樱桃莓莓果汁茶 400mL</v>
          </cell>
          <cell r="L196" t="str">
            <v>400mL</v>
          </cell>
          <cell r="M196" t="str">
            <v>瓶</v>
          </cell>
          <cell r="N196">
            <v>4.04</v>
          </cell>
          <cell r="O196">
            <v>6</v>
          </cell>
          <cell r="P196">
            <v>0.32</v>
          </cell>
        </row>
        <row r="197">
          <cell r="F197" t="str">
            <v>70510918</v>
          </cell>
          <cell r="G197" t="str">
            <v>香飘飘</v>
          </cell>
          <cell r="H197" t="str">
            <v>香飘飘</v>
          </cell>
          <cell r="I197" t="str">
            <v>包装饮料</v>
          </cell>
          <cell r="J197" t="str">
            <v>茶饮料</v>
          </cell>
          <cell r="K197" t="str">
            <v>香飘飘 MECO蜜谷.果汁茶芒果芭乐 400mL</v>
          </cell>
          <cell r="L197" t="str">
            <v>400mL</v>
          </cell>
          <cell r="M197" t="str">
            <v>瓶</v>
          </cell>
          <cell r="N197">
            <v>4.04</v>
          </cell>
          <cell r="O197">
            <v>6</v>
          </cell>
          <cell r="P197">
            <v>0.32</v>
          </cell>
        </row>
        <row r="198">
          <cell r="F198" t="str">
            <v>70485919</v>
          </cell>
          <cell r="G198" t="str">
            <v>香飘飘</v>
          </cell>
          <cell r="H198" t="str">
            <v>香飘飘</v>
          </cell>
          <cell r="I198" t="str">
            <v>家庭食品</v>
          </cell>
          <cell r="J198" t="str">
            <v>冲调类</v>
          </cell>
          <cell r="K198" t="str">
            <v>香飘飘20杯椰果奶茶家庭分享装 80g*20</v>
          </cell>
          <cell r="L198" t="str">
            <v>80g*20</v>
          </cell>
          <cell r="M198" t="str">
            <v>盒</v>
          </cell>
          <cell r="N198">
            <v>58.58</v>
          </cell>
          <cell r="O198">
            <v>89</v>
          </cell>
          <cell r="P198">
            <v>0.335280898876405</v>
          </cell>
        </row>
        <row r="199">
          <cell r="F199" t="str">
            <v>70574249</v>
          </cell>
          <cell r="G199" t="str">
            <v>香飘飘</v>
          </cell>
          <cell r="H199" t="str">
            <v>香飘飘</v>
          </cell>
          <cell r="I199" t="str">
            <v>家庭食品</v>
          </cell>
          <cell r="J199" t="str">
            <v>冲调类</v>
          </cell>
          <cell r="K199" t="str">
            <v>香飘飘 原叶现泡奶茶糯糯红豆 74g</v>
          </cell>
          <cell r="L199" t="str">
            <v>74g</v>
          </cell>
          <cell r="M199" t="str">
            <v>杯</v>
          </cell>
          <cell r="N199">
            <v>4.34</v>
          </cell>
          <cell r="O199">
            <v>6.9</v>
          </cell>
          <cell r="P199">
            <v>0.36376811594202901</v>
          </cell>
        </row>
        <row r="200">
          <cell r="F200" t="str">
            <v>70574245</v>
          </cell>
          <cell r="G200" t="str">
            <v>香飘飘</v>
          </cell>
          <cell r="H200" t="str">
            <v>香飘飘</v>
          </cell>
          <cell r="I200" t="str">
            <v>家庭食品</v>
          </cell>
          <cell r="J200" t="str">
            <v>冲调类</v>
          </cell>
          <cell r="K200" t="str">
            <v>香飘飘 原叶现泡奶茶黑糖珍珠 58g</v>
          </cell>
          <cell r="L200" t="str">
            <v>58g</v>
          </cell>
          <cell r="M200" t="str">
            <v>杯</v>
          </cell>
          <cell r="N200">
            <v>4.34</v>
          </cell>
          <cell r="O200">
            <v>6.9</v>
          </cell>
          <cell r="P200">
            <v>0.36376811594202901</v>
          </cell>
        </row>
        <row r="201">
          <cell r="F201" t="str">
            <v>70136350</v>
          </cell>
          <cell r="G201" t="str">
            <v>舒达源</v>
          </cell>
          <cell r="H201" t="str">
            <v>舒达源</v>
          </cell>
          <cell r="I201" t="str">
            <v>包装饮料</v>
          </cell>
          <cell r="J201" t="str">
            <v>苏打水</v>
          </cell>
          <cell r="K201" t="str">
            <v>舒达源 克东天然苏打水 400mL</v>
          </cell>
          <cell r="L201" t="str">
            <v>400mL</v>
          </cell>
          <cell r="M201" t="str">
            <v>瓶</v>
          </cell>
          <cell r="N201">
            <v>3.03</v>
          </cell>
          <cell r="O201">
            <v>7</v>
          </cell>
          <cell r="P201">
            <v>0.56285714285714294</v>
          </cell>
        </row>
        <row r="202">
          <cell r="F202" t="str">
            <v>70136351</v>
          </cell>
          <cell r="G202" t="str">
            <v>舒达源</v>
          </cell>
          <cell r="H202" t="str">
            <v>舒达源</v>
          </cell>
          <cell r="I202" t="str">
            <v>包装饮料</v>
          </cell>
          <cell r="J202" t="str">
            <v>苏打水</v>
          </cell>
          <cell r="K202" t="str">
            <v>舒达源 克东天然苏打水 550mL</v>
          </cell>
          <cell r="L202" t="str">
            <v>550mL</v>
          </cell>
          <cell r="M202" t="str">
            <v>瓶</v>
          </cell>
          <cell r="N202">
            <v>3.54</v>
          </cell>
          <cell r="O202">
            <v>8</v>
          </cell>
          <cell r="P202">
            <v>0.55374999999999996</v>
          </cell>
        </row>
        <row r="203">
          <cell r="F203" t="str">
            <v>70219191</v>
          </cell>
          <cell r="G203" t="str">
            <v>达利</v>
          </cell>
          <cell r="H203" t="str">
            <v>乐虎</v>
          </cell>
          <cell r="I203" t="str">
            <v>包装饮料</v>
          </cell>
          <cell r="J203" t="str">
            <v>功能饮料</v>
          </cell>
          <cell r="K203" t="str">
            <v>乐虎 牛磺酸强化型功能饮料瓶装 380mL</v>
          </cell>
          <cell r="L203" t="str">
            <v>380mL</v>
          </cell>
          <cell r="M203" t="str">
            <v>瓶</v>
          </cell>
          <cell r="N203">
            <v>3.43</v>
          </cell>
          <cell r="O203">
            <v>5</v>
          </cell>
          <cell r="P203">
            <v>0.30599999999999999</v>
          </cell>
        </row>
        <row r="204">
          <cell r="F204" t="str">
            <v>70413380</v>
          </cell>
          <cell r="G204" t="str">
            <v>达利</v>
          </cell>
          <cell r="H204" t="str">
            <v>乐虎</v>
          </cell>
          <cell r="I204" t="str">
            <v>包装饮料</v>
          </cell>
          <cell r="J204" t="str">
            <v>功能饮料</v>
          </cell>
          <cell r="K204" t="str">
            <v>乐虎 氨基酸功能饮料 500mL</v>
          </cell>
          <cell r="L204" t="str">
            <v>500mL</v>
          </cell>
          <cell r="M204" t="str">
            <v>瓶</v>
          </cell>
          <cell r="N204">
            <v>4.1100000000000003</v>
          </cell>
          <cell r="O204">
            <v>6</v>
          </cell>
          <cell r="P204">
            <v>0.30833333333333302</v>
          </cell>
        </row>
        <row r="205">
          <cell r="F205" t="str">
            <v>70471275</v>
          </cell>
          <cell r="G205" t="str">
            <v>达利</v>
          </cell>
          <cell r="H205" t="str">
            <v>达利园</v>
          </cell>
          <cell r="I205" t="str">
            <v>饼干/糕点</v>
          </cell>
          <cell r="J205" t="str">
            <v>饼干/糕点</v>
          </cell>
          <cell r="K205" t="str">
            <v>达利园 新蓝蒂堡曲奇饼干(含手提袋) 375g</v>
          </cell>
          <cell r="L205" t="str">
            <v>375g</v>
          </cell>
          <cell r="M205" t="str">
            <v>罐</v>
          </cell>
          <cell r="N205">
            <v>34.29</v>
          </cell>
          <cell r="O205">
            <v>53</v>
          </cell>
          <cell r="P205">
            <v>0.34660377358490602</v>
          </cell>
        </row>
        <row r="206">
          <cell r="F206" t="str">
            <v>70008150</v>
          </cell>
          <cell r="G206" t="str">
            <v>达利</v>
          </cell>
          <cell r="H206" t="str">
            <v>达利园</v>
          </cell>
          <cell r="I206" t="str">
            <v>饼干/糕点</v>
          </cell>
          <cell r="J206" t="str">
            <v>饼干/糕点</v>
          </cell>
          <cell r="K206" t="str">
            <v>达利园 注心派蛋黄味 230g</v>
          </cell>
          <cell r="L206" t="str">
            <v>230g</v>
          </cell>
          <cell r="M206" t="str">
            <v>袋</v>
          </cell>
          <cell r="N206">
            <v>6.06</v>
          </cell>
          <cell r="O206">
            <v>9.9</v>
          </cell>
          <cell r="P206">
            <v>0.381818181818182</v>
          </cell>
        </row>
        <row r="207">
          <cell r="F207" t="str">
            <v>70219190</v>
          </cell>
          <cell r="G207" t="str">
            <v>达利</v>
          </cell>
          <cell r="H207" t="str">
            <v>乐虎</v>
          </cell>
          <cell r="I207" t="str">
            <v>包装饮料</v>
          </cell>
          <cell r="J207" t="str">
            <v>功能饮料</v>
          </cell>
          <cell r="K207" t="str">
            <v>乐虎 缓解体力疲劳功能饮料罐装 250mL</v>
          </cell>
          <cell r="L207" t="str">
            <v>250mL</v>
          </cell>
          <cell r="M207" t="str">
            <v>瓶</v>
          </cell>
          <cell r="N207">
            <v>3.46</v>
          </cell>
          <cell r="O207">
            <v>5.5</v>
          </cell>
          <cell r="P207">
            <v>0.36363636363636398</v>
          </cell>
        </row>
        <row r="208">
          <cell r="F208" t="str">
            <v>70019952</v>
          </cell>
          <cell r="G208" t="str">
            <v>达利</v>
          </cell>
          <cell r="H208" t="str">
            <v>达利园</v>
          </cell>
          <cell r="I208" t="str">
            <v>面包</v>
          </cell>
          <cell r="J208" t="str">
            <v>面包</v>
          </cell>
          <cell r="K208" t="str">
            <v>达利园 法式软面包香奶味 160g</v>
          </cell>
          <cell r="L208" t="str">
            <v>160g</v>
          </cell>
          <cell r="M208" t="str">
            <v>包</v>
          </cell>
          <cell r="N208">
            <v>4.59</v>
          </cell>
          <cell r="O208">
            <v>6.8</v>
          </cell>
          <cell r="P208">
            <v>0.31911764705882401</v>
          </cell>
        </row>
        <row r="209">
          <cell r="F209" t="str">
            <v>70001501</v>
          </cell>
          <cell r="G209" t="str">
            <v>达利</v>
          </cell>
          <cell r="H209" t="str">
            <v>可比克</v>
          </cell>
          <cell r="I209" t="str">
            <v>零食</v>
          </cell>
          <cell r="J209" t="str">
            <v>膨化食品</v>
          </cell>
          <cell r="K209" t="str">
            <v>可比克 番茄味薯片 105克</v>
          </cell>
          <cell r="L209" t="str">
            <v>105g</v>
          </cell>
          <cell r="M209" t="str">
            <v>桶</v>
          </cell>
          <cell r="N209">
            <v>5.66</v>
          </cell>
          <cell r="O209">
            <v>9.5</v>
          </cell>
          <cell r="P209">
            <v>0.39894736842105299</v>
          </cell>
        </row>
        <row r="210">
          <cell r="F210" t="str">
            <v>70008499</v>
          </cell>
          <cell r="G210" t="str">
            <v>达利</v>
          </cell>
          <cell r="H210" t="str">
            <v>达利园</v>
          </cell>
          <cell r="I210" t="str">
            <v>面包</v>
          </cell>
          <cell r="J210" t="str">
            <v>面包</v>
          </cell>
          <cell r="K210" t="str">
            <v>达利园 法式小面包香奶味 400g</v>
          </cell>
          <cell r="L210" t="str">
            <v>400g</v>
          </cell>
          <cell r="M210" t="str">
            <v>袋</v>
          </cell>
          <cell r="N210">
            <v>9.39</v>
          </cell>
          <cell r="O210">
            <v>14.5</v>
          </cell>
          <cell r="P210">
            <v>0.34551724137931</v>
          </cell>
        </row>
        <row r="211">
          <cell r="F211" t="str">
            <v>70019953</v>
          </cell>
          <cell r="G211" t="str">
            <v>达利</v>
          </cell>
          <cell r="H211" t="str">
            <v>达利园</v>
          </cell>
          <cell r="I211" t="str">
            <v>面包</v>
          </cell>
          <cell r="J211" t="str">
            <v>面包</v>
          </cell>
          <cell r="K211" t="str">
            <v>达利园 法式软面包香奶味 200g</v>
          </cell>
          <cell r="L211" t="str">
            <v>200g</v>
          </cell>
          <cell r="M211" t="str">
            <v>包</v>
          </cell>
          <cell r="N211">
            <v>5.45</v>
          </cell>
          <cell r="O211">
            <v>9.5</v>
          </cell>
          <cell r="P211">
            <v>0.42</v>
          </cell>
        </row>
        <row r="212">
          <cell r="F212" t="str">
            <v>70008154</v>
          </cell>
          <cell r="G212" t="str">
            <v>达利</v>
          </cell>
          <cell r="H212" t="str">
            <v>达利园</v>
          </cell>
          <cell r="I212" t="str">
            <v>饼干/糕点</v>
          </cell>
          <cell r="J212" t="str">
            <v>饼干/糕点</v>
          </cell>
          <cell r="K212" t="str">
            <v>达利园 好吃点香脆腰果饼 108g</v>
          </cell>
          <cell r="L212" t="str">
            <v>108g</v>
          </cell>
          <cell r="M212" t="str">
            <v>包</v>
          </cell>
          <cell r="N212">
            <v>2.6</v>
          </cell>
          <cell r="O212">
            <v>4.5999999999999996</v>
          </cell>
          <cell r="P212">
            <v>0.430434782608696</v>
          </cell>
        </row>
        <row r="213">
          <cell r="F213" t="str">
            <v>70005401</v>
          </cell>
          <cell r="G213" t="str">
            <v>达利</v>
          </cell>
          <cell r="H213" t="str">
            <v>达利园</v>
          </cell>
          <cell r="I213" t="str">
            <v>饼干/糕点</v>
          </cell>
          <cell r="J213" t="str">
            <v>饼干/糕点</v>
          </cell>
          <cell r="K213" t="str">
            <v>达利园 好吃点香脆核桃饼 108g</v>
          </cell>
          <cell r="L213" t="str">
            <v>108g</v>
          </cell>
          <cell r="M213" t="str">
            <v>包</v>
          </cell>
          <cell r="N213">
            <v>2.6</v>
          </cell>
          <cell r="O213">
            <v>4.5999999999999996</v>
          </cell>
          <cell r="P213">
            <v>0.430434782608696</v>
          </cell>
        </row>
        <row r="214">
          <cell r="F214" t="str">
            <v>70019139</v>
          </cell>
          <cell r="G214" t="str">
            <v>达利</v>
          </cell>
          <cell r="H214" t="str">
            <v>达利园</v>
          </cell>
          <cell r="I214" t="str">
            <v>面包</v>
          </cell>
          <cell r="J214" t="str">
            <v>面包</v>
          </cell>
          <cell r="K214" t="str">
            <v>达利园 法式软面包香橙味 160g</v>
          </cell>
          <cell r="L214" t="str">
            <v>160g</v>
          </cell>
          <cell r="M214" t="str">
            <v>包</v>
          </cell>
          <cell r="N214">
            <v>4.59</v>
          </cell>
          <cell r="O214">
            <v>6.8</v>
          </cell>
          <cell r="P214">
            <v>0.31911764705882401</v>
          </cell>
        </row>
        <row r="215">
          <cell r="F215" t="str">
            <v>70021565</v>
          </cell>
          <cell r="G215" t="str">
            <v>达利</v>
          </cell>
          <cell r="H215" t="str">
            <v>达利园</v>
          </cell>
          <cell r="I215" t="str">
            <v>面包</v>
          </cell>
          <cell r="J215" t="str">
            <v>面包</v>
          </cell>
          <cell r="K215" t="str">
            <v>达利园 法式软面包香奶味 360g</v>
          </cell>
          <cell r="L215" t="str">
            <v>360g</v>
          </cell>
          <cell r="M215" t="str">
            <v>袋</v>
          </cell>
          <cell r="N215">
            <v>9.39</v>
          </cell>
          <cell r="O215">
            <v>14.9</v>
          </cell>
          <cell r="P215">
            <v>0.363087248322148</v>
          </cell>
        </row>
        <row r="216">
          <cell r="F216" t="str">
            <v>70008153</v>
          </cell>
          <cell r="G216" t="str">
            <v>达利</v>
          </cell>
          <cell r="H216" t="str">
            <v>达利园</v>
          </cell>
          <cell r="I216" t="str">
            <v>饼干/糕点</v>
          </cell>
          <cell r="J216" t="str">
            <v>饼干/糕点</v>
          </cell>
          <cell r="K216" t="str">
            <v>达利园 好吃点香脆杏仁饼 108g</v>
          </cell>
          <cell r="L216" t="str">
            <v>108g</v>
          </cell>
          <cell r="M216" t="str">
            <v>包</v>
          </cell>
          <cell r="N216">
            <v>2.6</v>
          </cell>
          <cell r="O216">
            <v>4.5999999999999996</v>
          </cell>
          <cell r="P216">
            <v>0.430434782608696</v>
          </cell>
        </row>
        <row r="217">
          <cell r="F217" t="str">
            <v>70019954</v>
          </cell>
          <cell r="G217" t="str">
            <v>达利</v>
          </cell>
          <cell r="H217" t="str">
            <v>达利园</v>
          </cell>
          <cell r="I217" t="str">
            <v>面包</v>
          </cell>
          <cell r="J217" t="str">
            <v>面包</v>
          </cell>
          <cell r="K217" t="str">
            <v>达利园 法式软面包香橙味 200g</v>
          </cell>
          <cell r="L217" t="str">
            <v>200g</v>
          </cell>
          <cell r="M217" t="str">
            <v>包</v>
          </cell>
          <cell r="N217">
            <v>5.45</v>
          </cell>
          <cell r="O217">
            <v>9.5</v>
          </cell>
          <cell r="P217">
            <v>0.42</v>
          </cell>
        </row>
        <row r="218">
          <cell r="F218" t="str">
            <v>70021471</v>
          </cell>
          <cell r="G218" t="str">
            <v>达利</v>
          </cell>
          <cell r="H218" t="str">
            <v>达利园</v>
          </cell>
          <cell r="I218" t="str">
            <v>面包</v>
          </cell>
          <cell r="J218" t="str">
            <v>面包</v>
          </cell>
          <cell r="K218" t="str">
            <v>达利园 法式软面包香橙味 360g</v>
          </cell>
          <cell r="L218" t="str">
            <v>360g</v>
          </cell>
          <cell r="M218" t="str">
            <v>包</v>
          </cell>
          <cell r="N218">
            <v>9.39</v>
          </cell>
          <cell r="O218">
            <v>14.9</v>
          </cell>
          <cell r="P218">
            <v>0.363087248322148</v>
          </cell>
        </row>
        <row r="219">
          <cell r="F219" t="str">
            <v>70000422</v>
          </cell>
          <cell r="G219" t="str">
            <v>达利</v>
          </cell>
          <cell r="H219" t="str">
            <v>可比克</v>
          </cell>
          <cell r="I219" t="str">
            <v>零食</v>
          </cell>
          <cell r="J219" t="str">
            <v>膨化食品</v>
          </cell>
          <cell r="K219" t="str">
            <v>可比克 原味薯片 105克</v>
          </cell>
          <cell r="L219" t="str">
            <v>105g</v>
          </cell>
          <cell r="M219" t="str">
            <v>罐</v>
          </cell>
          <cell r="N219">
            <v>5.66</v>
          </cell>
          <cell r="O219">
            <v>9.5</v>
          </cell>
          <cell r="P219">
            <v>0.39894736842105299</v>
          </cell>
        </row>
        <row r="220">
          <cell r="F220" t="str">
            <v>70004790</v>
          </cell>
          <cell r="G220" t="str">
            <v>达利</v>
          </cell>
          <cell r="H220" t="str">
            <v>可比克</v>
          </cell>
          <cell r="I220" t="str">
            <v>零食</v>
          </cell>
          <cell r="J220" t="str">
            <v>膨化食品</v>
          </cell>
          <cell r="K220" t="str">
            <v>可比克 番茄味薯片 55克</v>
          </cell>
          <cell r="L220" t="str">
            <v>55g</v>
          </cell>
          <cell r="M220" t="str">
            <v>袋</v>
          </cell>
          <cell r="N220">
            <v>2.5099999999999998</v>
          </cell>
          <cell r="O220">
            <v>4.5</v>
          </cell>
          <cell r="P220">
            <v>0.43555555555555597</v>
          </cell>
        </row>
        <row r="221">
          <cell r="F221" t="str">
            <v>70004800</v>
          </cell>
          <cell r="G221" t="str">
            <v>达利</v>
          </cell>
          <cell r="H221" t="str">
            <v>可比克</v>
          </cell>
          <cell r="I221" t="str">
            <v>零食</v>
          </cell>
          <cell r="J221" t="str">
            <v>膨化食品</v>
          </cell>
          <cell r="K221" t="str">
            <v>可比克 烧烤味薯片 105克</v>
          </cell>
          <cell r="L221" t="str">
            <v>105g</v>
          </cell>
          <cell r="M221" t="str">
            <v>桶</v>
          </cell>
          <cell r="N221">
            <v>5.66</v>
          </cell>
          <cell r="O221">
            <v>9.5</v>
          </cell>
          <cell r="P221">
            <v>0.39894736842105299</v>
          </cell>
        </row>
        <row r="222">
          <cell r="F222" t="str">
            <v>70007972</v>
          </cell>
          <cell r="G222" t="str">
            <v>达利</v>
          </cell>
          <cell r="H222" t="str">
            <v>达利园</v>
          </cell>
          <cell r="I222" t="str">
            <v>饼干/糕点</v>
          </cell>
          <cell r="J222" t="str">
            <v>饼干/糕点</v>
          </cell>
          <cell r="K222" t="str">
            <v>达利园 好吃点谷野高纤粗粮饼 168g</v>
          </cell>
          <cell r="L222" t="str">
            <v>168g</v>
          </cell>
          <cell r="M222" t="str">
            <v>包</v>
          </cell>
          <cell r="N222">
            <v>4.17</v>
          </cell>
          <cell r="O222">
            <v>6.5</v>
          </cell>
          <cell r="P222">
            <v>0.35230769230769199</v>
          </cell>
        </row>
        <row r="223">
          <cell r="F223" t="str">
            <v>70089714</v>
          </cell>
          <cell r="G223" t="str">
            <v>达利</v>
          </cell>
          <cell r="H223" t="str">
            <v>达利园</v>
          </cell>
          <cell r="I223" t="str">
            <v>包装饮料</v>
          </cell>
          <cell r="J223" t="str">
            <v>茶饮料</v>
          </cell>
          <cell r="K223" t="str">
            <v>达利园 和其正凉茶 500mL</v>
          </cell>
          <cell r="L223" t="str">
            <v>500mL</v>
          </cell>
          <cell r="M223" t="str">
            <v>瓶</v>
          </cell>
          <cell r="N223">
            <v>2.88</v>
          </cell>
          <cell r="O223">
            <v>4</v>
          </cell>
          <cell r="P223">
            <v>0.27250000000000002</v>
          </cell>
        </row>
        <row r="224">
          <cell r="F224" t="str">
            <v>70042000</v>
          </cell>
          <cell r="G224" t="str">
            <v>达利</v>
          </cell>
          <cell r="H224" t="str">
            <v>达利园</v>
          </cell>
          <cell r="I224" t="str">
            <v>包装饮料</v>
          </cell>
          <cell r="J224" t="str">
            <v>茶饮料</v>
          </cell>
          <cell r="K224" t="str">
            <v>达利园 和其正凉茶 550mL</v>
          </cell>
          <cell r="L224" t="str">
            <v>550mL</v>
          </cell>
          <cell r="M224" t="str">
            <v>瓶</v>
          </cell>
          <cell r="N224">
            <v>2.88</v>
          </cell>
          <cell r="O224">
            <v>4</v>
          </cell>
          <cell r="P224">
            <v>0.27250000000000002</v>
          </cell>
        </row>
        <row r="225">
          <cell r="F225" t="str">
            <v>70000420</v>
          </cell>
          <cell r="G225" t="str">
            <v>达利</v>
          </cell>
          <cell r="H225" t="str">
            <v>达利园</v>
          </cell>
          <cell r="I225" t="str">
            <v>饼干/糕点</v>
          </cell>
          <cell r="J225" t="str">
            <v>饼干/糕点</v>
          </cell>
          <cell r="K225" t="str">
            <v>达利园 好吃点核桃酥 146g</v>
          </cell>
          <cell r="L225" t="str">
            <v>146g</v>
          </cell>
          <cell r="M225" t="str">
            <v>包</v>
          </cell>
          <cell r="N225">
            <v>3.75</v>
          </cell>
          <cell r="O225">
            <v>5.9</v>
          </cell>
          <cell r="P225">
            <v>0.35932203389830503</v>
          </cell>
        </row>
        <row r="226">
          <cell r="F226" t="str">
            <v>70008136</v>
          </cell>
          <cell r="G226" t="str">
            <v>达利</v>
          </cell>
          <cell r="H226" t="str">
            <v>达利园</v>
          </cell>
          <cell r="I226" t="str">
            <v>饼干/糕点</v>
          </cell>
          <cell r="J226" t="str">
            <v>饼干/糕点</v>
          </cell>
          <cell r="K226" t="str">
            <v>达利园 注心派草莓味 230g</v>
          </cell>
          <cell r="L226" t="str">
            <v>230g</v>
          </cell>
          <cell r="M226" t="str">
            <v>袋</v>
          </cell>
          <cell r="N226">
            <v>6.06</v>
          </cell>
          <cell r="O226">
            <v>9.9</v>
          </cell>
          <cell r="P226">
            <v>0.381818181818182</v>
          </cell>
        </row>
        <row r="227">
          <cell r="F227" t="str">
            <v>70001614</v>
          </cell>
          <cell r="G227" t="str">
            <v>达利</v>
          </cell>
          <cell r="H227" t="str">
            <v>达利园</v>
          </cell>
          <cell r="I227" t="str">
            <v>饼干/糕点</v>
          </cell>
          <cell r="J227" t="str">
            <v>饼干/糕点</v>
          </cell>
          <cell r="K227" t="str">
            <v>达利园 好吃点榛仁酥 146g</v>
          </cell>
          <cell r="L227" t="str">
            <v>146g</v>
          </cell>
          <cell r="M227" t="str">
            <v>个</v>
          </cell>
          <cell r="N227">
            <v>3.75</v>
          </cell>
          <cell r="O227">
            <v>5.9</v>
          </cell>
          <cell r="P227">
            <v>0.35932203389830503</v>
          </cell>
        </row>
        <row r="228">
          <cell r="F228" t="str">
            <v>70001615</v>
          </cell>
          <cell r="G228" t="str">
            <v>达利</v>
          </cell>
          <cell r="H228" t="str">
            <v>达利园</v>
          </cell>
          <cell r="I228" t="str">
            <v>饼干/糕点</v>
          </cell>
          <cell r="J228" t="str">
            <v>饼干/糕点</v>
          </cell>
          <cell r="K228" t="str">
            <v>达利园 好吃点杏仁酥 146g</v>
          </cell>
          <cell r="L228" t="str">
            <v>146g</v>
          </cell>
          <cell r="M228" t="str">
            <v>个</v>
          </cell>
          <cell r="N228">
            <v>3.84</v>
          </cell>
          <cell r="O228">
            <v>5.9</v>
          </cell>
          <cell r="P228">
            <v>0.34237288135593202</v>
          </cell>
        </row>
        <row r="229">
          <cell r="F229" t="str">
            <v>70004789</v>
          </cell>
          <cell r="G229" t="str">
            <v>达利</v>
          </cell>
          <cell r="H229" t="str">
            <v>可比克</v>
          </cell>
          <cell r="I229" t="str">
            <v>零食</v>
          </cell>
          <cell r="J229" t="str">
            <v>膨化食品</v>
          </cell>
          <cell r="K229" t="str">
            <v>可比克 烧烤味薯片 55克</v>
          </cell>
          <cell r="L229" t="str">
            <v>55g</v>
          </cell>
          <cell r="M229" t="str">
            <v>包</v>
          </cell>
          <cell r="N229">
            <v>2.5099999999999998</v>
          </cell>
          <cell r="O229">
            <v>4.5</v>
          </cell>
          <cell r="P229">
            <v>0.43555555555555597</v>
          </cell>
        </row>
        <row r="230">
          <cell r="F230" t="str">
            <v>70004792</v>
          </cell>
          <cell r="G230" t="str">
            <v>达利</v>
          </cell>
          <cell r="H230" t="str">
            <v>可比克</v>
          </cell>
          <cell r="I230" t="str">
            <v>零食</v>
          </cell>
          <cell r="J230" t="str">
            <v>膨化食品</v>
          </cell>
          <cell r="K230" t="str">
            <v>可比克 原味薯片 55克</v>
          </cell>
          <cell r="L230" t="str">
            <v>55g</v>
          </cell>
          <cell r="M230" t="str">
            <v>袋</v>
          </cell>
          <cell r="N230">
            <v>2.5099999999999998</v>
          </cell>
          <cell r="O230">
            <v>4.5</v>
          </cell>
          <cell r="P230">
            <v>0.43555555555555597</v>
          </cell>
        </row>
        <row r="231">
          <cell r="F231" t="str">
            <v>70019530</v>
          </cell>
          <cell r="G231" t="str">
            <v>达利</v>
          </cell>
          <cell r="H231" t="str">
            <v>达利园</v>
          </cell>
          <cell r="I231" t="str">
            <v>饼干/糕点</v>
          </cell>
          <cell r="J231" t="str">
            <v>饼干/糕点</v>
          </cell>
          <cell r="K231" t="str">
            <v>达利园 好吃点谷野高纤蔬菜 168g</v>
          </cell>
          <cell r="L231" t="str">
            <v>168g</v>
          </cell>
          <cell r="M231" t="str">
            <v>包</v>
          </cell>
          <cell r="N231">
            <v>4.17</v>
          </cell>
          <cell r="O231">
            <v>6.5</v>
          </cell>
          <cell r="P231">
            <v>0.35230769230769199</v>
          </cell>
        </row>
        <row r="232">
          <cell r="F232" t="str">
            <v>70007966</v>
          </cell>
          <cell r="G232" t="str">
            <v>达利</v>
          </cell>
          <cell r="H232" t="str">
            <v>达利园</v>
          </cell>
          <cell r="I232" t="str">
            <v>饼干/糕点</v>
          </cell>
          <cell r="J232" t="str">
            <v>饼干/糕点</v>
          </cell>
          <cell r="K232" t="str">
            <v>达利园 好吃点早茶饼 150g</v>
          </cell>
          <cell r="L232" t="str">
            <v>150g</v>
          </cell>
          <cell r="M232" t="str">
            <v>袋</v>
          </cell>
          <cell r="N232">
            <v>2.2999999999999998</v>
          </cell>
          <cell r="O232">
            <v>4</v>
          </cell>
          <cell r="P232">
            <v>0.41749999999999998</v>
          </cell>
        </row>
        <row r="233">
          <cell r="F233" t="str">
            <v>70205085</v>
          </cell>
          <cell r="G233" t="str">
            <v>达利</v>
          </cell>
          <cell r="H233" t="str">
            <v>达利园</v>
          </cell>
          <cell r="I233" t="str">
            <v>面包</v>
          </cell>
          <cell r="J233" t="str">
            <v>蛋糕</v>
          </cell>
          <cell r="K233" t="str">
            <v>达利园 欧式蛋糕鸡蛋味 225g</v>
          </cell>
          <cell r="L233" t="str">
            <v>225g</v>
          </cell>
          <cell r="M233" t="str">
            <v>袋</v>
          </cell>
          <cell r="N233">
            <v>6.12</v>
          </cell>
          <cell r="O233">
            <v>7.9</v>
          </cell>
          <cell r="P233">
            <v>0.21772151898734199</v>
          </cell>
        </row>
        <row r="234">
          <cell r="F234" t="str">
            <v>70000421</v>
          </cell>
          <cell r="G234" t="str">
            <v>达利</v>
          </cell>
          <cell r="H234" t="str">
            <v>可比克</v>
          </cell>
          <cell r="I234" t="str">
            <v>零食</v>
          </cell>
          <cell r="J234" t="str">
            <v>膨化食品</v>
          </cell>
          <cell r="K234" t="str">
            <v>可比克 香辣味薯片 105克</v>
          </cell>
          <cell r="L234" t="str">
            <v>105g</v>
          </cell>
          <cell r="M234" t="str">
            <v>罐</v>
          </cell>
          <cell r="N234">
            <v>5.66</v>
          </cell>
          <cell r="O234">
            <v>9.5</v>
          </cell>
          <cell r="P234">
            <v>0.39894736842105299</v>
          </cell>
        </row>
        <row r="235">
          <cell r="F235" t="str">
            <v>70007888</v>
          </cell>
          <cell r="G235" t="str">
            <v>达利</v>
          </cell>
          <cell r="H235" t="str">
            <v>达利园</v>
          </cell>
          <cell r="I235" t="str">
            <v>饼干/糕点</v>
          </cell>
          <cell r="J235" t="str">
            <v>饼干/糕点</v>
          </cell>
          <cell r="K235" t="str">
            <v>达利园 瑞士卷香蕉味 160g</v>
          </cell>
          <cell r="L235" t="str">
            <v>160g</v>
          </cell>
          <cell r="M235" t="str">
            <v>袋</v>
          </cell>
          <cell r="N235">
            <v>4.99</v>
          </cell>
          <cell r="O235">
            <v>8</v>
          </cell>
          <cell r="P235">
            <v>0.37</v>
          </cell>
        </row>
        <row r="236">
          <cell r="F236" t="str">
            <v>70007886</v>
          </cell>
          <cell r="G236" t="str">
            <v>达利</v>
          </cell>
          <cell r="H236" t="str">
            <v>达利园</v>
          </cell>
          <cell r="I236" t="str">
            <v>饼干/糕点</v>
          </cell>
          <cell r="J236" t="str">
            <v>饼干/糕点</v>
          </cell>
          <cell r="K236" t="str">
            <v>达利园 瑞士卷橙汁味 160g</v>
          </cell>
          <cell r="L236" t="str">
            <v>160g</v>
          </cell>
          <cell r="M236" t="str">
            <v>袋</v>
          </cell>
          <cell r="N236">
            <v>4.99</v>
          </cell>
          <cell r="O236">
            <v>8</v>
          </cell>
          <cell r="P236">
            <v>0.37</v>
          </cell>
        </row>
        <row r="237">
          <cell r="F237" t="str">
            <v>70007885</v>
          </cell>
          <cell r="G237" t="str">
            <v>达利</v>
          </cell>
          <cell r="H237" t="str">
            <v>达利园</v>
          </cell>
          <cell r="I237" t="str">
            <v>饼干/糕点</v>
          </cell>
          <cell r="J237" t="str">
            <v>饼干/糕点</v>
          </cell>
          <cell r="K237" t="str">
            <v>达利园 瑞士卷草莓味 160g</v>
          </cell>
          <cell r="L237" t="str">
            <v>160g</v>
          </cell>
          <cell r="M237" t="str">
            <v>袋</v>
          </cell>
          <cell r="N237">
            <v>5.17</v>
          </cell>
          <cell r="O237">
            <v>8</v>
          </cell>
          <cell r="P237">
            <v>0.34749999999999998</v>
          </cell>
        </row>
        <row r="238">
          <cell r="F238" t="str">
            <v>70017032</v>
          </cell>
          <cell r="G238" t="str">
            <v>达利</v>
          </cell>
          <cell r="H238" t="str">
            <v>达利园</v>
          </cell>
          <cell r="I238" t="str">
            <v>饼干/糕点</v>
          </cell>
          <cell r="J238" t="str">
            <v>饼干/糕点</v>
          </cell>
          <cell r="K238" t="str">
            <v>达利园 好吃谷野点高纤煎麸饼 168g</v>
          </cell>
          <cell r="L238" t="str">
            <v>168g</v>
          </cell>
          <cell r="M238" t="str">
            <v>包</v>
          </cell>
          <cell r="N238">
            <v>4.17</v>
          </cell>
          <cell r="O238">
            <v>6.5</v>
          </cell>
          <cell r="P238">
            <v>0.35230769230769199</v>
          </cell>
        </row>
        <row r="239">
          <cell r="F239" t="str">
            <v>70262727</v>
          </cell>
          <cell r="G239" t="str">
            <v>达利</v>
          </cell>
          <cell r="H239" t="str">
            <v>好吃点</v>
          </cell>
          <cell r="I239" t="str">
            <v>饼干/糕点</v>
          </cell>
          <cell r="J239" t="str">
            <v>饼干/糕点</v>
          </cell>
          <cell r="K239" t="str">
            <v>好吃点 甄好曲奇黄油味 150g</v>
          </cell>
          <cell r="L239" t="str">
            <v>150g</v>
          </cell>
          <cell r="M239" t="str">
            <v>包</v>
          </cell>
          <cell r="N239">
            <v>5.39</v>
          </cell>
          <cell r="O239">
            <v>6.8</v>
          </cell>
          <cell r="P239">
            <v>0.19852941176470601</v>
          </cell>
        </row>
        <row r="240">
          <cell r="F240" t="str">
            <v>70205086</v>
          </cell>
          <cell r="G240" t="str">
            <v>达利</v>
          </cell>
          <cell r="H240" t="str">
            <v>达利园</v>
          </cell>
          <cell r="I240" t="str">
            <v>面包</v>
          </cell>
          <cell r="J240" t="str">
            <v>蛋糕</v>
          </cell>
          <cell r="K240" t="str">
            <v>达利园 欧式蛋糕香橙味 225g</v>
          </cell>
          <cell r="L240" t="str">
            <v>225g</v>
          </cell>
          <cell r="M240" t="str">
            <v>袋</v>
          </cell>
          <cell r="N240">
            <v>6.12</v>
          </cell>
          <cell r="O240">
            <v>7.9</v>
          </cell>
          <cell r="P240">
            <v>0.21772151898734199</v>
          </cell>
        </row>
        <row r="241">
          <cell r="F241" t="str">
            <v>70004791</v>
          </cell>
          <cell r="G241" t="str">
            <v>达利</v>
          </cell>
          <cell r="H241" t="str">
            <v>可比克</v>
          </cell>
          <cell r="I241" t="str">
            <v>零食</v>
          </cell>
          <cell r="J241" t="str">
            <v>膨化食品</v>
          </cell>
          <cell r="K241" t="str">
            <v>可比克 香辣味薯片 55克</v>
          </cell>
          <cell r="L241" t="str">
            <v>55g</v>
          </cell>
          <cell r="M241" t="str">
            <v>袋</v>
          </cell>
          <cell r="N241">
            <v>2.5099999999999998</v>
          </cell>
          <cell r="O241">
            <v>4.5</v>
          </cell>
          <cell r="P241">
            <v>0.43555555555555597</v>
          </cell>
        </row>
        <row r="242">
          <cell r="F242" t="str">
            <v>70262728</v>
          </cell>
          <cell r="G242" t="str">
            <v>达利</v>
          </cell>
          <cell r="H242" t="str">
            <v>好吃点</v>
          </cell>
          <cell r="I242" t="str">
            <v>饼干/糕点</v>
          </cell>
          <cell r="J242" t="str">
            <v>饼干/糕点</v>
          </cell>
          <cell r="K242" t="str">
            <v>好吃点 甄好曲奇椰奶味 150g</v>
          </cell>
          <cell r="L242" t="str">
            <v>150g</v>
          </cell>
          <cell r="M242" t="str">
            <v>包</v>
          </cell>
          <cell r="N242">
            <v>5.39</v>
          </cell>
          <cell r="O242">
            <v>6.8</v>
          </cell>
          <cell r="P242">
            <v>0.19852941176470601</v>
          </cell>
        </row>
        <row r="243">
          <cell r="F243" t="str">
            <v>70003064</v>
          </cell>
          <cell r="G243" t="str">
            <v>达利</v>
          </cell>
          <cell r="H243" t="str">
            <v>达利园</v>
          </cell>
          <cell r="I243" t="str">
            <v>包装饮料</v>
          </cell>
          <cell r="J243" t="str">
            <v>茶饮料</v>
          </cell>
          <cell r="K243" t="str">
            <v>达利园 青梅绿茶 500mL</v>
          </cell>
          <cell r="L243" t="str">
            <v>500mL</v>
          </cell>
          <cell r="M243" t="str">
            <v>瓶</v>
          </cell>
          <cell r="N243">
            <v>2.2200000000000002</v>
          </cell>
          <cell r="O243">
            <v>3</v>
          </cell>
          <cell r="P243">
            <v>0.25333333333333302</v>
          </cell>
        </row>
        <row r="244">
          <cell r="F244" t="str">
            <v>70286065</v>
          </cell>
          <cell r="G244" t="str">
            <v>达利</v>
          </cell>
          <cell r="H244" t="str">
            <v>达利园</v>
          </cell>
          <cell r="I244" t="str">
            <v>面包</v>
          </cell>
          <cell r="J244" t="str">
            <v>面包</v>
          </cell>
          <cell r="K244" t="str">
            <v>达利园 早餐包 200g</v>
          </cell>
          <cell r="L244" t="str">
            <v>200g</v>
          </cell>
          <cell r="M244" t="str">
            <v>包</v>
          </cell>
          <cell r="N244">
            <v>5.96</v>
          </cell>
          <cell r="O244">
            <v>8.5</v>
          </cell>
          <cell r="P244">
            <v>0.29176470588235298</v>
          </cell>
        </row>
        <row r="245">
          <cell r="F245" t="str">
            <v>70264959</v>
          </cell>
          <cell r="G245" t="str">
            <v>达利</v>
          </cell>
          <cell r="H245" t="str">
            <v>达利园</v>
          </cell>
          <cell r="I245" t="str">
            <v>饼干/糕点</v>
          </cell>
          <cell r="J245" t="str">
            <v>饼干/糕点</v>
          </cell>
          <cell r="K245" t="str">
            <v>达利园 甄好曲奇巧克力豆味 150g</v>
          </cell>
          <cell r="L245" t="str">
            <v>150g</v>
          </cell>
          <cell r="M245" t="str">
            <v>包</v>
          </cell>
          <cell r="N245">
            <v>5.39</v>
          </cell>
          <cell r="O245">
            <v>6.8</v>
          </cell>
          <cell r="P245">
            <v>0.19852941176470601</v>
          </cell>
        </row>
        <row r="246">
          <cell r="F246" t="str">
            <v>70007881</v>
          </cell>
          <cell r="G246" t="str">
            <v>达利</v>
          </cell>
          <cell r="H246" t="str">
            <v>达利园</v>
          </cell>
          <cell r="I246" t="str">
            <v>面包</v>
          </cell>
          <cell r="J246" t="str">
            <v>面包</v>
          </cell>
          <cell r="K246" t="str">
            <v>达利园 巧克力派 26g*10枚*16包</v>
          </cell>
          <cell r="L246" t="str">
            <v>260g</v>
          </cell>
          <cell r="M246" t="str">
            <v>包</v>
          </cell>
          <cell r="N246">
            <v>6.93</v>
          </cell>
          <cell r="O246">
            <v>9.8000000000000007</v>
          </cell>
          <cell r="P246">
            <v>0.28571428571428598</v>
          </cell>
        </row>
        <row r="247">
          <cell r="F247" t="str">
            <v>70290252</v>
          </cell>
          <cell r="G247" t="str">
            <v>达利</v>
          </cell>
          <cell r="H247" t="str">
            <v>可比克</v>
          </cell>
          <cell r="I247" t="str">
            <v>零食</v>
          </cell>
          <cell r="J247" t="str">
            <v>膨化食品</v>
          </cell>
          <cell r="K247" t="str">
            <v>可比克 纯切薯片田园番茄味 65g</v>
          </cell>
          <cell r="L247" t="str">
            <v>65g</v>
          </cell>
          <cell r="M247" t="str">
            <v>包</v>
          </cell>
          <cell r="N247">
            <v>3.84</v>
          </cell>
          <cell r="O247">
            <v>5.6</v>
          </cell>
          <cell r="P247">
            <v>0.307142857142857</v>
          </cell>
        </row>
        <row r="248">
          <cell r="F248" t="str">
            <v>70008141</v>
          </cell>
          <cell r="G248" t="str">
            <v>达利</v>
          </cell>
          <cell r="H248" t="str">
            <v>达利园</v>
          </cell>
          <cell r="I248" t="str">
            <v>饼干/糕点</v>
          </cell>
          <cell r="J248" t="str">
            <v>饼干/糕点</v>
          </cell>
          <cell r="K248" t="str">
            <v>达利园 手指饼 115g</v>
          </cell>
          <cell r="L248" t="str">
            <v>115g</v>
          </cell>
          <cell r="M248" t="str">
            <v>包</v>
          </cell>
          <cell r="N248">
            <v>2.34</v>
          </cell>
          <cell r="O248">
            <v>3.3</v>
          </cell>
          <cell r="P248">
            <v>0.28181818181818202</v>
          </cell>
        </row>
        <row r="249">
          <cell r="F249" t="str">
            <v>70018621</v>
          </cell>
          <cell r="G249" t="str">
            <v>达利</v>
          </cell>
          <cell r="H249" t="str">
            <v>达利园</v>
          </cell>
          <cell r="I249" t="str">
            <v>饼干/糕点</v>
          </cell>
          <cell r="J249" t="str">
            <v>饼干/糕点</v>
          </cell>
          <cell r="K249" t="str">
            <v>达利园 瑞士卷草莓味 240g</v>
          </cell>
          <cell r="L249" t="str">
            <v>240g</v>
          </cell>
          <cell r="M249" t="str">
            <v>包</v>
          </cell>
          <cell r="N249">
            <v>7.61</v>
          </cell>
          <cell r="O249">
            <v>10.9</v>
          </cell>
          <cell r="P249">
            <v>0.29541284403669699</v>
          </cell>
        </row>
        <row r="250">
          <cell r="F250" t="str">
            <v>70290243</v>
          </cell>
          <cell r="G250" t="str">
            <v>达利</v>
          </cell>
          <cell r="H250" t="str">
            <v>达利园</v>
          </cell>
          <cell r="I250" t="str">
            <v>面包</v>
          </cell>
          <cell r="J250" t="str">
            <v>面包</v>
          </cell>
          <cell r="K250" t="str">
            <v>达利园 早餐包 400g</v>
          </cell>
          <cell r="L250" t="str">
            <v>400g</v>
          </cell>
          <cell r="M250" t="str">
            <v>包</v>
          </cell>
          <cell r="N250">
            <v>11.82</v>
          </cell>
          <cell r="O250">
            <v>16.5</v>
          </cell>
          <cell r="P250">
            <v>0.27696969696969698</v>
          </cell>
        </row>
        <row r="251">
          <cell r="F251" t="str">
            <v>70290251</v>
          </cell>
          <cell r="G251" t="str">
            <v>达利</v>
          </cell>
          <cell r="H251" t="str">
            <v>可比克</v>
          </cell>
          <cell r="I251" t="str">
            <v>零食</v>
          </cell>
          <cell r="J251" t="str">
            <v>膨化食品</v>
          </cell>
          <cell r="K251" t="str">
            <v>可比克 纯切薯片爽口青瓜味 65g</v>
          </cell>
          <cell r="L251" t="str">
            <v>65g</v>
          </cell>
          <cell r="M251" t="str">
            <v>包</v>
          </cell>
          <cell r="N251">
            <v>3.84</v>
          </cell>
          <cell r="O251">
            <v>5.6</v>
          </cell>
          <cell r="P251">
            <v>0.307142857142857</v>
          </cell>
        </row>
        <row r="252">
          <cell r="F252" t="str">
            <v>70262729</v>
          </cell>
          <cell r="G252" t="str">
            <v>达利</v>
          </cell>
          <cell r="H252" t="str">
            <v>达利园</v>
          </cell>
          <cell r="I252" t="str">
            <v>饼干/糕点</v>
          </cell>
          <cell r="J252" t="str">
            <v>饼干/糕点</v>
          </cell>
          <cell r="K252" t="str">
            <v>达利园 甄好曲奇黄油味 208g</v>
          </cell>
          <cell r="L252" t="str">
            <v>208g</v>
          </cell>
          <cell r="M252" t="str">
            <v>包</v>
          </cell>
          <cell r="N252">
            <v>9.49</v>
          </cell>
          <cell r="O252">
            <v>11.9</v>
          </cell>
          <cell r="P252">
            <v>0.19411764705882401</v>
          </cell>
        </row>
        <row r="253">
          <cell r="F253" t="str">
            <v>70007963</v>
          </cell>
          <cell r="G253" t="str">
            <v>达利</v>
          </cell>
          <cell r="H253" t="str">
            <v>达利园</v>
          </cell>
          <cell r="I253" t="str">
            <v>饼干/糕点</v>
          </cell>
          <cell r="J253" t="str">
            <v>饼干/糕点</v>
          </cell>
          <cell r="K253" t="str">
            <v>达利园 好吃点核桃酥 108g</v>
          </cell>
          <cell r="L253" t="str">
            <v>108g</v>
          </cell>
          <cell r="M253" t="str">
            <v>包</v>
          </cell>
          <cell r="N253">
            <v>2.77</v>
          </cell>
          <cell r="O253">
            <v>4.8</v>
          </cell>
          <cell r="P253">
            <v>0.41875000000000001</v>
          </cell>
        </row>
        <row r="254">
          <cell r="F254" t="str">
            <v>70524295</v>
          </cell>
          <cell r="G254" t="str">
            <v>达利</v>
          </cell>
          <cell r="H254" t="str">
            <v>达利园</v>
          </cell>
          <cell r="I254" t="str">
            <v>面包</v>
          </cell>
          <cell r="J254" t="str">
            <v>面包</v>
          </cell>
          <cell r="K254" t="str">
            <v>达利园 羊角面包香橙味 25g*4枚*32包</v>
          </cell>
          <cell r="L254" t="str">
            <v>100g</v>
          </cell>
          <cell r="M254" t="str">
            <v>包</v>
          </cell>
          <cell r="N254">
            <v>4.24</v>
          </cell>
          <cell r="O254">
            <v>6</v>
          </cell>
          <cell r="P254">
            <v>0.28666666666666701</v>
          </cell>
        </row>
        <row r="255">
          <cell r="F255" t="str">
            <v>70289397</v>
          </cell>
          <cell r="G255" t="str">
            <v>达利</v>
          </cell>
          <cell r="H255" t="str">
            <v>可比克</v>
          </cell>
          <cell r="I255" t="str">
            <v>零食</v>
          </cell>
          <cell r="J255" t="str">
            <v>膨化食品</v>
          </cell>
          <cell r="K255" t="str">
            <v>可比克 纯切薯片麻辣小龙虾味 65g</v>
          </cell>
          <cell r="L255" t="str">
            <v>65g</v>
          </cell>
          <cell r="M255" t="str">
            <v>袋</v>
          </cell>
          <cell r="N255">
            <v>3.84</v>
          </cell>
          <cell r="O255">
            <v>5.6</v>
          </cell>
          <cell r="P255">
            <v>0.307142857142857</v>
          </cell>
        </row>
        <row r="256">
          <cell r="F256" t="str">
            <v>70262730</v>
          </cell>
          <cell r="G256" t="str">
            <v>达利</v>
          </cell>
          <cell r="H256" t="str">
            <v>达利园</v>
          </cell>
          <cell r="I256" t="str">
            <v>饼干/糕点</v>
          </cell>
          <cell r="J256" t="str">
            <v>饼干/糕点</v>
          </cell>
          <cell r="K256" t="str">
            <v>达利园 甄好曲奇椰奶味 208g</v>
          </cell>
          <cell r="L256" t="str">
            <v>208g</v>
          </cell>
          <cell r="M256" t="str">
            <v>包</v>
          </cell>
          <cell r="N256">
            <v>9.49</v>
          </cell>
          <cell r="O256">
            <v>11.9</v>
          </cell>
          <cell r="P256">
            <v>0.19411764705882401</v>
          </cell>
        </row>
        <row r="257">
          <cell r="F257" t="str">
            <v>70290250</v>
          </cell>
          <cell r="G257" t="str">
            <v>达利</v>
          </cell>
          <cell r="H257" t="str">
            <v>可比克</v>
          </cell>
          <cell r="I257" t="str">
            <v>零食</v>
          </cell>
          <cell r="J257" t="str">
            <v>膨化食品</v>
          </cell>
          <cell r="K257" t="str">
            <v>可比克 纯切薯片薯香原味 65g</v>
          </cell>
          <cell r="L257" t="str">
            <v>65g</v>
          </cell>
          <cell r="M257" t="str">
            <v>包</v>
          </cell>
          <cell r="N257">
            <v>3.84</v>
          </cell>
          <cell r="O257">
            <v>5.6</v>
          </cell>
          <cell r="P257">
            <v>0.307142857142857</v>
          </cell>
        </row>
        <row r="258">
          <cell r="F258" t="str">
            <v>70289396</v>
          </cell>
          <cell r="G258" t="str">
            <v>达利</v>
          </cell>
          <cell r="H258" t="str">
            <v>可比克</v>
          </cell>
          <cell r="I258" t="str">
            <v>零食</v>
          </cell>
          <cell r="J258" t="str">
            <v>膨化食品</v>
          </cell>
          <cell r="K258" t="str">
            <v>可比克 纯切薯片滋香烧烤味 65g</v>
          </cell>
          <cell r="L258" t="str">
            <v>65g</v>
          </cell>
          <cell r="M258" t="str">
            <v>袋</v>
          </cell>
          <cell r="N258">
            <v>3.84</v>
          </cell>
          <cell r="O258">
            <v>5.6</v>
          </cell>
          <cell r="P258">
            <v>0.307142857142857</v>
          </cell>
        </row>
        <row r="259">
          <cell r="F259" t="str">
            <v>70007964</v>
          </cell>
          <cell r="G259" t="str">
            <v>达利</v>
          </cell>
          <cell r="H259" t="str">
            <v>达利园</v>
          </cell>
          <cell r="I259" t="str">
            <v>饼干/糕点</v>
          </cell>
          <cell r="J259" t="str">
            <v>饼干/糕点</v>
          </cell>
          <cell r="K259" t="str">
            <v>达利园 好吃点杏仁酥 108g</v>
          </cell>
          <cell r="L259" t="str">
            <v>108g</v>
          </cell>
          <cell r="M259" t="str">
            <v>包</v>
          </cell>
          <cell r="N259">
            <v>2.77</v>
          </cell>
          <cell r="O259">
            <v>4.8</v>
          </cell>
          <cell r="P259">
            <v>0.41875000000000001</v>
          </cell>
        </row>
        <row r="260">
          <cell r="F260" t="str">
            <v>70231517</v>
          </cell>
          <cell r="G260" t="str">
            <v>达利</v>
          </cell>
          <cell r="H260" t="str">
            <v>达利园</v>
          </cell>
          <cell r="I260" t="str">
            <v>面包</v>
          </cell>
          <cell r="J260" t="str">
            <v>面包</v>
          </cell>
          <cell r="K260" t="str">
            <v>达利园 牛角包牛油味 120g</v>
          </cell>
          <cell r="L260" t="str">
            <v>120g</v>
          </cell>
          <cell r="M260" t="str">
            <v>袋</v>
          </cell>
          <cell r="N260">
            <v>6.43</v>
          </cell>
          <cell r="O260">
            <v>8.3000000000000007</v>
          </cell>
          <cell r="P260">
            <v>0.21686746987951799</v>
          </cell>
        </row>
        <row r="261">
          <cell r="F261" t="str">
            <v>70007891</v>
          </cell>
          <cell r="G261" t="str">
            <v>达利</v>
          </cell>
          <cell r="H261" t="str">
            <v>达利园</v>
          </cell>
          <cell r="I261" t="str">
            <v>饼干/糕点</v>
          </cell>
          <cell r="J261" t="str">
            <v>饼干/糕点</v>
          </cell>
          <cell r="K261" t="str">
            <v>达利园 瑞士卷香蕉味 240g</v>
          </cell>
          <cell r="L261" t="str">
            <v>240g</v>
          </cell>
          <cell r="M261" t="str">
            <v>包</v>
          </cell>
          <cell r="N261">
            <v>7.61</v>
          </cell>
          <cell r="O261">
            <v>10.9</v>
          </cell>
          <cell r="P261">
            <v>0.29541284403669699</v>
          </cell>
        </row>
        <row r="262">
          <cell r="F262" t="str">
            <v>70524293</v>
          </cell>
          <cell r="G262" t="str">
            <v>达利</v>
          </cell>
          <cell r="H262" t="str">
            <v>达利园</v>
          </cell>
          <cell r="I262" t="str">
            <v>面包</v>
          </cell>
          <cell r="J262" t="str">
            <v>面包</v>
          </cell>
          <cell r="K262" t="str">
            <v>达利园 羊角面包巧克力味 25g*4枚*32包</v>
          </cell>
          <cell r="L262" t="str">
            <v>100g</v>
          </cell>
          <cell r="M262" t="str">
            <v>包</v>
          </cell>
          <cell r="N262">
            <v>4.24</v>
          </cell>
          <cell r="O262">
            <v>6</v>
          </cell>
          <cell r="P262">
            <v>0.28666666666666701</v>
          </cell>
        </row>
        <row r="263">
          <cell r="F263" t="str">
            <v>70290247</v>
          </cell>
          <cell r="G263" t="str">
            <v>达利</v>
          </cell>
          <cell r="H263" t="str">
            <v>达利园</v>
          </cell>
          <cell r="I263" t="str">
            <v>面包</v>
          </cell>
          <cell r="J263" t="str">
            <v>面包</v>
          </cell>
          <cell r="K263" t="str">
            <v>达利园 蔓越莓提子面包 320g</v>
          </cell>
          <cell r="L263" t="str">
            <v>320g</v>
          </cell>
          <cell r="M263" t="str">
            <v>包</v>
          </cell>
          <cell r="N263">
            <v>10.81</v>
          </cell>
          <cell r="O263">
            <v>15.5</v>
          </cell>
          <cell r="P263">
            <v>0.29612903225806497</v>
          </cell>
        </row>
        <row r="264">
          <cell r="F264" t="str">
            <v>70231516</v>
          </cell>
          <cell r="G264" t="str">
            <v>达利</v>
          </cell>
          <cell r="H264" t="str">
            <v>达利园</v>
          </cell>
          <cell r="I264" t="str">
            <v>面包</v>
          </cell>
          <cell r="J264" t="str">
            <v>面包</v>
          </cell>
          <cell r="K264" t="str">
            <v>达利园 牛角包芝士味 120g</v>
          </cell>
          <cell r="L264" t="str">
            <v>120g</v>
          </cell>
          <cell r="M264" t="str">
            <v>袋</v>
          </cell>
          <cell r="N264">
            <v>6.43</v>
          </cell>
          <cell r="O264">
            <v>8.3000000000000007</v>
          </cell>
          <cell r="P264">
            <v>0.21686746987951799</v>
          </cell>
        </row>
        <row r="265">
          <cell r="F265" t="str">
            <v>70235625</v>
          </cell>
          <cell r="G265" t="str">
            <v>达利</v>
          </cell>
          <cell r="H265" t="str">
            <v>达利园</v>
          </cell>
          <cell r="I265" t="str">
            <v>面包</v>
          </cell>
          <cell r="J265" t="str">
            <v>面包</v>
          </cell>
          <cell r="K265" t="str">
            <v>达利园 牛角包牛油味 240g</v>
          </cell>
          <cell r="L265" t="str">
            <v>240g</v>
          </cell>
          <cell r="M265" t="str">
            <v>个</v>
          </cell>
          <cell r="N265">
            <v>11.11</v>
          </cell>
          <cell r="O265">
            <v>14.3</v>
          </cell>
          <cell r="P265">
            <v>0.21538461538461501</v>
          </cell>
        </row>
        <row r="266">
          <cell r="F266" t="str">
            <v>70442692</v>
          </cell>
          <cell r="G266" t="str">
            <v>达利</v>
          </cell>
          <cell r="H266" t="str">
            <v>达利园</v>
          </cell>
          <cell r="I266" t="str">
            <v>面包</v>
          </cell>
          <cell r="J266" t="str">
            <v>面包</v>
          </cell>
          <cell r="K266" t="str">
            <v>达利园 黑全麦小面包 160g</v>
          </cell>
          <cell r="L266" t="str">
            <v>160g</v>
          </cell>
          <cell r="M266" t="str">
            <v>包</v>
          </cell>
          <cell r="N266">
            <v>4.59</v>
          </cell>
          <cell r="O266">
            <v>6.5</v>
          </cell>
          <cell r="P266">
            <v>0.28769230769230802</v>
          </cell>
        </row>
        <row r="267">
          <cell r="F267" t="str">
            <v>70025386</v>
          </cell>
          <cell r="G267" t="str">
            <v>达利</v>
          </cell>
          <cell r="H267" t="str">
            <v>达利园</v>
          </cell>
          <cell r="I267" t="str">
            <v>饼干/糕点</v>
          </cell>
          <cell r="J267" t="str">
            <v>饼干/糕点</v>
          </cell>
          <cell r="K267" t="str">
            <v>达利园 瑞士卷橙汁味 240g</v>
          </cell>
          <cell r="L267" t="str">
            <v>240g</v>
          </cell>
          <cell r="M267" t="str">
            <v>袋</v>
          </cell>
          <cell r="N267">
            <v>7.61</v>
          </cell>
          <cell r="O267">
            <v>10.9</v>
          </cell>
          <cell r="P267">
            <v>0.29541284403669699</v>
          </cell>
        </row>
        <row r="268">
          <cell r="F268" t="str">
            <v>70279796</v>
          </cell>
          <cell r="G268" t="str">
            <v>达利</v>
          </cell>
          <cell r="H268" t="str">
            <v>达利园</v>
          </cell>
          <cell r="I268" t="str">
            <v>饼干/糕点</v>
          </cell>
          <cell r="J268" t="str">
            <v>饼干/糕点</v>
          </cell>
          <cell r="K268" t="str">
            <v>达利园 甄好曲奇巧克力豆味 208g</v>
          </cell>
          <cell r="L268" t="str">
            <v>208g</v>
          </cell>
          <cell r="M268" t="str">
            <v>包</v>
          </cell>
          <cell r="N268">
            <v>9.49</v>
          </cell>
          <cell r="O268">
            <v>11.9</v>
          </cell>
          <cell r="P268">
            <v>0.19411764705882401</v>
          </cell>
        </row>
        <row r="269">
          <cell r="F269" t="str">
            <v>70025385</v>
          </cell>
          <cell r="G269" t="str">
            <v>达利</v>
          </cell>
          <cell r="H269" t="str">
            <v>达利园</v>
          </cell>
          <cell r="I269" t="str">
            <v>饼干/糕点</v>
          </cell>
          <cell r="J269" t="str">
            <v>饼干/糕点</v>
          </cell>
          <cell r="K269" t="str">
            <v>达利园 好吃点香葱咸饼 130g</v>
          </cell>
          <cell r="L269" t="str">
            <v>130g</v>
          </cell>
          <cell r="M269" t="str">
            <v>包</v>
          </cell>
          <cell r="N269">
            <v>2.7</v>
          </cell>
          <cell r="O269">
            <v>3.9</v>
          </cell>
          <cell r="P269">
            <v>0.30256410256410199</v>
          </cell>
        </row>
        <row r="270">
          <cell r="F270" t="str">
            <v>70298483</v>
          </cell>
          <cell r="G270" t="str">
            <v>达利</v>
          </cell>
          <cell r="H270" t="str">
            <v>可比克</v>
          </cell>
          <cell r="I270" t="str">
            <v>零食</v>
          </cell>
          <cell r="J270" t="str">
            <v>膨化食品</v>
          </cell>
          <cell r="K270" t="str">
            <v>可比克 纯切薯片田园番茄味 150g</v>
          </cell>
          <cell r="L270" t="str">
            <v>150g</v>
          </cell>
          <cell r="M270" t="str">
            <v>袋</v>
          </cell>
          <cell r="N270">
            <v>7.2</v>
          </cell>
          <cell r="O270">
            <v>9.8000000000000007</v>
          </cell>
          <cell r="P270">
            <v>0.25816326530612299</v>
          </cell>
        </row>
        <row r="271">
          <cell r="F271" t="str">
            <v>70298482</v>
          </cell>
          <cell r="G271" t="str">
            <v>达利</v>
          </cell>
          <cell r="H271" t="str">
            <v>可比克</v>
          </cell>
          <cell r="I271" t="str">
            <v>零食</v>
          </cell>
          <cell r="J271" t="str">
            <v>膨化食品</v>
          </cell>
          <cell r="K271" t="str">
            <v>可比克 纯切薯片薯香原味 150g</v>
          </cell>
          <cell r="L271" t="str">
            <v>150g</v>
          </cell>
          <cell r="M271" t="str">
            <v>袋</v>
          </cell>
          <cell r="N271">
            <v>7.2</v>
          </cell>
          <cell r="O271">
            <v>9.8000000000000007</v>
          </cell>
          <cell r="P271">
            <v>0.25816326530612299</v>
          </cell>
        </row>
        <row r="272">
          <cell r="F272" t="str">
            <v>70007965</v>
          </cell>
          <cell r="G272" t="str">
            <v>达利</v>
          </cell>
          <cell r="H272" t="str">
            <v>达利园</v>
          </cell>
          <cell r="I272" t="str">
            <v>饼干/糕点</v>
          </cell>
          <cell r="J272" t="str">
            <v>饼干/糕点</v>
          </cell>
          <cell r="K272" t="str">
            <v>达利园 好吃点榛仁酥 108g</v>
          </cell>
          <cell r="L272" t="str">
            <v>108g</v>
          </cell>
          <cell r="M272" t="str">
            <v>袋</v>
          </cell>
          <cell r="N272">
            <v>2.77</v>
          </cell>
          <cell r="O272">
            <v>4.8</v>
          </cell>
          <cell r="P272">
            <v>0.41875000000000001</v>
          </cell>
        </row>
        <row r="273">
          <cell r="F273" t="str">
            <v>70312879</v>
          </cell>
          <cell r="G273" t="str">
            <v>达利</v>
          </cell>
          <cell r="H273" t="str">
            <v>可比克</v>
          </cell>
          <cell r="I273" t="str">
            <v>零食</v>
          </cell>
          <cell r="J273" t="str">
            <v>膨化食品</v>
          </cell>
          <cell r="K273" t="str">
            <v>可比克 纯切薯片爽口青瓜味 150g</v>
          </cell>
          <cell r="L273" t="str">
            <v>105g</v>
          </cell>
          <cell r="M273" t="str">
            <v>袋</v>
          </cell>
          <cell r="N273">
            <v>7.2</v>
          </cell>
          <cell r="O273">
            <v>9.8000000000000007</v>
          </cell>
          <cell r="P273">
            <v>0.25816326530612299</v>
          </cell>
        </row>
        <row r="274">
          <cell r="F274" t="str">
            <v>70289398</v>
          </cell>
          <cell r="G274" t="str">
            <v>达利</v>
          </cell>
          <cell r="H274" t="str">
            <v>可比克</v>
          </cell>
          <cell r="I274" t="str">
            <v>零食</v>
          </cell>
          <cell r="J274" t="str">
            <v>膨化食品</v>
          </cell>
          <cell r="K274" t="str">
            <v>可比克 纯切薯片滋香烧烤味 150g</v>
          </cell>
          <cell r="L274" t="str">
            <v>150g</v>
          </cell>
          <cell r="M274" t="str">
            <v>袋</v>
          </cell>
          <cell r="N274">
            <v>7.2</v>
          </cell>
          <cell r="O274">
            <v>9.8000000000000007</v>
          </cell>
          <cell r="P274">
            <v>0.25816326530612299</v>
          </cell>
        </row>
        <row r="275">
          <cell r="F275" t="str">
            <v>70289399</v>
          </cell>
          <cell r="G275" t="str">
            <v>达利</v>
          </cell>
          <cell r="H275" t="str">
            <v>可比克</v>
          </cell>
          <cell r="I275" t="str">
            <v>零食</v>
          </cell>
          <cell r="J275" t="str">
            <v>膨化食品</v>
          </cell>
          <cell r="K275" t="str">
            <v>可比克 纯切薯片麻辣小龙虾味 150g</v>
          </cell>
          <cell r="L275" t="str">
            <v>150g</v>
          </cell>
          <cell r="M275" t="str">
            <v>袋</v>
          </cell>
          <cell r="N275">
            <v>7.2</v>
          </cell>
          <cell r="O275">
            <v>9.8000000000000007</v>
          </cell>
          <cell r="P275">
            <v>0.25816326530612299</v>
          </cell>
        </row>
        <row r="276">
          <cell r="F276" t="str">
            <v>70387374</v>
          </cell>
          <cell r="G276" t="str">
            <v>雀巢茶萃</v>
          </cell>
          <cell r="H276" t="str">
            <v>雀巢茶萃</v>
          </cell>
          <cell r="I276" t="str">
            <v>包装饮料</v>
          </cell>
          <cell r="J276" t="str">
            <v>茶饮料</v>
          </cell>
          <cell r="K276" t="str">
            <v>雀巢 茶萃桃子清乌龙果汁茶饮料 250mL</v>
          </cell>
          <cell r="L276" t="str">
            <v>250mL</v>
          </cell>
          <cell r="M276" t="str">
            <v>瓶</v>
          </cell>
          <cell r="N276">
            <v>1.68</v>
          </cell>
          <cell r="O276">
            <v>2.5</v>
          </cell>
          <cell r="P276">
            <v>0.32400000000000001</v>
          </cell>
        </row>
        <row r="277">
          <cell r="F277" t="str">
            <v>70387372</v>
          </cell>
          <cell r="G277" t="str">
            <v>雀巢茶萃</v>
          </cell>
          <cell r="H277" t="str">
            <v>雀巢茶萃</v>
          </cell>
          <cell r="I277" t="str">
            <v>包装饮料</v>
          </cell>
          <cell r="J277" t="str">
            <v>茶饮料</v>
          </cell>
          <cell r="K277" t="str">
            <v>雀巢 茶萃柠檬冻红茶果汁茶饮料 250mL</v>
          </cell>
          <cell r="L277" t="str">
            <v>250mL</v>
          </cell>
          <cell r="M277" t="str">
            <v>瓶</v>
          </cell>
          <cell r="N277">
            <v>1.68</v>
          </cell>
          <cell r="O277">
            <v>2.5</v>
          </cell>
          <cell r="P277">
            <v>0.32400000000000001</v>
          </cell>
        </row>
        <row r="278">
          <cell r="F278" t="str">
            <v>70346745</v>
          </cell>
          <cell r="G278" t="str">
            <v>雀巢茶萃</v>
          </cell>
          <cell r="H278" t="str">
            <v>雀巢茶萃</v>
          </cell>
          <cell r="I278" t="str">
            <v>包装饮料</v>
          </cell>
          <cell r="J278" t="str">
            <v>茶饮料</v>
          </cell>
          <cell r="K278" t="str">
            <v>雀巢 茶萃桃子清乌龙果汁茶饮料 500mL</v>
          </cell>
          <cell r="L278" t="str">
            <v>500mL</v>
          </cell>
          <cell r="M278" t="str">
            <v>瓶</v>
          </cell>
          <cell r="N278">
            <v>2.95</v>
          </cell>
          <cell r="O278">
            <v>4.5</v>
          </cell>
          <cell r="P278">
            <v>0.33777777777777801</v>
          </cell>
        </row>
        <row r="279">
          <cell r="F279" t="str">
            <v>70346744</v>
          </cell>
          <cell r="G279" t="str">
            <v>雀巢茶萃</v>
          </cell>
          <cell r="H279" t="str">
            <v>雀巢茶萃</v>
          </cell>
          <cell r="I279" t="str">
            <v>包装饮料</v>
          </cell>
          <cell r="J279" t="str">
            <v>茶饮料</v>
          </cell>
          <cell r="K279" t="str">
            <v>雀巢 茶萃柠檬冻红茶果汁茶饮料 500mL</v>
          </cell>
          <cell r="L279" t="str">
            <v>500mL</v>
          </cell>
          <cell r="M279" t="str">
            <v>瓶</v>
          </cell>
          <cell r="N279">
            <v>2.95</v>
          </cell>
          <cell r="O279">
            <v>4.5</v>
          </cell>
          <cell r="P279">
            <v>0.33777777777777801</v>
          </cell>
        </row>
        <row r="280">
          <cell r="F280" t="str">
            <v>70291291</v>
          </cell>
          <cell r="G280" t="str">
            <v>银鹭</v>
          </cell>
          <cell r="H280" t="str">
            <v>银鹭</v>
          </cell>
          <cell r="I280" t="str">
            <v>包装饮料</v>
          </cell>
          <cell r="J280" t="str">
            <v>奶类饮料</v>
          </cell>
          <cell r="K280" t="str">
            <v>银鹭 花生牛奶双蛋白饮品 450mL</v>
          </cell>
          <cell r="L280" t="str">
            <v>450mL</v>
          </cell>
          <cell r="M280" t="str">
            <v>盒</v>
          </cell>
          <cell r="N280">
            <v>3.16</v>
          </cell>
          <cell r="O280">
            <v>4.5</v>
          </cell>
          <cell r="P280">
            <v>0.29111111111111099</v>
          </cell>
        </row>
        <row r="281">
          <cell r="F281" t="str">
            <v>70000898</v>
          </cell>
          <cell r="G281" t="str">
            <v>银鹭</v>
          </cell>
          <cell r="H281" t="str">
            <v>银鹭</v>
          </cell>
          <cell r="I281" t="str">
            <v>速食</v>
          </cell>
          <cell r="J281" t="str">
            <v>粥类</v>
          </cell>
          <cell r="K281" t="str">
            <v>银鹭 桂圆莲子八宝粥 360g</v>
          </cell>
          <cell r="L281" t="str">
            <v>360g</v>
          </cell>
          <cell r="M281" t="str">
            <v>罐</v>
          </cell>
          <cell r="N281">
            <v>3.18</v>
          </cell>
          <cell r="O281">
            <v>4.5</v>
          </cell>
          <cell r="P281">
            <v>0.28666666666666701</v>
          </cell>
        </row>
        <row r="282">
          <cell r="F282" t="str">
            <v>70003529</v>
          </cell>
          <cell r="G282" t="str">
            <v>银鹭</v>
          </cell>
          <cell r="H282" t="str">
            <v>银鹭</v>
          </cell>
          <cell r="I282" t="str">
            <v>速食</v>
          </cell>
          <cell r="J282" t="str">
            <v>粥类</v>
          </cell>
          <cell r="K282" t="str">
            <v>银鹭 桂圆八宝粥 360g</v>
          </cell>
          <cell r="L282" t="str">
            <v>360g</v>
          </cell>
          <cell r="M282" t="str">
            <v>瓶</v>
          </cell>
          <cell r="N282">
            <v>3.18</v>
          </cell>
          <cell r="O282">
            <v>4.5</v>
          </cell>
          <cell r="P282">
            <v>0.28666666666666701</v>
          </cell>
        </row>
        <row r="283">
          <cell r="F283" t="str">
            <v>70007279</v>
          </cell>
          <cell r="G283" t="str">
            <v>银鹭</v>
          </cell>
          <cell r="H283" t="str">
            <v>银鹭</v>
          </cell>
          <cell r="I283" t="str">
            <v>速食</v>
          </cell>
          <cell r="J283" t="str">
            <v>粥类</v>
          </cell>
          <cell r="K283" t="str">
            <v>银鹭 低糖莲子八宝粥 360g</v>
          </cell>
          <cell r="L283" t="str">
            <v>360g</v>
          </cell>
          <cell r="M283" t="str">
            <v>盒</v>
          </cell>
          <cell r="N283">
            <v>3.18</v>
          </cell>
          <cell r="O283">
            <v>4.5</v>
          </cell>
          <cell r="P283">
            <v>0.28666666666666701</v>
          </cell>
        </row>
        <row r="284">
          <cell r="F284" t="str">
            <v>70102098</v>
          </cell>
          <cell r="G284" t="str">
            <v>银鹭</v>
          </cell>
          <cell r="H284" t="str">
            <v>银鹭</v>
          </cell>
          <cell r="I284" t="str">
            <v>速食</v>
          </cell>
          <cell r="J284" t="str">
            <v>粥类</v>
          </cell>
          <cell r="K284" t="str">
            <v>银鹭 好粥道莲子玉米粥 280g</v>
          </cell>
          <cell r="L284" t="str">
            <v>280g</v>
          </cell>
          <cell r="M284" t="str">
            <v>瓶</v>
          </cell>
          <cell r="N284">
            <v>3.54</v>
          </cell>
          <cell r="O284">
            <v>5</v>
          </cell>
          <cell r="P284">
            <v>0.28599999999999998</v>
          </cell>
        </row>
        <row r="285">
          <cell r="F285" t="str">
            <v>70102099</v>
          </cell>
          <cell r="G285" t="str">
            <v>银鹭</v>
          </cell>
          <cell r="H285" t="str">
            <v>银鹭</v>
          </cell>
          <cell r="I285" t="str">
            <v>速食</v>
          </cell>
          <cell r="J285" t="str">
            <v>粥类</v>
          </cell>
          <cell r="K285" t="str">
            <v>银鹭 好粥道黑米粥 280g</v>
          </cell>
          <cell r="L285" t="str">
            <v>280g</v>
          </cell>
          <cell r="M285" t="str">
            <v>瓶</v>
          </cell>
          <cell r="N285">
            <v>3.54</v>
          </cell>
          <cell r="O285">
            <v>5</v>
          </cell>
          <cell r="P285">
            <v>0.28599999999999998</v>
          </cell>
        </row>
        <row r="286">
          <cell r="F286" t="str">
            <v>70154231</v>
          </cell>
          <cell r="G286" t="str">
            <v>银鹭</v>
          </cell>
          <cell r="H286" t="str">
            <v>银鹭</v>
          </cell>
          <cell r="I286" t="str">
            <v>速食</v>
          </cell>
          <cell r="J286" t="str">
            <v>粥类</v>
          </cell>
          <cell r="K286" t="str">
            <v>银鹭 好粥道薏仁红豆粥 280g</v>
          </cell>
          <cell r="L286" t="str">
            <v>280g</v>
          </cell>
          <cell r="M286" t="str">
            <v>罐</v>
          </cell>
          <cell r="N286">
            <v>3.54</v>
          </cell>
          <cell r="O286">
            <v>5</v>
          </cell>
          <cell r="P286">
            <v>0.28599999999999998</v>
          </cell>
        </row>
        <row r="287">
          <cell r="F287" t="str">
            <v>70154232</v>
          </cell>
          <cell r="G287" t="str">
            <v>银鹭</v>
          </cell>
          <cell r="H287" t="str">
            <v>银鹭</v>
          </cell>
          <cell r="I287" t="str">
            <v>速食</v>
          </cell>
          <cell r="J287" t="str">
            <v>粥类</v>
          </cell>
          <cell r="K287" t="str">
            <v>银鹭 好粥道椰奶燕麦粥 280g</v>
          </cell>
          <cell r="L287" t="str">
            <v>280g</v>
          </cell>
          <cell r="M287" t="str">
            <v>罐</v>
          </cell>
          <cell r="N287">
            <v>3.54</v>
          </cell>
          <cell r="O287">
            <v>5</v>
          </cell>
          <cell r="P287">
            <v>0.28599999999999998</v>
          </cell>
        </row>
        <row r="288">
          <cell r="F288" t="str">
            <v>70006418</v>
          </cell>
          <cell r="G288" t="str">
            <v>银鹭</v>
          </cell>
          <cell r="H288" t="str">
            <v>银鹭</v>
          </cell>
          <cell r="I288" t="str">
            <v>速食</v>
          </cell>
          <cell r="J288" t="str">
            <v>粥类</v>
          </cell>
          <cell r="K288" t="str">
            <v>桂圆八宝粥礼盒（八宝添福）</v>
          </cell>
          <cell r="L288" t="str">
            <v>360g*8</v>
          </cell>
          <cell r="M288" t="str">
            <v>盒</v>
          </cell>
          <cell r="N288">
            <v>26.66</v>
          </cell>
          <cell r="O288">
            <v>42</v>
          </cell>
          <cell r="P288">
            <v>0.35880952380952402</v>
          </cell>
        </row>
        <row r="289">
          <cell r="F289" t="str">
            <v>70006417</v>
          </cell>
          <cell r="G289" t="str">
            <v>银鹭</v>
          </cell>
          <cell r="H289" t="str">
            <v>银鹭</v>
          </cell>
          <cell r="I289" t="str">
            <v>速食</v>
          </cell>
          <cell r="J289" t="str">
            <v>速食</v>
          </cell>
          <cell r="K289" t="str">
            <v>桂圆莲子八宝粥礼盒（八宝添福） 360g*8</v>
          </cell>
          <cell r="L289" t="str">
            <v>360g*8</v>
          </cell>
          <cell r="M289" t="str">
            <v>盒</v>
          </cell>
          <cell r="N289">
            <v>26.66</v>
          </cell>
          <cell r="O289">
            <v>42</v>
          </cell>
          <cell r="P289">
            <v>0.35880952380952402</v>
          </cell>
        </row>
        <row r="290">
          <cell r="F290" t="str">
            <v>70223780</v>
          </cell>
          <cell r="G290" t="str">
            <v>银鹭</v>
          </cell>
          <cell r="H290" t="str">
            <v>银鹭</v>
          </cell>
          <cell r="I290" t="str">
            <v>速食</v>
          </cell>
          <cell r="J290" t="str">
            <v>粥类</v>
          </cell>
          <cell r="K290" t="str">
            <v>好粥道 紫薯紫米粥280g</v>
          </cell>
          <cell r="L290" t="str">
            <v>280g</v>
          </cell>
          <cell r="M290" t="str">
            <v>罐</v>
          </cell>
          <cell r="N290">
            <v>3.54</v>
          </cell>
          <cell r="O290">
            <v>5</v>
          </cell>
          <cell r="P290">
            <v>0.28599999999999998</v>
          </cell>
        </row>
        <row r="291">
          <cell r="F291" t="str">
            <v>70091037</v>
          </cell>
          <cell r="G291" t="str">
            <v>娃哈哈</v>
          </cell>
          <cell r="H291" t="str">
            <v>娃哈哈</v>
          </cell>
          <cell r="I291" t="str">
            <v>包装饮料</v>
          </cell>
          <cell r="J291" t="str">
            <v>苏打水</v>
          </cell>
          <cell r="K291" t="str">
            <v>娃哈哈 无汽苏打水饮品甜味 350g</v>
          </cell>
          <cell r="L291" t="str">
            <v>350g</v>
          </cell>
          <cell r="M291" t="str">
            <v>瓶</v>
          </cell>
          <cell r="N291">
            <v>1.81</v>
          </cell>
          <cell r="O291">
            <v>3</v>
          </cell>
          <cell r="P291">
            <v>0.39</v>
          </cell>
        </row>
        <row r="292">
          <cell r="F292" t="str">
            <v>70303731</v>
          </cell>
          <cell r="G292" t="str">
            <v>娃哈哈</v>
          </cell>
          <cell r="H292" t="str">
            <v>娃哈哈</v>
          </cell>
          <cell r="I292" t="str">
            <v>包装饮料</v>
          </cell>
          <cell r="J292" t="str">
            <v>苏打水</v>
          </cell>
          <cell r="K292" t="str">
            <v>娃哈哈 无汽苏打水饮品薄荷柠檬味 350g</v>
          </cell>
          <cell r="L292" t="str">
            <v>350g</v>
          </cell>
          <cell r="M292" t="str">
            <v>瓶</v>
          </cell>
          <cell r="N292">
            <v>1.81</v>
          </cell>
          <cell r="O292">
            <v>3</v>
          </cell>
          <cell r="P292">
            <v>0.39</v>
          </cell>
        </row>
        <row r="293">
          <cell r="F293" t="str">
            <v>70003650</v>
          </cell>
          <cell r="G293" t="str">
            <v>娃哈哈</v>
          </cell>
          <cell r="H293" t="str">
            <v>娃哈哈</v>
          </cell>
          <cell r="I293" t="str">
            <v>奶类</v>
          </cell>
          <cell r="J293" t="str">
            <v>含乳饮料</v>
          </cell>
          <cell r="K293" t="str">
            <v>娃哈哈 AD钙奶 220mL</v>
          </cell>
          <cell r="L293" t="str">
            <v>220mL</v>
          </cell>
          <cell r="M293" t="str">
            <v>瓶</v>
          </cell>
          <cell r="N293">
            <v>1.52</v>
          </cell>
          <cell r="O293">
            <v>2</v>
          </cell>
          <cell r="P293">
            <v>0.23499999999999999</v>
          </cell>
        </row>
        <row r="294">
          <cell r="F294" t="str">
            <v>70361109</v>
          </cell>
          <cell r="G294" t="str">
            <v>娃哈哈</v>
          </cell>
          <cell r="H294" t="str">
            <v>娃哈哈</v>
          </cell>
          <cell r="I294" t="str">
            <v>奶类</v>
          </cell>
          <cell r="J294" t="str">
            <v>含乳饮料</v>
          </cell>
          <cell r="K294" t="str">
            <v>娃哈哈 AD钙奶 450mL</v>
          </cell>
          <cell r="L294" t="str">
            <v>450mL</v>
          </cell>
          <cell r="M294" t="str">
            <v>瓶</v>
          </cell>
          <cell r="N294">
            <v>3.54</v>
          </cell>
          <cell r="O294">
            <v>5</v>
          </cell>
          <cell r="P294">
            <v>0.28599999999999998</v>
          </cell>
        </row>
        <row r="295">
          <cell r="F295" t="str">
            <v>70490075</v>
          </cell>
          <cell r="G295" t="str">
            <v>娃哈哈</v>
          </cell>
          <cell r="H295" t="str">
            <v>娃哈哈</v>
          </cell>
          <cell r="I295" t="str">
            <v>奶类</v>
          </cell>
          <cell r="J295" t="str">
            <v>奶类饮料</v>
          </cell>
          <cell r="K295" t="str">
            <v>娃哈哈 港式奶茶瓶AD钙奶饮料草莓味 450mL</v>
          </cell>
          <cell r="L295" t="str">
            <v>450mL</v>
          </cell>
          <cell r="M295" t="str">
            <v>瓶</v>
          </cell>
          <cell r="N295">
            <v>3.54</v>
          </cell>
          <cell r="O295">
            <v>5</v>
          </cell>
          <cell r="P295">
            <v>0.28599999999999998</v>
          </cell>
        </row>
        <row r="296">
          <cell r="F296" t="str">
            <v>70490074</v>
          </cell>
          <cell r="G296" t="str">
            <v>娃哈哈</v>
          </cell>
          <cell r="H296" t="str">
            <v>娃哈哈</v>
          </cell>
          <cell r="I296" t="str">
            <v>奶类</v>
          </cell>
          <cell r="J296" t="str">
            <v>奶类饮料</v>
          </cell>
          <cell r="K296" t="str">
            <v>娃哈哈 港式奶茶瓶AD钙奶饮料水蜜桃味 450mL</v>
          </cell>
          <cell r="L296" t="str">
            <v>450mL</v>
          </cell>
          <cell r="M296" t="str">
            <v>瓶</v>
          </cell>
          <cell r="N296">
            <v>3.54</v>
          </cell>
          <cell r="O296">
            <v>5</v>
          </cell>
          <cell r="P296">
            <v>0.28599999999999998</v>
          </cell>
        </row>
        <row r="297">
          <cell r="F297" t="str">
            <v>70000133</v>
          </cell>
          <cell r="G297" t="str">
            <v>娃哈哈</v>
          </cell>
          <cell r="H297" t="str">
            <v>娃哈哈</v>
          </cell>
          <cell r="I297" t="str">
            <v>奶类</v>
          </cell>
          <cell r="J297" t="str">
            <v>含乳饮料</v>
          </cell>
          <cell r="K297" t="str">
            <v>娃哈哈 营养快线水果牛奶饮品原味 500g</v>
          </cell>
          <cell r="L297" t="str">
            <v>500g</v>
          </cell>
          <cell r="M297" t="str">
            <v>瓶</v>
          </cell>
          <cell r="N297">
            <v>3.18</v>
          </cell>
          <cell r="O297">
            <v>5</v>
          </cell>
          <cell r="P297">
            <v>0.35799999999999998</v>
          </cell>
        </row>
        <row r="298">
          <cell r="F298" t="str">
            <v>70000132</v>
          </cell>
          <cell r="G298" t="str">
            <v>娃哈哈</v>
          </cell>
          <cell r="H298" t="str">
            <v>娃哈哈</v>
          </cell>
          <cell r="I298" t="str">
            <v>奶类</v>
          </cell>
          <cell r="J298" t="str">
            <v>含乳饮料</v>
          </cell>
          <cell r="K298" t="str">
            <v>娃哈哈 营养快线水果牛奶饮品菠萝味 500g</v>
          </cell>
          <cell r="L298" t="str">
            <v>500g</v>
          </cell>
          <cell r="M298" t="str">
            <v>盒</v>
          </cell>
          <cell r="N298">
            <v>3.18</v>
          </cell>
          <cell r="O298">
            <v>5</v>
          </cell>
          <cell r="P298">
            <v>0.35799999999999998</v>
          </cell>
        </row>
        <row r="299">
          <cell r="F299" t="str">
            <v>70000138</v>
          </cell>
          <cell r="G299" t="str">
            <v>娃哈哈</v>
          </cell>
          <cell r="H299" t="str">
            <v>娃哈哈</v>
          </cell>
          <cell r="I299" t="str">
            <v>奶类</v>
          </cell>
          <cell r="J299" t="str">
            <v>含乳饮料</v>
          </cell>
          <cell r="K299" t="str">
            <v>娃哈哈 营养快线水果牛奶饮品香草淇淋味 500g</v>
          </cell>
          <cell r="L299" t="str">
            <v>500g</v>
          </cell>
          <cell r="M299" t="str">
            <v>盒</v>
          </cell>
          <cell r="N299">
            <v>3.18</v>
          </cell>
          <cell r="O299">
            <v>5</v>
          </cell>
          <cell r="P299">
            <v>0.35799999999999998</v>
          </cell>
        </row>
        <row r="300">
          <cell r="F300" t="str">
            <v>70000128</v>
          </cell>
          <cell r="G300" t="str">
            <v>娃哈哈</v>
          </cell>
          <cell r="H300" t="str">
            <v>娃哈哈</v>
          </cell>
          <cell r="I300" t="str">
            <v>速食</v>
          </cell>
          <cell r="J300" t="str">
            <v>粥类</v>
          </cell>
          <cell r="K300" t="str">
            <v>娃哈哈 桂圆莲子营养八宝粥 360g</v>
          </cell>
          <cell r="L300" t="str">
            <v>360g</v>
          </cell>
          <cell r="M300" t="str">
            <v>罐</v>
          </cell>
          <cell r="N300">
            <v>3.05</v>
          </cell>
          <cell r="O300">
            <v>5</v>
          </cell>
          <cell r="P300">
            <v>0.38400000000000001</v>
          </cell>
        </row>
        <row r="301">
          <cell r="F301" t="str">
            <v>70001168</v>
          </cell>
          <cell r="G301" t="str">
            <v>娃哈哈</v>
          </cell>
          <cell r="H301" t="str">
            <v>娃哈哈</v>
          </cell>
          <cell r="I301" t="str">
            <v>速食</v>
          </cell>
          <cell r="J301" t="str">
            <v>粥类</v>
          </cell>
          <cell r="K301" t="str">
            <v>娃哈哈 木糖醇营养八宝粥 350g</v>
          </cell>
          <cell r="L301" t="str">
            <v>350g</v>
          </cell>
          <cell r="M301" t="str">
            <v>瓶</v>
          </cell>
          <cell r="N301">
            <v>3.05</v>
          </cell>
          <cell r="O301">
            <v>5</v>
          </cell>
          <cell r="P301">
            <v>0.38400000000000001</v>
          </cell>
        </row>
        <row r="302">
          <cell r="F302" t="str">
            <v>70042209</v>
          </cell>
          <cell r="G302" t="str">
            <v>伊利</v>
          </cell>
          <cell r="H302" t="str">
            <v>伊利</v>
          </cell>
          <cell r="I302" t="str">
            <v>奶类</v>
          </cell>
          <cell r="J302" t="str">
            <v>纯牛奶</v>
          </cell>
          <cell r="K302" t="str">
            <v>伊利 金典纯牛奶 250mL</v>
          </cell>
          <cell r="L302" t="str">
            <v>250mL</v>
          </cell>
          <cell r="M302" t="str">
            <v>包</v>
          </cell>
          <cell r="N302">
            <v>4.1399999999999997</v>
          </cell>
          <cell r="O302">
            <v>5.5</v>
          </cell>
          <cell r="P302">
            <v>0.24</v>
          </cell>
        </row>
        <row r="303">
          <cell r="F303" t="str">
            <v>70232295</v>
          </cell>
          <cell r="G303" t="str">
            <v>伊利</v>
          </cell>
          <cell r="H303" t="str">
            <v>伊利</v>
          </cell>
          <cell r="I303" t="str">
            <v>奶类</v>
          </cell>
          <cell r="J303" t="str">
            <v>酸牛奶</v>
          </cell>
          <cell r="K303" t="str">
            <v>伊利 安慕希 205mL</v>
          </cell>
          <cell r="L303" t="str">
            <v>205g</v>
          </cell>
          <cell r="M303" t="str">
            <v>个</v>
          </cell>
          <cell r="N303">
            <v>4.1399999999999997</v>
          </cell>
          <cell r="O303">
            <v>5.5</v>
          </cell>
          <cell r="P303">
            <v>0.24</v>
          </cell>
        </row>
        <row r="304">
          <cell r="F304" t="str">
            <v>70281278</v>
          </cell>
          <cell r="G304" t="str">
            <v>伊利</v>
          </cell>
          <cell r="H304" t="str">
            <v>伊利</v>
          </cell>
          <cell r="I304" t="str">
            <v>奶类</v>
          </cell>
          <cell r="J304" t="str">
            <v>酸牛奶</v>
          </cell>
          <cell r="K304" t="str">
            <v>伊利 安慕希酸奶高端畅饮系列 230g</v>
          </cell>
          <cell r="L304" t="str">
            <v>230g</v>
          </cell>
          <cell r="M304" t="str">
            <v>瓶</v>
          </cell>
          <cell r="N304">
            <v>6.06</v>
          </cell>
          <cell r="O304">
            <v>7.8</v>
          </cell>
          <cell r="P304">
            <v>0.21538461538461501</v>
          </cell>
        </row>
        <row r="305">
          <cell r="F305" t="str">
            <v>70496609</v>
          </cell>
          <cell r="G305" t="str">
            <v>伊利</v>
          </cell>
          <cell r="H305" t="str">
            <v>伊利</v>
          </cell>
          <cell r="I305" t="str">
            <v>奶类</v>
          </cell>
          <cell r="J305" t="str">
            <v>酸奶</v>
          </cell>
          <cell r="K305" t="str">
            <v>伊利 安慕希AMX长白山蓝莓酸奶 230g</v>
          </cell>
          <cell r="L305" t="str">
            <v>230g</v>
          </cell>
          <cell r="M305" t="str">
            <v>瓶</v>
          </cell>
          <cell r="N305">
            <v>6.67</v>
          </cell>
          <cell r="O305">
            <v>8.8000000000000007</v>
          </cell>
          <cell r="P305">
            <v>0.23522727272727301</v>
          </cell>
        </row>
        <row r="306">
          <cell r="F306" t="str">
            <v>70282060</v>
          </cell>
          <cell r="G306" t="str">
            <v>伊利</v>
          </cell>
          <cell r="H306" t="str">
            <v>伊利</v>
          </cell>
          <cell r="I306" t="str">
            <v>奶类</v>
          </cell>
          <cell r="J306" t="str">
            <v>酸奶</v>
          </cell>
          <cell r="K306" t="str">
            <v>伊利 利乐冠安慕希常温酸奶黄桃燕麦味 200g</v>
          </cell>
          <cell r="L306" t="str">
            <v>200g</v>
          </cell>
          <cell r="M306" t="str">
            <v>瓶</v>
          </cell>
          <cell r="N306">
            <v>5.35</v>
          </cell>
          <cell r="O306">
            <v>6.8</v>
          </cell>
          <cell r="P306">
            <v>0.20441176470588199</v>
          </cell>
        </row>
        <row r="307">
          <cell r="F307" t="str">
            <v>70261176</v>
          </cell>
          <cell r="G307" t="str">
            <v>伊利</v>
          </cell>
          <cell r="H307" t="str">
            <v>伊利</v>
          </cell>
          <cell r="I307" t="str">
            <v>奶类</v>
          </cell>
          <cell r="J307" t="str">
            <v>奶类饮料</v>
          </cell>
          <cell r="K307" t="str">
            <v>伊利 畅意100%乳酸菌饮品原味(20入膜包) 100mL*5</v>
          </cell>
          <cell r="L307" t="str">
            <v>100mL*5</v>
          </cell>
          <cell r="M307" t="str">
            <v>瓶</v>
          </cell>
          <cell r="N307">
            <v>5.96</v>
          </cell>
          <cell r="O307">
            <v>8</v>
          </cell>
          <cell r="P307">
            <v>0.2475</v>
          </cell>
        </row>
        <row r="308">
          <cell r="F308" t="str">
            <v>70040078</v>
          </cell>
          <cell r="G308" t="str">
            <v>伊利</v>
          </cell>
          <cell r="H308" t="str">
            <v>伊利</v>
          </cell>
          <cell r="I308" t="str">
            <v>奶类</v>
          </cell>
          <cell r="J308" t="str">
            <v>纯牛奶</v>
          </cell>
          <cell r="K308" t="str">
            <v>伊利 纯牛奶 250mL</v>
          </cell>
          <cell r="L308" t="str">
            <v>250mL</v>
          </cell>
          <cell r="M308" t="str">
            <v>盒</v>
          </cell>
          <cell r="N308">
            <v>2.5299999999999998</v>
          </cell>
          <cell r="O308">
            <v>3.2</v>
          </cell>
          <cell r="P308">
            <v>0.203125</v>
          </cell>
        </row>
        <row r="309">
          <cell r="F309" t="str">
            <v>70246787</v>
          </cell>
          <cell r="G309" t="str">
            <v>伊利</v>
          </cell>
          <cell r="H309" t="str">
            <v>伊利</v>
          </cell>
          <cell r="I309" t="str">
            <v>奶类</v>
          </cell>
          <cell r="J309" t="str">
            <v>酸奶</v>
          </cell>
          <cell r="K309" t="str">
            <v>伊利 谷粒多颗粒燕麦牛奶 200mL</v>
          </cell>
          <cell r="L309" t="str">
            <v>200mL</v>
          </cell>
          <cell r="M309" t="str">
            <v>包</v>
          </cell>
          <cell r="N309">
            <v>3.33</v>
          </cell>
          <cell r="O309">
            <v>4</v>
          </cell>
          <cell r="P309">
            <v>0.1575</v>
          </cell>
        </row>
        <row r="310">
          <cell r="F310" t="str">
            <v>70516614</v>
          </cell>
          <cell r="G310" t="str">
            <v>伊利</v>
          </cell>
          <cell r="H310" t="str">
            <v>伊利</v>
          </cell>
          <cell r="I310" t="str">
            <v>奶类</v>
          </cell>
          <cell r="J310" t="str">
            <v>纯牛奶</v>
          </cell>
          <cell r="K310" t="str">
            <v>伊利 金典纯牛奶 200mL*12</v>
          </cell>
          <cell r="L310" t="str">
            <v>200mL</v>
          </cell>
          <cell r="M310" t="str">
            <v>提</v>
          </cell>
          <cell r="N310">
            <v>37.57</v>
          </cell>
          <cell r="O310">
            <v>51.96</v>
          </cell>
          <cell r="P310">
            <v>0.269822940723634</v>
          </cell>
        </row>
        <row r="311">
          <cell r="F311" t="str">
            <v>70057538</v>
          </cell>
          <cell r="G311" t="str">
            <v>伊利</v>
          </cell>
          <cell r="H311" t="str">
            <v>伊利</v>
          </cell>
          <cell r="I311" t="str">
            <v>奶类</v>
          </cell>
          <cell r="J311" t="str">
            <v>纯牛奶</v>
          </cell>
          <cell r="K311" t="str">
            <v>伊利 苗条装有机金典奶 250mL</v>
          </cell>
          <cell r="L311" t="str">
            <v>250mL</v>
          </cell>
          <cell r="M311" t="str">
            <v>包</v>
          </cell>
          <cell r="N311">
            <v>4.55</v>
          </cell>
          <cell r="O311">
            <v>6.3</v>
          </cell>
          <cell r="P311">
            <v>0.27142857142857102</v>
          </cell>
        </row>
        <row r="312">
          <cell r="F312" t="str">
            <v>70288203</v>
          </cell>
          <cell r="G312" t="str">
            <v>伊利</v>
          </cell>
          <cell r="H312" t="str">
            <v>伊利</v>
          </cell>
          <cell r="I312" t="str">
            <v>奶类</v>
          </cell>
          <cell r="J312" t="str">
            <v>纯牛奶</v>
          </cell>
          <cell r="K312" t="str">
            <v>伊利 舒化全脂无乳糖牛奶 220mL</v>
          </cell>
          <cell r="L312" t="str">
            <v>220mL</v>
          </cell>
          <cell r="M312" t="str">
            <v>盒</v>
          </cell>
          <cell r="N312">
            <v>3.13</v>
          </cell>
          <cell r="O312">
            <v>4.1500000000000004</v>
          </cell>
          <cell r="P312">
            <v>0.23855421686747</v>
          </cell>
        </row>
        <row r="313">
          <cell r="F313" t="str">
            <v>70232722</v>
          </cell>
          <cell r="G313" t="str">
            <v>伊利</v>
          </cell>
          <cell r="H313" t="str">
            <v>伊利</v>
          </cell>
          <cell r="I313" t="str">
            <v>奶类</v>
          </cell>
          <cell r="J313" t="str">
            <v>酸奶</v>
          </cell>
          <cell r="K313" t="str">
            <v>伊利 味可滋香蕉牛奶 240mL</v>
          </cell>
          <cell r="L313" t="str">
            <v>240mL</v>
          </cell>
          <cell r="M313" t="str">
            <v>包</v>
          </cell>
          <cell r="N313">
            <v>3.94</v>
          </cell>
          <cell r="O313">
            <v>5</v>
          </cell>
          <cell r="P313">
            <v>0.20399999999999999</v>
          </cell>
        </row>
        <row r="314">
          <cell r="F314" t="str">
            <v>70365523</v>
          </cell>
          <cell r="G314" t="str">
            <v>伊利</v>
          </cell>
          <cell r="H314" t="str">
            <v>伊利</v>
          </cell>
          <cell r="I314" t="str">
            <v>奶类</v>
          </cell>
          <cell r="J314" t="str">
            <v>纯牛奶</v>
          </cell>
          <cell r="K314" t="str">
            <v>伊利 金典纯牛奶(梦幻盖) 250mL*10</v>
          </cell>
          <cell r="L314" t="str">
            <v>250mL*10</v>
          </cell>
          <cell r="M314" t="str">
            <v>盒</v>
          </cell>
          <cell r="N314">
            <v>51.91</v>
          </cell>
          <cell r="O314">
            <v>68</v>
          </cell>
          <cell r="P314">
            <v>0.22897058823529401</v>
          </cell>
        </row>
        <row r="315">
          <cell r="F315" t="str">
            <v>70362802</v>
          </cell>
          <cell r="G315" t="str">
            <v>伊利</v>
          </cell>
          <cell r="H315" t="str">
            <v>伊利</v>
          </cell>
          <cell r="I315" t="str">
            <v>奶类</v>
          </cell>
          <cell r="J315" t="str">
            <v>纯牛奶</v>
          </cell>
          <cell r="K315" t="str">
            <v>伊利 砖臻浓牛奶 250mL*16</v>
          </cell>
          <cell r="L315" t="str">
            <v>250mL*16</v>
          </cell>
          <cell r="M315" t="str">
            <v>盒</v>
          </cell>
          <cell r="N315">
            <v>47.87</v>
          </cell>
          <cell r="O315">
            <v>60</v>
          </cell>
          <cell r="P315">
            <v>0.19416666666666699</v>
          </cell>
        </row>
        <row r="316">
          <cell r="F316" t="str">
            <v>70510917</v>
          </cell>
          <cell r="G316" t="str">
            <v>伊利</v>
          </cell>
          <cell r="H316" t="str">
            <v>伊利</v>
          </cell>
          <cell r="I316" t="str">
            <v>奶类</v>
          </cell>
          <cell r="J316" t="str">
            <v>纯牛奶</v>
          </cell>
          <cell r="K316" t="str">
            <v>伊利 舒化安糖健无乳糖牛奶 220mL</v>
          </cell>
          <cell r="L316" t="str">
            <v>220mL</v>
          </cell>
          <cell r="M316" t="str">
            <v>盒</v>
          </cell>
          <cell r="N316">
            <v>4.1500000000000004</v>
          </cell>
          <cell r="O316">
            <v>5.5</v>
          </cell>
          <cell r="P316">
            <v>0.23818181818181799</v>
          </cell>
        </row>
        <row r="317">
          <cell r="F317" t="str">
            <v>70497051</v>
          </cell>
          <cell r="G317" t="str">
            <v>伊利</v>
          </cell>
          <cell r="H317" t="str">
            <v>伊利</v>
          </cell>
          <cell r="I317" t="str">
            <v>奶类</v>
          </cell>
          <cell r="J317" t="str">
            <v>奶类饮料</v>
          </cell>
          <cell r="K317" t="str">
            <v>伊利 优酸乳贵妃荔枝味 250mL</v>
          </cell>
          <cell r="L317" t="str">
            <v>250mL</v>
          </cell>
          <cell r="M317" t="str">
            <v>盒</v>
          </cell>
          <cell r="N317">
            <v>1.52</v>
          </cell>
          <cell r="O317">
            <v>2</v>
          </cell>
          <cell r="P317">
            <v>0.23499999999999999</v>
          </cell>
        </row>
        <row r="318">
          <cell r="F318" t="str">
            <v>70543354</v>
          </cell>
          <cell r="G318" t="str">
            <v>伊利</v>
          </cell>
          <cell r="H318" t="str">
            <v>伊利</v>
          </cell>
          <cell r="I318" t="str">
            <v>奶类</v>
          </cell>
          <cell r="J318" t="str">
            <v>奶类饮料</v>
          </cell>
          <cell r="K318" t="str">
            <v>伊利 香甜生牛乳牛奶饮品 250mL</v>
          </cell>
          <cell r="L318" t="str">
            <v>250mL</v>
          </cell>
          <cell r="M318" t="str">
            <v>瓶</v>
          </cell>
          <cell r="N318">
            <v>3.23</v>
          </cell>
          <cell r="O318">
            <v>4.5</v>
          </cell>
          <cell r="P318">
            <v>0.275555555555556</v>
          </cell>
        </row>
        <row r="319">
          <cell r="F319" t="str">
            <v>70543353</v>
          </cell>
          <cell r="G319" t="str">
            <v>伊利</v>
          </cell>
          <cell r="H319" t="str">
            <v>伊利</v>
          </cell>
          <cell r="I319" t="str">
            <v>奶类</v>
          </cell>
          <cell r="J319" t="str">
            <v>奶类饮料</v>
          </cell>
          <cell r="K319" t="str">
            <v>伊利 草莓生牛乳牛奶饮品 250mL</v>
          </cell>
          <cell r="L319" t="str">
            <v>250mL</v>
          </cell>
          <cell r="M319" t="str">
            <v>瓶</v>
          </cell>
          <cell r="N319">
            <v>3.23</v>
          </cell>
          <cell r="O319">
            <v>4.5</v>
          </cell>
          <cell r="P319">
            <v>0.275555555555556</v>
          </cell>
        </row>
        <row r="320">
          <cell r="F320" t="str">
            <v>70292731</v>
          </cell>
          <cell r="G320" t="str">
            <v>伊利</v>
          </cell>
          <cell r="H320" t="str">
            <v>伊利</v>
          </cell>
          <cell r="I320" t="str">
            <v>奶类</v>
          </cell>
          <cell r="J320" t="str">
            <v>酸牛奶</v>
          </cell>
          <cell r="K320" t="str">
            <v>伊利 安慕希常温酸奶草莓+燕麦 200g</v>
          </cell>
          <cell r="L320" t="str">
            <v>200g</v>
          </cell>
          <cell r="M320" t="str">
            <v>瓶</v>
          </cell>
          <cell r="N320">
            <v>5.35</v>
          </cell>
          <cell r="O320">
            <v>6.8</v>
          </cell>
          <cell r="P320">
            <v>0.20441176470588199</v>
          </cell>
        </row>
        <row r="321">
          <cell r="F321" t="str">
            <v>70297783</v>
          </cell>
          <cell r="G321" t="str">
            <v>蒙牛</v>
          </cell>
          <cell r="H321" t="str">
            <v>蒙牛</v>
          </cell>
          <cell r="I321" t="str">
            <v>奶类</v>
          </cell>
          <cell r="J321" t="str">
            <v>酸牛奶</v>
          </cell>
          <cell r="K321" t="str">
            <v>蒙牛 纯甄风味酸牛奶饮用型瓶装（礼盒装） 230g*10</v>
          </cell>
          <cell r="L321" t="str">
            <v>230g*10</v>
          </cell>
          <cell r="M321" t="str">
            <v>箱</v>
          </cell>
          <cell r="N321">
            <v>55.05</v>
          </cell>
          <cell r="O321">
            <v>80</v>
          </cell>
          <cell r="P321">
            <v>0.30512499999999998</v>
          </cell>
        </row>
        <row r="322">
          <cell r="F322" t="str">
            <v>70415759</v>
          </cell>
          <cell r="G322" t="str">
            <v>蒙牛</v>
          </cell>
          <cell r="H322" t="str">
            <v>蒙牛</v>
          </cell>
          <cell r="I322" t="str">
            <v>奶类</v>
          </cell>
          <cell r="J322" t="str">
            <v>纯牛奶</v>
          </cell>
          <cell r="K322" t="str">
            <v>蒙牛 精选牧场 纯牛奶苗条装 250mL*10</v>
          </cell>
          <cell r="L322" t="str">
            <v>250mL*10</v>
          </cell>
          <cell r="M322" t="str">
            <v>提</v>
          </cell>
          <cell r="N322">
            <v>31.31</v>
          </cell>
          <cell r="O322">
            <v>50</v>
          </cell>
          <cell r="P322">
            <v>0.36759999999999998</v>
          </cell>
        </row>
        <row r="323">
          <cell r="F323" t="str">
            <v>70449868</v>
          </cell>
          <cell r="G323" t="str">
            <v>蒙牛</v>
          </cell>
          <cell r="H323" t="str">
            <v>蒙牛</v>
          </cell>
          <cell r="I323" t="str">
            <v>奶类</v>
          </cell>
          <cell r="J323" t="str">
            <v>纯牛奶</v>
          </cell>
          <cell r="K323" t="str">
            <v>蒙牛 精选牧场高钙牛奶苗条装 250mL*10</v>
          </cell>
          <cell r="L323" t="str">
            <v>250mL*10</v>
          </cell>
          <cell r="M323" t="str">
            <v>提</v>
          </cell>
          <cell r="N323">
            <v>31.31</v>
          </cell>
          <cell r="O323">
            <v>50</v>
          </cell>
          <cell r="P323">
            <v>0.36759999999999998</v>
          </cell>
        </row>
        <row r="324">
          <cell r="F324" t="str">
            <v>70524299</v>
          </cell>
          <cell r="G324" t="str">
            <v>蒙牛</v>
          </cell>
          <cell r="H324" t="str">
            <v>蒙牛</v>
          </cell>
          <cell r="I324" t="str">
            <v>奶类</v>
          </cell>
          <cell r="J324" t="str">
            <v>纯牛奶</v>
          </cell>
          <cell r="K324" t="str">
            <v>蒙牛 0乳糖牛奶全脂调制乳利乐苗条装 200mL*12</v>
          </cell>
          <cell r="L324" t="str">
            <v>200mL*12</v>
          </cell>
          <cell r="M324" t="str">
            <v>提</v>
          </cell>
          <cell r="N324">
            <v>31.31</v>
          </cell>
          <cell r="O324">
            <v>50</v>
          </cell>
          <cell r="P324">
            <v>0.36759999999999998</v>
          </cell>
        </row>
        <row r="325">
          <cell r="F325" t="str">
            <v>70003618</v>
          </cell>
          <cell r="G325" t="str">
            <v>蒙牛</v>
          </cell>
          <cell r="H325" t="str">
            <v>蒙牛</v>
          </cell>
          <cell r="I325" t="str">
            <v>奶类</v>
          </cell>
          <cell r="J325" t="str">
            <v>酸牛奶</v>
          </cell>
          <cell r="K325" t="str">
            <v>蒙牛 真果粒草莓果粒 250g*12</v>
          </cell>
          <cell r="L325" t="str">
            <v>250g*12</v>
          </cell>
          <cell r="M325" t="str">
            <v>盒</v>
          </cell>
          <cell r="N325">
            <v>29.82</v>
          </cell>
          <cell r="O325">
            <v>46</v>
          </cell>
          <cell r="P325">
            <v>0.34543478260869598</v>
          </cell>
        </row>
        <row r="326">
          <cell r="F326" t="str">
            <v>70121996</v>
          </cell>
          <cell r="G326" t="str">
            <v>蒙牛</v>
          </cell>
          <cell r="H326" t="str">
            <v>蒙牛</v>
          </cell>
          <cell r="I326" t="str">
            <v>奶类</v>
          </cell>
          <cell r="J326" t="str">
            <v>酸牛奶</v>
          </cell>
          <cell r="K326" t="str">
            <v>蒙牛 真果粒黄桃果粒 250g*12</v>
          </cell>
          <cell r="L326" t="str">
            <v>250g*12</v>
          </cell>
          <cell r="M326" t="str">
            <v>盒</v>
          </cell>
          <cell r="N326">
            <v>29.82</v>
          </cell>
          <cell r="O326">
            <v>46</v>
          </cell>
          <cell r="P326">
            <v>0.34543478260869598</v>
          </cell>
        </row>
        <row r="327">
          <cell r="F327" t="str">
            <v>70318378</v>
          </cell>
          <cell r="G327" t="str">
            <v>蒙牛</v>
          </cell>
          <cell r="H327" t="str">
            <v>蒙牛</v>
          </cell>
          <cell r="I327" t="str">
            <v>奶类</v>
          </cell>
          <cell r="J327" t="str">
            <v>纯牛奶</v>
          </cell>
          <cell r="K327" t="str">
            <v>蒙牛 特仑苏有机纯牛奶梦幻盖 250mL*10</v>
          </cell>
          <cell r="L327" t="str">
            <v>250mL*10</v>
          </cell>
          <cell r="M327" t="str">
            <v>件</v>
          </cell>
          <cell r="N327">
            <v>53.03</v>
          </cell>
          <cell r="O327">
            <v>78</v>
          </cell>
          <cell r="P327">
            <v>0.31346153846153901</v>
          </cell>
        </row>
        <row r="328">
          <cell r="F328" t="str">
            <v>70350367</v>
          </cell>
          <cell r="G328" t="str">
            <v>蒙牛</v>
          </cell>
          <cell r="H328" t="str">
            <v>圣牧</v>
          </cell>
          <cell r="I328" t="str">
            <v>奶类</v>
          </cell>
          <cell r="J328" t="str">
            <v>纯牛奶</v>
          </cell>
          <cell r="K328" t="str">
            <v>圣牧 有机纯牛奶品醇 200mL*12</v>
          </cell>
          <cell r="L328" t="str">
            <v>200mL*12</v>
          </cell>
          <cell r="M328" t="str">
            <v>提</v>
          </cell>
          <cell r="N328">
            <v>43.94</v>
          </cell>
          <cell r="O328">
            <v>68</v>
          </cell>
          <cell r="P328">
            <v>0.34749999999999998</v>
          </cell>
        </row>
        <row r="329">
          <cell r="F329" t="str">
            <v>70381900</v>
          </cell>
          <cell r="G329" t="str">
            <v>蒙牛</v>
          </cell>
          <cell r="H329" t="str">
            <v>圣牧</v>
          </cell>
          <cell r="I329" t="str">
            <v>奶类</v>
          </cell>
          <cell r="J329" t="str">
            <v>纯牛奶</v>
          </cell>
          <cell r="K329" t="str">
            <v>圣牧 有机纯牛奶优醇 250mL*10</v>
          </cell>
          <cell r="L329" t="str">
            <v>250mL*10</v>
          </cell>
          <cell r="M329" t="str">
            <v>箱</v>
          </cell>
          <cell r="N329">
            <v>49.49</v>
          </cell>
          <cell r="O329">
            <v>82</v>
          </cell>
          <cell r="P329">
            <v>0.39048780487804902</v>
          </cell>
        </row>
        <row r="330">
          <cell r="F330" t="str">
            <v>70381899</v>
          </cell>
          <cell r="G330" t="str">
            <v>蒙牛</v>
          </cell>
          <cell r="H330" t="str">
            <v>圣牧</v>
          </cell>
          <cell r="I330" t="str">
            <v>奶类</v>
          </cell>
          <cell r="J330" t="str">
            <v>酸牛奶</v>
          </cell>
          <cell r="K330" t="str">
            <v>圣牧 有机风味酸牛奶 200g*10</v>
          </cell>
          <cell r="L330" t="str">
            <v>200g*10</v>
          </cell>
          <cell r="M330" t="str">
            <v>箱</v>
          </cell>
          <cell r="N330">
            <v>49.49</v>
          </cell>
          <cell r="O330">
            <v>82</v>
          </cell>
          <cell r="P330">
            <v>0.39048780487804902</v>
          </cell>
        </row>
        <row r="331">
          <cell r="F331" t="str">
            <v>70553767</v>
          </cell>
          <cell r="G331" t="str">
            <v>蒙牛</v>
          </cell>
          <cell r="H331" t="str">
            <v>圣牧</v>
          </cell>
          <cell r="I331" t="str">
            <v>奶类</v>
          </cell>
          <cell r="J331" t="str">
            <v>纯牛奶</v>
          </cell>
          <cell r="K331" t="str">
            <v>圣牧 有机纯牛奶全脂灭菌乳利乐苗条装（社团实惠装） 200mL*10</v>
          </cell>
          <cell r="L331" t="str">
            <v>200mL*10</v>
          </cell>
          <cell r="M331" t="str">
            <v>件</v>
          </cell>
          <cell r="N331">
            <v>24.24</v>
          </cell>
          <cell r="O331">
            <v>50</v>
          </cell>
          <cell r="P331">
            <v>0.51039999999999996</v>
          </cell>
        </row>
        <row r="332">
          <cell r="F332" t="str">
            <v>70524430</v>
          </cell>
          <cell r="G332" t="str">
            <v>蒙牛低温</v>
          </cell>
          <cell r="H332" t="str">
            <v>蒙牛低温</v>
          </cell>
          <cell r="I332" t="str">
            <v>奶类</v>
          </cell>
          <cell r="J332" t="str">
            <v>酸牛奶</v>
          </cell>
          <cell r="K332" t="str">
            <v>蒙牛 嚼拌食光谷物脆草莓风味酸牛乳 210g</v>
          </cell>
          <cell r="L332" t="str">
            <v>210g</v>
          </cell>
          <cell r="M332" t="str">
            <v>杯</v>
          </cell>
          <cell r="N332">
            <v>10.28</v>
          </cell>
          <cell r="O332">
            <v>13.5</v>
          </cell>
          <cell r="P332">
            <v>0.23111111111111099</v>
          </cell>
        </row>
        <row r="333">
          <cell r="F333" t="str">
            <v>70524425</v>
          </cell>
          <cell r="G333" t="str">
            <v>蒙牛低温</v>
          </cell>
          <cell r="H333" t="str">
            <v>蒙牛低温</v>
          </cell>
          <cell r="I333" t="str">
            <v>奶类</v>
          </cell>
          <cell r="J333" t="str">
            <v>含乳饮料</v>
          </cell>
          <cell r="K333" t="str">
            <v>蒙牛 优益C原味乳味饮料铝罐 300mL</v>
          </cell>
          <cell r="L333" t="str">
            <v>300mL</v>
          </cell>
          <cell r="M333" t="str">
            <v>听</v>
          </cell>
          <cell r="N333">
            <v>4.96</v>
          </cell>
          <cell r="O333">
            <v>6.5</v>
          </cell>
          <cell r="P333">
            <v>0.22923076923076899</v>
          </cell>
        </row>
        <row r="334">
          <cell r="F334" t="str">
            <v>70486227</v>
          </cell>
          <cell r="G334" t="str">
            <v>蒙牛低温</v>
          </cell>
          <cell r="H334" t="str">
            <v>蒙牛低温</v>
          </cell>
          <cell r="I334" t="str">
            <v>奶类</v>
          </cell>
          <cell r="J334" t="str">
            <v>奶类饮料</v>
          </cell>
          <cell r="K334" t="str">
            <v>蒙牛 优菌乳木糖醇屋顶包 458mL</v>
          </cell>
          <cell r="L334" t="str">
            <v>458mL</v>
          </cell>
          <cell r="M334" t="str">
            <v>瓶</v>
          </cell>
          <cell r="N334">
            <v>8.23</v>
          </cell>
          <cell r="O334">
            <v>12</v>
          </cell>
          <cell r="P334">
            <v>0.3075</v>
          </cell>
        </row>
        <row r="335">
          <cell r="F335" t="str">
            <v>70006144</v>
          </cell>
          <cell r="G335" t="str">
            <v>鲁花</v>
          </cell>
          <cell r="H335" t="str">
            <v>鲁花</v>
          </cell>
          <cell r="I335" t="str">
            <v>家庭食品</v>
          </cell>
          <cell r="J335" t="str">
            <v>油</v>
          </cell>
          <cell r="K335" t="str">
            <v>鲁花 5S压榨一级花生油 5L</v>
          </cell>
          <cell r="L335" t="str">
            <v>5L</v>
          </cell>
          <cell r="M335" t="str">
            <v>桶</v>
          </cell>
          <cell r="N335">
            <v>146.96</v>
          </cell>
          <cell r="O335">
            <v>165.9</v>
          </cell>
          <cell r="P335">
            <v>0.105424954792043</v>
          </cell>
        </row>
        <row r="336">
          <cell r="F336" t="str">
            <v>70006145</v>
          </cell>
          <cell r="G336" t="str">
            <v>鲁花</v>
          </cell>
          <cell r="H336" t="str">
            <v>鲁花</v>
          </cell>
          <cell r="I336" t="str">
            <v>家庭食品</v>
          </cell>
          <cell r="J336" t="str">
            <v>油</v>
          </cell>
          <cell r="K336" t="str">
            <v>鲁花 5S压榨一级花生油 1.8L</v>
          </cell>
          <cell r="L336" t="str">
            <v>1.8L</v>
          </cell>
          <cell r="M336" t="str">
            <v>桶</v>
          </cell>
          <cell r="N336">
            <v>56.06</v>
          </cell>
          <cell r="O336">
            <v>65.900000000000006</v>
          </cell>
          <cell r="P336">
            <v>0.14097116843702601</v>
          </cell>
        </row>
        <row r="337">
          <cell r="F337" t="str">
            <v>70365139</v>
          </cell>
          <cell r="G337" t="str">
            <v>鲁花</v>
          </cell>
          <cell r="H337" t="str">
            <v>鲁花</v>
          </cell>
          <cell r="I337" t="str">
            <v>家庭食品</v>
          </cell>
          <cell r="J337" t="str">
            <v>油</v>
          </cell>
          <cell r="K337" t="str">
            <v>鲁花 5S压榨一级花生油 5.21L</v>
          </cell>
          <cell r="L337" t="str">
            <v>5.21L</v>
          </cell>
          <cell r="M337" t="str">
            <v>桶</v>
          </cell>
          <cell r="N337">
            <v>153.52000000000001</v>
          </cell>
          <cell r="O337">
            <v>169.9</v>
          </cell>
          <cell r="P337">
            <v>8.7463213655091299E-2</v>
          </cell>
        </row>
        <row r="338">
          <cell r="F338" t="str">
            <v>70400449</v>
          </cell>
          <cell r="G338" t="str">
            <v>鲁花</v>
          </cell>
          <cell r="H338" t="str">
            <v>鲁花</v>
          </cell>
          <cell r="I338" t="str">
            <v>家庭食品</v>
          </cell>
          <cell r="J338" t="str">
            <v>油</v>
          </cell>
          <cell r="K338" t="str">
            <v>鲁花 5S压榨一级花生油 3.68L</v>
          </cell>
          <cell r="L338" t="str">
            <v>3.68L</v>
          </cell>
          <cell r="M338" t="str">
            <v>桶</v>
          </cell>
          <cell r="N338">
            <v>106.56</v>
          </cell>
          <cell r="O338">
            <v>119.9</v>
          </cell>
          <cell r="P338">
            <v>0.10250208507089199</v>
          </cell>
        </row>
        <row r="339">
          <cell r="F339" t="str">
            <v>70400450</v>
          </cell>
          <cell r="G339" t="str">
            <v>鲁花</v>
          </cell>
          <cell r="H339" t="str">
            <v>鲁花</v>
          </cell>
          <cell r="I339" t="str">
            <v>家庭食品</v>
          </cell>
          <cell r="J339" t="str">
            <v>油</v>
          </cell>
          <cell r="K339" t="str">
            <v>鲁花 5S压榨一级花生油 3.08L</v>
          </cell>
          <cell r="L339" t="str">
            <v>3.08L</v>
          </cell>
          <cell r="M339" t="str">
            <v>桶</v>
          </cell>
          <cell r="N339">
            <v>95.95</v>
          </cell>
          <cell r="O339">
            <v>106.9</v>
          </cell>
          <cell r="P339">
            <v>9.3545369504209497E-2</v>
          </cell>
        </row>
        <row r="340">
          <cell r="F340" t="str">
            <v>70006151</v>
          </cell>
          <cell r="G340" t="str">
            <v>鲁花</v>
          </cell>
          <cell r="H340" t="str">
            <v>鲁花</v>
          </cell>
          <cell r="I340" t="str">
            <v>家庭食品</v>
          </cell>
          <cell r="J340" t="str">
            <v>油</v>
          </cell>
          <cell r="K340" t="str">
            <v>鲁花 5S压榨一级花生油 4L</v>
          </cell>
          <cell r="L340" t="str">
            <v>4L</v>
          </cell>
          <cell r="M340" t="str">
            <v>桶</v>
          </cell>
          <cell r="N340">
            <v>119.18</v>
          </cell>
          <cell r="O340">
            <v>133.9</v>
          </cell>
          <cell r="P340">
            <v>0.101120238984317</v>
          </cell>
        </row>
        <row r="341">
          <cell r="F341" t="str">
            <v>70423173</v>
          </cell>
          <cell r="G341" t="str">
            <v>鲁花</v>
          </cell>
          <cell r="H341" t="str">
            <v>鲁花</v>
          </cell>
          <cell r="I341" t="str">
            <v>家庭食品</v>
          </cell>
          <cell r="J341" t="str">
            <v>油</v>
          </cell>
          <cell r="K341" t="str">
            <v>鲁花 香味家族5S压榨一级花生油 5L</v>
          </cell>
          <cell r="L341" t="str">
            <v>5L</v>
          </cell>
          <cell r="M341" t="str">
            <v>桶</v>
          </cell>
          <cell r="N341">
            <v>146.96</v>
          </cell>
          <cell r="O341">
            <v>176.9</v>
          </cell>
          <cell r="P341">
            <v>0.161051441492369</v>
          </cell>
        </row>
        <row r="342">
          <cell r="F342" t="str">
            <v>70006150</v>
          </cell>
          <cell r="G342" t="str">
            <v>鲁花</v>
          </cell>
          <cell r="H342" t="str">
            <v>鲁花</v>
          </cell>
          <cell r="I342" t="str">
            <v>家庭食品</v>
          </cell>
          <cell r="J342" t="str">
            <v>油</v>
          </cell>
          <cell r="K342" t="str">
            <v>鲁花 5S压榨一级花生油 2.5L</v>
          </cell>
          <cell r="L342" t="str">
            <v>2.5L</v>
          </cell>
          <cell r="M342" t="str">
            <v>桶</v>
          </cell>
          <cell r="N342">
            <v>77.27</v>
          </cell>
          <cell r="O342">
            <v>87.5</v>
          </cell>
          <cell r="P342">
            <v>0.10822857142857099</v>
          </cell>
        </row>
        <row r="343">
          <cell r="F343" t="str">
            <v>70006147</v>
          </cell>
          <cell r="G343" t="str">
            <v>鲁花</v>
          </cell>
          <cell r="H343" t="str">
            <v>鲁花</v>
          </cell>
          <cell r="I343" t="str">
            <v>家庭食品</v>
          </cell>
          <cell r="J343" t="str">
            <v>油</v>
          </cell>
          <cell r="K343" t="str">
            <v>鲁花 5S压榨一级花生油 1.8L*2 (礼盒）</v>
          </cell>
          <cell r="L343" t="str">
            <v>1.8L</v>
          </cell>
          <cell r="M343" t="str">
            <v>瓶</v>
          </cell>
          <cell r="N343">
            <v>116.66</v>
          </cell>
          <cell r="O343">
            <v>130.9</v>
          </cell>
          <cell r="P343">
            <v>0.1</v>
          </cell>
        </row>
        <row r="344">
          <cell r="F344" t="str">
            <v>70026981</v>
          </cell>
          <cell r="G344" t="str">
            <v>鲁花</v>
          </cell>
          <cell r="H344" t="str">
            <v>鲁花</v>
          </cell>
          <cell r="I344" t="str">
            <v>家庭食品</v>
          </cell>
          <cell r="J344" t="str">
            <v>油</v>
          </cell>
          <cell r="K344" t="str">
            <v>鲁花 低芥酸特香菜籽油 5L</v>
          </cell>
          <cell r="L344" t="str">
            <v>5L</v>
          </cell>
          <cell r="M344" t="str">
            <v>桶</v>
          </cell>
          <cell r="N344">
            <v>83.83</v>
          </cell>
          <cell r="O344">
            <v>99.9</v>
          </cell>
          <cell r="P344">
            <v>0.15255255255255301</v>
          </cell>
        </row>
        <row r="345">
          <cell r="F345" t="str">
            <v>70244754</v>
          </cell>
          <cell r="G345" t="str">
            <v>鲁花</v>
          </cell>
          <cell r="H345" t="str">
            <v>鲁花</v>
          </cell>
          <cell r="I345" t="str">
            <v>家庭食品</v>
          </cell>
          <cell r="J345" t="str">
            <v>油</v>
          </cell>
          <cell r="K345" t="str">
            <v>鲁花 低芥酸特香菜籽油 2L</v>
          </cell>
          <cell r="L345" t="str">
            <v>2L</v>
          </cell>
          <cell r="M345" t="str">
            <v>瓶</v>
          </cell>
          <cell r="N345">
            <v>36.36</v>
          </cell>
          <cell r="O345">
            <v>42.9</v>
          </cell>
          <cell r="P345">
            <v>0.14405594405594399</v>
          </cell>
        </row>
        <row r="346">
          <cell r="F346" t="str">
            <v>70381819</v>
          </cell>
          <cell r="G346" t="str">
            <v>鲁花</v>
          </cell>
          <cell r="H346" t="str">
            <v>鲁花</v>
          </cell>
          <cell r="I346" t="str">
            <v>家庭食品</v>
          </cell>
          <cell r="J346" t="str">
            <v>油</v>
          </cell>
          <cell r="K346" t="str">
            <v>鲁花 压榨特香玉米胚芽油 5L</v>
          </cell>
          <cell r="L346" t="str">
            <v>5L</v>
          </cell>
          <cell r="M346" t="str">
            <v>桶</v>
          </cell>
          <cell r="N346">
            <v>81.31</v>
          </cell>
          <cell r="O346">
            <v>99.9</v>
          </cell>
          <cell r="P346">
            <v>0.17807807807807799</v>
          </cell>
        </row>
        <row r="347">
          <cell r="F347" t="str">
            <v>70229356</v>
          </cell>
          <cell r="G347" t="str">
            <v>鲁花</v>
          </cell>
          <cell r="H347" t="str">
            <v>鲁花</v>
          </cell>
          <cell r="I347" t="str">
            <v>家庭食品</v>
          </cell>
          <cell r="J347" t="str">
            <v>油</v>
          </cell>
          <cell r="K347" t="str">
            <v>鲁花 压榨特香玉米胚芽油 1.6L</v>
          </cell>
          <cell r="L347" t="str">
            <v>1.6L</v>
          </cell>
          <cell r="M347" t="str">
            <v>瓶</v>
          </cell>
          <cell r="N347">
            <v>27.78</v>
          </cell>
          <cell r="O347">
            <v>33.9</v>
          </cell>
          <cell r="P347">
            <v>0.172566371681416</v>
          </cell>
        </row>
        <row r="348">
          <cell r="F348" t="str">
            <v>70203440</v>
          </cell>
          <cell r="G348" t="str">
            <v>鲁花</v>
          </cell>
          <cell r="H348" t="str">
            <v>鲁花</v>
          </cell>
          <cell r="I348" t="str">
            <v>家庭食品</v>
          </cell>
          <cell r="J348" t="str">
            <v>油</v>
          </cell>
          <cell r="K348" t="str">
            <v>鲁花 浓香大豆油 5L</v>
          </cell>
          <cell r="L348" t="str">
            <v>5L</v>
          </cell>
          <cell r="M348" t="str">
            <v>桶</v>
          </cell>
          <cell r="N348">
            <v>81.31</v>
          </cell>
          <cell r="O348">
            <v>99.9</v>
          </cell>
          <cell r="P348">
            <v>0.17807807807807799</v>
          </cell>
        </row>
        <row r="349">
          <cell r="F349" t="str">
            <v>70052254</v>
          </cell>
          <cell r="G349" t="str">
            <v>鲁花</v>
          </cell>
          <cell r="H349" t="str">
            <v>鲁花</v>
          </cell>
          <cell r="I349" t="str">
            <v>家庭食品</v>
          </cell>
          <cell r="J349" t="str">
            <v>油</v>
          </cell>
          <cell r="K349" t="str">
            <v>鲁花 芝麻香油 180mL</v>
          </cell>
          <cell r="L349" t="str">
            <v>180mL</v>
          </cell>
          <cell r="M349" t="str">
            <v>瓶</v>
          </cell>
          <cell r="N349">
            <v>9.9</v>
          </cell>
          <cell r="O349">
            <v>12.9</v>
          </cell>
          <cell r="P349">
            <v>0.224806201550388</v>
          </cell>
        </row>
        <row r="350">
          <cell r="F350" t="str">
            <v>70260798</v>
          </cell>
          <cell r="G350" t="str">
            <v>鲁花</v>
          </cell>
          <cell r="H350" t="str">
            <v>鲁花</v>
          </cell>
          <cell r="I350" t="str">
            <v>家庭食品</v>
          </cell>
          <cell r="J350" t="str">
            <v>油</v>
          </cell>
          <cell r="K350" t="str">
            <v>鲁花 小磨香油 260mL</v>
          </cell>
          <cell r="L350" t="str">
            <v>260mL</v>
          </cell>
          <cell r="M350" t="str">
            <v>瓶</v>
          </cell>
          <cell r="N350">
            <v>17.98</v>
          </cell>
          <cell r="O350">
            <v>21.9</v>
          </cell>
          <cell r="P350">
            <v>0.170776255707763</v>
          </cell>
        </row>
        <row r="351">
          <cell r="F351" t="str">
            <v>70381890</v>
          </cell>
          <cell r="G351" t="str">
            <v>鲁花</v>
          </cell>
          <cell r="H351" t="str">
            <v>鲁花</v>
          </cell>
          <cell r="I351" t="str">
            <v>家庭食品</v>
          </cell>
          <cell r="J351" t="str">
            <v>油</v>
          </cell>
          <cell r="K351" t="str">
            <v>鲁花 亚麻籽油 1.6L</v>
          </cell>
          <cell r="L351" t="str">
            <v>1.6L</v>
          </cell>
          <cell r="M351" t="str">
            <v>桶</v>
          </cell>
          <cell r="N351">
            <v>52.52</v>
          </cell>
          <cell r="O351">
            <v>79.900000000000006</v>
          </cell>
          <cell r="P351">
            <v>0.33617021276595699</v>
          </cell>
        </row>
        <row r="352">
          <cell r="F352" t="str">
            <v>70286500</v>
          </cell>
          <cell r="G352" t="str">
            <v>鲁花</v>
          </cell>
          <cell r="H352" t="str">
            <v>鲁花</v>
          </cell>
          <cell r="I352" t="str">
            <v>家庭食品</v>
          </cell>
          <cell r="J352" t="str">
            <v>油</v>
          </cell>
          <cell r="K352" t="str">
            <v>鲁花 高油酸花生油礼盒 750mL*2</v>
          </cell>
          <cell r="L352" t="str">
            <v>750mL*2</v>
          </cell>
          <cell r="M352" t="str">
            <v>瓶</v>
          </cell>
          <cell r="N352">
            <v>79.790000000000006</v>
          </cell>
          <cell r="O352">
            <v>109.9</v>
          </cell>
          <cell r="P352">
            <v>0.266787989080983</v>
          </cell>
        </row>
        <row r="353">
          <cell r="F353" t="str">
            <v>70508918</v>
          </cell>
          <cell r="G353" t="str">
            <v>鲁花</v>
          </cell>
          <cell r="H353" t="str">
            <v>鲁花</v>
          </cell>
          <cell r="I353" t="str">
            <v>家庭食品</v>
          </cell>
          <cell r="J353" t="str">
            <v>油</v>
          </cell>
          <cell r="K353" t="str">
            <v>鲁花 厨中香纯香菜籽油 5L</v>
          </cell>
          <cell r="L353" t="str">
            <v>5L</v>
          </cell>
          <cell r="M353" t="str">
            <v>桶</v>
          </cell>
          <cell r="N353">
            <v>65.650000000000006</v>
          </cell>
          <cell r="O353">
            <v>75.900000000000006</v>
          </cell>
          <cell r="P353">
            <v>0.126482213438735</v>
          </cell>
        </row>
        <row r="354">
          <cell r="F354" t="str">
            <v>70517104</v>
          </cell>
          <cell r="G354" t="str">
            <v>鲁花</v>
          </cell>
          <cell r="H354" t="str">
            <v>鲁花</v>
          </cell>
          <cell r="I354" t="str">
            <v>家庭食品</v>
          </cell>
          <cell r="J354" t="str">
            <v>油</v>
          </cell>
          <cell r="K354" t="str">
            <v>鲁花厨中香 纯香玉米油 5L</v>
          </cell>
          <cell r="L354" t="str">
            <v>5L</v>
          </cell>
          <cell r="M354" t="str">
            <v>桶</v>
          </cell>
          <cell r="N354">
            <v>65.650000000000006</v>
          </cell>
          <cell r="O354">
            <v>75.900000000000006</v>
          </cell>
          <cell r="P354">
            <v>0.126482213438735</v>
          </cell>
        </row>
        <row r="355">
          <cell r="F355" t="str">
            <v>70517088</v>
          </cell>
          <cell r="G355" t="str">
            <v>鲁花</v>
          </cell>
          <cell r="H355" t="str">
            <v>鲁花</v>
          </cell>
          <cell r="I355" t="str">
            <v>家庭食品</v>
          </cell>
          <cell r="J355" t="str">
            <v>油</v>
          </cell>
          <cell r="K355" t="str">
            <v>鲁花厨中香 纯香大豆油 5L</v>
          </cell>
          <cell r="L355" t="str">
            <v>5L</v>
          </cell>
          <cell r="M355" t="str">
            <v>桶</v>
          </cell>
          <cell r="N355">
            <v>65.650000000000006</v>
          </cell>
          <cell r="O355">
            <v>75.900000000000006</v>
          </cell>
          <cell r="P355">
            <v>0.126482213438735</v>
          </cell>
        </row>
        <row r="356">
          <cell r="F356" t="str">
            <v>70388887</v>
          </cell>
          <cell r="G356" t="str">
            <v>鲁花</v>
          </cell>
          <cell r="H356" t="str">
            <v>鲁花</v>
          </cell>
          <cell r="I356" t="str">
            <v>家庭食品</v>
          </cell>
          <cell r="J356" t="str">
            <v>调味品、酱料</v>
          </cell>
          <cell r="K356" t="str">
            <v>鲁花 料酒 1L</v>
          </cell>
          <cell r="L356" t="str">
            <v>1L</v>
          </cell>
          <cell r="M356" t="str">
            <v>瓶</v>
          </cell>
          <cell r="N356">
            <v>9.2899999999999991</v>
          </cell>
          <cell r="O356">
            <v>10.9</v>
          </cell>
          <cell r="P356">
            <v>0.13944954128440401</v>
          </cell>
        </row>
        <row r="357">
          <cell r="F357" t="str">
            <v>70065635</v>
          </cell>
          <cell r="G357" t="str">
            <v>九三</v>
          </cell>
          <cell r="H357" t="str">
            <v>九三</v>
          </cell>
          <cell r="I357" t="str">
            <v>家庭食品</v>
          </cell>
          <cell r="J357" t="str">
            <v>油</v>
          </cell>
          <cell r="K357" t="str">
            <v>九三 一级大豆油 5L</v>
          </cell>
          <cell r="L357" t="str">
            <v>5L</v>
          </cell>
          <cell r="M357" t="str">
            <v>桶</v>
          </cell>
          <cell r="N357">
            <v>65.150000000000006</v>
          </cell>
          <cell r="O357">
            <v>92</v>
          </cell>
          <cell r="P357">
            <v>0.284891304347826</v>
          </cell>
        </row>
        <row r="358">
          <cell r="F358" t="str">
            <v>70065636</v>
          </cell>
          <cell r="G358" t="str">
            <v>九三</v>
          </cell>
          <cell r="H358" t="str">
            <v>九三</v>
          </cell>
          <cell r="I358" t="str">
            <v>家庭食品</v>
          </cell>
          <cell r="J358" t="str">
            <v>油</v>
          </cell>
          <cell r="K358" t="str">
            <v>九三 三级大豆油 5L</v>
          </cell>
          <cell r="L358" t="str">
            <v>5L</v>
          </cell>
          <cell r="M358" t="str">
            <v>桶</v>
          </cell>
          <cell r="N358">
            <v>65.150000000000006</v>
          </cell>
          <cell r="O358">
            <v>92</v>
          </cell>
          <cell r="P358">
            <v>0.284891304347826</v>
          </cell>
        </row>
        <row r="359">
          <cell r="F359" t="str">
            <v>70262527</v>
          </cell>
          <cell r="G359" t="str">
            <v>九三</v>
          </cell>
          <cell r="H359" t="str">
            <v>九三</v>
          </cell>
          <cell r="I359" t="str">
            <v>家庭食品</v>
          </cell>
          <cell r="J359" t="str">
            <v>油</v>
          </cell>
          <cell r="K359" t="str">
            <v>九三 一级大豆油 1.8L</v>
          </cell>
          <cell r="L359" t="str">
            <v>1.8L</v>
          </cell>
          <cell r="M359" t="str">
            <v>桶</v>
          </cell>
          <cell r="N359">
            <v>27.27</v>
          </cell>
          <cell r="O359">
            <v>38</v>
          </cell>
          <cell r="P359">
            <v>0.27526315789473699</v>
          </cell>
        </row>
        <row r="360">
          <cell r="F360" t="str">
            <v>70263287</v>
          </cell>
          <cell r="G360" t="str">
            <v>九三</v>
          </cell>
          <cell r="H360" t="str">
            <v>九三</v>
          </cell>
          <cell r="I360" t="str">
            <v>家庭食品</v>
          </cell>
          <cell r="J360" t="str">
            <v>油</v>
          </cell>
          <cell r="K360" t="str">
            <v>九三 三级大豆油 1.8L</v>
          </cell>
          <cell r="L360" t="str">
            <v>1.8L</v>
          </cell>
          <cell r="M360" t="str">
            <v>桶</v>
          </cell>
          <cell r="N360">
            <v>27.27</v>
          </cell>
          <cell r="O360">
            <v>38</v>
          </cell>
          <cell r="P360">
            <v>0.27526315789473699</v>
          </cell>
        </row>
        <row r="361">
          <cell r="F361" t="str">
            <v>70273263</v>
          </cell>
          <cell r="G361" t="str">
            <v>九三</v>
          </cell>
          <cell r="H361" t="str">
            <v>九三</v>
          </cell>
          <cell r="I361" t="str">
            <v>家庭食品</v>
          </cell>
          <cell r="J361" t="str">
            <v>油</v>
          </cell>
          <cell r="K361" t="str">
            <v>九三 一级大豆油 900mL</v>
          </cell>
          <cell r="L361" t="str">
            <v>900mL</v>
          </cell>
          <cell r="M361" t="str">
            <v>瓶</v>
          </cell>
          <cell r="N361">
            <v>14.65</v>
          </cell>
          <cell r="O361">
            <v>21.5</v>
          </cell>
          <cell r="P361">
            <v>0.31209302325581401</v>
          </cell>
        </row>
        <row r="362">
          <cell r="F362" t="str">
            <v>70273262</v>
          </cell>
          <cell r="G362" t="str">
            <v>九三</v>
          </cell>
          <cell r="H362" t="str">
            <v>九三</v>
          </cell>
          <cell r="I362" t="str">
            <v>家庭食品</v>
          </cell>
          <cell r="J362" t="str">
            <v>油</v>
          </cell>
          <cell r="K362" t="str">
            <v>九三 一级大豆油 900mL</v>
          </cell>
          <cell r="L362" t="str">
            <v>900mL</v>
          </cell>
          <cell r="M362" t="str">
            <v>瓶</v>
          </cell>
          <cell r="N362">
            <v>14.65</v>
          </cell>
          <cell r="O362">
            <v>21.5</v>
          </cell>
          <cell r="P362">
            <v>0.31209302325581401</v>
          </cell>
        </row>
        <row r="363">
          <cell r="F363" t="str">
            <v>70485284</v>
          </cell>
          <cell r="G363" t="str">
            <v>九三</v>
          </cell>
          <cell r="H363" t="str">
            <v>九三</v>
          </cell>
          <cell r="I363" t="str">
            <v>家庭食品</v>
          </cell>
          <cell r="J363" t="str">
            <v>油</v>
          </cell>
          <cell r="K363" t="str">
            <v>九三 非转基因一级大豆油（石油专供） 5L</v>
          </cell>
          <cell r="L363" t="str">
            <v>5L</v>
          </cell>
          <cell r="M363" t="str">
            <v>桶</v>
          </cell>
          <cell r="N363">
            <v>64.14</v>
          </cell>
          <cell r="O363">
            <v>95.9</v>
          </cell>
          <cell r="P363">
            <v>0.32460896767466102</v>
          </cell>
        </row>
        <row r="364">
          <cell r="F364" t="str">
            <v>70485289</v>
          </cell>
          <cell r="G364" t="str">
            <v>九三</v>
          </cell>
          <cell r="H364" t="str">
            <v>九三</v>
          </cell>
          <cell r="I364" t="str">
            <v>家庭食品</v>
          </cell>
          <cell r="J364" t="str">
            <v>油</v>
          </cell>
          <cell r="K364" t="str">
            <v>九三 非转基因三级大豆油（石油专供） 5L</v>
          </cell>
          <cell r="L364" t="str">
            <v>5L</v>
          </cell>
          <cell r="M364" t="str">
            <v>桶</v>
          </cell>
          <cell r="N364">
            <v>64.14</v>
          </cell>
          <cell r="O364">
            <v>95.9</v>
          </cell>
          <cell r="P364">
            <v>0.32460896767466102</v>
          </cell>
        </row>
        <row r="365">
          <cell r="F365" t="str">
            <v>70292443</v>
          </cell>
          <cell r="G365" t="str">
            <v>九三</v>
          </cell>
          <cell r="H365" t="str">
            <v>九三</v>
          </cell>
          <cell r="I365" t="str">
            <v>家庭食品</v>
          </cell>
          <cell r="J365" t="str">
            <v>油</v>
          </cell>
          <cell r="K365" t="str">
            <v>九三 品油坊笨榨大豆油 5L</v>
          </cell>
          <cell r="L365" t="str">
            <v>5L</v>
          </cell>
          <cell r="M365" t="str">
            <v>桶</v>
          </cell>
          <cell r="N365">
            <v>80.3</v>
          </cell>
          <cell r="O365">
            <v>106</v>
          </cell>
          <cell r="P365">
            <v>0.23499999999999999</v>
          </cell>
        </row>
        <row r="366">
          <cell r="F366" t="str">
            <v>70273258</v>
          </cell>
          <cell r="G366" t="str">
            <v>九三</v>
          </cell>
          <cell r="H366" t="str">
            <v>九三</v>
          </cell>
          <cell r="I366" t="str">
            <v>家庭食品</v>
          </cell>
          <cell r="J366" t="str">
            <v>油</v>
          </cell>
          <cell r="K366" t="str">
            <v>九三 鲜榨三级 5L</v>
          </cell>
          <cell r="L366" t="str">
            <v>5L</v>
          </cell>
          <cell r="M366" t="str">
            <v>桶</v>
          </cell>
          <cell r="N366">
            <v>93.93</v>
          </cell>
          <cell r="O366">
            <v>138</v>
          </cell>
          <cell r="P366">
            <v>0.31260869565217397</v>
          </cell>
        </row>
        <row r="367">
          <cell r="F367" t="str">
            <v>70273260</v>
          </cell>
          <cell r="G367" t="str">
            <v>九三</v>
          </cell>
          <cell r="H367" t="str">
            <v>九三</v>
          </cell>
          <cell r="I367" t="str">
            <v>家庭食品</v>
          </cell>
          <cell r="J367" t="str">
            <v>油</v>
          </cell>
          <cell r="K367" t="str">
            <v>九三 精榨一级 5L</v>
          </cell>
          <cell r="L367" t="str">
            <v>5L</v>
          </cell>
          <cell r="M367" t="str">
            <v>桶</v>
          </cell>
          <cell r="N367">
            <v>93.93</v>
          </cell>
          <cell r="O367">
            <v>138</v>
          </cell>
          <cell r="P367">
            <v>0.31260869565217397</v>
          </cell>
        </row>
        <row r="368">
          <cell r="F368" t="str">
            <v>70292440</v>
          </cell>
          <cell r="G368" t="str">
            <v>九三</v>
          </cell>
          <cell r="H368" t="str">
            <v>九三</v>
          </cell>
          <cell r="I368" t="str">
            <v>家庭食品</v>
          </cell>
          <cell r="J368" t="str">
            <v>油</v>
          </cell>
          <cell r="K368" t="str">
            <v>九三 压榨花生油 5L</v>
          </cell>
          <cell r="L368" t="str">
            <v>5L</v>
          </cell>
          <cell r="M368" t="str">
            <v>桶</v>
          </cell>
          <cell r="N368">
            <v>115.14</v>
          </cell>
          <cell r="O368">
            <v>158</v>
          </cell>
          <cell r="P368">
            <v>0.26405063291139202</v>
          </cell>
        </row>
        <row r="369">
          <cell r="F369" t="str">
            <v>70485294</v>
          </cell>
          <cell r="G369" t="str">
            <v>九三</v>
          </cell>
          <cell r="H369" t="str">
            <v>九三</v>
          </cell>
          <cell r="I369" t="str">
            <v>家庭食品</v>
          </cell>
          <cell r="J369" t="str">
            <v>油</v>
          </cell>
          <cell r="K369" t="str">
            <v>九三 压榨一级菜籽油（特渠专供） 5L</v>
          </cell>
          <cell r="L369" t="str">
            <v>5L</v>
          </cell>
          <cell r="M369" t="str">
            <v>桶</v>
          </cell>
          <cell r="N369">
            <v>82.82</v>
          </cell>
          <cell r="O369">
            <v>128</v>
          </cell>
          <cell r="P369">
            <v>0.3465625</v>
          </cell>
        </row>
        <row r="370">
          <cell r="F370" t="str">
            <v>70301202</v>
          </cell>
          <cell r="G370" t="str">
            <v>九三</v>
          </cell>
          <cell r="H370" t="str">
            <v>九三</v>
          </cell>
          <cell r="I370" t="str">
            <v>家庭食品</v>
          </cell>
          <cell r="J370" t="str">
            <v>油</v>
          </cell>
          <cell r="K370" t="str">
            <v>九三 食用植物调和油 5L</v>
          </cell>
          <cell r="L370" t="str">
            <v>5L</v>
          </cell>
          <cell r="M370" t="str">
            <v>桶</v>
          </cell>
          <cell r="N370">
            <v>68.180000000000007</v>
          </cell>
          <cell r="O370">
            <v>102</v>
          </cell>
          <cell r="P370">
            <v>0.32500000000000001</v>
          </cell>
        </row>
        <row r="371">
          <cell r="F371" t="str">
            <v>70273259</v>
          </cell>
          <cell r="G371" t="str">
            <v>九三</v>
          </cell>
          <cell r="H371" t="str">
            <v>九三</v>
          </cell>
          <cell r="I371" t="str">
            <v>家庭食品</v>
          </cell>
          <cell r="J371" t="str">
            <v>油</v>
          </cell>
          <cell r="K371" t="str">
            <v>九三 葵花籽油 5L</v>
          </cell>
          <cell r="L371" t="str">
            <v>5L</v>
          </cell>
          <cell r="M371" t="str">
            <v>桶</v>
          </cell>
          <cell r="N371">
            <v>86.86</v>
          </cell>
          <cell r="O371">
            <v>119</v>
          </cell>
          <cell r="P371">
            <v>0.26285714285714301</v>
          </cell>
        </row>
        <row r="372">
          <cell r="F372" t="str">
            <v>70429414</v>
          </cell>
          <cell r="G372" t="str">
            <v>九三</v>
          </cell>
          <cell r="H372" t="str">
            <v>九三</v>
          </cell>
          <cell r="I372" t="str">
            <v>家庭食品</v>
          </cell>
          <cell r="J372" t="str">
            <v>油</v>
          </cell>
          <cell r="K372" t="str">
            <v>九三 葵花籽油 4L</v>
          </cell>
          <cell r="L372" t="str">
            <v>4L</v>
          </cell>
          <cell r="M372" t="str">
            <v>桶</v>
          </cell>
          <cell r="N372">
            <v>68.680000000000007</v>
          </cell>
          <cell r="O372">
            <v>105</v>
          </cell>
          <cell r="P372">
            <v>0.33942857142857102</v>
          </cell>
        </row>
        <row r="373">
          <cell r="F373" t="str">
            <v>70273261</v>
          </cell>
          <cell r="G373" t="str">
            <v>九三</v>
          </cell>
          <cell r="H373" t="str">
            <v>九三</v>
          </cell>
          <cell r="I373" t="str">
            <v>家庭食品</v>
          </cell>
          <cell r="J373" t="str">
            <v>油</v>
          </cell>
          <cell r="K373" t="str">
            <v>九三 玉米油 5L</v>
          </cell>
          <cell r="L373" t="str">
            <v>5L</v>
          </cell>
          <cell r="M373" t="str">
            <v>桶</v>
          </cell>
          <cell r="N373">
            <v>76.260000000000005</v>
          </cell>
          <cell r="O373">
            <v>111</v>
          </cell>
          <cell r="P373">
            <v>0.30621621621621598</v>
          </cell>
        </row>
        <row r="374">
          <cell r="F374" t="str">
            <v>70302610</v>
          </cell>
          <cell r="G374" t="str">
            <v>九三</v>
          </cell>
          <cell r="H374" t="str">
            <v>九三</v>
          </cell>
          <cell r="I374" t="str">
            <v>家庭食品</v>
          </cell>
          <cell r="J374" t="str">
            <v>油</v>
          </cell>
          <cell r="K374" t="str">
            <v>九三 玉米油 4L</v>
          </cell>
          <cell r="L374" t="str">
            <v>4L</v>
          </cell>
          <cell r="M374" t="str">
            <v>桶</v>
          </cell>
          <cell r="N374">
            <v>56.06</v>
          </cell>
          <cell r="O374">
            <v>78</v>
          </cell>
          <cell r="P374">
            <v>0.274230769230769</v>
          </cell>
        </row>
        <row r="375">
          <cell r="F375" t="str">
            <v>70292444</v>
          </cell>
          <cell r="G375" t="str">
            <v>九三</v>
          </cell>
          <cell r="H375" t="str">
            <v>九三</v>
          </cell>
          <cell r="I375" t="str">
            <v>家庭食品</v>
          </cell>
          <cell r="J375" t="str">
            <v>油</v>
          </cell>
          <cell r="K375" t="str">
            <v>九三 初榨橄榄油 500mL</v>
          </cell>
          <cell r="L375" t="str">
            <v>500mL</v>
          </cell>
          <cell r="M375" t="str">
            <v>瓶</v>
          </cell>
          <cell r="N375">
            <v>45.96</v>
          </cell>
          <cell r="O375">
            <v>89</v>
          </cell>
          <cell r="P375">
            <v>0.47853932584269698</v>
          </cell>
        </row>
        <row r="376">
          <cell r="F376" t="str">
            <v>70292445</v>
          </cell>
          <cell r="G376" t="str">
            <v>九三</v>
          </cell>
          <cell r="H376" t="str">
            <v>九三</v>
          </cell>
          <cell r="I376" t="str">
            <v>家庭食品</v>
          </cell>
          <cell r="J376" t="str">
            <v>油</v>
          </cell>
          <cell r="K376" t="str">
            <v>九三 核桃油 500mL</v>
          </cell>
          <cell r="L376" t="str">
            <v>500mL</v>
          </cell>
          <cell r="M376" t="str">
            <v>瓶</v>
          </cell>
          <cell r="N376">
            <v>63.63</v>
          </cell>
          <cell r="O376">
            <v>106</v>
          </cell>
          <cell r="P376">
            <v>0.39377358490566</v>
          </cell>
        </row>
        <row r="377">
          <cell r="F377" t="str">
            <v>70292446</v>
          </cell>
          <cell r="G377" t="str">
            <v>九三</v>
          </cell>
          <cell r="H377" t="str">
            <v>九三</v>
          </cell>
          <cell r="I377" t="str">
            <v>家庭食品</v>
          </cell>
          <cell r="J377" t="str">
            <v>油</v>
          </cell>
          <cell r="K377" t="str">
            <v>九三 亚麻籽油 500mL</v>
          </cell>
          <cell r="L377" t="str">
            <v>500mL</v>
          </cell>
          <cell r="M377" t="str">
            <v>瓶</v>
          </cell>
          <cell r="N377">
            <v>34.85</v>
          </cell>
          <cell r="O377">
            <v>82</v>
          </cell>
          <cell r="P377">
            <v>0.57085365853658498</v>
          </cell>
        </row>
        <row r="378">
          <cell r="F378" t="str">
            <v>70466164</v>
          </cell>
          <cell r="G378" t="str">
            <v>九三</v>
          </cell>
          <cell r="H378" t="str">
            <v>九三</v>
          </cell>
          <cell r="I378" t="str">
            <v>家庭食品</v>
          </cell>
          <cell r="J378" t="str">
            <v>油</v>
          </cell>
          <cell r="K378" t="str">
            <v>九三玉米油 1.8L</v>
          </cell>
          <cell r="L378" t="str">
            <v>1.8L</v>
          </cell>
          <cell r="M378" t="str">
            <v>桶</v>
          </cell>
          <cell r="N378">
            <v>29.8</v>
          </cell>
          <cell r="O378">
            <v>41</v>
          </cell>
          <cell r="P378">
            <v>0.26609756097560999</v>
          </cell>
        </row>
        <row r="379">
          <cell r="F379" t="str">
            <v>70466163</v>
          </cell>
          <cell r="G379" t="str">
            <v>九三</v>
          </cell>
          <cell r="H379" t="str">
            <v>九三</v>
          </cell>
          <cell r="I379" t="str">
            <v>家庭食品</v>
          </cell>
          <cell r="J379" t="str">
            <v>油</v>
          </cell>
          <cell r="K379" t="str">
            <v>九三纯香小榨菜籽油 5L*4</v>
          </cell>
          <cell r="L379" t="str">
            <v>5L</v>
          </cell>
          <cell r="M379" t="str">
            <v>桶</v>
          </cell>
          <cell r="N379">
            <v>86.86</v>
          </cell>
          <cell r="O379">
            <v>119</v>
          </cell>
          <cell r="P379">
            <v>0.26285714285714301</v>
          </cell>
        </row>
        <row r="380">
          <cell r="F380" t="str">
            <v>70514512</v>
          </cell>
          <cell r="G380" t="str">
            <v>九三</v>
          </cell>
          <cell r="H380" t="str">
            <v>九三</v>
          </cell>
          <cell r="I380" t="str">
            <v>家庭食品</v>
          </cell>
          <cell r="J380" t="str">
            <v>食用油</v>
          </cell>
          <cell r="K380" t="str">
            <v>九三 有机非转基因大豆油压榨清香 1L</v>
          </cell>
          <cell r="L380" t="str">
            <v>1L</v>
          </cell>
          <cell r="M380" t="str">
            <v>桶</v>
          </cell>
          <cell r="N380">
            <v>51.51</v>
          </cell>
          <cell r="O380">
            <v>78</v>
          </cell>
          <cell r="P380">
            <v>0.33307692307692299</v>
          </cell>
        </row>
        <row r="381">
          <cell r="F381" t="str">
            <v>70514513</v>
          </cell>
          <cell r="G381" t="str">
            <v>九三</v>
          </cell>
          <cell r="H381" t="str">
            <v>九三</v>
          </cell>
          <cell r="I381" t="str">
            <v>家庭食品</v>
          </cell>
          <cell r="J381" t="str">
            <v>食用油</v>
          </cell>
          <cell r="K381" t="str">
            <v>九三 有机非转基因大豆油压榨浓香 1L</v>
          </cell>
          <cell r="L381" t="str">
            <v>1L</v>
          </cell>
          <cell r="M381" t="str">
            <v>桶</v>
          </cell>
          <cell r="N381">
            <v>51.51</v>
          </cell>
          <cell r="O381">
            <v>78</v>
          </cell>
          <cell r="P381">
            <v>0.33307692307692299</v>
          </cell>
        </row>
        <row r="382">
          <cell r="F382" t="str">
            <v>70301953</v>
          </cell>
          <cell r="G382" t="str">
            <v>九三</v>
          </cell>
          <cell r="H382" t="str">
            <v>九三</v>
          </cell>
          <cell r="I382" t="str">
            <v>家庭食品</v>
          </cell>
          <cell r="J382" t="str">
            <v>食用油</v>
          </cell>
          <cell r="K382" t="str">
            <v>九三 农场一级大豆油 10L</v>
          </cell>
          <cell r="L382" t="str">
            <v>10L</v>
          </cell>
          <cell r="M382" t="str">
            <v>桶</v>
          </cell>
          <cell r="N382">
            <v>123.22</v>
          </cell>
          <cell r="O382">
            <v>138</v>
          </cell>
          <cell r="P382">
            <v>9.8260869565217401E-2</v>
          </cell>
        </row>
        <row r="383">
          <cell r="F383" t="str">
            <v>70301954</v>
          </cell>
          <cell r="G383" t="str">
            <v>九三</v>
          </cell>
          <cell r="H383" t="str">
            <v>九三</v>
          </cell>
          <cell r="I383" t="str">
            <v>家庭食品</v>
          </cell>
          <cell r="J383" t="str">
            <v>食用油</v>
          </cell>
          <cell r="K383" t="str">
            <v>九三 农场三级大豆油 10L</v>
          </cell>
          <cell r="L383" t="str">
            <v>10L</v>
          </cell>
          <cell r="M383" t="str">
            <v>桶</v>
          </cell>
          <cell r="N383">
            <v>123.22</v>
          </cell>
          <cell r="O383">
            <v>138</v>
          </cell>
          <cell r="P383">
            <v>9.8260869565217401E-2</v>
          </cell>
        </row>
        <row r="384">
          <cell r="F384" t="str">
            <v>70514536</v>
          </cell>
          <cell r="G384" t="str">
            <v>九三</v>
          </cell>
          <cell r="H384" t="str">
            <v>九三</v>
          </cell>
          <cell r="I384" t="str">
            <v>家庭食品</v>
          </cell>
          <cell r="J384" t="str">
            <v>食用油</v>
          </cell>
          <cell r="K384" t="str">
            <v>九三 控温压榨原香菜籽油 5L</v>
          </cell>
          <cell r="L384" t="str">
            <v>5L</v>
          </cell>
          <cell r="M384" t="str">
            <v>桶</v>
          </cell>
          <cell r="N384">
            <v>74.739999999999995</v>
          </cell>
          <cell r="O384">
            <v>86</v>
          </cell>
          <cell r="P384">
            <v>0.12232558139534901</v>
          </cell>
        </row>
        <row r="385">
          <cell r="F385" t="str">
            <v>70288232</v>
          </cell>
          <cell r="G385" t="str">
            <v>金健</v>
          </cell>
          <cell r="H385" t="str">
            <v>金健</v>
          </cell>
          <cell r="I385" t="str">
            <v>家庭食品</v>
          </cell>
          <cell r="J385" t="str">
            <v>粮</v>
          </cell>
          <cell r="K385" t="str">
            <v>金健 纯香米 15kg</v>
          </cell>
          <cell r="L385" t="str">
            <v>15kg</v>
          </cell>
          <cell r="M385" t="str">
            <v>包</v>
          </cell>
          <cell r="N385">
            <v>78.34</v>
          </cell>
          <cell r="O385">
            <v>105</v>
          </cell>
          <cell r="P385">
            <v>0.246571428571429</v>
          </cell>
        </row>
        <row r="386">
          <cell r="F386" t="str">
            <v>70381829</v>
          </cell>
          <cell r="G386" t="str">
            <v>金健</v>
          </cell>
          <cell r="H386" t="str">
            <v>金健</v>
          </cell>
          <cell r="I386" t="str">
            <v>家庭食品</v>
          </cell>
          <cell r="J386" t="str">
            <v>粮</v>
          </cell>
          <cell r="K386" t="str">
            <v>金健 五常香米 5kg</v>
          </cell>
          <cell r="L386" t="str">
            <v>5kg</v>
          </cell>
          <cell r="M386" t="str">
            <v>包</v>
          </cell>
          <cell r="N386">
            <v>53.53</v>
          </cell>
          <cell r="O386">
            <v>69.8</v>
          </cell>
          <cell r="P386">
            <v>0.225501432664756</v>
          </cell>
        </row>
        <row r="387">
          <cell r="F387" t="str">
            <v>70114903</v>
          </cell>
          <cell r="G387" t="str">
            <v>金健</v>
          </cell>
          <cell r="H387" t="str">
            <v>金健</v>
          </cell>
          <cell r="I387" t="str">
            <v>家庭食品</v>
          </cell>
          <cell r="J387" t="str">
            <v>粮</v>
          </cell>
          <cell r="K387" t="str">
            <v>金健 东北大米 5kg</v>
          </cell>
          <cell r="L387" t="str">
            <v>5kg</v>
          </cell>
          <cell r="M387" t="str">
            <v>袋</v>
          </cell>
          <cell r="N387">
            <v>36.619999999999997</v>
          </cell>
          <cell r="O387">
            <v>46</v>
          </cell>
          <cell r="P387">
            <v>0.19586956521739099</v>
          </cell>
        </row>
        <row r="388">
          <cell r="F388" t="str">
            <v>70053277</v>
          </cell>
          <cell r="G388" t="str">
            <v>金健</v>
          </cell>
          <cell r="H388" t="str">
            <v>金健</v>
          </cell>
          <cell r="I388" t="str">
            <v>家庭食品</v>
          </cell>
          <cell r="J388" t="str">
            <v>粮</v>
          </cell>
          <cell r="K388" t="str">
            <v>金健 东北贡米 5kg</v>
          </cell>
          <cell r="L388" t="str">
            <v>5kg</v>
          </cell>
          <cell r="M388" t="str">
            <v>包</v>
          </cell>
          <cell r="N388">
            <v>49.49</v>
          </cell>
          <cell r="O388">
            <v>59.8</v>
          </cell>
          <cell r="P388">
            <v>0.16421404682274199</v>
          </cell>
        </row>
        <row r="389">
          <cell r="F389" t="str">
            <v>70064526</v>
          </cell>
          <cell r="G389" t="str">
            <v>金健</v>
          </cell>
          <cell r="H389" t="str">
            <v>金健</v>
          </cell>
          <cell r="I389" t="str">
            <v>家庭食品</v>
          </cell>
          <cell r="J389" t="str">
            <v>粮</v>
          </cell>
          <cell r="K389" t="str">
            <v>金健 东北长粒香米 5kg</v>
          </cell>
          <cell r="L389" t="str">
            <v>5kg</v>
          </cell>
          <cell r="M389" t="str">
            <v>包</v>
          </cell>
          <cell r="N389">
            <v>39.840000000000003</v>
          </cell>
          <cell r="O389">
            <v>59.8</v>
          </cell>
          <cell r="P389">
            <v>0.32709030100334402</v>
          </cell>
        </row>
        <row r="390">
          <cell r="F390" t="str">
            <v>70381828</v>
          </cell>
          <cell r="G390" t="str">
            <v>金健</v>
          </cell>
          <cell r="H390" t="str">
            <v>金健</v>
          </cell>
          <cell r="I390" t="str">
            <v>家庭食品</v>
          </cell>
          <cell r="J390" t="str">
            <v>粮</v>
          </cell>
          <cell r="K390" t="str">
            <v>金健 德乌屯泰国茉莉香米 5kg</v>
          </cell>
          <cell r="L390" t="str">
            <v>5kg</v>
          </cell>
          <cell r="M390" t="str">
            <v>包</v>
          </cell>
          <cell r="N390">
            <v>76.209999999999994</v>
          </cell>
          <cell r="O390">
            <v>99</v>
          </cell>
          <cell r="P390">
            <v>0.22252525252525299</v>
          </cell>
        </row>
        <row r="391">
          <cell r="F391" t="str">
            <v>70288230</v>
          </cell>
          <cell r="G391" t="str">
            <v>金健</v>
          </cell>
          <cell r="H391" t="str">
            <v>金健</v>
          </cell>
          <cell r="I391" t="str">
            <v>家庭食品</v>
          </cell>
          <cell r="J391" t="str">
            <v>油</v>
          </cell>
          <cell r="K391" t="str">
            <v>金健 清香菜籽油 4L</v>
          </cell>
          <cell r="L391" t="str">
            <v>4L</v>
          </cell>
          <cell r="M391" t="str">
            <v>瓶</v>
          </cell>
          <cell r="N391">
            <v>67.31</v>
          </cell>
          <cell r="O391">
            <v>72</v>
          </cell>
          <cell r="P391">
            <v>5.5972222222222201E-2</v>
          </cell>
        </row>
        <row r="392">
          <cell r="F392" t="str">
            <v>70312921</v>
          </cell>
          <cell r="G392" t="str">
            <v>金健</v>
          </cell>
          <cell r="H392" t="str">
            <v>金健</v>
          </cell>
          <cell r="I392" t="str">
            <v>家庭食品</v>
          </cell>
          <cell r="J392" t="str">
            <v>油</v>
          </cell>
          <cell r="K392" t="str">
            <v>金健 压榨玉米油 5L</v>
          </cell>
          <cell r="L392" t="str">
            <v>5L</v>
          </cell>
          <cell r="M392" t="str">
            <v>瓶</v>
          </cell>
          <cell r="N392">
            <v>79.180000000000007</v>
          </cell>
          <cell r="O392">
            <v>90</v>
          </cell>
          <cell r="P392">
            <v>0.111444444444444</v>
          </cell>
        </row>
        <row r="393">
          <cell r="F393" t="str">
            <v>70031553</v>
          </cell>
          <cell r="G393" t="str">
            <v>金健</v>
          </cell>
          <cell r="H393" t="str">
            <v>金健</v>
          </cell>
          <cell r="I393" t="str">
            <v>家庭食品</v>
          </cell>
          <cell r="J393" t="str">
            <v>粮</v>
          </cell>
          <cell r="K393" t="str">
            <v>金健 芙蓉香米 10kg</v>
          </cell>
          <cell r="L393" t="str">
            <v>10kg</v>
          </cell>
          <cell r="M393" t="str">
            <v>包</v>
          </cell>
          <cell r="N393">
            <v>54.54</v>
          </cell>
          <cell r="O393">
            <v>75</v>
          </cell>
          <cell r="P393">
            <v>0.2656</v>
          </cell>
        </row>
        <row r="394">
          <cell r="F394" t="str">
            <v>70064797</v>
          </cell>
          <cell r="G394" t="str">
            <v>金健</v>
          </cell>
          <cell r="H394" t="str">
            <v>金健</v>
          </cell>
          <cell r="I394" t="str">
            <v>家庭食品</v>
          </cell>
          <cell r="J394" t="str">
            <v>粮</v>
          </cell>
          <cell r="K394" t="str">
            <v>金健 邦可泰原装泰国茉莉香米（清莱府） 5kg</v>
          </cell>
          <cell r="L394" t="str">
            <v>5kg</v>
          </cell>
          <cell r="M394" t="str">
            <v>包</v>
          </cell>
          <cell r="N394">
            <v>85.38</v>
          </cell>
          <cell r="O394">
            <v>108</v>
          </cell>
          <cell r="P394">
            <v>0.20166666666666699</v>
          </cell>
        </row>
        <row r="395">
          <cell r="F395" t="str">
            <v>70271018</v>
          </cell>
          <cell r="G395" t="str">
            <v>金健</v>
          </cell>
          <cell r="H395" t="str">
            <v>金健</v>
          </cell>
          <cell r="I395" t="str">
            <v>家庭食品</v>
          </cell>
          <cell r="J395" t="str">
            <v>粮</v>
          </cell>
          <cell r="K395" t="str">
            <v>金健 优选丝苗米 10kg</v>
          </cell>
          <cell r="L395" t="str">
            <v>10kg</v>
          </cell>
          <cell r="M395" t="str">
            <v>包</v>
          </cell>
          <cell r="N395">
            <v>65.33</v>
          </cell>
          <cell r="O395">
            <v>79.900000000000006</v>
          </cell>
          <cell r="P395">
            <v>0.17434292866082601</v>
          </cell>
        </row>
        <row r="396">
          <cell r="F396" t="str">
            <v>70381833</v>
          </cell>
          <cell r="G396" t="str">
            <v>金健</v>
          </cell>
          <cell r="H396" t="str">
            <v>金健</v>
          </cell>
          <cell r="I396" t="str">
            <v>家庭食品</v>
          </cell>
          <cell r="J396" t="str">
            <v>粮</v>
          </cell>
          <cell r="K396" t="str">
            <v>金健 洞庭丝苗米 5kg</v>
          </cell>
          <cell r="L396" t="str">
            <v>5kg</v>
          </cell>
          <cell r="M396" t="str">
            <v>包</v>
          </cell>
          <cell r="N396">
            <v>38.11</v>
          </cell>
          <cell r="O396">
            <v>58.5</v>
          </cell>
          <cell r="P396">
            <v>0.34222222222222198</v>
          </cell>
        </row>
        <row r="397">
          <cell r="F397" t="str">
            <v>70063678</v>
          </cell>
          <cell r="G397" t="str">
            <v>金健</v>
          </cell>
          <cell r="H397" t="str">
            <v>金健</v>
          </cell>
          <cell r="I397" t="str">
            <v>家庭食品</v>
          </cell>
          <cell r="J397" t="str">
            <v>粮</v>
          </cell>
          <cell r="K397" t="str">
            <v>金健 佳品泰香米 5kg</v>
          </cell>
          <cell r="L397" t="str">
            <v>5kg</v>
          </cell>
          <cell r="M397" t="str">
            <v>包</v>
          </cell>
          <cell r="N397">
            <v>50.5</v>
          </cell>
          <cell r="O397">
            <v>73</v>
          </cell>
          <cell r="P397">
            <v>0.301369863013699</v>
          </cell>
        </row>
        <row r="398">
          <cell r="F398" t="str">
            <v>70053583</v>
          </cell>
          <cell r="G398" t="str">
            <v>金健</v>
          </cell>
          <cell r="H398" t="str">
            <v>金健</v>
          </cell>
          <cell r="I398" t="str">
            <v>家庭食品</v>
          </cell>
          <cell r="J398" t="str">
            <v>油</v>
          </cell>
          <cell r="K398" t="str">
            <v>金健 低芥酸压榨菜籽油 1.8L</v>
          </cell>
          <cell r="L398" t="str">
            <v>1.8L</v>
          </cell>
          <cell r="M398" t="str">
            <v>瓶</v>
          </cell>
          <cell r="N398">
            <v>31.67</v>
          </cell>
          <cell r="O398">
            <v>38.9</v>
          </cell>
          <cell r="P398">
            <v>0.17763496143958901</v>
          </cell>
        </row>
        <row r="399">
          <cell r="F399" t="str">
            <v>70271017</v>
          </cell>
          <cell r="G399" t="str">
            <v>金健</v>
          </cell>
          <cell r="H399" t="str">
            <v>金健</v>
          </cell>
          <cell r="I399" t="str">
            <v>家庭食品</v>
          </cell>
          <cell r="J399" t="str">
            <v>粮</v>
          </cell>
          <cell r="K399" t="str">
            <v>金健 优选丝苗米 5kg</v>
          </cell>
          <cell r="L399" t="str">
            <v>5kg</v>
          </cell>
          <cell r="M399" t="str">
            <v>包</v>
          </cell>
          <cell r="N399">
            <v>32.049999999999997</v>
          </cell>
          <cell r="O399">
            <v>40.799999999999997</v>
          </cell>
          <cell r="P399">
            <v>0.20661764705882399</v>
          </cell>
        </row>
        <row r="400">
          <cell r="F400" t="str">
            <v>70053278</v>
          </cell>
          <cell r="G400" t="str">
            <v>金健</v>
          </cell>
          <cell r="H400" t="str">
            <v>金健</v>
          </cell>
          <cell r="I400" t="str">
            <v>家庭食品</v>
          </cell>
          <cell r="J400" t="str">
            <v>粮</v>
          </cell>
          <cell r="K400" t="str">
            <v>金健 东北长粒香米 10kg</v>
          </cell>
          <cell r="L400" t="str">
            <v>10kg</v>
          </cell>
          <cell r="M400" t="str">
            <v>包</v>
          </cell>
          <cell r="N400">
            <v>64.099999999999994</v>
          </cell>
          <cell r="O400">
            <v>85.9</v>
          </cell>
          <cell r="P400">
            <v>0.24633294528521499</v>
          </cell>
        </row>
        <row r="401">
          <cell r="F401" t="str">
            <v>70055845</v>
          </cell>
          <cell r="G401" t="str">
            <v>金健</v>
          </cell>
          <cell r="H401" t="str">
            <v>金健</v>
          </cell>
          <cell r="I401" t="str">
            <v>家庭食品</v>
          </cell>
          <cell r="J401" t="str">
            <v>粮</v>
          </cell>
          <cell r="K401" t="str">
            <v>金健 月牙香米 5kg</v>
          </cell>
          <cell r="L401" t="str">
            <v>5kg</v>
          </cell>
          <cell r="M401" t="str">
            <v>包</v>
          </cell>
          <cell r="N401">
            <v>40.58</v>
          </cell>
          <cell r="O401">
            <v>49.9</v>
          </cell>
          <cell r="P401">
            <v>0.17875751503005999</v>
          </cell>
        </row>
        <row r="402">
          <cell r="F402" t="str">
            <v>70055028</v>
          </cell>
          <cell r="G402" t="str">
            <v>金健</v>
          </cell>
          <cell r="H402" t="str">
            <v>金健</v>
          </cell>
          <cell r="I402" t="str">
            <v>家庭食品</v>
          </cell>
          <cell r="J402" t="str">
            <v>油</v>
          </cell>
          <cell r="K402" t="str">
            <v>金健 食用植物调和油10%山茶油 5L</v>
          </cell>
          <cell r="L402" t="str">
            <v>5L</v>
          </cell>
          <cell r="M402" t="str">
            <v>瓶</v>
          </cell>
          <cell r="N402">
            <v>81.66</v>
          </cell>
          <cell r="O402">
            <v>118</v>
          </cell>
          <cell r="P402">
            <v>0.30110169491525401</v>
          </cell>
        </row>
        <row r="403">
          <cell r="F403" t="str">
            <v>70381824</v>
          </cell>
          <cell r="G403" t="str">
            <v>金健</v>
          </cell>
          <cell r="H403" t="str">
            <v>金健</v>
          </cell>
          <cell r="I403" t="str">
            <v>家庭食品</v>
          </cell>
          <cell r="J403" t="str">
            <v>油</v>
          </cell>
          <cell r="K403" t="str">
            <v>金健 原香菜籽油 5L</v>
          </cell>
          <cell r="L403" t="str">
            <v>5L</v>
          </cell>
          <cell r="M403" t="str">
            <v>瓶</v>
          </cell>
          <cell r="N403">
            <v>76.209999999999994</v>
          </cell>
          <cell r="O403">
            <v>89.9</v>
          </cell>
          <cell r="P403">
            <v>0.14382647385984401</v>
          </cell>
        </row>
        <row r="404">
          <cell r="F404" t="str">
            <v>70381825</v>
          </cell>
          <cell r="G404" t="str">
            <v>金健</v>
          </cell>
          <cell r="H404" t="str">
            <v>金健</v>
          </cell>
          <cell r="I404" t="str">
            <v>家庭食品</v>
          </cell>
          <cell r="J404" t="str">
            <v>油</v>
          </cell>
          <cell r="K404" t="str">
            <v>金健 深山小果小榨浓香山茶油 1L</v>
          </cell>
          <cell r="L404" t="str">
            <v>1L</v>
          </cell>
          <cell r="M404" t="str">
            <v>瓶</v>
          </cell>
          <cell r="N404">
            <v>110.86</v>
          </cell>
          <cell r="O404">
            <v>159</v>
          </cell>
          <cell r="P404">
            <v>0.29584905660377397</v>
          </cell>
        </row>
        <row r="405">
          <cell r="F405" t="str">
            <v>70179322</v>
          </cell>
          <cell r="G405" t="str">
            <v>金健</v>
          </cell>
          <cell r="H405" t="str">
            <v>金健</v>
          </cell>
          <cell r="I405" t="str">
            <v>家庭食品</v>
          </cell>
          <cell r="J405" t="str">
            <v>粮</v>
          </cell>
          <cell r="K405" t="str">
            <v>金健 顶佳泰香米 2.5kg</v>
          </cell>
          <cell r="L405" t="str">
            <v>2.5kg</v>
          </cell>
          <cell r="M405" t="str">
            <v>包</v>
          </cell>
          <cell r="N405">
            <v>30.3</v>
          </cell>
          <cell r="O405">
            <v>45</v>
          </cell>
          <cell r="P405">
            <v>0.32</v>
          </cell>
        </row>
        <row r="406">
          <cell r="F406" t="str">
            <v>70139403</v>
          </cell>
          <cell r="G406" t="str">
            <v>金健</v>
          </cell>
          <cell r="H406" t="str">
            <v>金健</v>
          </cell>
          <cell r="I406" t="str">
            <v>家庭食品</v>
          </cell>
          <cell r="J406" t="str">
            <v>粮</v>
          </cell>
          <cell r="K406" t="str">
            <v>金健 星二号米（双层包装） 5kg</v>
          </cell>
          <cell r="L406" t="str">
            <v>5kg</v>
          </cell>
          <cell r="M406" t="str">
            <v>包</v>
          </cell>
          <cell r="N406">
            <v>55.43</v>
          </cell>
          <cell r="O406">
            <v>69.900000000000006</v>
          </cell>
          <cell r="P406">
            <v>0.199141630901288</v>
          </cell>
        </row>
        <row r="407">
          <cell r="F407" t="str">
            <v>70312924</v>
          </cell>
          <cell r="G407" t="str">
            <v>金健</v>
          </cell>
          <cell r="H407" t="str">
            <v>金健</v>
          </cell>
          <cell r="I407" t="str">
            <v>家庭食品</v>
          </cell>
          <cell r="J407" t="str">
            <v>粮</v>
          </cell>
          <cell r="K407" t="str">
            <v>金健 东北龙江寒香米 5kg</v>
          </cell>
          <cell r="L407" t="str">
            <v>5kg</v>
          </cell>
          <cell r="M407" t="str">
            <v>包</v>
          </cell>
          <cell r="N407">
            <v>48.48</v>
          </cell>
          <cell r="O407">
            <v>69.8</v>
          </cell>
          <cell r="P407">
            <v>0.298567335243553</v>
          </cell>
        </row>
        <row r="408">
          <cell r="F408" t="str">
            <v>70312923</v>
          </cell>
          <cell r="G408" t="str">
            <v>金健</v>
          </cell>
          <cell r="H408" t="str">
            <v>金健</v>
          </cell>
          <cell r="I408" t="str">
            <v>家庭食品</v>
          </cell>
          <cell r="J408" t="str">
            <v>油</v>
          </cell>
          <cell r="K408" t="str">
            <v>金健 双低菜籽油 5L</v>
          </cell>
          <cell r="L408" t="str">
            <v>5L</v>
          </cell>
          <cell r="M408" t="str">
            <v>瓶</v>
          </cell>
          <cell r="N408">
            <v>83.14</v>
          </cell>
          <cell r="O408">
            <v>99.9</v>
          </cell>
          <cell r="P408">
            <v>0.15945945945946</v>
          </cell>
        </row>
        <row r="409">
          <cell r="F409" t="str">
            <v>70043041</v>
          </cell>
          <cell r="G409" t="str">
            <v>金健</v>
          </cell>
          <cell r="H409" t="str">
            <v>金健</v>
          </cell>
          <cell r="I409" t="str">
            <v>家庭食品</v>
          </cell>
          <cell r="J409" t="str">
            <v>油</v>
          </cell>
          <cell r="K409" t="str">
            <v>金健 一级菜籽油 5L</v>
          </cell>
          <cell r="L409" t="str">
            <v>5L</v>
          </cell>
          <cell r="M409" t="str">
            <v>瓶</v>
          </cell>
          <cell r="N409">
            <v>73.73</v>
          </cell>
          <cell r="O409">
            <v>89.9</v>
          </cell>
          <cell r="P409">
            <v>0.17174638487207999</v>
          </cell>
        </row>
        <row r="410">
          <cell r="F410" t="str">
            <v>70063675</v>
          </cell>
          <cell r="G410" t="str">
            <v>金健</v>
          </cell>
          <cell r="H410" t="str">
            <v>金健</v>
          </cell>
          <cell r="I410" t="str">
            <v>家庭食品</v>
          </cell>
          <cell r="J410" t="str">
            <v>油</v>
          </cell>
          <cell r="K410" t="str">
            <v>金健 纯香菜籽油 5L</v>
          </cell>
          <cell r="L410" t="str">
            <v>5L</v>
          </cell>
          <cell r="M410" t="str">
            <v>瓶</v>
          </cell>
          <cell r="N410">
            <v>77.7</v>
          </cell>
          <cell r="O410">
            <v>89.9</v>
          </cell>
          <cell r="P410">
            <v>0.12714126807564</v>
          </cell>
        </row>
        <row r="411">
          <cell r="F411" t="str">
            <v>70312922</v>
          </cell>
          <cell r="G411" t="str">
            <v>金健</v>
          </cell>
          <cell r="H411" t="str">
            <v>金健</v>
          </cell>
          <cell r="I411" t="str">
            <v>家庭食品</v>
          </cell>
          <cell r="J411" t="str">
            <v>油</v>
          </cell>
          <cell r="K411" t="str">
            <v>金健 压榨葵花籽油 5L</v>
          </cell>
          <cell r="L411" t="str">
            <v>5L</v>
          </cell>
          <cell r="M411" t="str">
            <v>瓶</v>
          </cell>
          <cell r="N411">
            <v>78.19</v>
          </cell>
          <cell r="O411">
            <v>99.9</v>
          </cell>
          <cell r="P411">
            <v>0.20950950950951</v>
          </cell>
        </row>
        <row r="412">
          <cell r="F412" t="str">
            <v>70485862</v>
          </cell>
          <cell r="G412" t="str">
            <v>金健</v>
          </cell>
          <cell r="H412" t="str">
            <v>金健</v>
          </cell>
          <cell r="I412" t="str">
            <v>家庭食品</v>
          </cell>
          <cell r="J412" t="str">
            <v>粮</v>
          </cell>
          <cell r="K412" t="str">
            <v>金健 一稻红米 5kg</v>
          </cell>
          <cell r="L412" t="str">
            <v>5kg</v>
          </cell>
          <cell r="M412" t="str">
            <v>袋</v>
          </cell>
          <cell r="N412">
            <v>68.64</v>
          </cell>
          <cell r="O412">
            <v>89.9</v>
          </cell>
          <cell r="P412">
            <v>0.22892102335928799</v>
          </cell>
        </row>
        <row r="413">
          <cell r="F413" t="str">
            <v>70486040</v>
          </cell>
          <cell r="G413" t="str">
            <v>金健</v>
          </cell>
          <cell r="H413" t="str">
            <v>金健</v>
          </cell>
          <cell r="I413" t="str">
            <v>家庭食品</v>
          </cell>
          <cell r="J413" t="str">
            <v>油</v>
          </cell>
          <cell r="K413" t="str">
            <v>金健 纯香菜籽油 1.8L</v>
          </cell>
          <cell r="L413" t="str">
            <v>1.8L</v>
          </cell>
          <cell r="M413" t="str">
            <v>桶</v>
          </cell>
          <cell r="N413">
            <v>32.92</v>
          </cell>
          <cell r="O413">
            <v>39.9</v>
          </cell>
          <cell r="P413">
            <v>0.16691729323308299</v>
          </cell>
        </row>
        <row r="414">
          <cell r="F414" t="str">
            <v>70485854</v>
          </cell>
          <cell r="G414" t="str">
            <v>金健</v>
          </cell>
          <cell r="H414" t="str">
            <v>金健</v>
          </cell>
          <cell r="I414" t="str">
            <v>家庭食品</v>
          </cell>
          <cell r="J414" t="str">
            <v>油</v>
          </cell>
          <cell r="K414" t="str">
            <v>金健 农家甄选菜籽油 5L</v>
          </cell>
          <cell r="L414" t="str">
            <v>5L</v>
          </cell>
          <cell r="M414" t="str">
            <v>桶</v>
          </cell>
          <cell r="N414">
            <v>75.22</v>
          </cell>
          <cell r="O414">
            <v>89.9</v>
          </cell>
          <cell r="P414">
            <v>0.154949944382647</v>
          </cell>
        </row>
        <row r="415">
          <cell r="F415" t="str">
            <v>70424934</v>
          </cell>
          <cell r="G415" t="str">
            <v>金健</v>
          </cell>
          <cell r="H415" t="str">
            <v>金健</v>
          </cell>
          <cell r="I415" t="str">
            <v>家庭食品</v>
          </cell>
          <cell r="J415" t="str">
            <v>油</v>
          </cell>
          <cell r="K415" t="str">
            <v>金健 经典原味菜籽油 5L</v>
          </cell>
          <cell r="L415" t="str">
            <v>5L</v>
          </cell>
          <cell r="M415" t="str">
            <v>桶</v>
          </cell>
          <cell r="N415">
            <v>75.22</v>
          </cell>
          <cell r="O415">
            <v>89.9</v>
          </cell>
          <cell r="P415">
            <v>0.154949944382647</v>
          </cell>
        </row>
        <row r="416">
          <cell r="F416" t="str">
            <v>70485913</v>
          </cell>
          <cell r="G416" t="str">
            <v>金健</v>
          </cell>
          <cell r="H416" t="str">
            <v>金健</v>
          </cell>
          <cell r="I416" t="str">
            <v>家庭食品</v>
          </cell>
          <cell r="J416" t="str">
            <v>粮</v>
          </cell>
          <cell r="K416" t="str">
            <v>洞庭 猫牙王米 10kg</v>
          </cell>
          <cell r="L416" t="str">
            <v>10kg</v>
          </cell>
          <cell r="M416" t="str">
            <v>袋</v>
          </cell>
          <cell r="N416">
            <v>56.42</v>
          </cell>
          <cell r="O416">
            <v>69.900000000000006</v>
          </cell>
          <cell r="P416">
            <v>0.18483547925607999</v>
          </cell>
        </row>
        <row r="417">
          <cell r="F417" t="str">
            <v>70486041</v>
          </cell>
          <cell r="G417" t="str">
            <v>金健</v>
          </cell>
          <cell r="H417" t="str">
            <v>金健</v>
          </cell>
          <cell r="I417" t="str">
            <v>家庭食品</v>
          </cell>
          <cell r="J417" t="str">
            <v>油</v>
          </cell>
          <cell r="K417" t="str">
            <v>金健 五月香菜籽油 5L</v>
          </cell>
          <cell r="L417" t="str">
            <v>5L</v>
          </cell>
          <cell r="M417" t="str">
            <v>桶</v>
          </cell>
          <cell r="N417">
            <v>94.94</v>
          </cell>
          <cell r="O417">
            <v>115</v>
          </cell>
          <cell r="P417">
            <v>0.16626086956521699</v>
          </cell>
        </row>
        <row r="418">
          <cell r="F418" t="str">
            <v>70362680</v>
          </cell>
          <cell r="G418" t="str">
            <v>金健</v>
          </cell>
          <cell r="H418" t="str">
            <v>金健</v>
          </cell>
          <cell r="I418" t="str">
            <v>家庭食品</v>
          </cell>
          <cell r="J418" t="str">
            <v>油</v>
          </cell>
          <cell r="K418" t="str">
            <v>金健 纯正菜籽油 20L</v>
          </cell>
          <cell r="L418" t="str">
            <v>20L</v>
          </cell>
          <cell r="M418" t="str">
            <v>桶</v>
          </cell>
          <cell r="N418">
            <v>281.14999999999998</v>
          </cell>
          <cell r="O418">
            <v>315</v>
          </cell>
          <cell r="P418">
            <v>9.8603174603174595E-2</v>
          </cell>
        </row>
        <row r="419">
          <cell r="F419" t="str">
            <v>70485835</v>
          </cell>
          <cell r="G419" t="str">
            <v>金健</v>
          </cell>
          <cell r="H419" t="str">
            <v>金健</v>
          </cell>
          <cell r="I419" t="str">
            <v>家庭食品</v>
          </cell>
          <cell r="J419" t="str">
            <v>油</v>
          </cell>
          <cell r="K419" t="str">
            <v>金健 三鲜因子纯香菜籽油 5L</v>
          </cell>
          <cell r="L419" t="str">
            <v>5L</v>
          </cell>
          <cell r="M419" t="str">
            <v>桶</v>
          </cell>
          <cell r="N419">
            <v>92.15</v>
          </cell>
          <cell r="O419">
            <v>119</v>
          </cell>
          <cell r="P419">
            <v>0.217983193277311</v>
          </cell>
        </row>
        <row r="420">
          <cell r="F420" t="str">
            <v>70485839</v>
          </cell>
          <cell r="G420" t="str">
            <v>金健</v>
          </cell>
          <cell r="H420" t="str">
            <v>金健</v>
          </cell>
          <cell r="I420" t="str">
            <v>家庭食品</v>
          </cell>
          <cell r="J420" t="str">
            <v>油</v>
          </cell>
          <cell r="K420" t="str">
            <v>金健 三鲜因子初榨葵花仁油 5L</v>
          </cell>
          <cell r="L420" t="str">
            <v>5L</v>
          </cell>
          <cell r="M420" t="str">
            <v>桶</v>
          </cell>
          <cell r="N420">
            <v>92.15</v>
          </cell>
          <cell r="O420">
            <v>119</v>
          </cell>
          <cell r="P420">
            <v>0.217983193277311</v>
          </cell>
        </row>
        <row r="421">
          <cell r="F421" t="str">
            <v>70485833</v>
          </cell>
          <cell r="G421" t="str">
            <v>金健</v>
          </cell>
          <cell r="H421" t="str">
            <v>金健</v>
          </cell>
          <cell r="I421" t="str">
            <v>家庭食品</v>
          </cell>
          <cell r="J421" t="str">
            <v>油</v>
          </cell>
          <cell r="K421" t="str">
            <v>金健 三鲜因子甾醇玉米油 5L</v>
          </cell>
          <cell r="L421" t="str">
            <v>5L</v>
          </cell>
          <cell r="M421" t="str">
            <v>桶</v>
          </cell>
          <cell r="N421">
            <v>92.15</v>
          </cell>
          <cell r="O421">
            <v>119</v>
          </cell>
          <cell r="P421">
            <v>0.217983193277311</v>
          </cell>
        </row>
        <row r="422">
          <cell r="F422" t="str">
            <v>70485847</v>
          </cell>
          <cell r="G422" t="str">
            <v>金健</v>
          </cell>
          <cell r="H422" t="str">
            <v>金健</v>
          </cell>
          <cell r="I422" t="str">
            <v>家庭食品</v>
          </cell>
          <cell r="J422" t="str">
            <v>油</v>
          </cell>
          <cell r="K422" t="str">
            <v>金健 三鲜因子浓香花生油 5L</v>
          </cell>
          <cell r="L422" t="str">
            <v>5L</v>
          </cell>
          <cell r="M422" t="str">
            <v>桶</v>
          </cell>
          <cell r="N422">
            <v>141.05000000000001</v>
          </cell>
          <cell r="O422">
            <v>169</v>
          </cell>
          <cell r="P422">
            <v>0.15715976331360901</v>
          </cell>
        </row>
        <row r="423">
          <cell r="F423" t="str">
            <v>70543349</v>
          </cell>
          <cell r="G423" t="str">
            <v>金健</v>
          </cell>
          <cell r="H423" t="str">
            <v>金健</v>
          </cell>
          <cell r="I423" t="str">
            <v>家庭食品</v>
          </cell>
          <cell r="J423" t="str">
            <v>粮</v>
          </cell>
          <cell r="K423" t="str">
            <v>金健 五常贡米 5kg</v>
          </cell>
          <cell r="L423" t="str">
            <v>5kg</v>
          </cell>
          <cell r="M423" t="str">
            <v>袋</v>
          </cell>
          <cell r="N423">
            <v>56.46</v>
          </cell>
          <cell r="O423">
            <v>80</v>
          </cell>
          <cell r="P423">
            <v>0.28725000000000001</v>
          </cell>
        </row>
        <row r="424">
          <cell r="F424" t="str">
            <v>70574247</v>
          </cell>
          <cell r="G424" t="str">
            <v>金健</v>
          </cell>
          <cell r="H424" t="str">
            <v>金健</v>
          </cell>
          <cell r="I424" t="str">
            <v>家庭食品</v>
          </cell>
          <cell r="J424" t="str">
            <v>油</v>
          </cell>
          <cell r="K424" t="str">
            <v>金健 低芥酸一级菜籽油 5L</v>
          </cell>
          <cell r="L424" t="str">
            <v>5L</v>
          </cell>
          <cell r="M424" t="str">
            <v>桶</v>
          </cell>
          <cell r="N424">
            <v>65.569999999999993</v>
          </cell>
          <cell r="O424">
            <v>98</v>
          </cell>
          <cell r="P424">
            <v>0.32428571428571401</v>
          </cell>
        </row>
        <row r="425">
          <cell r="F425" t="str">
            <v>70484356</v>
          </cell>
          <cell r="G425" t="str">
            <v>和粮</v>
          </cell>
          <cell r="H425" t="str">
            <v>溢田</v>
          </cell>
          <cell r="I425" t="str">
            <v>家庭食品</v>
          </cell>
          <cell r="J425" t="str">
            <v>粮</v>
          </cell>
          <cell r="K425" t="str">
            <v>溢田 有机糯米（简） 500g</v>
          </cell>
          <cell r="L425" t="str">
            <v>500g/袋</v>
          </cell>
          <cell r="M425" t="str">
            <v>袋</v>
          </cell>
          <cell r="N425">
            <v>6.36</v>
          </cell>
          <cell r="O425">
            <v>12.8</v>
          </cell>
          <cell r="P425">
            <v>0.49765625000000002</v>
          </cell>
        </row>
        <row r="426">
          <cell r="F426" t="str">
            <v>70484388</v>
          </cell>
          <cell r="G426" t="str">
            <v>和粮</v>
          </cell>
          <cell r="H426" t="str">
            <v>溢田</v>
          </cell>
          <cell r="I426" t="str">
            <v>家庭食品</v>
          </cell>
          <cell r="J426" t="str">
            <v>粮</v>
          </cell>
          <cell r="K426" t="str">
            <v>溢田 七日粥(红盒） 120g*7</v>
          </cell>
          <cell r="L426" t="str">
            <v>840g/盒</v>
          </cell>
          <cell r="M426" t="str">
            <v>盒</v>
          </cell>
          <cell r="N426">
            <v>15.15</v>
          </cell>
          <cell r="O426">
            <v>28.8</v>
          </cell>
          <cell r="P426">
            <v>0.46875</v>
          </cell>
        </row>
        <row r="427">
          <cell r="F427" t="str">
            <v>70421549</v>
          </cell>
          <cell r="G427" t="str">
            <v>和粮</v>
          </cell>
          <cell r="H427" t="str">
            <v>溢田</v>
          </cell>
          <cell r="I427" t="str">
            <v>家庭食品</v>
          </cell>
          <cell r="J427" t="str">
            <v>粮</v>
          </cell>
          <cell r="K427" t="str">
            <v>溢田 三十日粥(蓝盒） 75g*30</v>
          </cell>
          <cell r="L427" t="str">
            <v>2250g/盒</v>
          </cell>
          <cell r="M427" t="str">
            <v>盒</v>
          </cell>
          <cell r="N427">
            <v>47.47</v>
          </cell>
          <cell r="O427">
            <v>89.9</v>
          </cell>
          <cell r="P427">
            <v>0.46674082313681903</v>
          </cell>
        </row>
        <row r="428">
          <cell r="F428" t="str">
            <v>70484359</v>
          </cell>
          <cell r="G428" t="str">
            <v>和粮</v>
          </cell>
          <cell r="H428" t="str">
            <v>溢田</v>
          </cell>
          <cell r="I428" t="str">
            <v>家庭食品</v>
          </cell>
          <cell r="J428" t="str">
            <v>粮</v>
          </cell>
          <cell r="K428" t="str">
            <v>溢田 有机3色米 2.5kg</v>
          </cell>
          <cell r="L428" t="str">
            <v>2.5kg/袋</v>
          </cell>
          <cell r="M428" t="str">
            <v>袋</v>
          </cell>
          <cell r="N428">
            <v>30.2</v>
          </cell>
          <cell r="O428">
            <v>59.9</v>
          </cell>
          <cell r="P428">
            <v>0.49081803005008301</v>
          </cell>
        </row>
        <row r="429">
          <cell r="F429" t="str">
            <v>70484360</v>
          </cell>
          <cell r="G429" t="str">
            <v>和粮</v>
          </cell>
          <cell r="H429" t="str">
            <v>溢田</v>
          </cell>
          <cell r="I429" t="str">
            <v>家庭食品</v>
          </cell>
          <cell r="J429" t="str">
            <v>粮</v>
          </cell>
          <cell r="K429" t="str">
            <v>溢田 有机7色米 2.5kg</v>
          </cell>
          <cell r="L429" t="str">
            <v>2.5kg/袋</v>
          </cell>
          <cell r="M429" t="str">
            <v>袋</v>
          </cell>
          <cell r="N429">
            <v>30.2</v>
          </cell>
          <cell r="O429">
            <v>59.9</v>
          </cell>
          <cell r="P429">
            <v>0.49081803005008301</v>
          </cell>
        </row>
        <row r="430">
          <cell r="F430" t="str">
            <v>70484234</v>
          </cell>
          <cell r="G430" t="str">
            <v>和粮</v>
          </cell>
          <cell r="H430" t="str">
            <v>溢田</v>
          </cell>
          <cell r="I430" t="str">
            <v>家庭食品</v>
          </cell>
          <cell r="J430" t="str">
            <v>粮</v>
          </cell>
          <cell r="K430" t="str">
            <v>溢田 有机五常大米（红白袋） 5kg</v>
          </cell>
          <cell r="L430" t="str">
            <v>5kg/袋</v>
          </cell>
          <cell r="M430" t="str">
            <v>袋</v>
          </cell>
          <cell r="N430">
            <v>85.85</v>
          </cell>
          <cell r="O430">
            <v>139</v>
          </cell>
          <cell r="P430">
            <v>0.37625899280575498</v>
          </cell>
        </row>
        <row r="431">
          <cell r="F431" t="str">
            <v>70484217</v>
          </cell>
          <cell r="G431" t="str">
            <v>和粮</v>
          </cell>
          <cell r="H431" t="str">
            <v>溢田</v>
          </cell>
          <cell r="I431" t="str">
            <v>家庭食品</v>
          </cell>
          <cell r="J431" t="str">
            <v>粮</v>
          </cell>
          <cell r="K431" t="str">
            <v>溢田 有机五常大米礼盒 1kg*5</v>
          </cell>
          <cell r="L431" t="str">
            <v>1kg*5/盒</v>
          </cell>
          <cell r="M431" t="str">
            <v>盒</v>
          </cell>
          <cell r="N431">
            <v>88.88</v>
          </cell>
          <cell r="O431">
            <v>139</v>
          </cell>
          <cell r="P431">
            <v>0.35424460431654697</v>
          </cell>
        </row>
        <row r="432">
          <cell r="F432" t="str">
            <v>70484218</v>
          </cell>
          <cell r="G432" t="str">
            <v>和粮</v>
          </cell>
          <cell r="H432" t="str">
            <v>溢田</v>
          </cell>
          <cell r="I432" t="str">
            <v>家庭食品</v>
          </cell>
          <cell r="J432" t="str">
            <v>粮</v>
          </cell>
          <cell r="K432" t="str">
            <v>和粮溢田 有机五常大米 250g*20袋</v>
          </cell>
          <cell r="L432" t="str">
            <v>250g*20袋</v>
          </cell>
          <cell r="M432" t="str">
            <v>袋</v>
          </cell>
          <cell r="N432">
            <v>88.88</v>
          </cell>
          <cell r="O432">
            <v>139</v>
          </cell>
          <cell r="P432">
            <v>0.35424460431654697</v>
          </cell>
        </row>
        <row r="433">
          <cell r="F433" t="str">
            <v>70485846</v>
          </cell>
          <cell r="G433" t="str">
            <v>和粮</v>
          </cell>
          <cell r="H433" t="str">
            <v>溢田</v>
          </cell>
          <cell r="I433" t="str">
            <v>家庭食品</v>
          </cell>
          <cell r="J433" t="str">
            <v>粮</v>
          </cell>
          <cell r="K433" t="str">
            <v>溢田 清香稻香米 2.5kg</v>
          </cell>
          <cell r="L433" t="str">
            <v>2.5kg/袋</v>
          </cell>
          <cell r="M433" t="str">
            <v>袋</v>
          </cell>
          <cell r="N433">
            <v>21.21</v>
          </cell>
          <cell r="O433">
            <v>39</v>
          </cell>
          <cell r="P433">
            <v>0.45076923076923098</v>
          </cell>
        </row>
        <row r="434">
          <cell r="F434" t="str">
            <v>70484237</v>
          </cell>
          <cell r="G434" t="str">
            <v>和粮</v>
          </cell>
          <cell r="H434" t="str">
            <v>溢田</v>
          </cell>
          <cell r="I434" t="str">
            <v>家庭食品</v>
          </cell>
          <cell r="J434" t="str">
            <v>粮</v>
          </cell>
          <cell r="K434" t="str">
            <v>溢田 有机长粒香米（蓝白袋） 5kg</v>
          </cell>
          <cell r="L434" t="str">
            <v>5kg/袋</v>
          </cell>
          <cell r="M434" t="str">
            <v>袋</v>
          </cell>
          <cell r="N434">
            <v>45.15</v>
          </cell>
          <cell r="O434">
            <v>89</v>
          </cell>
          <cell r="P434">
            <v>0.487752808988764</v>
          </cell>
        </row>
        <row r="435">
          <cell r="F435" t="str">
            <v>70484220</v>
          </cell>
          <cell r="G435" t="str">
            <v>和粮</v>
          </cell>
          <cell r="H435" t="str">
            <v>溢田</v>
          </cell>
          <cell r="I435" t="str">
            <v>家庭食品</v>
          </cell>
          <cell r="J435" t="str">
            <v>粮</v>
          </cell>
          <cell r="K435" t="str">
            <v>和粮溢田 有机寒地稻香米 5kg</v>
          </cell>
          <cell r="L435" t="str">
            <v>5kg/袋</v>
          </cell>
          <cell r="M435" t="str">
            <v>袋</v>
          </cell>
          <cell r="N435">
            <v>41.92</v>
          </cell>
          <cell r="O435">
            <v>79</v>
          </cell>
          <cell r="P435">
            <v>0.46417721518987298</v>
          </cell>
        </row>
        <row r="436">
          <cell r="F436" t="str">
            <v>70291201</v>
          </cell>
          <cell r="G436" t="str">
            <v>和粮</v>
          </cell>
          <cell r="H436" t="str">
            <v>溢田</v>
          </cell>
          <cell r="I436" t="str">
            <v>家庭食品</v>
          </cell>
          <cell r="J436" t="str">
            <v>粮</v>
          </cell>
          <cell r="K436" t="str">
            <v>溢田 珍珠米 5kg</v>
          </cell>
          <cell r="L436" t="str">
            <v>5kg/袋</v>
          </cell>
          <cell r="M436" t="str">
            <v>袋</v>
          </cell>
          <cell r="N436">
            <v>33.33</v>
          </cell>
          <cell r="O436">
            <v>59</v>
          </cell>
          <cell r="P436">
            <v>0.42949152542372898</v>
          </cell>
        </row>
        <row r="437">
          <cell r="F437" t="str">
            <v>70484239</v>
          </cell>
          <cell r="G437" t="str">
            <v>和粮</v>
          </cell>
          <cell r="H437" t="str">
            <v>溢田</v>
          </cell>
          <cell r="I437" t="str">
            <v>家庭食品</v>
          </cell>
          <cell r="J437" t="str">
            <v>粮</v>
          </cell>
          <cell r="K437" t="str">
            <v>溢田 珍珠米阖家欢乐 10kg</v>
          </cell>
          <cell r="L437" t="str">
            <v>10kg/袋</v>
          </cell>
          <cell r="M437" t="str">
            <v>袋</v>
          </cell>
          <cell r="N437">
            <v>55.55</v>
          </cell>
          <cell r="O437">
            <v>89</v>
          </cell>
          <cell r="P437">
            <v>0.36966292134831502</v>
          </cell>
        </row>
        <row r="438">
          <cell r="F438" t="str">
            <v>70543346</v>
          </cell>
          <cell r="G438" t="str">
            <v>和粮</v>
          </cell>
          <cell r="H438" t="str">
            <v>溢田</v>
          </cell>
          <cell r="I438" t="str">
            <v>家庭食品</v>
          </cell>
          <cell r="J438" t="str">
            <v>杂粮</v>
          </cell>
          <cell r="K438" t="str">
            <v>溢田 花生糯米饭 300g</v>
          </cell>
          <cell r="L438" t="str">
            <v>300g</v>
          </cell>
          <cell r="M438" t="str">
            <v>袋</v>
          </cell>
          <cell r="N438">
            <v>4.2699999999999996</v>
          </cell>
          <cell r="O438">
            <v>6.98</v>
          </cell>
          <cell r="P438">
            <v>0.382521489971347</v>
          </cell>
        </row>
        <row r="439">
          <cell r="F439" t="str">
            <v>70543342</v>
          </cell>
          <cell r="G439" t="str">
            <v>和粮</v>
          </cell>
          <cell r="H439" t="str">
            <v>溢田</v>
          </cell>
          <cell r="I439" t="str">
            <v>家庭食品</v>
          </cell>
          <cell r="J439" t="str">
            <v>杂粮</v>
          </cell>
          <cell r="K439" t="str">
            <v>溢田 八宝米 300g</v>
          </cell>
          <cell r="L439" t="str">
            <v>300g</v>
          </cell>
          <cell r="M439" t="str">
            <v>袋</v>
          </cell>
          <cell r="N439">
            <v>4.2699999999999996</v>
          </cell>
          <cell r="O439">
            <v>6.98</v>
          </cell>
          <cell r="P439">
            <v>0.382521489971347</v>
          </cell>
        </row>
        <row r="440">
          <cell r="F440" t="str">
            <v>70543344</v>
          </cell>
          <cell r="G440" t="str">
            <v>和粮</v>
          </cell>
          <cell r="H440" t="str">
            <v>溢田</v>
          </cell>
          <cell r="I440" t="str">
            <v>家庭食品</v>
          </cell>
          <cell r="J440" t="str">
            <v>杂粮</v>
          </cell>
          <cell r="K440" t="str">
            <v>溢田 小米 300g</v>
          </cell>
          <cell r="L440" t="str">
            <v>300g</v>
          </cell>
          <cell r="M440" t="str">
            <v>袋</v>
          </cell>
          <cell r="N440">
            <v>4.2699999999999996</v>
          </cell>
          <cell r="O440">
            <v>6.98</v>
          </cell>
          <cell r="P440">
            <v>0.382521489971347</v>
          </cell>
        </row>
        <row r="441">
          <cell r="F441" t="str">
            <v>70543347</v>
          </cell>
          <cell r="G441" t="str">
            <v>和粮</v>
          </cell>
          <cell r="H441" t="str">
            <v>溢田</v>
          </cell>
          <cell r="I441" t="str">
            <v>家庭食品</v>
          </cell>
          <cell r="J441" t="str">
            <v>粮</v>
          </cell>
          <cell r="K441" t="str">
            <v>溢田 珍珠米 25kg</v>
          </cell>
          <cell r="L441" t="str">
            <v>25kg</v>
          </cell>
          <cell r="M441" t="str">
            <v>袋</v>
          </cell>
          <cell r="N441">
            <v>119.99</v>
          </cell>
          <cell r="O441">
            <v>149</v>
          </cell>
          <cell r="P441">
            <v>0.186711409395973</v>
          </cell>
        </row>
        <row r="442">
          <cell r="F442" t="str">
            <v>70543345</v>
          </cell>
          <cell r="G442" t="str">
            <v>和粮</v>
          </cell>
          <cell r="H442" t="str">
            <v>溢田</v>
          </cell>
          <cell r="I442" t="str">
            <v>家庭食品</v>
          </cell>
          <cell r="J442" t="str">
            <v>粮</v>
          </cell>
          <cell r="K442" t="str">
            <v>溢田 长粒香米 25kg</v>
          </cell>
          <cell r="L442" t="str">
            <v>25kg</v>
          </cell>
          <cell r="M442" t="str">
            <v>袋</v>
          </cell>
          <cell r="N442">
            <v>152.71</v>
          </cell>
          <cell r="O442">
            <v>199</v>
          </cell>
          <cell r="P442">
            <v>0.225025125628141</v>
          </cell>
        </row>
        <row r="443">
          <cell r="F443" t="str">
            <v>70543339</v>
          </cell>
          <cell r="G443" t="str">
            <v>和粮</v>
          </cell>
          <cell r="H443" t="str">
            <v>溢田</v>
          </cell>
          <cell r="I443" t="str">
            <v>家庭食品</v>
          </cell>
          <cell r="J443" t="str">
            <v>杂粮</v>
          </cell>
          <cell r="K443" t="str">
            <v>溢田 田园系列陈皮绿豆百合银耳粥 1kg</v>
          </cell>
          <cell r="L443" t="str">
            <v>1kg</v>
          </cell>
          <cell r="M443" t="str">
            <v>罐</v>
          </cell>
          <cell r="N443">
            <v>26.61</v>
          </cell>
          <cell r="O443">
            <v>34.9</v>
          </cell>
          <cell r="P443">
            <v>0.229799426934097</v>
          </cell>
        </row>
        <row r="444">
          <cell r="F444" t="str">
            <v>70543343</v>
          </cell>
          <cell r="G444" t="str">
            <v>和粮</v>
          </cell>
          <cell r="H444" t="str">
            <v>溢田</v>
          </cell>
          <cell r="I444" t="str">
            <v>家庭食品</v>
          </cell>
          <cell r="J444" t="str">
            <v>杂粮</v>
          </cell>
          <cell r="K444" t="str">
            <v>溢田 绿豆 500g</v>
          </cell>
          <cell r="L444" t="str">
            <v>500g</v>
          </cell>
          <cell r="M444" t="str">
            <v>袋</v>
          </cell>
          <cell r="N444">
            <v>7.47</v>
          </cell>
          <cell r="O444">
            <v>9.9</v>
          </cell>
          <cell r="P444">
            <v>0.23737373737373699</v>
          </cell>
        </row>
        <row r="445">
          <cell r="F445" t="str">
            <v>70543340</v>
          </cell>
          <cell r="G445" t="str">
            <v>和粮</v>
          </cell>
          <cell r="H445" t="str">
            <v>溢田</v>
          </cell>
          <cell r="I445" t="str">
            <v>家庭食品</v>
          </cell>
          <cell r="J445" t="str">
            <v>粮</v>
          </cell>
          <cell r="K445" t="str">
            <v>溢田 珍珠米 500g</v>
          </cell>
          <cell r="L445" t="str">
            <v>500g</v>
          </cell>
          <cell r="M445" t="str">
            <v>袋</v>
          </cell>
          <cell r="N445">
            <v>3.91</v>
          </cell>
          <cell r="O445">
            <v>4.9000000000000004</v>
          </cell>
          <cell r="P445">
            <v>0.19387755102040799</v>
          </cell>
        </row>
        <row r="446">
          <cell r="F446" t="str">
            <v>70559371</v>
          </cell>
          <cell r="G446" t="str">
            <v>和粮</v>
          </cell>
          <cell r="H446" t="str">
            <v>北国金丝燕</v>
          </cell>
          <cell r="I446" t="str">
            <v>速食</v>
          </cell>
          <cell r="J446" t="str">
            <v>粥类</v>
          </cell>
          <cell r="K446" t="str">
            <v>金丝燕 椰香西米燕窝粥 252g（精装版）</v>
          </cell>
          <cell r="L446" t="str">
            <v>252g</v>
          </cell>
          <cell r="M446" t="str">
            <v>杯</v>
          </cell>
          <cell r="N446">
            <v>8.89</v>
          </cell>
          <cell r="O446">
            <v>15.9</v>
          </cell>
          <cell r="P446">
            <v>0.43522012578616298</v>
          </cell>
        </row>
        <row r="447">
          <cell r="F447" t="str">
            <v>70559373</v>
          </cell>
          <cell r="G447" t="str">
            <v>和粮</v>
          </cell>
          <cell r="H447" t="str">
            <v>北国金丝燕</v>
          </cell>
          <cell r="I447" t="str">
            <v>速食</v>
          </cell>
          <cell r="J447" t="str">
            <v>粥类</v>
          </cell>
          <cell r="K447" t="str">
            <v>金丝燕 椰浆紫米花胶粥 252g（精装版）</v>
          </cell>
          <cell r="L447" t="str">
            <v>252g</v>
          </cell>
          <cell r="M447" t="str">
            <v>杯</v>
          </cell>
          <cell r="N447">
            <v>10.5</v>
          </cell>
          <cell r="O447">
            <v>19.899999999999999</v>
          </cell>
          <cell r="P447">
            <v>0.46683417085427098</v>
          </cell>
        </row>
        <row r="448">
          <cell r="F448" t="str">
            <v>70559374</v>
          </cell>
          <cell r="G448" t="str">
            <v>和粮</v>
          </cell>
          <cell r="H448" t="str">
            <v>北国金丝燕</v>
          </cell>
          <cell r="I448" t="str">
            <v>速食</v>
          </cell>
          <cell r="J448" t="str">
            <v>粥类</v>
          </cell>
          <cell r="K448" t="str">
            <v>金丝燕 奶香燕麦粥 252g（精装版）</v>
          </cell>
          <cell r="L448" t="str">
            <v>252g</v>
          </cell>
          <cell r="M448" t="str">
            <v>杯</v>
          </cell>
          <cell r="N448">
            <v>7.37</v>
          </cell>
          <cell r="O448">
            <v>12.8</v>
          </cell>
          <cell r="P448">
            <v>0.41796875</v>
          </cell>
        </row>
        <row r="449">
          <cell r="F449" t="str">
            <v>70559375</v>
          </cell>
          <cell r="G449" t="str">
            <v>和粮</v>
          </cell>
          <cell r="H449" t="str">
            <v>北国金丝燕</v>
          </cell>
          <cell r="I449" t="str">
            <v>速食</v>
          </cell>
          <cell r="J449" t="str">
            <v>粥类</v>
          </cell>
          <cell r="K449" t="str">
            <v>金丝燕 椰香女神燕窝粥 252g*6</v>
          </cell>
          <cell r="L449" t="str">
            <v>252g*6</v>
          </cell>
          <cell r="M449" t="str">
            <v>杯</v>
          </cell>
          <cell r="N449">
            <v>90.9</v>
          </cell>
          <cell r="O449">
            <v>169</v>
          </cell>
          <cell r="P449">
            <v>0.456804733727811</v>
          </cell>
        </row>
        <row r="450">
          <cell r="F450" t="str">
            <v>70559376</v>
          </cell>
          <cell r="G450" t="str">
            <v>和粮</v>
          </cell>
          <cell r="H450" t="str">
            <v>北国金丝燕</v>
          </cell>
          <cell r="I450" t="str">
            <v>速食</v>
          </cell>
          <cell r="J450" t="str">
            <v>粥类</v>
          </cell>
          <cell r="K450" t="str">
            <v>金丝燕 山药百合燕窝粥 252g*6</v>
          </cell>
          <cell r="L450" t="str">
            <v>252g*6</v>
          </cell>
          <cell r="M450" t="str">
            <v>杯</v>
          </cell>
          <cell r="N450">
            <v>90.9</v>
          </cell>
          <cell r="O450">
            <v>169</v>
          </cell>
          <cell r="P450">
            <v>0.456804733727811</v>
          </cell>
        </row>
        <row r="451">
          <cell r="F451" t="str">
            <v>70559380</v>
          </cell>
          <cell r="G451" t="str">
            <v>和粮</v>
          </cell>
          <cell r="H451" t="str">
            <v>北国金丝燕</v>
          </cell>
          <cell r="I451" t="str">
            <v>速食</v>
          </cell>
          <cell r="J451" t="str">
            <v>粥类</v>
          </cell>
          <cell r="K451" t="str">
            <v>金丝燕 红枣桂圆红豆燕窝粥 252g（精装版）</v>
          </cell>
          <cell r="L451" t="str">
            <v>252g</v>
          </cell>
          <cell r="M451" t="str">
            <v>杯</v>
          </cell>
          <cell r="N451">
            <v>8.7899999999999991</v>
          </cell>
          <cell r="O451">
            <v>15.9</v>
          </cell>
          <cell r="P451">
            <v>0.442138364779874</v>
          </cell>
        </row>
        <row r="452">
          <cell r="F452" t="str">
            <v>70559381</v>
          </cell>
          <cell r="G452" t="str">
            <v>和粮</v>
          </cell>
          <cell r="H452" t="str">
            <v>北国金丝燕</v>
          </cell>
          <cell r="I452" t="str">
            <v>速食</v>
          </cell>
          <cell r="J452" t="str">
            <v>粥类</v>
          </cell>
          <cell r="K452" t="str">
            <v>金丝燕 五红牛奶粥 252g（精装版）</v>
          </cell>
          <cell r="L452" t="str">
            <v>252g</v>
          </cell>
          <cell r="M452" t="str">
            <v>杯</v>
          </cell>
          <cell r="N452">
            <v>7.37</v>
          </cell>
          <cell r="O452">
            <v>12.8</v>
          </cell>
          <cell r="P452">
            <v>0.41796875</v>
          </cell>
        </row>
        <row r="453">
          <cell r="F453" t="str">
            <v>70559372</v>
          </cell>
          <cell r="G453" t="str">
            <v>和粮</v>
          </cell>
          <cell r="H453" t="str">
            <v>北国金丝燕</v>
          </cell>
          <cell r="I453" t="str">
            <v>速食</v>
          </cell>
          <cell r="J453" t="str">
            <v>粥类</v>
          </cell>
          <cell r="K453" t="str">
            <v>金丝燕 厚椰乳燕窝粥 252g（精装版）</v>
          </cell>
          <cell r="L453" t="str">
            <v>252g</v>
          </cell>
          <cell r="M453" t="str">
            <v>杯</v>
          </cell>
          <cell r="N453">
            <v>8.89</v>
          </cell>
          <cell r="O453">
            <v>19.899999999999999</v>
          </cell>
          <cell r="P453">
            <v>0.548743718592965</v>
          </cell>
        </row>
        <row r="454">
          <cell r="F454" t="str">
            <v>70559379</v>
          </cell>
          <cell r="G454" t="str">
            <v>和粮</v>
          </cell>
          <cell r="H454" t="str">
            <v>北国金丝燕</v>
          </cell>
          <cell r="I454" t="str">
            <v>速食</v>
          </cell>
          <cell r="J454" t="str">
            <v>粥类</v>
          </cell>
          <cell r="K454" t="str">
            <v>金丝燕 黑米牛奶燕窝粥 252g（精装版）</v>
          </cell>
          <cell r="L454" t="str">
            <v>252g</v>
          </cell>
          <cell r="M454" t="str">
            <v>杯</v>
          </cell>
          <cell r="N454">
            <v>8.48</v>
          </cell>
          <cell r="O454">
            <v>19.899999999999999</v>
          </cell>
          <cell r="P454">
            <v>0.56934673366834199</v>
          </cell>
        </row>
        <row r="455">
          <cell r="F455" t="str">
            <v>70559383</v>
          </cell>
          <cell r="G455" t="str">
            <v>和粮</v>
          </cell>
          <cell r="H455" t="str">
            <v>北国金丝燕</v>
          </cell>
          <cell r="I455" t="str">
            <v>速食</v>
          </cell>
          <cell r="J455" t="str">
            <v>粥类</v>
          </cell>
          <cell r="K455" t="str">
            <v>金丝燕 大枣莲子玫瑰粥 252g（精装版）</v>
          </cell>
          <cell r="L455" t="str">
            <v>252g</v>
          </cell>
          <cell r="M455" t="str">
            <v>杯</v>
          </cell>
          <cell r="N455">
            <v>7.98</v>
          </cell>
          <cell r="O455">
            <v>16.8</v>
          </cell>
          <cell r="P455">
            <v>0.52023809523809506</v>
          </cell>
        </row>
        <row r="456">
          <cell r="F456" t="str">
            <v>70559384</v>
          </cell>
          <cell r="G456" t="str">
            <v>和粮</v>
          </cell>
          <cell r="H456" t="str">
            <v>北国金丝燕</v>
          </cell>
          <cell r="I456" t="str">
            <v>速食</v>
          </cell>
          <cell r="J456" t="str">
            <v>粥类</v>
          </cell>
          <cell r="K456" t="str">
            <v>金丝燕 桂花藜麦燕窝粥 252g（精装版）</v>
          </cell>
          <cell r="L456" t="str">
            <v>252g</v>
          </cell>
          <cell r="M456" t="str">
            <v>杯</v>
          </cell>
          <cell r="N456">
            <v>8.7899999999999991</v>
          </cell>
          <cell r="O456">
            <v>19.899999999999999</v>
          </cell>
          <cell r="P456">
            <v>0.55427135678392003</v>
          </cell>
        </row>
        <row r="457">
          <cell r="F457" t="str">
            <v>70559377</v>
          </cell>
          <cell r="G457" t="str">
            <v>和粮</v>
          </cell>
          <cell r="H457" t="str">
            <v>北国金丝燕</v>
          </cell>
          <cell r="I457" t="str">
            <v>速食</v>
          </cell>
          <cell r="J457" t="str">
            <v>粥类</v>
          </cell>
          <cell r="K457" t="str">
            <v>金丝燕 杨枝甘露牛奶花胶粥 252g（精装版）</v>
          </cell>
          <cell r="L457" t="str">
            <v>252g</v>
          </cell>
          <cell r="M457" t="str">
            <v>杯</v>
          </cell>
          <cell r="N457">
            <v>10.5</v>
          </cell>
          <cell r="O457">
            <v>19.899999999999999</v>
          </cell>
          <cell r="P457">
            <v>0.46683417085427098</v>
          </cell>
        </row>
        <row r="458">
          <cell r="F458" t="str">
            <v>70559378</v>
          </cell>
          <cell r="G458" t="str">
            <v>和粮</v>
          </cell>
          <cell r="H458" t="str">
            <v>北国金丝燕</v>
          </cell>
          <cell r="I458" t="str">
            <v>速食</v>
          </cell>
          <cell r="J458" t="str">
            <v>粥类</v>
          </cell>
          <cell r="K458" t="str">
            <v>金丝燕 扁豆藜麦燕窝粥 252g（精装版）</v>
          </cell>
          <cell r="L458" t="str">
            <v>252g</v>
          </cell>
          <cell r="M458" t="str">
            <v>杯</v>
          </cell>
          <cell r="N458">
            <v>8.3800000000000008</v>
          </cell>
          <cell r="O458">
            <v>16.8</v>
          </cell>
          <cell r="P458">
            <v>0.49583333333333302</v>
          </cell>
        </row>
        <row r="459">
          <cell r="F459" t="str">
            <v>70559382</v>
          </cell>
          <cell r="G459" t="str">
            <v>和粮</v>
          </cell>
          <cell r="H459" t="str">
            <v>北国金丝燕</v>
          </cell>
          <cell r="I459" t="str">
            <v>速食</v>
          </cell>
          <cell r="J459" t="str">
            <v>粥类</v>
          </cell>
          <cell r="K459" t="str">
            <v>金丝燕 桂花藜麦燕窝粥 252g*6</v>
          </cell>
          <cell r="L459" t="str">
            <v>252g*6</v>
          </cell>
          <cell r="M459" t="str">
            <v>杯</v>
          </cell>
          <cell r="N459">
            <v>54.34</v>
          </cell>
          <cell r="O459">
            <v>139</v>
          </cell>
          <cell r="P459">
            <v>0.60517985611510805</v>
          </cell>
        </row>
        <row r="460">
          <cell r="F460" t="str">
            <v>70559385</v>
          </cell>
          <cell r="G460" t="str">
            <v>和粮</v>
          </cell>
          <cell r="H460" t="str">
            <v>北国金丝燕</v>
          </cell>
          <cell r="I460" t="str">
            <v>速食</v>
          </cell>
          <cell r="J460" t="str">
            <v>粥类</v>
          </cell>
          <cell r="K460" t="str">
            <v>金丝燕 杨枝甘露牛奶花胶粥 252g*6</v>
          </cell>
          <cell r="L460" t="str">
            <v>252g*6</v>
          </cell>
          <cell r="M460" t="str">
            <v>杯</v>
          </cell>
          <cell r="N460">
            <v>72.22</v>
          </cell>
          <cell r="O460">
            <v>139</v>
          </cell>
          <cell r="P460">
            <v>0.47532374100719399</v>
          </cell>
        </row>
        <row r="461">
          <cell r="F461" t="str">
            <v>70574242</v>
          </cell>
          <cell r="G461" t="str">
            <v>和粮</v>
          </cell>
          <cell r="H461" t="str">
            <v>溢田</v>
          </cell>
          <cell r="I461" t="str">
            <v>家庭食品</v>
          </cell>
          <cell r="J461" t="str">
            <v>杂粮</v>
          </cell>
          <cell r="K461" t="str">
            <v>溢田 八喜送福礼盒 3.39kg</v>
          </cell>
          <cell r="L461" t="str">
            <v>3.39kg</v>
          </cell>
          <cell r="M461" t="str">
            <v>盒</v>
          </cell>
          <cell r="N461">
            <v>77.27</v>
          </cell>
          <cell r="O461">
            <v>128</v>
          </cell>
          <cell r="P461">
            <v>0.39039062499999999</v>
          </cell>
        </row>
        <row r="462">
          <cell r="F462" t="str">
            <v>70574246</v>
          </cell>
          <cell r="G462" t="str">
            <v>和粮</v>
          </cell>
          <cell r="H462" t="str">
            <v>溢田</v>
          </cell>
          <cell r="I462" t="str">
            <v>家庭食品</v>
          </cell>
          <cell r="J462" t="str">
            <v>杂粮</v>
          </cell>
          <cell r="K462" t="str">
            <v>溢田 五谷丰登杂粮礼盒 2.49kg</v>
          </cell>
          <cell r="L462" t="str">
            <v>2.49kg</v>
          </cell>
          <cell r="M462" t="str">
            <v>盒</v>
          </cell>
          <cell r="N462">
            <v>98.17</v>
          </cell>
          <cell r="O462">
            <v>149</v>
          </cell>
          <cell r="P462">
            <v>0.33463087248322099</v>
          </cell>
        </row>
        <row r="463">
          <cell r="F463" t="str">
            <v>70574842</v>
          </cell>
          <cell r="G463" t="str">
            <v>和粮</v>
          </cell>
          <cell r="H463" t="str">
            <v>溢田</v>
          </cell>
          <cell r="I463" t="str">
            <v>家庭食品</v>
          </cell>
          <cell r="J463" t="str">
            <v>米</v>
          </cell>
          <cell r="K463" t="str">
            <v>溢田 长粒香米 500g</v>
          </cell>
          <cell r="L463" t="str">
            <v>500g</v>
          </cell>
          <cell r="M463" t="str">
            <v>袋</v>
          </cell>
          <cell r="N463">
            <v>5.25</v>
          </cell>
          <cell r="O463">
            <v>6.9</v>
          </cell>
          <cell r="P463">
            <v>0.231884057971015</v>
          </cell>
        </row>
        <row r="464">
          <cell r="F464" t="str">
            <v>70574256</v>
          </cell>
          <cell r="G464" t="str">
            <v>和粮</v>
          </cell>
          <cell r="H464" t="str">
            <v>溢田</v>
          </cell>
          <cell r="I464" t="str">
            <v>家庭食品</v>
          </cell>
          <cell r="J464" t="str">
            <v>杂粮</v>
          </cell>
          <cell r="K464" t="str">
            <v>溢田 田园系列银耳莲子小米粥 1kg</v>
          </cell>
          <cell r="L464" t="str">
            <v>1kg</v>
          </cell>
          <cell r="M464" t="str">
            <v>袋</v>
          </cell>
          <cell r="N464">
            <v>24.34</v>
          </cell>
          <cell r="O464">
            <v>35</v>
          </cell>
          <cell r="P464">
            <v>0.29771428571428599</v>
          </cell>
        </row>
        <row r="465">
          <cell r="F465" t="str">
            <v>70507023</v>
          </cell>
          <cell r="G465" t="str">
            <v>和粮</v>
          </cell>
          <cell r="H465" t="str">
            <v>溢田</v>
          </cell>
          <cell r="I465" t="str">
            <v>家庭食品</v>
          </cell>
          <cell r="J465" t="str">
            <v>杂粮</v>
          </cell>
          <cell r="K465" t="str">
            <v>溢田 田园系列紫薯黑米粥 1kg</v>
          </cell>
          <cell r="L465" t="str">
            <v>1kg</v>
          </cell>
          <cell r="M465" t="str">
            <v>袋</v>
          </cell>
          <cell r="N465">
            <v>17.98</v>
          </cell>
          <cell r="O465">
            <v>26</v>
          </cell>
          <cell r="P465">
            <v>0.30153846153846198</v>
          </cell>
        </row>
        <row r="466">
          <cell r="F466" t="str">
            <v>70574255</v>
          </cell>
          <cell r="G466" t="str">
            <v>和粮</v>
          </cell>
          <cell r="H466" t="str">
            <v>溢田</v>
          </cell>
          <cell r="I466" t="str">
            <v>家庭食品</v>
          </cell>
          <cell r="J466" t="str">
            <v>杂粮</v>
          </cell>
          <cell r="K466" t="str">
            <v>溢田 田园系列红枣燕麦小米粥 1kg</v>
          </cell>
          <cell r="L466" t="str">
            <v>1kg</v>
          </cell>
          <cell r="M466" t="str">
            <v>袋</v>
          </cell>
          <cell r="N466">
            <v>19.8</v>
          </cell>
          <cell r="O466">
            <v>28</v>
          </cell>
          <cell r="P466">
            <v>0.28607142857142898</v>
          </cell>
        </row>
        <row r="467">
          <cell r="F467" t="str">
            <v>70574252</v>
          </cell>
          <cell r="G467" t="str">
            <v>和粮</v>
          </cell>
          <cell r="H467" t="str">
            <v>溢田</v>
          </cell>
          <cell r="I467" t="str">
            <v>家庭食品</v>
          </cell>
          <cell r="J467" t="str">
            <v>杂粮</v>
          </cell>
          <cell r="K467" t="str">
            <v>溢田 田园系列芡实山药粥 1kg</v>
          </cell>
          <cell r="L467" t="str">
            <v>1kg</v>
          </cell>
          <cell r="M467" t="str">
            <v>袋</v>
          </cell>
          <cell r="N467">
            <v>19.8</v>
          </cell>
          <cell r="O467">
            <v>28</v>
          </cell>
          <cell r="P467">
            <v>0.28607142857142898</v>
          </cell>
        </row>
        <row r="468">
          <cell r="F468" t="str">
            <v>70574843</v>
          </cell>
          <cell r="G468" t="str">
            <v>和粮</v>
          </cell>
          <cell r="H468" t="str">
            <v>溢田</v>
          </cell>
          <cell r="I468" t="str">
            <v>家庭食品</v>
          </cell>
          <cell r="J468" t="str">
            <v>杂粮</v>
          </cell>
          <cell r="K468" t="str">
            <v>溢田 田园系列高原青稞蕨麻粥 1kg</v>
          </cell>
          <cell r="L468" t="str">
            <v>1kg</v>
          </cell>
          <cell r="M468" t="str">
            <v>袋</v>
          </cell>
          <cell r="N468">
            <v>19.8</v>
          </cell>
          <cell r="O468">
            <v>28</v>
          </cell>
          <cell r="P468">
            <v>0.28607142857142898</v>
          </cell>
        </row>
        <row r="469">
          <cell r="F469" t="str">
            <v>70574238</v>
          </cell>
          <cell r="G469" t="str">
            <v>和粮</v>
          </cell>
          <cell r="H469" t="str">
            <v>溢田</v>
          </cell>
          <cell r="I469" t="str">
            <v>家庭食品</v>
          </cell>
          <cell r="J469" t="str">
            <v>杂粮</v>
          </cell>
          <cell r="K469" t="str">
            <v>溢田 田园系列红豆薏米粥 1kg</v>
          </cell>
          <cell r="L469" t="str">
            <v>1kg</v>
          </cell>
          <cell r="M469" t="str">
            <v>袋</v>
          </cell>
          <cell r="N469">
            <v>19.8</v>
          </cell>
          <cell r="O469">
            <v>28</v>
          </cell>
          <cell r="P469">
            <v>0.28607142857142898</v>
          </cell>
        </row>
        <row r="470">
          <cell r="F470" t="str">
            <v>70574240</v>
          </cell>
          <cell r="G470" t="str">
            <v>和粮</v>
          </cell>
          <cell r="H470" t="str">
            <v>溢田</v>
          </cell>
          <cell r="I470" t="str">
            <v>家庭食品</v>
          </cell>
          <cell r="J470" t="str">
            <v>杂粮</v>
          </cell>
          <cell r="K470" t="str">
            <v>田园系列黄金小米山药南瓜粥 1kg</v>
          </cell>
          <cell r="L470" t="str">
            <v>1kg</v>
          </cell>
          <cell r="M470" t="str">
            <v>袋</v>
          </cell>
          <cell r="N470">
            <v>21.31</v>
          </cell>
          <cell r="O470">
            <v>30</v>
          </cell>
          <cell r="P470">
            <v>0.28266666666666701</v>
          </cell>
        </row>
        <row r="471">
          <cell r="F471" t="str">
            <v>70365218</v>
          </cell>
          <cell r="G471" t="str">
            <v>益海嘉里</v>
          </cell>
          <cell r="H471" t="str">
            <v>金龙鱼</v>
          </cell>
          <cell r="I471" t="str">
            <v>家庭食品</v>
          </cell>
          <cell r="J471" t="str">
            <v>粮</v>
          </cell>
          <cell r="K471" t="str">
            <v>金龙鱼 御品珍珠米 5kg</v>
          </cell>
          <cell r="L471" t="str">
            <v>5kg</v>
          </cell>
          <cell r="M471" t="str">
            <v>袋</v>
          </cell>
          <cell r="N471">
            <v>40.17</v>
          </cell>
          <cell r="O471">
            <v>49.9</v>
          </cell>
          <cell r="P471">
            <v>0.186973947895792</v>
          </cell>
        </row>
        <row r="472">
          <cell r="F472" t="str">
            <v>70174695</v>
          </cell>
          <cell r="G472" t="str">
            <v>益海嘉里</v>
          </cell>
          <cell r="H472" t="str">
            <v>金龙鱼</v>
          </cell>
          <cell r="I472" t="str">
            <v>家庭食品</v>
          </cell>
          <cell r="J472" t="str">
            <v>粮</v>
          </cell>
          <cell r="K472" t="str">
            <v>金龙鱼 优质东北大米 5kg</v>
          </cell>
          <cell r="L472" t="str">
            <v>5kg</v>
          </cell>
          <cell r="M472" t="str">
            <v>袋</v>
          </cell>
          <cell r="N472">
            <v>33.700000000000003</v>
          </cell>
          <cell r="O472">
            <v>39.9</v>
          </cell>
          <cell r="P472">
            <v>0.14686716791979901</v>
          </cell>
        </row>
        <row r="473">
          <cell r="F473" t="str">
            <v>70381881</v>
          </cell>
          <cell r="G473" t="str">
            <v>益海嘉里</v>
          </cell>
          <cell r="H473" t="str">
            <v>金龙鱼</v>
          </cell>
          <cell r="I473" t="str">
            <v>家庭食品</v>
          </cell>
          <cell r="J473" t="str">
            <v>油</v>
          </cell>
          <cell r="K473" t="str">
            <v>金龙鱼 压榨本香菜籽油 5L（非转基因）</v>
          </cell>
          <cell r="L473" t="str">
            <v>5L</v>
          </cell>
          <cell r="M473" t="str">
            <v>桶</v>
          </cell>
          <cell r="N473">
            <v>88.17</v>
          </cell>
          <cell r="O473">
            <v>129.9</v>
          </cell>
          <cell r="P473">
            <v>0.31447267128560402</v>
          </cell>
        </row>
        <row r="474">
          <cell r="F474" t="str">
            <v>70322226</v>
          </cell>
          <cell r="G474" t="str">
            <v>益海嘉里</v>
          </cell>
          <cell r="H474" t="str">
            <v>金龙鱼</v>
          </cell>
          <cell r="I474" t="str">
            <v>家庭食品</v>
          </cell>
          <cell r="J474" t="str">
            <v>油</v>
          </cell>
          <cell r="K474" t="str">
            <v>金龙鱼 纯香花生油 5L</v>
          </cell>
          <cell r="L474" t="str">
            <v>5L</v>
          </cell>
          <cell r="M474" t="str">
            <v>桶</v>
          </cell>
          <cell r="N474">
            <v>105.81</v>
          </cell>
          <cell r="O474">
            <v>129.9</v>
          </cell>
          <cell r="P474">
            <v>0.177367205542725</v>
          </cell>
        </row>
        <row r="475">
          <cell r="F475" t="str">
            <v>70041220</v>
          </cell>
          <cell r="G475" t="str">
            <v>益海嘉里</v>
          </cell>
          <cell r="H475" t="str">
            <v>金龙鱼</v>
          </cell>
          <cell r="I475" t="str">
            <v>家庭食品</v>
          </cell>
          <cell r="J475" t="str">
            <v>油</v>
          </cell>
          <cell r="K475" t="str">
            <v>金龙鱼 自然香葵花籽油 5L</v>
          </cell>
          <cell r="L475" t="str">
            <v>5L</v>
          </cell>
          <cell r="M475" t="str">
            <v>瓶</v>
          </cell>
          <cell r="N475">
            <v>75.44</v>
          </cell>
          <cell r="O475">
            <v>94.9</v>
          </cell>
          <cell r="P475">
            <v>0.19726027397260301</v>
          </cell>
        </row>
        <row r="476">
          <cell r="F476" t="str">
            <v>70041206</v>
          </cell>
          <cell r="G476" t="str">
            <v>益海嘉里</v>
          </cell>
          <cell r="H476" t="str">
            <v>金龙鱼</v>
          </cell>
          <cell r="I476" t="str">
            <v>家庭食品</v>
          </cell>
          <cell r="J476" t="str">
            <v>油</v>
          </cell>
          <cell r="K476" t="str">
            <v>金龙鱼 玉米油 5L</v>
          </cell>
          <cell r="L476" t="str">
            <v>5L</v>
          </cell>
          <cell r="M476" t="str">
            <v>瓶</v>
          </cell>
          <cell r="N476">
            <v>72.5</v>
          </cell>
          <cell r="O476">
            <v>94.9</v>
          </cell>
          <cell r="P476">
            <v>0.228451001053741</v>
          </cell>
        </row>
        <row r="477">
          <cell r="F477" t="str">
            <v>70174696</v>
          </cell>
          <cell r="G477" t="str">
            <v>益海嘉里</v>
          </cell>
          <cell r="H477" t="str">
            <v>金龙鱼</v>
          </cell>
          <cell r="I477" t="str">
            <v>家庭食品</v>
          </cell>
          <cell r="J477" t="str">
            <v>粮</v>
          </cell>
          <cell r="K477" t="str">
            <v>金龙鱼 优质东北大米 10kg</v>
          </cell>
          <cell r="L477" t="str">
            <v>5kg</v>
          </cell>
          <cell r="M477" t="str">
            <v>袋</v>
          </cell>
          <cell r="N477">
            <v>65.64</v>
          </cell>
          <cell r="O477">
            <v>79.900000000000006</v>
          </cell>
          <cell r="P477">
            <v>0.17033792240300399</v>
          </cell>
        </row>
        <row r="478">
          <cell r="F478" t="str">
            <v>70381883</v>
          </cell>
          <cell r="G478" t="str">
            <v>益海嘉里</v>
          </cell>
          <cell r="H478" t="str">
            <v>金龙鱼</v>
          </cell>
          <cell r="I478" t="str">
            <v>家庭食品</v>
          </cell>
          <cell r="J478" t="str">
            <v>油</v>
          </cell>
          <cell r="K478" t="str">
            <v>金龙鱼 精粹稻米油 5L</v>
          </cell>
          <cell r="L478" t="str">
            <v>5L</v>
          </cell>
          <cell r="M478" t="str">
            <v>桶</v>
          </cell>
          <cell r="N478">
            <v>129.32</v>
          </cell>
          <cell r="O478">
            <v>169</v>
          </cell>
          <cell r="P478">
            <v>0.22721893491124301</v>
          </cell>
        </row>
        <row r="479">
          <cell r="F479" t="str">
            <v>70143141</v>
          </cell>
          <cell r="G479" t="str">
            <v>益海嘉里</v>
          </cell>
          <cell r="H479" t="str">
            <v>金龙鱼</v>
          </cell>
          <cell r="I479" t="str">
            <v>家庭食品</v>
          </cell>
          <cell r="J479" t="str">
            <v>油</v>
          </cell>
          <cell r="K479" t="str">
            <v>金龙鱼 谷维多双一万稻米油 5L</v>
          </cell>
          <cell r="L479" t="str">
            <v>5L</v>
          </cell>
          <cell r="M479" t="str">
            <v>桶</v>
          </cell>
          <cell r="N479">
            <v>94.05</v>
          </cell>
          <cell r="O479">
            <v>129.9</v>
          </cell>
          <cell r="P479">
            <v>0.26882217090069299</v>
          </cell>
        </row>
        <row r="480">
          <cell r="F480" t="str">
            <v>70241928</v>
          </cell>
          <cell r="G480" t="str">
            <v>益海嘉里</v>
          </cell>
          <cell r="H480" t="str">
            <v>金龙鱼</v>
          </cell>
          <cell r="I480" t="str">
            <v>家庭食品</v>
          </cell>
          <cell r="J480" t="str">
            <v>油</v>
          </cell>
          <cell r="K480" t="str">
            <v>金龙鱼 纯正花生油 5L</v>
          </cell>
          <cell r="L480" t="str">
            <v>5L</v>
          </cell>
          <cell r="M480" t="str">
            <v>桶</v>
          </cell>
          <cell r="N480">
            <v>105.81</v>
          </cell>
          <cell r="O480">
            <v>129.9</v>
          </cell>
          <cell r="P480">
            <v>0.177367205542725</v>
          </cell>
        </row>
        <row r="481">
          <cell r="F481" t="str">
            <v>70047192</v>
          </cell>
          <cell r="G481" t="str">
            <v>益海嘉里</v>
          </cell>
          <cell r="H481" t="str">
            <v>金龙鱼</v>
          </cell>
          <cell r="I481" t="str">
            <v>家庭食品</v>
          </cell>
          <cell r="J481" t="str">
            <v>油</v>
          </cell>
          <cell r="K481" t="str">
            <v>金龙鱼 特香花生油 5L</v>
          </cell>
          <cell r="L481" t="str">
            <v>5L</v>
          </cell>
          <cell r="M481" t="str">
            <v>瓶</v>
          </cell>
          <cell r="N481">
            <v>107.28</v>
          </cell>
          <cell r="O481">
            <v>129.9</v>
          </cell>
          <cell r="P481">
            <v>0.16597382602001501</v>
          </cell>
        </row>
        <row r="482">
          <cell r="F482" t="str">
            <v>70046562</v>
          </cell>
          <cell r="G482" t="str">
            <v>益海嘉里</v>
          </cell>
          <cell r="H482" t="str">
            <v>金龙鱼</v>
          </cell>
          <cell r="I482" t="str">
            <v>家庭食品</v>
          </cell>
          <cell r="J482" t="str">
            <v>油</v>
          </cell>
          <cell r="K482" t="str">
            <v>金龙鱼 精炼一级大豆油 5L</v>
          </cell>
          <cell r="L482" t="str">
            <v>5L</v>
          </cell>
          <cell r="M482" t="str">
            <v>桶</v>
          </cell>
          <cell r="N482">
            <v>51.51</v>
          </cell>
          <cell r="O482">
            <v>58.9</v>
          </cell>
          <cell r="P482">
            <v>0.116808149405772</v>
          </cell>
        </row>
        <row r="483">
          <cell r="F483" t="str">
            <v>70358060</v>
          </cell>
          <cell r="G483" t="str">
            <v>益海嘉里</v>
          </cell>
          <cell r="H483" t="str">
            <v>金龙鱼</v>
          </cell>
          <cell r="I483" t="str">
            <v>家庭食品</v>
          </cell>
          <cell r="J483" t="str">
            <v>油</v>
          </cell>
          <cell r="K483" t="str">
            <v>金龙鱼 黄金比例稻谷鲜生食用植物调和油 5L</v>
          </cell>
          <cell r="L483" t="str">
            <v>5L</v>
          </cell>
          <cell r="M483" t="str">
            <v>桶</v>
          </cell>
          <cell r="N483">
            <v>93.07</v>
          </cell>
          <cell r="O483">
            <v>119.9</v>
          </cell>
          <cell r="P483">
            <v>0.216096747289408</v>
          </cell>
        </row>
        <row r="484">
          <cell r="F484" t="str">
            <v>70082766</v>
          </cell>
          <cell r="G484" t="str">
            <v>益海嘉里</v>
          </cell>
          <cell r="H484" t="str">
            <v>金龙鱼</v>
          </cell>
          <cell r="I484" t="str">
            <v>家庭食品</v>
          </cell>
          <cell r="J484" t="str">
            <v>粮</v>
          </cell>
          <cell r="K484" t="str">
            <v>金龙鱼 清香稻长粒香米 5kg</v>
          </cell>
          <cell r="L484" t="str">
            <v>5kg</v>
          </cell>
          <cell r="M484" t="str">
            <v>袋</v>
          </cell>
          <cell r="N484">
            <v>40.17</v>
          </cell>
          <cell r="O484">
            <v>52.9</v>
          </cell>
          <cell r="P484">
            <v>0.23308128544423401</v>
          </cell>
        </row>
        <row r="485">
          <cell r="F485" t="str">
            <v>70367616</v>
          </cell>
          <cell r="G485" t="str">
            <v>益海嘉里</v>
          </cell>
          <cell r="H485" t="str">
            <v>金龙鱼</v>
          </cell>
          <cell r="I485" t="str">
            <v>家庭食品</v>
          </cell>
          <cell r="J485" t="str">
            <v>粮</v>
          </cell>
          <cell r="K485" t="str">
            <v>金龙鱼 御品麦芯小麦粉 5kg</v>
          </cell>
          <cell r="L485" t="str">
            <v>5kg</v>
          </cell>
          <cell r="M485" t="str">
            <v>袋</v>
          </cell>
          <cell r="N485">
            <v>40.17</v>
          </cell>
          <cell r="O485">
            <v>49.9</v>
          </cell>
          <cell r="P485">
            <v>0.186973947895792</v>
          </cell>
        </row>
        <row r="486">
          <cell r="F486" t="str">
            <v>70381878</v>
          </cell>
          <cell r="G486" t="str">
            <v>益海嘉里</v>
          </cell>
          <cell r="H486" t="str">
            <v>金龙鱼</v>
          </cell>
          <cell r="I486" t="str">
            <v>家庭食品</v>
          </cell>
          <cell r="J486" t="str">
            <v>油</v>
          </cell>
          <cell r="K486" t="str">
            <v>金龙鱼 甄选植物甾醇玉米油 5L</v>
          </cell>
          <cell r="L486" t="str">
            <v>5L</v>
          </cell>
          <cell r="M486" t="str">
            <v>桶</v>
          </cell>
          <cell r="N486">
            <v>81.319999999999993</v>
          </cell>
          <cell r="O486">
            <v>99.9</v>
          </cell>
          <cell r="P486">
            <v>0.17797797797797801</v>
          </cell>
        </row>
        <row r="487">
          <cell r="F487" t="str">
            <v>70321736</v>
          </cell>
          <cell r="G487" t="str">
            <v>益海嘉里</v>
          </cell>
          <cell r="H487" t="str">
            <v>益海嘉里</v>
          </cell>
          <cell r="I487" t="str">
            <v>家庭食品</v>
          </cell>
          <cell r="J487" t="str">
            <v>粮</v>
          </cell>
          <cell r="K487" t="str">
            <v>益海嘉里 聚划算大礼包</v>
          </cell>
          <cell r="L487" t="str">
            <v>箱</v>
          </cell>
          <cell r="M487" t="str">
            <v>箱</v>
          </cell>
          <cell r="N487">
            <v>92.09</v>
          </cell>
          <cell r="O487">
            <v>109.9</v>
          </cell>
          <cell r="P487">
            <v>0.15377616014558701</v>
          </cell>
        </row>
        <row r="488">
          <cell r="F488" t="str">
            <v>70095450</v>
          </cell>
          <cell r="G488" t="str">
            <v>益海嘉里</v>
          </cell>
          <cell r="H488" t="str">
            <v>金龙鱼</v>
          </cell>
          <cell r="I488" t="str">
            <v>家庭食品</v>
          </cell>
          <cell r="J488" t="str">
            <v>粮</v>
          </cell>
          <cell r="K488" t="str">
            <v>金龙鱼 多用途麦芯小麦粉 5kg</v>
          </cell>
          <cell r="L488" t="str">
            <v>5kg</v>
          </cell>
          <cell r="M488" t="str">
            <v>袋</v>
          </cell>
          <cell r="N488">
            <v>32.83</v>
          </cell>
          <cell r="O488">
            <v>39.9</v>
          </cell>
          <cell r="P488">
            <v>0.169172932330827</v>
          </cell>
        </row>
        <row r="489">
          <cell r="F489" t="str">
            <v>70215156</v>
          </cell>
          <cell r="G489" t="str">
            <v>益海嘉里</v>
          </cell>
          <cell r="H489" t="str">
            <v>金龙鱼</v>
          </cell>
          <cell r="I489" t="str">
            <v>家庭食品</v>
          </cell>
          <cell r="J489" t="str">
            <v>粮</v>
          </cell>
          <cell r="K489" t="str">
            <v>金龙鱼多 用途麦芯小麦粉 1kg</v>
          </cell>
          <cell r="L489" t="str">
            <v>1kg</v>
          </cell>
          <cell r="M489" t="str">
            <v>袋</v>
          </cell>
          <cell r="N489">
            <v>8.2100000000000009</v>
          </cell>
          <cell r="O489">
            <v>10.9</v>
          </cell>
          <cell r="P489">
            <v>0.23944954128440399</v>
          </cell>
        </row>
        <row r="490">
          <cell r="F490" t="str">
            <v>70069885</v>
          </cell>
          <cell r="G490" t="str">
            <v>益海嘉里</v>
          </cell>
          <cell r="H490" t="str">
            <v>金龙鱼</v>
          </cell>
          <cell r="I490" t="str">
            <v>家庭食品</v>
          </cell>
          <cell r="J490" t="str">
            <v>粮</v>
          </cell>
          <cell r="K490" t="str">
            <v>金龙鱼 原香稻 5kg</v>
          </cell>
          <cell r="L490" t="str">
            <v>5kg</v>
          </cell>
          <cell r="M490" t="str">
            <v>袋</v>
          </cell>
          <cell r="N490">
            <v>83.27</v>
          </cell>
          <cell r="O490">
            <v>99.8</v>
          </cell>
          <cell r="P490">
            <v>0.157314629258517</v>
          </cell>
        </row>
        <row r="491">
          <cell r="F491" t="str">
            <v>70082768</v>
          </cell>
          <cell r="G491" t="str">
            <v>益海嘉里</v>
          </cell>
          <cell r="H491" t="str">
            <v>金龙鱼</v>
          </cell>
          <cell r="I491" t="str">
            <v>家庭食品</v>
          </cell>
          <cell r="J491" t="str">
            <v>粮</v>
          </cell>
          <cell r="K491" t="str">
            <v>金龙鱼 生态香稻 5kg</v>
          </cell>
          <cell r="L491" t="str">
            <v>5kg</v>
          </cell>
          <cell r="M491" t="str">
            <v>袋</v>
          </cell>
          <cell r="N491">
            <v>33.049999999999997</v>
          </cell>
          <cell r="O491">
            <v>44.9</v>
          </cell>
          <cell r="P491">
            <v>0.256792873051225</v>
          </cell>
        </row>
        <row r="492">
          <cell r="F492" t="str">
            <v>70165523</v>
          </cell>
          <cell r="G492" t="str">
            <v>益海嘉里</v>
          </cell>
          <cell r="H492" t="str">
            <v>金龙鱼</v>
          </cell>
          <cell r="I492" t="str">
            <v>家庭食品</v>
          </cell>
          <cell r="J492" t="str">
            <v>油</v>
          </cell>
          <cell r="K492" t="str">
            <v>金龙鱼 浓香花生油 5L</v>
          </cell>
          <cell r="L492" t="str">
            <v>5L</v>
          </cell>
          <cell r="M492" t="str">
            <v>瓶</v>
          </cell>
          <cell r="N492">
            <v>99.93</v>
          </cell>
          <cell r="O492">
            <v>109</v>
          </cell>
          <cell r="P492">
            <v>7.4128440366972498E-2</v>
          </cell>
        </row>
        <row r="493">
          <cell r="F493" t="str">
            <v>70256071</v>
          </cell>
          <cell r="G493" t="str">
            <v>益海嘉里</v>
          </cell>
          <cell r="H493" t="str">
            <v>金龙鱼</v>
          </cell>
          <cell r="I493" t="str">
            <v>家庭食品</v>
          </cell>
          <cell r="J493" t="str">
            <v>油</v>
          </cell>
          <cell r="K493" t="str">
            <v>金龙鱼 胡麻油 5L</v>
          </cell>
          <cell r="L493" t="str">
            <v>5L</v>
          </cell>
          <cell r="M493" t="str">
            <v>桶</v>
          </cell>
          <cell r="N493">
            <v>102.87</v>
          </cell>
          <cell r="O493">
            <v>149.9</v>
          </cell>
          <cell r="P493">
            <v>0.30693795863909301</v>
          </cell>
        </row>
        <row r="494">
          <cell r="F494" t="str">
            <v>70201793</v>
          </cell>
          <cell r="G494" t="str">
            <v>益海嘉里</v>
          </cell>
          <cell r="H494" t="str">
            <v>金龙鱼</v>
          </cell>
          <cell r="I494" t="str">
            <v>家庭食品</v>
          </cell>
          <cell r="J494" t="str">
            <v>粮</v>
          </cell>
          <cell r="K494" t="str">
            <v>金龙鱼 优质丝苗米 5kg</v>
          </cell>
          <cell r="L494" t="str">
            <v>5kg</v>
          </cell>
          <cell r="M494" t="str">
            <v>袋</v>
          </cell>
          <cell r="N494">
            <v>33.31</v>
          </cell>
          <cell r="O494">
            <v>42.5</v>
          </cell>
          <cell r="P494">
            <v>0.20847058823529399</v>
          </cell>
        </row>
        <row r="495">
          <cell r="F495" t="str">
            <v>70053488</v>
          </cell>
          <cell r="G495" t="str">
            <v>益海嘉里</v>
          </cell>
          <cell r="H495" t="str">
            <v>金龙鱼</v>
          </cell>
          <cell r="I495" t="str">
            <v>家庭食品</v>
          </cell>
          <cell r="J495" t="str">
            <v>油</v>
          </cell>
          <cell r="K495" t="str">
            <v>金龙鱼 黄金比例食用植物调和油 1.8L</v>
          </cell>
          <cell r="L495" t="str">
            <v>1.8L</v>
          </cell>
          <cell r="M495" t="str">
            <v>桶</v>
          </cell>
          <cell r="N495">
            <v>28.41</v>
          </cell>
          <cell r="O495">
            <v>32.9</v>
          </cell>
          <cell r="P495">
            <v>0.12796352583586601</v>
          </cell>
        </row>
        <row r="496">
          <cell r="F496" t="str">
            <v>70103545</v>
          </cell>
          <cell r="G496" t="str">
            <v>益海嘉里</v>
          </cell>
          <cell r="H496" t="str">
            <v>金龙鱼</v>
          </cell>
          <cell r="I496" t="str">
            <v>家庭食品</v>
          </cell>
          <cell r="J496" t="str">
            <v>粮</v>
          </cell>
          <cell r="K496" t="str">
            <v>金龙鱼 原香稻 2.5kg</v>
          </cell>
          <cell r="L496" t="str">
            <v>2.5kg</v>
          </cell>
          <cell r="M496" t="str">
            <v>袋</v>
          </cell>
          <cell r="N496">
            <v>39.19</v>
          </cell>
          <cell r="O496">
            <v>59.9</v>
          </cell>
          <cell r="P496">
            <v>0.339232053422371</v>
          </cell>
        </row>
        <row r="497">
          <cell r="F497" t="str">
            <v>70381880</v>
          </cell>
          <cell r="G497" t="str">
            <v>益海嘉里</v>
          </cell>
          <cell r="H497" t="str">
            <v>金龙鱼</v>
          </cell>
          <cell r="I497" t="str">
            <v>家庭食品</v>
          </cell>
          <cell r="J497" t="str">
            <v>油</v>
          </cell>
          <cell r="K497" t="str">
            <v>金龙鱼 小磨香油 400mL</v>
          </cell>
          <cell r="L497" t="str">
            <v>400mL</v>
          </cell>
          <cell r="M497" t="str">
            <v>瓶</v>
          </cell>
          <cell r="N497">
            <v>24.49</v>
          </cell>
          <cell r="O497">
            <v>44.9</v>
          </cell>
          <cell r="P497">
            <v>0.448997772828508</v>
          </cell>
        </row>
        <row r="498">
          <cell r="F498" t="str">
            <v>70201471</v>
          </cell>
          <cell r="G498" t="str">
            <v>益海嘉里</v>
          </cell>
          <cell r="H498" t="str">
            <v>欧丽薇兰</v>
          </cell>
          <cell r="I498" t="str">
            <v>家庭食品</v>
          </cell>
          <cell r="J498" t="str">
            <v>油</v>
          </cell>
          <cell r="K498" t="str">
            <v>欧丽薇兰 特级初榨橄榄油 750mL*2</v>
          </cell>
          <cell r="L498" t="str">
            <v>750mL*2</v>
          </cell>
          <cell r="M498" t="str">
            <v>瓶</v>
          </cell>
          <cell r="N498">
            <v>181.24</v>
          </cell>
          <cell r="O498">
            <v>238</v>
          </cell>
          <cell r="P498">
            <v>0.23092436974789901</v>
          </cell>
        </row>
        <row r="499">
          <cell r="F499" t="str">
            <v>70312976</v>
          </cell>
          <cell r="G499" t="str">
            <v>益海嘉里</v>
          </cell>
          <cell r="H499" t="str">
            <v>金龙鱼</v>
          </cell>
          <cell r="I499" t="str">
            <v>家庭食品</v>
          </cell>
          <cell r="J499" t="str">
            <v>油</v>
          </cell>
          <cell r="K499" t="str">
            <v>金龙鱼 稻谷鲜生食用植物调和油 5L</v>
          </cell>
          <cell r="L499" t="str">
            <v>5L</v>
          </cell>
          <cell r="M499" t="str">
            <v>桶</v>
          </cell>
          <cell r="N499">
            <v>85.23</v>
          </cell>
          <cell r="O499">
            <v>119.9</v>
          </cell>
          <cell r="P499">
            <v>0.28206839032527098</v>
          </cell>
        </row>
        <row r="500">
          <cell r="F500" t="str">
            <v>70358064</v>
          </cell>
          <cell r="G500" t="str">
            <v>益海嘉里</v>
          </cell>
          <cell r="H500" t="str">
            <v>金龙鱼</v>
          </cell>
          <cell r="I500" t="str">
            <v>家庭食品</v>
          </cell>
          <cell r="J500" t="str">
            <v>粮</v>
          </cell>
          <cell r="K500" t="str">
            <v>金龙鱼 御品麦芯粉小麦粉 1kg</v>
          </cell>
          <cell r="L500" t="str">
            <v>1kg</v>
          </cell>
          <cell r="M500" t="str">
            <v>袋</v>
          </cell>
          <cell r="N500">
            <v>11.76</v>
          </cell>
          <cell r="O500">
            <v>14.9</v>
          </cell>
          <cell r="P500">
            <v>0.203355704697987</v>
          </cell>
        </row>
        <row r="501">
          <cell r="F501" t="str">
            <v>70381879</v>
          </cell>
          <cell r="G501" t="str">
            <v>益海嘉里</v>
          </cell>
          <cell r="H501" t="str">
            <v>金龙鱼</v>
          </cell>
          <cell r="I501" t="str">
            <v>家庭食品</v>
          </cell>
          <cell r="J501" t="str">
            <v>油</v>
          </cell>
          <cell r="K501" t="str">
            <v>金龙鱼 藤椒油 220mL</v>
          </cell>
          <cell r="L501" t="str">
            <v>220mL</v>
          </cell>
          <cell r="M501" t="str">
            <v>瓶</v>
          </cell>
          <cell r="N501">
            <v>13.23</v>
          </cell>
          <cell r="O501">
            <v>16.899999999999999</v>
          </cell>
          <cell r="P501">
            <v>0.20946745562130201</v>
          </cell>
        </row>
        <row r="502">
          <cell r="F502" t="str">
            <v>70093632</v>
          </cell>
          <cell r="G502" t="str">
            <v>益海嘉里</v>
          </cell>
          <cell r="H502" t="str">
            <v>金龙鱼</v>
          </cell>
          <cell r="I502" t="str">
            <v>家庭食品</v>
          </cell>
          <cell r="J502" t="str">
            <v>粮</v>
          </cell>
          <cell r="K502" t="str">
            <v>金龙鱼 金饺子专业饺子粉 2.5kg</v>
          </cell>
          <cell r="L502" t="str">
            <v>2.5kg</v>
          </cell>
          <cell r="M502" t="str">
            <v>袋</v>
          </cell>
          <cell r="N502">
            <v>23.51</v>
          </cell>
          <cell r="O502">
            <v>30</v>
          </cell>
          <cell r="P502">
            <v>0.20833333333333301</v>
          </cell>
        </row>
        <row r="503">
          <cell r="F503" t="str">
            <v>70321738</v>
          </cell>
          <cell r="G503" t="str">
            <v>益海嘉里</v>
          </cell>
          <cell r="H503" t="str">
            <v>益海嘉里</v>
          </cell>
          <cell r="I503" t="str">
            <v>家庭食品</v>
          </cell>
          <cell r="J503" t="str">
            <v>粮</v>
          </cell>
          <cell r="K503" t="str">
            <v>益海嘉里 优质大礼包</v>
          </cell>
          <cell r="L503" t="str">
            <v>箱</v>
          </cell>
          <cell r="M503" t="str">
            <v>箱</v>
          </cell>
          <cell r="N503">
            <v>181.24</v>
          </cell>
          <cell r="O503">
            <v>219.9</v>
          </cell>
          <cell r="P503">
            <v>0.16762164620282</v>
          </cell>
        </row>
        <row r="504">
          <cell r="F504" t="str">
            <v>70270677</v>
          </cell>
          <cell r="G504" t="str">
            <v>益海嘉里</v>
          </cell>
          <cell r="H504" t="str">
            <v>金龙鱼</v>
          </cell>
          <cell r="I504" t="str">
            <v>家庭食品</v>
          </cell>
          <cell r="J504" t="str">
            <v>油</v>
          </cell>
          <cell r="K504" t="str">
            <v>金龙鱼 小麿香油礼盒  220mL*4</v>
          </cell>
          <cell r="L504" t="str">
            <v>220mL*4</v>
          </cell>
          <cell r="M504" t="str">
            <v>盒</v>
          </cell>
          <cell r="N504">
            <v>61.72</v>
          </cell>
          <cell r="O504">
            <v>79.900000000000006</v>
          </cell>
          <cell r="P504">
            <v>0.219899874843555</v>
          </cell>
        </row>
        <row r="505">
          <cell r="F505" t="str">
            <v>70103544</v>
          </cell>
          <cell r="G505" t="str">
            <v>益海嘉里</v>
          </cell>
          <cell r="H505" t="str">
            <v>香满园</v>
          </cell>
          <cell r="I505" t="str">
            <v>家庭食品</v>
          </cell>
          <cell r="J505" t="str">
            <v>粮</v>
          </cell>
          <cell r="K505" t="str">
            <v>香满园 美味富强小麦粉  25kg</v>
          </cell>
          <cell r="L505" t="str">
            <v>25kg</v>
          </cell>
          <cell r="M505" t="str">
            <v>袋</v>
          </cell>
          <cell r="N505">
            <v>88.88</v>
          </cell>
          <cell r="O505">
            <v>109</v>
          </cell>
          <cell r="P505">
            <v>0.17651376146789</v>
          </cell>
        </row>
        <row r="506">
          <cell r="F506" t="str">
            <v>70312975</v>
          </cell>
          <cell r="G506" t="str">
            <v>益海嘉里</v>
          </cell>
          <cell r="H506" t="str">
            <v>金龙鱼</v>
          </cell>
          <cell r="I506" t="str">
            <v>家庭食品</v>
          </cell>
          <cell r="J506" t="str">
            <v>油</v>
          </cell>
          <cell r="K506" t="str">
            <v>金龙鱼 阳光鲜榨原香葵花仁油 5L</v>
          </cell>
          <cell r="L506" t="str">
            <v>5L</v>
          </cell>
          <cell r="M506" t="str">
            <v>桶</v>
          </cell>
          <cell r="N506">
            <v>90.13</v>
          </cell>
          <cell r="O506">
            <v>99.9</v>
          </cell>
          <cell r="P506">
            <v>8.8888888888889003E-2</v>
          </cell>
        </row>
        <row r="507">
          <cell r="F507" t="str">
            <v>70264120</v>
          </cell>
          <cell r="G507" t="str">
            <v>益海嘉里</v>
          </cell>
          <cell r="H507" t="str">
            <v>金龙鱼</v>
          </cell>
          <cell r="I507" t="str">
            <v>家庭食品</v>
          </cell>
          <cell r="J507" t="str">
            <v>粮</v>
          </cell>
          <cell r="K507" t="str">
            <v>金龙鱼 多用途麦芯小麦粉 25kg</v>
          </cell>
          <cell r="L507" t="str">
            <v>25kg</v>
          </cell>
          <cell r="M507" t="str">
            <v>袋</v>
          </cell>
          <cell r="N507">
            <v>106.3</v>
          </cell>
          <cell r="O507">
            <v>169</v>
          </cell>
          <cell r="P507">
            <v>0.364733727810651</v>
          </cell>
        </row>
        <row r="508">
          <cell r="F508" t="str">
            <v>70283202</v>
          </cell>
          <cell r="G508" t="str">
            <v>益海嘉里</v>
          </cell>
          <cell r="H508" t="str">
            <v>金龙鱼</v>
          </cell>
          <cell r="I508" t="str">
            <v>家庭食品</v>
          </cell>
          <cell r="J508" t="str">
            <v>油</v>
          </cell>
          <cell r="K508" t="str">
            <v>金龙鱼 优质油粘米 5kg</v>
          </cell>
          <cell r="L508" t="str">
            <v>5kg</v>
          </cell>
          <cell r="M508" t="str">
            <v>袋</v>
          </cell>
          <cell r="N508">
            <v>39.19</v>
          </cell>
          <cell r="O508">
            <v>53</v>
          </cell>
          <cell r="P508">
            <v>0.25320754716981098</v>
          </cell>
        </row>
        <row r="509">
          <cell r="F509" t="str">
            <v>70072181</v>
          </cell>
          <cell r="G509" t="str">
            <v>益海嘉里</v>
          </cell>
          <cell r="H509" t="str">
            <v>欧丽薇兰</v>
          </cell>
          <cell r="I509" t="str">
            <v>家庭食品</v>
          </cell>
          <cell r="J509" t="str">
            <v>油</v>
          </cell>
          <cell r="K509" t="str">
            <v>欧丽薇兰 特级初榨橄榄油 750mL</v>
          </cell>
          <cell r="L509" t="str">
            <v>750mL</v>
          </cell>
          <cell r="M509" t="str">
            <v>桶</v>
          </cell>
          <cell r="N509">
            <v>79.42</v>
          </cell>
          <cell r="O509">
            <v>92.9</v>
          </cell>
          <cell r="P509">
            <v>0.13670613562970901</v>
          </cell>
        </row>
        <row r="510">
          <cell r="F510" t="str">
            <v>70381889</v>
          </cell>
          <cell r="G510" t="str">
            <v>益海嘉里</v>
          </cell>
          <cell r="H510" t="str">
            <v>金龙鱼</v>
          </cell>
          <cell r="I510" t="str">
            <v>家庭食品</v>
          </cell>
          <cell r="J510" t="str">
            <v>粮</v>
          </cell>
          <cell r="K510" t="str">
            <v>金龙鱼 爱心桃花小米 400g</v>
          </cell>
          <cell r="L510" t="str">
            <v>400g</v>
          </cell>
          <cell r="M510" t="str">
            <v>袋</v>
          </cell>
          <cell r="N510">
            <v>14.7</v>
          </cell>
          <cell r="O510">
            <v>19.899999999999999</v>
          </cell>
          <cell r="P510">
            <v>0.25427135678391999</v>
          </cell>
        </row>
        <row r="511">
          <cell r="F511" t="str">
            <v>70095449</v>
          </cell>
          <cell r="G511" t="str">
            <v>益海嘉里</v>
          </cell>
          <cell r="H511" t="str">
            <v>金龙鱼</v>
          </cell>
          <cell r="I511" t="str">
            <v>家庭食品</v>
          </cell>
          <cell r="J511" t="str">
            <v>粮</v>
          </cell>
          <cell r="K511" t="str">
            <v>金龙鱼 金饺子专业饺子粉 5kg</v>
          </cell>
          <cell r="L511" t="str">
            <v>5kg</v>
          </cell>
          <cell r="M511" t="str">
            <v>袋</v>
          </cell>
          <cell r="N511">
            <v>42.13</v>
          </cell>
          <cell r="O511">
            <v>49.9</v>
          </cell>
          <cell r="P511">
            <v>0.14749498997996</v>
          </cell>
        </row>
        <row r="512">
          <cell r="F512" t="str">
            <v>70381902</v>
          </cell>
          <cell r="G512" t="str">
            <v>益海嘉里</v>
          </cell>
          <cell r="H512" t="str">
            <v>金龙鱼</v>
          </cell>
          <cell r="I512" t="str">
            <v>家庭食品</v>
          </cell>
          <cell r="J512" t="str">
            <v>调味品、酱料</v>
          </cell>
          <cell r="K512" t="str">
            <v>丸庄 黑豆本酿造酱油 480mL</v>
          </cell>
          <cell r="L512" t="str">
            <v>480mL</v>
          </cell>
          <cell r="M512" t="str">
            <v>瓶</v>
          </cell>
          <cell r="N512">
            <v>12.25</v>
          </cell>
          <cell r="O512">
            <v>17.8</v>
          </cell>
          <cell r="P512">
            <v>0.30505617977528099</v>
          </cell>
        </row>
        <row r="513">
          <cell r="F513" t="str">
            <v>70075620</v>
          </cell>
          <cell r="G513" t="str">
            <v>益海嘉里</v>
          </cell>
          <cell r="H513" t="str">
            <v>金龙鱼</v>
          </cell>
          <cell r="I513" t="str">
            <v>家庭食品</v>
          </cell>
          <cell r="J513" t="str">
            <v>油</v>
          </cell>
          <cell r="K513" t="str">
            <v>金龙鱼 自然香葵花籽油 1.8L</v>
          </cell>
          <cell r="L513" t="str">
            <v>1.8L</v>
          </cell>
          <cell r="M513" t="str">
            <v>桶</v>
          </cell>
          <cell r="N513">
            <v>31.35</v>
          </cell>
          <cell r="O513">
            <v>45.9</v>
          </cell>
          <cell r="P513">
            <v>0.31023965141612198</v>
          </cell>
        </row>
        <row r="514">
          <cell r="F514" t="str">
            <v>70381898</v>
          </cell>
          <cell r="G514" t="str">
            <v>益海嘉里</v>
          </cell>
          <cell r="H514" t="str">
            <v>梁汾</v>
          </cell>
          <cell r="I514" t="str">
            <v>家庭食品</v>
          </cell>
          <cell r="J514" t="str">
            <v>调味品、酱料</v>
          </cell>
          <cell r="K514" t="str">
            <v>梁汾 三年老陈醋五度 500mL</v>
          </cell>
          <cell r="L514" t="str">
            <v>500mL</v>
          </cell>
          <cell r="M514" t="str">
            <v>瓶</v>
          </cell>
          <cell r="N514">
            <v>10.78</v>
          </cell>
          <cell r="O514">
            <v>13.9</v>
          </cell>
          <cell r="P514">
            <v>0.21726618705035999</v>
          </cell>
        </row>
        <row r="515">
          <cell r="F515" t="str">
            <v>70381897</v>
          </cell>
          <cell r="G515" t="str">
            <v>益海嘉里</v>
          </cell>
          <cell r="H515" t="str">
            <v>梁汾</v>
          </cell>
          <cell r="I515" t="str">
            <v>家庭食品</v>
          </cell>
          <cell r="J515" t="str">
            <v>调味品、酱料</v>
          </cell>
          <cell r="K515" t="str">
            <v>梁汾 山西陈醋5度2年 (450+50)mL</v>
          </cell>
          <cell r="L515" t="str">
            <v>(450+50)mL</v>
          </cell>
          <cell r="M515" t="str">
            <v>瓶</v>
          </cell>
          <cell r="N515">
            <v>7.35</v>
          </cell>
          <cell r="O515">
            <v>8.9</v>
          </cell>
          <cell r="P515">
            <v>0.16516853932584299</v>
          </cell>
        </row>
        <row r="516">
          <cell r="F516" t="str">
            <v>70256467</v>
          </cell>
          <cell r="G516" t="str">
            <v>益海嘉里</v>
          </cell>
          <cell r="H516" t="str">
            <v>金龙鱼</v>
          </cell>
          <cell r="I516" t="str">
            <v>家庭食品</v>
          </cell>
          <cell r="J516" t="str">
            <v>粮</v>
          </cell>
          <cell r="K516" t="str">
            <v>金龙鱼 爽滑鸡蛋挂面 1000g</v>
          </cell>
          <cell r="L516" t="str">
            <v>1000g</v>
          </cell>
          <cell r="M516" t="str">
            <v>袋</v>
          </cell>
          <cell r="N516">
            <v>7.31</v>
          </cell>
          <cell r="O516">
            <v>9.5</v>
          </cell>
          <cell r="P516">
            <v>0.223157894736842</v>
          </cell>
        </row>
        <row r="517">
          <cell r="F517" t="str">
            <v>70365221</v>
          </cell>
          <cell r="G517" t="str">
            <v>益海嘉里</v>
          </cell>
          <cell r="H517" t="str">
            <v>金龙鱼</v>
          </cell>
          <cell r="I517" t="str">
            <v>家庭食品</v>
          </cell>
          <cell r="J517" t="str">
            <v>粮</v>
          </cell>
          <cell r="K517" t="str">
            <v>金龙鱼 御品稻花香 5kg</v>
          </cell>
          <cell r="L517" t="str">
            <v>5kg</v>
          </cell>
          <cell r="M517" t="str">
            <v>袋</v>
          </cell>
          <cell r="N517">
            <v>67.599999999999994</v>
          </cell>
          <cell r="O517">
            <v>79.900000000000006</v>
          </cell>
          <cell r="P517">
            <v>0.14555694618272899</v>
          </cell>
        </row>
        <row r="518">
          <cell r="F518" t="str">
            <v>70381901</v>
          </cell>
          <cell r="G518" t="str">
            <v>益海嘉里</v>
          </cell>
          <cell r="H518" t="str">
            <v>丸庄</v>
          </cell>
          <cell r="I518" t="str">
            <v>家庭食品</v>
          </cell>
          <cell r="J518" t="str">
            <v>调味品、酱料</v>
          </cell>
          <cell r="K518" t="str">
            <v>丸庄 黑豆原汁酱油 480mL</v>
          </cell>
          <cell r="L518" t="str">
            <v>480mL</v>
          </cell>
          <cell r="M518" t="str">
            <v>瓶</v>
          </cell>
          <cell r="N518">
            <v>24.49</v>
          </cell>
          <cell r="O518">
            <v>29.8</v>
          </cell>
          <cell r="P518">
            <v>0.169798657718121</v>
          </cell>
        </row>
        <row r="519">
          <cell r="F519" t="str">
            <v>70381896</v>
          </cell>
          <cell r="G519" t="str">
            <v>益海嘉里</v>
          </cell>
          <cell r="H519" t="str">
            <v>KINg'S</v>
          </cell>
          <cell r="I519" t="str">
            <v>家庭食品</v>
          </cell>
          <cell r="J519" t="str">
            <v>油</v>
          </cell>
          <cell r="K519" t="str">
            <v>KINg'S 亚麻籽油 5L</v>
          </cell>
          <cell r="L519" t="str">
            <v>5L</v>
          </cell>
          <cell r="M519" t="str">
            <v>桶</v>
          </cell>
          <cell r="N519">
            <v>156.75</v>
          </cell>
          <cell r="O519">
            <v>199</v>
          </cell>
          <cell r="P519">
            <v>0.20452261306532701</v>
          </cell>
        </row>
        <row r="520">
          <cell r="F520" t="str">
            <v>70169919</v>
          </cell>
          <cell r="G520" t="str">
            <v>益海嘉里</v>
          </cell>
          <cell r="H520" t="str">
            <v>金龙鱼</v>
          </cell>
          <cell r="I520" t="str">
            <v>家庭食品</v>
          </cell>
          <cell r="J520" t="str">
            <v>油</v>
          </cell>
          <cell r="K520" t="str">
            <v>金龙鱼 精炼一级大豆油 1.8L（非转）</v>
          </cell>
          <cell r="L520" t="str">
            <v>1.8L</v>
          </cell>
          <cell r="M520" t="str">
            <v>瓶</v>
          </cell>
          <cell r="N520">
            <v>24.01</v>
          </cell>
          <cell r="O520">
            <v>29.9</v>
          </cell>
          <cell r="P520">
            <v>0.18896321070234101</v>
          </cell>
        </row>
        <row r="521">
          <cell r="F521" t="str">
            <v>70305716</v>
          </cell>
          <cell r="G521" t="str">
            <v>益海嘉里</v>
          </cell>
          <cell r="H521" t="str">
            <v>金龙鱼</v>
          </cell>
          <cell r="I521" t="str">
            <v>家庭食品</v>
          </cell>
          <cell r="J521" t="str">
            <v>粮</v>
          </cell>
          <cell r="K521" t="str">
            <v>金龙鱼 乳玉皇妃稻花香 5kg</v>
          </cell>
          <cell r="L521" t="str">
            <v>5kg</v>
          </cell>
          <cell r="M521" t="str">
            <v>袋</v>
          </cell>
          <cell r="N521">
            <v>132.26</v>
          </cell>
          <cell r="O521">
            <v>158</v>
          </cell>
          <cell r="P521">
            <v>0.15462025316455699</v>
          </cell>
        </row>
        <row r="522">
          <cell r="F522" t="str">
            <v>70381887</v>
          </cell>
          <cell r="G522" t="str">
            <v>益海嘉里</v>
          </cell>
          <cell r="H522" t="str">
            <v>金龙鱼</v>
          </cell>
          <cell r="I522" t="str">
            <v>家庭食品</v>
          </cell>
          <cell r="J522" t="str">
            <v>粮</v>
          </cell>
          <cell r="K522" t="str">
            <v>金龙鱼 御品麦芯粉小麦粉 2.5kg</v>
          </cell>
          <cell r="L522" t="str">
            <v>2.5kg</v>
          </cell>
          <cell r="M522" t="str">
            <v>袋</v>
          </cell>
          <cell r="N522">
            <v>24.49</v>
          </cell>
          <cell r="O522">
            <v>29.9</v>
          </cell>
          <cell r="P522">
            <v>0.17257525083611999</v>
          </cell>
        </row>
        <row r="523">
          <cell r="F523" t="str">
            <v>70321737</v>
          </cell>
          <cell r="G523" t="str">
            <v>益海嘉里</v>
          </cell>
          <cell r="H523" t="str">
            <v>金龙鱼</v>
          </cell>
          <cell r="I523" t="str">
            <v>家庭食品</v>
          </cell>
          <cell r="J523" t="str">
            <v>粮</v>
          </cell>
          <cell r="K523" t="str">
            <v>益海嘉里 精品大礼包</v>
          </cell>
          <cell r="L523" t="str">
            <v>箱</v>
          </cell>
          <cell r="M523" t="str">
            <v>箱</v>
          </cell>
          <cell r="N523">
            <v>82.29</v>
          </cell>
          <cell r="O523">
            <v>99.9</v>
          </cell>
          <cell r="P523">
            <v>0.16806806806806801</v>
          </cell>
        </row>
        <row r="524">
          <cell r="F524" t="str">
            <v>70176870</v>
          </cell>
          <cell r="G524" t="str">
            <v>益海嘉里</v>
          </cell>
          <cell r="H524" t="str">
            <v>欢宴</v>
          </cell>
          <cell r="I524" t="str">
            <v>家庭食品</v>
          </cell>
          <cell r="J524" t="str">
            <v>粮</v>
          </cell>
          <cell r="K524" t="str">
            <v>欢宴 东北大米 25kg</v>
          </cell>
          <cell r="L524" t="str">
            <v>25kg</v>
          </cell>
          <cell r="M524" t="str">
            <v>袋</v>
          </cell>
          <cell r="N524">
            <v>113.12</v>
          </cell>
          <cell r="O524">
            <v>128</v>
          </cell>
          <cell r="P524">
            <v>0.1075</v>
          </cell>
        </row>
        <row r="525">
          <cell r="F525" t="str">
            <v>70468254</v>
          </cell>
          <cell r="G525" t="str">
            <v>益海嘉里</v>
          </cell>
          <cell r="H525" t="str">
            <v>欢宴</v>
          </cell>
          <cell r="I525" t="str">
            <v>家庭食品</v>
          </cell>
          <cell r="J525" t="str">
            <v>粮</v>
          </cell>
          <cell r="K525" t="str">
            <v>欢宴 丝苗米 25kg</v>
          </cell>
          <cell r="L525" t="str">
            <v>25kg</v>
          </cell>
          <cell r="M525" t="str">
            <v>袋</v>
          </cell>
          <cell r="N525">
            <v>108.75</v>
          </cell>
          <cell r="O525">
            <v>127</v>
          </cell>
          <cell r="P525">
            <v>0.13527559055118099</v>
          </cell>
        </row>
        <row r="526">
          <cell r="F526" t="str">
            <v>70468256</v>
          </cell>
          <cell r="G526" t="str">
            <v>益海嘉里</v>
          </cell>
          <cell r="H526" t="str">
            <v>欢宴</v>
          </cell>
          <cell r="I526" t="str">
            <v>家庭食品</v>
          </cell>
          <cell r="J526" t="str">
            <v>粮</v>
          </cell>
          <cell r="K526" t="str">
            <v>欢宴 软香粘 25kg</v>
          </cell>
          <cell r="L526" t="str">
            <v>25kg</v>
          </cell>
          <cell r="M526" t="str">
            <v>袋</v>
          </cell>
          <cell r="N526">
            <v>106.3</v>
          </cell>
          <cell r="O526">
            <v>125</v>
          </cell>
          <cell r="P526">
            <v>0.14112</v>
          </cell>
        </row>
        <row r="527">
          <cell r="F527" t="str">
            <v>70468255</v>
          </cell>
          <cell r="G527" t="str">
            <v>益海嘉里</v>
          </cell>
          <cell r="H527" t="str">
            <v>欢宴</v>
          </cell>
          <cell r="I527" t="str">
            <v>家庭食品</v>
          </cell>
          <cell r="J527" t="str">
            <v>粮</v>
          </cell>
          <cell r="K527" t="str">
            <v>欢宴 软香粘 10kg</v>
          </cell>
          <cell r="L527" t="str">
            <v>10kg</v>
          </cell>
          <cell r="M527" t="str">
            <v>袋</v>
          </cell>
          <cell r="N527">
            <v>42.52</v>
          </cell>
          <cell r="O527">
            <v>50</v>
          </cell>
          <cell r="P527">
            <v>0.14119999999999999</v>
          </cell>
        </row>
        <row r="528">
          <cell r="F528" t="str">
            <v>70280463</v>
          </cell>
          <cell r="G528" t="str">
            <v>益海嘉里</v>
          </cell>
          <cell r="H528" t="str">
            <v>金龙鱼</v>
          </cell>
          <cell r="I528" t="str">
            <v>家庭食品</v>
          </cell>
          <cell r="J528" t="str">
            <v>油</v>
          </cell>
          <cell r="K528" t="str">
            <v>金龙鱼 精炼一级大豆油 900mL（非转）</v>
          </cell>
          <cell r="L528" t="str">
            <v>900mL</v>
          </cell>
          <cell r="M528" t="str">
            <v>桶</v>
          </cell>
          <cell r="N528">
            <v>12.25</v>
          </cell>
          <cell r="O528">
            <v>16.899999999999999</v>
          </cell>
          <cell r="P528">
            <v>0.26804733727810598</v>
          </cell>
        </row>
        <row r="529">
          <cell r="F529" t="str">
            <v>70149007</v>
          </cell>
          <cell r="G529" t="str">
            <v>益海嘉里</v>
          </cell>
          <cell r="H529" t="str">
            <v>金龙鱼</v>
          </cell>
          <cell r="I529" t="str">
            <v>家庭食品</v>
          </cell>
          <cell r="J529" t="str">
            <v>油</v>
          </cell>
          <cell r="K529" t="str">
            <v>金龙鱼 精炼一级大豆油 5L（非转）</v>
          </cell>
          <cell r="L529" t="str">
            <v>5L</v>
          </cell>
          <cell r="M529" t="str">
            <v>桶</v>
          </cell>
          <cell r="N529">
            <v>62.62</v>
          </cell>
          <cell r="O529">
            <v>68.900000000000006</v>
          </cell>
          <cell r="P529">
            <v>8.2148040638606701E-2</v>
          </cell>
        </row>
        <row r="530">
          <cell r="F530" t="str">
            <v>70145028</v>
          </cell>
          <cell r="G530" t="str">
            <v>益海嘉里</v>
          </cell>
          <cell r="H530" t="str">
            <v>金龙鱼</v>
          </cell>
          <cell r="I530" t="str">
            <v>家庭食品</v>
          </cell>
          <cell r="J530" t="str">
            <v>油</v>
          </cell>
          <cell r="K530" t="str">
            <v>金龙鱼 黄金比例食用植物调和油 5L（非转）</v>
          </cell>
          <cell r="L530" t="str">
            <v>5L</v>
          </cell>
          <cell r="M530" t="str">
            <v>桶</v>
          </cell>
          <cell r="N530">
            <v>77.400000000000006</v>
          </cell>
          <cell r="O530">
            <v>88.9</v>
          </cell>
          <cell r="P530">
            <v>0.12080989876265499</v>
          </cell>
        </row>
        <row r="531">
          <cell r="F531" t="str">
            <v>70287489</v>
          </cell>
          <cell r="G531" t="str">
            <v>益海嘉里</v>
          </cell>
          <cell r="H531" t="str">
            <v>金龙鱼</v>
          </cell>
          <cell r="I531" t="str">
            <v>家庭食品</v>
          </cell>
          <cell r="J531" t="str">
            <v>油</v>
          </cell>
          <cell r="K531" t="str">
            <v>金龙鱼 浓香笨榨熟豆油 5L（非转）</v>
          </cell>
          <cell r="L531" t="str">
            <v>5L</v>
          </cell>
          <cell r="M531" t="str">
            <v>桶</v>
          </cell>
          <cell r="N531">
            <v>74.459999999999994</v>
          </cell>
          <cell r="O531">
            <v>89.9</v>
          </cell>
          <cell r="P531">
            <v>0.16362625139043399</v>
          </cell>
        </row>
        <row r="532">
          <cell r="F532" t="str">
            <v>70124809</v>
          </cell>
          <cell r="G532" t="str">
            <v>益海嘉里</v>
          </cell>
          <cell r="H532" t="str">
            <v>金龙鱼</v>
          </cell>
          <cell r="I532" t="str">
            <v>家庭食品</v>
          </cell>
          <cell r="J532" t="str">
            <v>油</v>
          </cell>
          <cell r="K532" t="str">
            <v>金龙鱼 纯香大豆油 5L（非转）</v>
          </cell>
          <cell r="L532" t="str">
            <v>5L</v>
          </cell>
          <cell r="M532" t="str">
            <v>桶</v>
          </cell>
          <cell r="N532">
            <v>60.74</v>
          </cell>
          <cell r="O532">
            <v>68.900000000000006</v>
          </cell>
          <cell r="P532">
            <v>0.10972423802612501</v>
          </cell>
        </row>
        <row r="533">
          <cell r="F533" t="str">
            <v>70024698</v>
          </cell>
          <cell r="G533" t="str">
            <v>益海嘉里</v>
          </cell>
          <cell r="H533" t="str">
            <v>金龙鱼</v>
          </cell>
          <cell r="I533" t="str">
            <v>家庭食品</v>
          </cell>
          <cell r="J533" t="str">
            <v>油</v>
          </cell>
          <cell r="K533" t="str">
            <v>金龙鱼 黄金比例食用植物调和油 5L</v>
          </cell>
          <cell r="L533" t="str">
            <v>5L</v>
          </cell>
          <cell r="M533" t="str">
            <v>瓶</v>
          </cell>
          <cell r="N533">
            <v>68.58</v>
          </cell>
          <cell r="O533">
            <v>79.900000000000006</v>
          </cell>
          <cell r="P533">
            <v>0.133166458072591</v>
          </cell>
        </row>
        <row r="534">
          <cell r="F534" t="str">
            <v>70486115</v>
          </cell>
          <cell r="G534" t="str">
            <v>益海嘉里</v>
          </cell>
          <cell r="H534" t="str">
            <v>金龙鱼</v>
          </cell>
          <cell r="I534" t="str">
            <v>家庭食品</v>
          </cell>
          <cell r="J534" t="str">
            <v>油</v>
          </cell>
          <cell r="K534" t="str">
            <v>金龙鱼 原香大豆油 5L（非转）</v>
          </cell>
          <cell r="L534" t="str">
            <v>5L</v>
          </cell>
          <cell r="M534" t="str">
            <v>桶</v>
          </cell>
          <cell r="N534">
            <v>60.74</v>
          </cell>
          <cell r="O534">
            <v>68.900000000000006</v>
          </cell>
          <cell r="P534">
            <v>0.10972423802612501</v>
          </cell>
        </row>
        <row r="535">
          <cell r="F535" t="str">
            <v>70248680</v>
          </cell>
          <cell r="G535" t="str">
            <v>益海嘉里</v>
          </cell>
          <cell r="H535" t="str">
            <v>金龙鱼</v>
          </cell>
          <cell r="I535" t="str">
            <v>家庭食品</v>
          </cell>
          <cell r="J535" t="str">
            <v>油</v>
          </cell>
          <cell r="K535" t="str">
            <v>金龙鱼 外婆乡小榨菜籽油 4L（非转基因）</v>
          </cell>
          <cell r="L535" t="str">
            <v>4L</v>
          </cell>
          <cell r="M535" t="str">
            <v>桶</v>
          </cell>
          <cell r="N535">
            <v>71.52</v>
          </cell>
          <cell r="O535">
            <v>89.9</v>
          </cell>
          <cell r="P535">
            <v>0.19655172413793101</v>
          </cell>
        </row>
        <row r="536">
          <cell r="F536" t="str">
            <v>70393929</v>
          </cell>
          <cell r="G536" t="str">
            <v>益海嘉里</v>
          </cell>
          <cell r="H536" t="str">
            <v>金龙鱼</v>
          </cell>
          <cell r="I536" t="str">
            <v>家庭食品</v>
          </cell>
          <cell r="J536" t="str">
            <v>油</v>
          </cell>
          <cell r="K536" t="str">
            <v>金龙鱼 红花籽油 5L</v>
          </cell>
          <cell r="L536" t="str">
            <v>5L</v>
          </cell>
          <cell r="M536" t="str">
            <v>瓶</v>
          </cell>
          <cell r="N536">
            <v>102.87</v>
          </cell>
          <cell r="O536">
            <v>159.9</v>
          </cell>
          <cell r="P536">
            <v>0.350281425891182</v>
          </cell>
        </row>
        <row r="537">
          <cell r="F537" t="str">
            <v>70322803</v>
          </cell>
          <cell r="G537" t="str">
            <v>益海嘉里</v>
          </cell>
          <cell r="H537" t="str">
            <v>胡姬花</v>
          </cell>
          <cell r="I537" t="str">
            <v>家庭食品</v>
          </cell>
          <cell r="J537" t="str">
            <v>油</v>
          </cell>
          <cell r="K537" t="str">
            <v>胡姬花 古法花生油 4L</v>
          </cell>
          <cell r="L537" t="str">
            <v>4L</v>
          </cell>
          <cell r="M537" t="str">
            <v>瓶</v>
          </cell>
          <cell r="N537">
            <v>99.99</v>
          </cell>
          <cell r="O537">
            <v>119.9</v>
          </cell>
          <cell r="P537">
            <v>0.15779816513761499</v>
          </cell>
        </row>
        <row r="538">
          <cell r="F538" t="str">
            <v>70524350</v>
          </cell>
          <cell r="G538" t="str">
            <v>益海嘉里</v>
          </cell>
          <cell r="H538" t="str">
            <v>金龙鱼</v>
          </cell>
          <cell r="I538" t="str">
            <v>家庭食品</v>
          </cell>
          <cell r="J538" t="str">
            <v>粮</v>
          </cell>
          <cell r="K538" t="str">
            <v>金龙鱼 御品珍珠米 500g</v>
          </cell>
          <cell r="L538" t="str">
            <v>500g</v>
          </cell>
          <cell r="M538" t="str">
            <v>袋</v>
          </cell>
          <cell r="N538">
            <v>5.98</v>
          </cell>
          <cell r="O538">
            <v>9.9</v>
          </cell>
          <cell r="P538">
            <v>0.38989898989899002</v>
          </cell>
        </row>
        <row r="539">
          <cell r="F539" t="str">
            <v>70443910</v>
          </cell>
          <cell r="G539" t="str">
            <v>益海嘉里</v>
          </cell>
          <cell r="H539" t="str">
            <v>金龙鱼</v>
          </cell>
          <cell r="I539" t="str">
            <v>家庭食品</v>
          </cell>
          <cell r="J539" t="str">
            <v>粮</v>
          </cell>
          <cell r="K539" t="str">
            <v>金龙鱼 御品珍珠米 2.5kg</v>
          </cell>
          <cell r="L539" t="str">
            <v>2.5kg</v>
          </cell>
          <cell r="M539" t="str">
            <v>袋</v>
          </cell>
          <cell r="N539">
            <v>19.11</v>
          </cell>
          <cell r="O539">
            <v>29.9</v>
          </cell>
          <cell r="P539">
            <v>0.35451505016722401</v>
          </cell>
        </row>
        <row r="540">
          <cell r="F540" t="str">
            <v>70524351</v>
          </cell>
          <cell r="G540" t="str">
            <v>益海嘉里</v>
          </cell>
          <cell r="H540" t="str">
            <v>金龙鱼</v>
          </cell>
          <cell r="I540" t="str">
            <v>家庭食品</v>
          </cell>
          <cell r="J540" t="str">
            <v>粮</v>
          </cell>
          <cell r="K540" t="str">
            <v>金龙鱼 御品长粒香 5kg</v>
          </cell>
          <cell r="L540" t="str">
            <v>5kg</v>
          </cell>
          <cell r="M540" t="str">
            <v>袋</v>
          </cell>
          <cell r="N540">
            <v>39.19</v>
          </cell>
          <cell r="O540">
            <v>69.900000000000006</v>
          </cell>
          <cell r="P540">
            <v>0.43376251788268999</v>
          </cell>
        </row>
        <row r="541">
          <cell r="F541" t="str">
            <v>70543350</v>
          </cell>
          <cell r="G541" t="str">
            <v>益海嘉里</v>
          </cell>
          <cell r="H541" t="str">
            <v>金龙鱼</v>
          </cell>
          <cell r="I541" t="str">
            <v>家庭食品</v>
          </cell>
          <cell r="J541" t="str">
            <v>粮</v>
          </cell>
          <cell r="K541" t="str">
            <v>金龙鱼 稻谷鲜生六步鲜雪乡长粒香 5kg</v>
          </cell>
          <cell r="L541" t="str">
            <v>5kg</v>
          </cell>
          <cell r="M541" t="str">
            <v>袋</v>
          </cell>
          <cell r="N541">
            <v>39.19</v>
          </cell>
          <cell r="O541">
            <v>52.9</v>
          </cell>
          <cell r="P541">
            <v>0.25179584120983001</v>
          </cell>
        </row>
        <row r="542">
          <cell r="F542" t="str">
            <v>70286634</v>
          </cell>
          <cell r="G542" t="str">
            <v>苏皋长寿</v>
          </cell>
          <cell r="H542" t="str">
            <v>苏皋长寿</v>
          </cell>
          <cell r="I542" t="str">
            <v>家庭食品</v>
          </cell>
          <cell r="J542" t="str">
            <v>粮</v>
          </cell>
          <cell r="K542" t="str">
            <v>苏皋长寿 富硒米（简装）5kg</v>
          </cell>
          <cell r="L542" t="str">
            <v>5kg</v>
          </cell>
          <cell r="M542" t="str">
            <v>袋</v>
          </cell>
          <cell r="N542">
            <v>37.61</v>
          </cell>
          <cell r="O542">
            <v>65</v>
          </cell>
          <cell r="P542">
            <v>0.41569230769230803</v>
          </cell>
        </row>
        <row r="543">
          <cell r="F543" t="str">
            <v>70268458</v>
          </cell>
          <cell r="G543" t="str">
            <v>苏皋长寿</v>
          </cell>
          <cell r="H543" t="str">
            <v>苏皋长寿</v>
          </cell>
          <cell r="I543" t="str">
            <v>家庭食品</v>
          </cell>
          <cell r="J543" t="str">
            <v>粮</v>
          </cell>
          <cell r="K543" t="str">
            <v>苏皋长寿 富硒米（真空）2.5kg</v>
          </cell>
          <cell r="L543" t="str">
            <v>2.5kg</v>
          </cell>
          <cell r="M543" t="str">
            <v>袋</v>
          </cell>
          <cell r="N543">
            <v>24.54</v>
          </cell>
          <cell r="O543">
            <v>42.5</v>
          </cell>
          <cell r="P543">
            <v>0.41670588235294098</v>
          </cell>
        </row>
        <row r="544">
          <cell r="F544" t="str">
            <v>70283370</v>
          </cell>
          <cell r="G544" t="str">
            <v>苏皋长寿</v>
          </cell>
          <cell r="H544" t="str">
            <v>苏皋长寿</v>
          </cell>
          <cell r="I544" t="str">
            <v>家庭食品</v>
          </cell>
          <cell r="J544" t="str">
            <v>粮</v>
          </cell>
          <cell r="K544" t="str">
            <v>苏皋长寿 富硒米（真空）5kg</v>
          </cell>
          <cell r="L544" t="str">
            <v>5kg</v>
          </cell>
          <cell r="M544" t="str">
            <v>袋</v>
          </cell>
          <cell r="N544">
            <v>49.1</v>
          </cell>
          <cell r="O544">
            <v>85</v>
          </cell>
          <cell r="P544">
            <v>0.41670588235294098</v>
          </cell>
        </row>
        <row r="545">
          <cell r="F545" t="str">
            <v>70268459</v>
          </cell>
          <cell r="G545" t="str">
            <v>苏皋长寿</v>
          </cell>
          <cell r="H545" t="str">
            <v>苏皋长寿</v>
          </cell>
          <cell r="I545" t="str">
            <v>家庭食品</v>
          </cell>
          <cell r="J545" t="str">
            <v>粮</v>
          </cell>
          <cell r="K545" t="str">
            <v>苏皋长寿 富硒米（真空）0.5kg</v>
          </cell>
          <cell r="L545" t="str">
            <v>0.5kg</v>
          </cell>
          <cell r="M545" t="str">
            <v>袋</v>
          </cell>
          <cell r="N545">
            <v>4.8899999999999997</v>
          </cell>
          <cell r="O545">
            <v>8.5</v>
          </cell>
          <cell r="P545">
            <v>0.41882352941176498</v>
          </cell>
        </row>
        <row r="546">
          <cell r="F546" t="str">
            <v>70430499</v>
          </cell>
          <cell r="G546" t="str">
            <v>苏皋长寿</v>
          </cell>
          <cell r="H546" t="str">
            <v>苏皋长寿</v>
          </cell>
          <cell r="I546" t="str">
            <v>家庭食品</v>
          </cell>
          <cell r="J546" t="str">
            <v>粮</v>
          </cell>
          <cell r="K546" t="str">
            <v>苏皋长寿 粳米（真空）2.5kg</v>
          </cell>
          <cell r="L546" t="str">
            <v>2.5kg</v>
          </cell>
          <cell r="M546" t="str">
            <v>袋</v>
          </cell>
          <cell r="N546">
            <v>20.79</v>
          </cell>
          <cell r="O546">
            <v>35</v>
          </cell>
          <cell r="P546">
            <v>0.40028571428571402</v>
          </cell>
        </row>
        <row r="547">
          <cell r="F547" t="str">
            <v>70471295</v>
          </cell>
          <cell r="G547" t="str">
            <v>千禾</v>
          </cell>
          <cell r="H547" t="str">
            <v>千禾</v>
          </cell>
          <cell r="I547" t="str">
            <v>家庭食品</v>
          </cell>
          <cell r="J547" t="str">
            <v>调味品、酱料</v>
          </cell>
          <cell r="K547" t="str">
            <v>千禾 珍品礼盒 500mL*3</v>
          </cell>
          <cell r="L547" t="str">
            <v>500mL*3</v>
          </cell>
          <cell r="M547" t="str">
            <v>盒</v>
          </cell>
          <cell r="N547">
            <v>27.27</v>
          </cell>
          <cell r="O547">
            <v>39.799999999999997</v>
          </cell>
          <cell r="P547">
            <v>0.30804020100502499</v>
          </cell>
        </row>
        <row r="548">
          <cell r="F548" t="str">
            <v>70254216</v>
          </cell>
          <cell r="G548" t="str">
            <v>千禾</v>
          </cell>
          <cell r="H548" t="str">
            <v>千禾</v>
          </cell>
          <cell r="I548" t="str">
            <v>家庭食品</v>
          </cell>
          <cell r="J548" t="str">
            <v>调味品、酱料</v>
          </cell>
          <cell r="K548" t="str">
            <v>千禾 头道原香特级生抽 500mL</v>
          </cell>
          <cell r="L548" t="str">
            <v>500mL</v>
          </cell>
          <cell r="M548" t="str">
            <v>瓶</v>
          </cell>
          <cell r="N548">
            <v>11.11</v>
          </cell>
          <cell r="O548">
            <v>16.8</v>
          </cell>
          <cell r="P548">
            <v>0.33214285714285702</v>
          </cell>
        </row>
        <row r="549">
          <cell r="F549" t="str">
            <v>70256516</v>
          </cell>
          <cell r="G549" t="str">
            <v>千禾</v>
          </cell>
          <cell r="H549" t="str">
            <v>千禾</v>
          </cell>
          <cell r="I549" t="str">
            <v>家庭食品</v>
          </cell>
          <cell r="J549" t="str">
            <v>调味品、酱料</v>
          </cell>
          <cell r="K549" t="str">
            <v>千禾 零添加糯米香醋 500mL</v>
          </cell>
          <cell r="L549" t="str">
            <v>500mL</v>
          </cell>
          <cell r="M549" t="str">
            <v>瓶</v>
          </cell>
          <cell r="N549">
            <v>6.46</v>
          </cell>
          <cell r="O549">
            <v>9.8000000000000007</v>
          </cell>
          <cell r="P549">
            <v>0.333673469387755</v>
          </cell>
        </row>
        <row r="550">
          <cell r="F550" t="str">
            <v>70306113</v>
          </cell>
          <cell r="G550" t="str">
            <v>千禾</v>
          </cell>
          <cell r="H550" t="str">
            <v>千禾</v>
          </cell>
          <cell r="I550" t="str">
            <v>家庭食品</v>
          </cell>
          <cell r="J550" t="str">
            <v>调味品、酱料</v>
          </cell>
          <cell r="K550" t="str">
            <v>千禾 零添加糯米料酒 500mL</v>
          </cell>
          <cell r="L550" t="str">
            <v>500mL</v>
          </cell>
          <cell r="M550" t="str">
            <v>瓶</v>
          </cell>
          <cell r="N550">
            <v>6.46</v>
          </cell>
          <cell r="O550">
            <v>9.8000000000000007</v>
          </cell>
          <cell r="P550">
            <v>0.333673469387755</v>
          </cell>
        </row>
        <row r="551">
          <cell r="F551" t="str">
            <v>70524429</v>
          </cell>
          <cell r="G551" t="str">
            <v>千禾</v>
          </cell>
          <cell r="H551" t="str">
            <v>千禾</v>
          </cell>
          <cell r="I551" t="str">
            <v>家庭食品</v>
          </cell>
          <cell r="J551" t="str">
            <v>调味品、酱料</v>
          </cell>
          <cell r="K551" t="str">
            <v>千禾 五福临门礼盒 2510mL</v>
          </cell>
          <cell r="L551" t="str">
            <v>2510mL</v>
          </cell>
          <cell r="M551" t="str">
            <v>盒</v>
          </cell>
          <cell r="N551">
            <v>51.51</v>
          </cell>
          <cell r="O551">
            <v>98</v>
          </cell>
          <cell r="P551">
            <v>0.469183673469388</v>
          </cell>
        </row>
        <row r="552">
          <cell r="F552" t="str">
            <v>70452779</v>
          </cell>
          <cell r="G552" t="str">
            <v>鲶鱼沟</v>
          </cell>
          <cell r="H552" t="str">
            <v>鲶鱼沟</v>
          </cell>
          <cell r="I552" t="str">
            <v>家庭食品</v>
          </cell>
          <cell r="J552" t="str">
            <v>粮</v>
          </cell>
          <cell r="K552" t="str">
            <v>鲶鱼沟 吉源香大米 5kg</v>
          </cell>
          <cell r="L552" t="str">
            <v>5kg</v>
          </cell>
          <cell r="M552" t="str">
            <v>袋</v>
          </cell>
          <cell r="N552">
            <v>33.58</v>
          </cell>
          <cell r="O552">
            <v>55</v>
          </cell>
          <cell r="P552">
            <v>0.38327272727272699</v>
          </cell>
        </row>
        <row r="553">
          <cell r="F553" t="str">
            <v>70452778</v>
          </cell>
          <cell r="G553" t="str">
            <v>鲶鱼沟</v>
          </cell>
          <cell r="H553" t="str">
            <v>鲶鱼沟</v>
          </cell>
          <cell r="I553" t="str">
            <v>家庭食品</v>
          </cell>
          <cell r="J553" t="str">
            <v>粮</v>
          </cell>
          <cell r="K553" t="str">
            <v>鲶鱼沟 稻米花香 5kg</v>
          </cell>
          <cell r="L553" t="str">
            <v>5kg</v>
          </cell>
          <cell r="M553" t="str">
            <v>袋</v>
          </cell>
          <cell r="N553">
            <v>35.020000000000003</v>
          </cell>
          <cell r="O553">
            <v>58</v>
          </cell>
          <cell r="P553">
            <v>0.39034482758620698</v>
          </cell>
        </row>
        <row r="554">
          <cell r="F554" t="str">
            <v>70452777</v>
          </cell>
          <cell r="G554" t="str">
            <v>鲶鱼沟</v>
          </cell>
          <cell r="H554" t="str">
            <v>鲶鱼沟</v>
          </cell>
          <cell r="I554" t="str">
            <v>家庭食品</v>
          </cell>
          <cell r="J554" t="str">
            <v>粮</v>
          </cell>
          <cell r="K554" t="str">
            <v>鲶鱼沟 源香1号 5kg</v>
          </cell>
          <cell r="L554" t="str">
            <v>5kg</v>
          </cell>
          <cell r="M554" t="str">
            <v>袋</v>
          </cell>
          <cell r="N554">
            <v>28.79</v>
          </cell>
          <cell r="O554">
            <v>46</v>
          </cell>
          <cell r="P554">
            <v>0.36804347826087003</v>
          </cell>
        </row>
        <row r="555">
          <cell r="F555" t="str">
            <v>70549454</v>
          </cell>
          <cell r="G555" t="str">
            <v>鲶鱼沟</v>
          </cell>
          <cell r="H555" t="str">
            <v>鲶鱼沟</v>
          </cell>
          <cell r="I555" t="str">
            <v>家庭食品</v>
          </cell>
          <cell r="J555" t="str">
            <v>杂粮</v>
          </cell>
          <cell r="K555" t="str">
            <v>鲶鱼沟 黑糯玉米 200g</v>
          </cell>
          <cell r="L555" t="str">
            <v>200g*10穗</v>
          </cell>
          <cell r="M555" t="str">
            <v>袋</v>
          </cell>
          <cell r="N555">
            <v>2.93</v>
          </cell>
          <cell r="O555">
            <v>55</v>
          </cell>
          <cell r="P555">
            <v>0.94618181818181801</v>
          </cell>
        </row>
        <row r="556">
          <cell r="F556" t="str">
            <v>70574237</v>
          </cell>
          <cell r="G556" t="str">
            <v>鲶鱼沟</v>
          </cell>
          <cell r="H556" t="str">
            <v>鲶鱼沟</v>
          </cell>
          <cell r="I556" t="str">
            <v>家庭食品</v>
          </cell>
          <cell r="J556" t="str">
            <v>杂粮</v>
          </cell>
          <cell r="K556" t="str">
            <v>鲶鱼沟 黄糯玉米 200g</v>
          </cell>
          <cell r="L556" t="str">
            <v>200g*10穗</v>
          </cell>
          <cell r="M556" t="str">
            <v>袋</v>
          </cell>
          <cell r="N556">
            <v>2.93</v>
          </cell>
          <cell r="O556">
            <v>55</v>
          </cell>
          <cell r="P556">
            <v>0.94618181818181801</v>
          </cell>
        </row>
        <row r="557">
          <cell r="F557" t="str">
            <v>70574235</v>
          </cell>
          <cell r="G557" t="str">
            <v>鲶鱼沟</v>
          </cell>
          <cell r="H557" t="str">
            <v>鲶鱼沟</v>
          </cell>
          <cell r="I557" t="str">
            <v>家庭食品</v>
          </cell>
          <cell r="J557" t="str">
            <v>杂粮</v>
          </cell>
          <cell r="K557" t="str">
            <v>鲶鱼沟 白糯玉米 200g</v>
          </cell>
          <cell r="L557" t="str">
            <v>200g*10穗</v>
          </cell>
          <cell r="M557" t="str">
            <v>袋</v>
          </cell>
          <cell r="N557">
            <v>2.93</v>
          </cell>
          <cell r="O557">
            <v>55</v>
          </cell>
          <cell r="P557">
            <v>0.94618181818181801</v>
          </cell>
        </row>
        <row r="558">
          <cell r="F558" t="str">
            <v>70285510</v>
          </cell>
          <cell r="G558" t="str">
            <v>千丰</v>
          </cell>
          <cell r="H558" t="str">
            <v>千丰</v>
          </cell>
          <cell r="I558" t="str">
            <v>家庭食品</v>
          </cell>
          <cell r="J558" t="str">
            <v>粮</v>
          </cell>
          <cell r="K558" t="str">
            <v>千丰 五常大米真空绿袋 5kg</v>
          </cell>
          <cell r="L558" t="str">
            <v>5kg</v>
          </cell>
          <cell r="M558" t="str">
            <v>袋</v>
          </cell>
          <cell r="N558">
            <v>49.49</v>
          </cell>
          <cell r="O558">
            <v>66</v>
          </cell>
          <cell r="P558">
            <v>0.24272727272727301</v>
          </cell>
        </row>
        <row r="559">
          <cell r="F559" t="str">
            <v>70294909</v>
          </cell>
          <cell r="G559" t="str">
            <v>千丰</v>
          </cell>
          <cell r="H559" t="str">
            <v>千丰</v>
          </cell>
          <cell r="I559" t="str">
            <v>家庭食品</v>
          </cell>
          <cell r="J559" t="str">
            <v>粮</v>
          </cell>
          <cell r="K559" t="str">
            <v>千丰 （家庭特惠装）黑龙江大米 10kg</v>
          </cell>
          <cell r="L559" t="str">
            <v>10kg</v>
          </cell>
          <cell r="M559" t="str">
            <v>袋</v>
          </cell>
          <cell r="N559">
            <v>58.58</v>
          </cell>
          <cell r="O559">
            <v>75</v>
          </cell>
          <cell r="P559">
            <v>0.2112</v>
          </cell>
        </row>
        <row r="560">
          <cell r="F560" t="str">
            <v>70291390</v>
          </cell>
          <cell r="G560" t="str">
            <v>千丰</v>
          </cell>
          <cell r="H560" t="str">
            <v>千丰</v>
          </cell>
          <cell r="I560" t="str">
            <v>家庭食品</v>
          </cell>
          <cell r="J560" t="str">
            <v>粮</v>
          </cell>
          <cell r="K560" t="str">
            <v>千丰 五常大米（米缘情） 5kg真空装</v>
          </cell>
          <cell r="L560" t="str">
            <v>5kg</v>
          </cell>
          <cell r="M560" t="str">
            <v>袋</v>
          </cell>
          <cell r="N560">
            <v>69.69</v>
          </cell>
          <cell r="O560">
            <v>99</v>
          </cell>
          <cell r="P560">
            <v>0.28909090909090901</v>
          </cell>
        </row>
        <row r="561">
          <cell r="F561" t="str">
            <v>70312961</v>
          </cell>
          <cell r="G561" t="str">
            <v>北大荒</v>
          </cell>
          <cell r="H561" t="str">
            <v>北大荒</v>
          </cell>
          <cell r="I561" t="str">
            <v>家庭食品</v>
          </cell>
          <cell r="J561" t="str">
            <v>粮</v>
          </cell>
          <cell r="K561" t="str">
            <v>北大荒 关东挂面(多福） 500g</v>
          </cell>
          <cell r="L561" t="str">
            <v>500g</v>
          </cell>
          <cell r="M561" t="str">
            <v>袋</v>
          </cell>
          <cell r="N561">
            <v>3.94</v>
          </cell>
          <cell r="O561">
            <v>7.5</v>
          </cell>
          <cell r="P561">
            <v>0.46933333333333299</v>
          </cell>
        </row>
        <row r="562">
          <cell r="F562" t="str">
            <v>70312964</v>
          </cell>
          <cell r="G562" t="str">
            <v>北大荒</v>
          </cell>
          <cell r="H562" t="str">
            <v>北大荒</v>
          </cell>
          <cell r="I562" t="str">
            <v>家庭食品</v>
          </cell>
          <cell r="J562" t="str">
            <v>粮</v>
          </cell>
          <cell r="K562" t="str">
            <v>北大荒 澳洲麦场 500g</v>
          </cell>
          <cell r="L562" t="str">
            <v>500g</v>
          </cell>
          <cell r="M562" t="str">
            <v>袋</v>
          </cell>
          <cell r="N562">
            <v>7.43</v>
          </cell>
          <cell r="O562">
            <v>14</v>
          </cell>
          <cell r="P562">
            <v>0.46357142857142902</v>
          </cell>
        </row>
        <row r="563">
          <cell r="F563" t="str">
            <v>70312966</v>
          </cell>
          <cell r="G563" t="str">
            <v>北大荒</v>
          </cell>
          <cell r="H563" t="str">
            <v>北大荒</v>
          </cell>
          <cell r="I563" t="str">
            <v>家庭食品</v>
          </cell>
          <cell r="J563" t="str">
            <v>粮</v>
          </cell>
          <cell r="K563" t="str">
            <v>北大荒 饺子用小麦粉 2.5kg</v>
          </cell>
          <cell r="L563" t="str">
            <v>2.5kg</v>
          </cell>
          <cell r="M563" t="str">
            <v>袋</v>
          </cell>
          <cell r="N563">
            <v>29.48</v>
          </cell>
          <cell r="O563">
            <v>50</v>
          </cell>
          <cell r="P563">
            <v>0.40460000000000002</v>
          </cell>
        </row>
        <row r="564">
          <cell r="F564" t="str">
            <v>70312962</v>
          </cell>
          <cell r="G564" t="str">
            <v>北大荒</v>
          </cell>
          <cell r="H564" t="str">
            <v>北大荒</v>
          </cell>
          <cell r="I564" t="str">
            <v>家庭食品</v>
          </cell>
          <cell r="J564" t="str">
            <v>粮</v>
          </cell>
          <cell r="K564" t="str">
            <v>北大荒 澳洲原麦小麦粉 2.5kg</v>
          </cell>
          <cell r="L564" t="str">
            <v>2.5kg</v>
          </cell>
          <cell r="M564" t="str">
            <v>袋</v>
          </cell>
          <cell r="N564">
            <v>28.84</v>
          </cell>
          <cell r="O564">
            <v>57</v>
          </cell>
          <cell r="P564">
            <v>0.48912280701754401</v>
          </cell>
        </row>
        <row r="565">
          <cell r="F565" t="str">
            <v>70259464</v>
          </cell>
          <cell r="G565" t="str">
            <v>北大荒</v>
          </cell>
          <cell r="H565" t="str">
            <v>北大荒</v>
          </cell>
          <cell r="I565" t="str">
            <v>家庭食品</v>
          </cell>
          <cell r="J565" t="str">
            <v>粮</v>
          </cell>
          <cell r="K565" t="str">
            <v>北大荒 澳洲原麦小麦粉 5kg</v>
          </cell>
          <cell r="L565" t="str">
            <v>5kg</v>
          </cell>
          <cell r="M565" t="str">
            <v>袋</v>
          </cell>
          <cell r="N565">
            <v>53.45</v>
          </cell>
          <cell r="O565">
            <v>71</v>
          </cell>
          <cell r="P565">
            <v>0.23971830985915499</v>
          </cell>
        </row>
        <row r="566">
          <cell r="F566" t="str">
            <v>70258610</v>
          </cell>
          <cell r="G566" t="str">
            <v>金胜</v>
          </cell>
          <cell r="H566" t="str">
            <v>金胜</v>
          </cell>
          <cell r="I566" t="str">
            <v>家庭食品</v>
          </cell>
          <cell r="J566" t="str">
            <v>油</v>
          </cell>
          <cell r="K566" t="str">
            <v>金胜 压榨一级花生油 5L</v>
          </cell>
          <cell r="L566" t="str">
            <v>5L</v>
          </cell>
          <cell r="M566" t="str">
            <v>桶</v>
          </cell>
          <cell r="N566">
            <v>99.99</v>
          </cell>
          <cell r="O566">
            <v>109</v>
          </cell>
          <cell r="P566">
            <v>7.3577981651376106E-2</v>
          </cell>
        </row>
        <row r="567">
          <cell r="F567" t="str">
            <v>70381821</v>
          </cell>
          <cell r="G567" t="str">
            <v>金胜</v>
          </cell>
          <cell r="H567" t="str">
            <v>金胜</v>
          </cell>
          <cell r="I567" t="str">
            <v>家庭食品</v>
          </cell>
          <cell r="J567" t="str">
            <v>油</v>
          </cell>
          <cell r="K567" t="str">
            <v>金胜 初榨花生油 5L</v>
          </cell>
          <cell r="L567" t="str">
            <v>5L</v>
          </cell>
          <cell r="M567" t="str">
            <v>桶</v>
          </cell>
          <cell r="N567">
            <v>126.25</v>
          </cell>
          <cell r="O567">
            <v>159</v>
          </cell>
          <cell r="P567">
            <v>0.19811320754716999</v>
          </cell>
        </row>
        <row r="568">
          <cell r="F568" t="str">
            <v>70317868</v>
          </cell>
          <cell r="G568" t="str">
            <v>五粮液</v>
          </cell>
          <cell r="H568" t="str">
            <v>五粮液</v>
          </cell>
          <cell r="I568" t="str">
            <v>酒类</v>
          </cell>
          <cell r="J568" t="str">
            <v>白酒</v>
          </cell>
          <cell r="K568" t="str">
            <v>五粮液（经典） 52度 500mL</v>
          </cell>
          <cell r="L568" t="str">
            <v>500mL*6</v>
          </cell>
          <cell r="M568" t="str">
            <v>瓶</v>
          </cell>
          <cell r="N568">
            <v>1028</v>
          </cell>
          <cell r="O568">
            <v>1499</v>
          </cell>
          <cell r="P568">
            <v>0.30389593062041398</v>
          </cell>
        </row>
        <row r="569">
          <cell r="F569" t="str">
            <v>70524448</v>
          </cell>
          <cell r="G569" t="str">
            <v>五粮液</v>
          </cell>
          <cell r="H569" t="str">
            <v>五粮液</v>
          </cell>
          <cell r="I569" t="str">
            <v>酒类</v>
          </cell>
          <cell r="J569" t="str">
            <v>白酒</v>
          </cell>
          <cell r="K569" t="str">
            <v>五粮液 第八代.二月初二（龙抬头）限量款 52度 500mL</v>
          </cell>
          <cell r="L569" t="str">
            <v>500mL*6</v>
          </cell>
          <cell r="M569" t="str">
            <v>瓶</v>
          </cell>
          <cell r="N569">
            <v>1039</v>
          </cell>
          <cell r="O569">
            <v>1499</v>
          </cell>
          <cell r="P569">
            <v>0.306871247498332</v>
          </cell>
        </row>
        <row r="570">
          <cell r="F570" t="str">
            <v>70013120</v>
          </cell>
          <cell r="G570" t="str">
            <v>五粮液</v>
          </cell>
          <cell r="H570" t="str">
            <v>五粮液</v>
          </cell>
          <cell r="I570" t="str">
            <v>酒类</v>
          </cell>
          <cell r="J570" t="str">
            <v>白酒</v>
          </cell>
          <cell r="K570" t="str">
            <v>五粮液 52度 1618五粮液浓香型白酒 500mL</v>
          </cell>
          <cell r="L570" t="str">
            <v>500mL*6</v>
          </cell>
          <cell r="M570" t="str">
            <v>瓶</v>
          </cell>
          <cell r="N570">
            <v>1020</v>
          </cell>
          <cell r="O570">
            <v>1499</v>
          </cell>
          <cell r="P570">
            <v>0.31274182788525701</v>
          </cell>
        </row>
        <row r="571">
          <cell r="F571" t="str">
            <v>70386800</v>
          </cell>
          <cell r="G571" t="str">
            <v>五粮液</v>
          </cell>
          <cell r="H571" t="str">
            <v>五粮液</v>
          </cell>
          <cell r="I571" t="str">
            <v>酒类</v>
          </cell>
          <cell r="J571" t="str">
            <v>白酒</v>
          </cell>
          <cell r="K571" t="str">
            <v>五粮液 第七代五粮液425mL</v>
          </cell>
          <cell r="L571" t="str">
            <v>500mL*6</v>
          </cell>
          <cell r="M571" t="str">
            <v>瓶</v>
          </cell>
          <cell r="N571">
            <v>828</v>
          </cell>
          <cell r="O571">
            <v>1299</v>
          </cell>
          <cell r="P571">
            <v>0.35612009237875297</v>
          </cell>
        </row>
        <row r="572">
          <cell r="F572" t="str">
            <v>70003729</v>
          </cell>
          <cell r="G572" t="str">
            <v>五粮液</v>
          </cell>
          <cell r="H572" t="str">
            <v>五粮液</v>
          </cell>
          <cell r="I572" t="str">
            <v>酒类</v>
          </cell>
          <cell r="J572" t="str">
            <v>白酒</v>
          </cell>
          <cell r="K572" t="str">
            <v>五粮液 39度 500mL</v>
          </cell>
          <cell r="L572" t="str">
            <v>500mL*6</v>
          </cell>
          <cell r="M572" t="str">
            <v>瓶</v>
          </cell>
          <cell r="N572">
            <v>737</v>
          </cell>
          <cell r="O572">
            <v>1099</v>
          </cell>
          <cell r="P572">
            <v>0.32247497725204699</v>
          </cell>
        </row>
        <row r="573">
          <cell r="F573" t="str">
            <v>70030774</v>
          </cell>
          <cell r="G573" t="str">
            <v>五粮液</v>
          </cell>
          <cell r="H573" t="str">
            <v>五粮春</v>
          </cell>
          <cell r="I573" t="str">
            <v>酒类</v>
          </cell>
          <cell r="J573" t="str">
            <v>白酒</v>
          </cell>
          <cell r="K573" t="str">
            <v>五粮春 老品45度五粮春 500mL</v>
          </cell>
          <cell r="L573" t="str">
            <v>500mL*6</v>
          </cell>
          <cell r="M573" t="str">
            <v>瓶</v>
          </cell>
          <cell r="N573">
            <v>167</v>
          </cell>
          <cell r="O573">
            <v>278</v>
          </cell>
          <cell r="P573">
            <v>0.39460431654676298</v>
          </cell>
        </row>
        <row r="574">
          <cell r="F574" t="str">
            <v>70046901</v>
          </cell>
          <cell r="G574" t="str">
            <v>五粮液</v>
          </cell>
          <cell r="H574" t="str">
            <v>五粮春</v>
          </cell>
          <cell r="I574" t="str">
            <v>酒类</v>
          </cell>
          <cell r="J574" t="str">
            <v>白酒</v>
          </cell>
          <cell r="K574" t="str">
            <v>五粮春 老品50度五粮春 500mL</v>
          </cell>
          <cell r="L574" t="str">
            <v>500mL*6</v>
          </cell>
          <cell r="M574" t="str">
            <v>瓶</v>
          </cell>
          <cell r="N574">
            <v>197</v>
          </cell>
          <cell r="O574">
            <v>308</v>
          </cell>
          <cell r="P574">
            <v>0.35422077922077899</v>
          </cell>
        </row>
        <row r="575">
          <cell r="F575" t="str">
            <v>70406874</v>
          </cell>
          <cell r="G575" t="str">
            <v>五粮液</v>
          </cell>
          <cell r="H575" t="str">
            <v>五粮春</v>
          </cell>
          <cell r="I575" t="str">
            <v>酒类</v>
          </cell>
          <cell r="J575" t="str">
            <v>白酒</v>
          </cell>
          <cell r="K575" t="str">
            <v>五粮春 二代系列 45度 500mL</v>
          </cell>
          <cell r="L575" t="str">
            <v>500mL*6</v>
          </cell>
          <cell r="M575" t="str">
            <v>瓶</v>
          </cell>
          <cell r="N575">
            <v>222</v>
          </cell>
          <cell r="O575">
            <v>398</v>
          </cell>
          <cell r="P575">
            <v>0.43618090452261299</v>
          </cell>
        </row>
        <row r="576">
          <cell r="F576" t="str">
            <v>70406875</v>
          </cell>
          <cell r="G576" t="str">
            <v>五粮液</v>
          </cell>
          <cell r="H576" t="str">
            <v>五粮春</v>
          </cell>
          <cell r="I576" t="str">
            <v>酒类</v>
          </cell>
          <cell r="J576" t="str">
            <v>白酒</v>
          </cell>
          <cell r="K576" t="str">
            <v>五粮春 二代系列 52度 500mL</v>
          </cell>
          <cell r="L576" t="str">
            <v>500mL*6</v>
          </cell>
          <cell r="M576" t="str">
            <v>瓶</v>
          </cell>
          <cell r="N576">
            <v>237</v>
          </cell>
          <cell r="O576">
            <v>428</v>
          </cell>
          <cell r="P576">
            <v>0.439953271028037</v>
          </cell>
        </row>
        <row r="577">
          <cell r="F577" t="str">
            <v>70486474</v>
          </cell>
          <cell r="G577" t="str">
            <v>五粮液</v>
          </cell>
          <cell r="H577" t="str">
            <v>尖庄</v>
          </cell>
          <cell r="I577" t="str">
            <v>酒类</v>
          </cell>
          <cell r="J577" t="str">
            <v>白酒</v>
          </cell>
          <cell r="K577" t="str">
            <v>尖庄 大光系列50度 588mL</v>
          </cell>
          <cell r="L577" t="str">
            <v>500mL*6</v>
          </cell>
          <cell r="M577" t="str">
            <v>瓶</v>
          </cell>
          <cell r="N577">
            <v>27.27</v>
          </cell>
          <cell r="O577">
            <v>38</v>
          </cell>
          <cell r="P577">
            <v>0.28239999999999998</v>
          </cell>
        </row>
        <row r="578">
          <cell r="F578" t="str">
            <v>70486469</v>
          </cell>
          <cell r="G578" t="str">
            <v>五粮液</v>
          </cell>
          <cell r="H578" t="str">
            <v>五粮醇</v>
          </cell>
          <cell r="I578" t="str">
            <v>酒类</v>
          </cell>
          <cell r="J578" t="str">
            <v>白酒</v>
          </cell>
          <cell r="K578" t="str">
            <v>五粮醇 醇香系列 银装版 52度 500mL</v>
          </cell>
          <cell r="L578" t="str">
            <v>500mL*6</v>
          </cell>
          <cell r="M578" t="str">
            <v>瓶</v>
          </cell>
          <cell r="N578">
            <v>116.15</v>
          </cell>
          <cell r="O578">
            <v>218</v>
          </cell>
          <cell r="P578">
            <v>0.46192660550458697</v>
          </cell>
        </row>
        <row r="579">
          <cell r="F579" t="str">
            <v>70486471</v>
          </cell>
          <cell r="G579" t="str">
            <v>五粮液</v>
          </cell>
          <cell r="H579" t="str">
            <v>五粮醇</v>
          </cell>
          <cell r="I579" t="str">
            <v>酒类</v>
          </cell>
          <cell r="J579" t="str">
            <v>白酒</v>
          </cell>
          <cell r="K579" t="str">
            <v>五粮醇 醇香系列 银装礼盒 52度 500mL*2</v>
          </cell>
          <cell r="L579" t="str">
            <v>500mL*2*3</v>
          </cell>
          <cell r="M579" t="str">
            <v>瓶</v>
          </cell>
          <cell r="N579">
            <v>206.04</v>
          </cell>
          <cell r="O579">
            <v>438</v>
          </cell>
          <cell r="P579">
            <v>0.524931506849315</v>
          </cell>
        </row>
        <row r="580">
          <cell r="F580" t="str">
            <v>70437423</v>
          </cell>
          <cell r="G580" t="str">
            <v>五粮液</v>
          </cell>
          <cell r="H580" t="str">
            <v>五粮液</v>
          </cell>
          <cell r="I580" t="str">
            <v>酒类</v>
          </cell>
          <cell r="J580" t="str">
            <v>白酒</v>
          </cell>
          <cell r="K580" t="str">
            <v>五粮液 九龙坛（黄坛）</v>
          </cell>
          <cell r="L580" t="str">
            <v>1.5l*1</v>
          </cell>
          <cell r="M580" t="str">
            <v>瓶</v>
          </cell>
          <cell r="N580">
            <v>6666</v>
          </cell>
          <cell r="O580">
            <v>12800</v>
          </cell>
          <cell r="P580">
            <v>0.4740625</v>
          </cell>
        </row>
        <row r="581">
          <cell r="F581" t="str">
            <v>70574844</v>
          </cell>
          <cell r="G581" t="str">
            <v>五粮液</v>
          </cell>
          <cell r="H581" t="str">
            <v>五粮液</v>
          </cell>
          <cell r="I581" t="str">
            <v>酒类</v>
          </cell>
          <cell r="J581" t="str">
            <v>白酒</v>
          </cell>
          <cell r="K581" t="str">
            <v>五粮液 九龙坛（凤）</v>
          </cell>
          <cell r="L581" t="str">
            <v>1.5l*1</v>
          </cell>
          <cell r="M581" t="str">
            <v>瓶</v>
          </cell>
          <cell r="N581">
            <v>6666</v>
          </cell>
          <cell r="O581">
            <v>12800</v>
          </cell>
          <cell r="P581">
            <v>0.4740625</v>
          </cell>
        </row>
        <row r="582">
          <cell r="F582" t="str">
            <v>70019088</v>
          </cell>
          <cell r="G582" t="str">
            <v>泸州老窖</v>
          </cell>
          <cell r="H582" t="str">
            <v>泸州老窖</v>
          </cell>
          <cell r="I582" t="str">
            <v>酒类</v>
          </cell>
          <cell r="J582" t="str">
            <v>白酒</v>
          </cell>
          <cell r="K582" t="str">
            <v>国窖 1573酒52度 500mL</v>
          </cell>
          <cell r="L582" t="str">
            <v>500mL</v>
          </cell>
          <cell r="M582" t="str">
            <v>瓶</v>
          </cell>
          <cell r="N582">
            <v>929.2</v>
          </cell>
          <cell r="O582">
            <v>1399</v>
          </cell>
          <cell r="P582">
            <v>0.33523945675482503</v>
          </cell>
        </row>
        <row r="583">
          <cell r="F583" t="str">
            <v>70019929</v>
          </cell>
          <cell r="G583" t="str">
            <v>泸州老窖</v>
          </cell>
          <cell r="H583" t="str">
            <v>泸州老窖</v>
          </cell>
          <cell r="I583" t="str">
            <v>酒类</v>
          </cell>
          <cell r="J583" t="str">
            <v>白酒</v>
          </cell>
          <cell r="K583" t="str">
            <v>国窖 1573酒38度 500mL</v>
          </cell>
          <cell r="L583" t="str">
            <v>500mL</v>
          </cell>
          <cell r="M583" t="str">
            <v>瓶</v>
          </cell>
          <cell r="N583">
            <v>669.63</v>
          </cell>
          <cell r="O583">
            <v>999</v>
          </cell>
          <cell r="P583">
            <v>0.32932932932932901</v>
          </cell>
        </row>
        <row r="584">
          <cell r="F584" t="str">
            <v>70567205</v>
          </cell>
          <cell r="G584" t="str">
            <v>泸州老窖</v>
          </cell>
          <cell r="H584" t="str">
            <v>风之清</v>
          </cell>
          <cell r="I584" t="str">
            <v>酒类</v>
          </cell>
          <cell r="J584" t="str">
            <v>果酒</v>
          </cell>
          <cell r="K584" t="str">
            <v>风之清 青梅果酿酒12度 500mL</v>
          </cell>
          <cell r="L584" t="str">
            <v>500mL</v>
          </cell>
          <cell r="M584" t="str">
            <v>瓶</v>
          </cell>
          <cell r="N584">
            <v>115.14</v>
          </cell>
          <cell r="O584">
            <v>198</v>
          </cell>
          <cell r="P584">
            <v>0.412727272727273</v>
          </cell>
        </row>
        <row r="585">
          <cell r="F585" t="str">
            <v>70567204</v>
          </cell>
          <cell r="G585" t="str">
            <v>泸州老窖</v>
          </cell>
          <cell r="H585" t="str">
            <v>花之影</v>
          </cell>
          <cell r="I585" t="str">
            <v>酒类</v>
          </cell>
          <cell r="J585" t="str">
            <v>果酒</v>
          </cell>
          <cell r="K585" t="str">
            <v>花之影 蓝莓果酿酒12度 500mL</v>
          </cell>
          <cell r="L585" t="str">
            <v>500mL</v>
          </cell>
          <cell r="M585" t="str">
            <v>瓶</v>
          </cell>
          <cell r="N585">
            <v>191.9</v>
          </cell>
          <cell r="O585">
            <v>398</v>
          </cell>
          <cell r="P585">
            <v>0.51306532663316595</v>
          </cell>
        </row>
        <row r="586">
          <cell r="F586" t="str">
            <v>70567203</v>
          </cell>
          <cell r="G586" t="str">
            <v>泸州老窖</v>
          </cell>
          <cell r="H586" t="str">
            <v>风之清</v>
          </cell>
          <cell r="I586" t="str">
            <v>酒类</v>
          </cell>
          <cell r="J586" t="str">
            <v>果酒</v>
          </cell>
          <cell r="K586" t="str">
            <v>风之清 青梅茶果酿酒12度 500mL</v>
          </cell>
          <cell r="L586" t="str">
            <v>500mL</v>
          </cell>
          <cell r="M586" t="str">
            <v>瓶</v>
          </cell>
          <cell r="N586">
            <v>115.14</v>
          </cell>
          <cell r="O586">
            <v>198</v>
          </cell>
          <cell r="P586">
            <v>0.412727272727273</v>
          </cell>
        </row>
        <row r="587">
          <cell r="F587" t="str">
            <v>70574253</v>
          </cell>
          <cell r="G587" t="str">
            <v>泸州老窖</v>
          </cell>
          <cell r="H587" t="str">
            <v>泸州老窖</v>
          </cell>
          <cell r="I587" t="str">
            <v>酒类</v>
          </cell>
          <cell r="J587" t="str">
            <v>啤酒</v>
          </cell>
          <cell r="K587" t="str">
            <v>泸州老窖 百调精酿啤酒 980mL</v>
          </cell>
          <cell r="L587" t="str">
            <v>980mL</v>
          </cell>
          <cell r="M587" t="str">
            <v>瓶</v>
          </cell>
          <cell r="N587">
            <v>45.45</v>
          </cell>
          <cell r="O587">
            <v>88</v>
          </cell>
          <cell r="P587">
            <v>0.47840909090909101</v>
          </cell>
        </row>
        <row r="588">
          <cell r="F588" t="str">
            <v>70574243</v>
          </cell>
          <cell r="G588" t="str">
            <v>泸州老窖</v>
          </cell>
          <cell r="H588" t="str">
            <v>泸州老窖</v>
          </cell>
          <cell r="I588" t="str">
            <v>酒类</v>
          </cell>
          <cell r="J588" t="str">
            <v>啤酒</v>
          </cell>
          <cell r="K588" t="str">
            <v>泸州老窖 百调精酿啤酒（黑金版） 980mL</v>
          </cell>
          <cell r="L588" t="str">
            <v>980m</v>
          </cell>
          <cell r="M588" t="str">
            <v>瓶</v>
          </cell>
          <cell r="N588">
            <v>202</v>
          </cell>
          <cell r="O588">
            <v>396</v>
          </cell>
          <cell r="P588">
            <v>0.48484848484848497</v>
          </cell>
        </row>
        <row r="589">
          <cell r="F589" t="str">
            <v>70475068</v>
          </cell>
          <cell r="G589" t="str">
            <v>剑南春</v>
          </cell>
          <cell r="H589" t="str">
            <v>剑南春</v>
          </cell>
          <cell r="I589" t="str">
            <v>酒类</v>
          </cell>
          <cell r="J589" t="str">
            <v>白酒</v>
          </cell>
          <cell r="K589" t="str">
            <v>剑南春 金剑南（K6）22版52度500mL</v>
          </cell>
          <cell r="L589" t="str">
            <v>500mL</v>
          </cell>
          <cell r="M589" t="str">
            <v>瓶</v>
          </cell>
          <cell r="N589">
            <v>161.6</v>
          </cell>
          <cell r="O589">
            <v>258</v>
          </cell>
          <cell r="P589">
            <v>0.36744186046511601</v>
          </cell>
        </row>
        <row r="590">
          <cell r="F590" t="str">
            <v>70003736</v>
          </cell>
          <cell r="G590" t="str">
            <v>剑南春</v>
          </cell>
          <cell r="H590" t="str">
            <v>剑南春</v>
          </cell>
          <cell r="I590" t="str">
            <v>酒类</v>
          </cell>
          <cell r="J590" t="str">
            <v>白酒</v>
          </cell>
          <cell r="K590" t="str">
            <v>剑南春 水晶剑南春52度 500mL</v>
          </cell>
          <cell r="L590" t="str">
            <v>500mL</v>
          </cell>
          <cell r="M590" t="str">
            <v>瓶</v>
          </cell>
          <cell r="N590">
            <v>454.5</v>
          </cell>
          <cell r="O590">
            <v>488</v>
          </cell>
          <cell r="P590">
            <v>5.9426229508196697E-2</v>
          </cell>
        </row>
        <row r="591">
          <cell r="F591" t="str">
            <v>70012885</v>
          </cell>
          <cell r="G591" t="str">
            <v>剑南春</v>
          </cell>
          <cell r="H591" t="str">
            <v>剑南春</v>
          </cell>
          <cell r="I591" t="str">
            <v>酒类</v>
          </cell>
          <cell r="J591" t="str">
            <v>白酒</v>
          </cell>
          <cell r="K591" t="str">
            <v>剑南春 水晶剑南春38度 500mL</v>
          </cell>
          <cell r="L591" t="str">
            <v>500mL</v>
          </cell>
          <cell r="M591" t="str">
            <v>瓶</v>
          </cell>
          <cell r="N591">
            <v>424.2</v>
          </cell>
          <cell r="O591">
            <v>458</v>
          </cell>
          <cell r="P591">
            <v>6.4628820960698705E-2</v>
          </cell>
        </row>
        <row r="592">
          <cell r="F592" t="str">
            <v>70543438</v>
          </cell>
          <cell r="G592" t="str">
            <v>剑南春</v>
          </cell>
          <cell r="H592" t="str">
            <v>剑南春</v>
          </cell>
          <cell r="I592" t="str">
            <v>酒类</v>
          </cell>
          <cell r="J592" t="str">
            <v>白酒</v>
          </cell>
          <cell r="K592" t="str">
            <v>剑南春 绵竹特曲 银棉柔 52度500mL</v>
          </cell>
          <cell r="L592" t="str">
            <v>500mL</v>
          </cell>
          <cell r="M592" t="str">
            <v>瓶</v>
          </cell>
          <cell r="N592">
            <v>99.99</v>
          </cell>
          <cell r="O592">
            <v>238</v>
          </cell>
          <cell r="P592">
            <v>0.57571428571428596</v>
          </cell>
        </row>
        <row r="593">
          <cell r="F593" t="str">
            <v>70543444</v>
          </cell>
          <cell r="G593" t="str">
            <v>剑南春</v>
          </cell>
          <cell r="H593" t="str">
            <v>剑南春</v>
          </cell>
          <cell r="I593" t="str">
            <v>酒类</v>
          </cell>
          <cell r="J593" t="str">
            <v>白酒</v>
          </cell>
          <cell r="K593" t="str">
            <v>剑南春 剑南福F9 500mL</v>
          </cell>
          <cell r="L593" t="str">
            <v>500mL</v>
          </cell>
          <cell r="M593" t="str">
            <v>瓶</v>
          </cell>
          <cell r="N593">
            <v>113.12</v>
          </cell>
          <cell r="O593">
            <v>398</v>
          </cell>
          <cell r="P593">
            <v>0.71296482412060302</v>
          </cell>
        </row>
        <row r="594">
          <cell r="F594" t="str">
            <v>70497813</v>
          </cell>
          <cell r="G594" t="str">
            <v>杜康</v>
          </cell>
          <cell r="H594" t="str">
            <v>杜康</v>
          </cell>
          <cell r="I594" t="str">
            <v>酒类</v>
          </cell>
          <cell r="J594" t="str">
            <v>白酒</v>
          </cell>
          <cell r="K594" t="str">
            <v>杜康 杜康名窖(原窖3)酒 445mL</v>
          </cell>
          <cell r="L594" t="str">
            <v>445mL</v>
          </cell>
          <cell r="M594" t="str">
            <v>瓶</v>
          </cell>
          <cell r="N594">
            <v>50.5</v>
          </cell>
          <cell r="O594">
            <v>175</v>
          </cell>
          <cell r="P594">
            <v>0.70857142857142896</v>
          </cell>
        </row>
        <row r="595">
          <cell r="F595" t="str">
            <v>70524349</v>
          </cell>
          <cell r="G595" t="str">
            <v>杜康</v>
          </cell>
          <cell r="H595" t="str">
            <v>杜康</v>
          </cell>
          <cell r="I595" t="str">
            <v>酒类</v>
          </cell>
          <cell r="J595" t="str">
            <v>白酒</v>
          </cell>
          <cell r="K595" t="str">
            <v>杜康 杜康阖缘（尊捌）酒 445mL</v>
          </cell>
          <cell r="L595" t="str">
            <v>445mL</v>
          </cell>
          <cell r="M595" t="str">
            <v>瓶</v>
          </cell>
          <cell r="N595">
            <v>95.95</v>
          </cell>
          <cell r="O595">
            <v>498</v>
          </cell>
          <cell r="P595">
            <v>0.805421686746988</v>
          </cell>
        </row>
        <row r="596">
          <cell r="F596" t="str">
            <v>70469065</v>
          </cell>
          <cell r="G596" t="str">
            <v>西凤</v>
          </cell>
          <cell r="H596" t="str">
            <v>西凤</v>
          </cell>
          <cell r="I596" t="str">
            <v>酒类</v>
          </cell>
          <cell r="J596" t="str">
            <v>白酒</v>
          </cell>
          <cell r="K596" t="str">
            <v>西凤酒 45度老绿瓶（瓶） 500mL</v>
          </cell>
          <cell r="L596" t="str">
            <v>500mL</v>
          </cell>
          <cell r="M596" t="str">
            <v>瓶</v>
          </cell>
          <cell r="N596">
            <v>46.46</v>
          </cell>
          <cell r="O596">
            <v>65</v>
          </cell>
          <cell r="P596">
            <v>0.27815384615384597</v>
          </cell>
        </row>
        <row r="597">
          <cell r="F597" t="str">
            <v>70068506</v>
          </cell>
          <cell r="G597" t="str">
            <v>西凤</v>
          </cell>
          <cell r="H597" t="str">
            <v>西凤</v>
          </cell>
          <cell r="I597" t="str">
            <v>酒类</v>
          </cell>
          <cell r="J597" t="str">
            <v>白酒</v>
          </cell>
          <cell r="K597" t="str">
            <v>西凤酒 45度老绿瓶（三防伪） 500mL</v>
          </cell>
          <cell r="L597" t="str">
            <v>500mL</v>
          </cell>
          <cell r="M597" t="str">
            <v>瓶</v>
          </cell>
          <cell r="N597">
            <v>49.49</v>
          </cell>
          <cell r="O597">
            <v>68</v>
          </cell>
          <cell r="P597">
            <v>0.26500000000000001</v>
          </cell>
        </row>
        <row r="598">
          <cell r="F598" t="str">
            <v>70396072</v>
          </cell>
          <cell r="G598" t="str">
            <v>西凤</v>
          </cell>
          <cell r="H598" t="str">
            <v>西凤</v>
          </cell>
          <cell r="I598" t="str">
            <v>酒类</v>
          </cell>
          <cell r="J598" t="str">
            <v>白酒</v>
          </cell>
          <cell r="K598" t="str">
            <v>西凤酒 55度老绿瓶（盒）（省外） 500mL</v>
          </cell>
          <cell r="L598" t="str">
            <v>500mL</v>
          </cell>
          <cell r="M598" t="str">
            <v>瓶</v>
          </cell>
          <cell r="N598">
            <v>52.52</v>
          </cell>
          <cell r="O598">
            <v>78</v>
          </cell>
          <cell r="P598">
            <v>0.32</v>
          </cell>
        </row>
        <row r="599">
          <cell r="F599" t="str">
            <v>70475328</v>
          </cell>
          <cell r="G599" t="str">
            <v>西凤</v>
          </cell>
          <cell r="H599" t="str">
            <v>西凤</v>
          </cell>
          <cell r="I599" t="str">
            <v>酒类</v>
          </cell>
          <cell r="J599" t="str">
            <v>白酒</v>
          </cell>
          <cell r="K599" t="str">
            <v>西凤酒 52度老绿瓶（红盖西凤） 500mL</v>
          </cell>
          <cell r="L599" t="str">
            <v>500mL</v>
          </cell>
          <cell r="M599" t="str">
            <v>瓶</v>
          </cell>
          <cell r="N599">
            <v>181.8</v>
          </cell>
          <cell r="O599">
            <v>238</v>
          </cell>
          <cell r="P599">
            <v>0.22857142857142901</v>
          </cell>
        </row>
        <row r="600">
          <cell r="F600" t="str">
            <v>70524254</v>
          </cell>
          <cell r="G600" t="str">
            <v>西凤</v>
          </cell>
          <cell r="H600" t="str">
            <v>西凤</v>
          </cell>
          <cell r="I600" t="str">
            <v>酒类</v>
          </cell>
          <cell r="J600" t="str">
            <v>白酒</v>
          </cell>
          <cell r="K600" t="str">
            <v>西凤酒 52度老绿瓶（红盖）礼盒装 125mL*4</v>
          </cell>
          <cell r="L600" t="str">
            <v>125mL×4</v>
          </cell>
          <cell r="M600" t="str">
            <v>瓶</v>
          </cell>
          <cell r="N600">
            <v>202</v>
          </cell>
          <cell r="O600">
            <v>298</v>
          </cell>
          <cell r="P600">
            <v>0.31543624161073802</v>
          </cell>
        </row>
        <row r="601">
          <cell r="F601" t="str">
            <v>70524252</v>
          </cell>
          <cell r="G601" t="str">
            <v>西凤</v>
          </cell>
          <cell r="H601" t="str">
            <v>西凤</v>
          </cell>
          <cell r="I601" t="str">
            <v>酒类</v>
          </cell>
          <cell r="J601" t="str">
            <v>白酒</v>
          </cell>
          <cell r="K601" t="str">
            <v>西凤酒 45度老绿瓶 125mL</v>
          </cell>
          <cell r="L601" t="str">
            <v>125mL</v>
          </cell>
          <cell r="M601" t="str">
            <v>瓶</v>
          </cell>
          <cell r="N601">
            <v>14.85</v>
          </cell>
          <cell r="O601">
            <v>25</v>
          </cell>
          <cell r="P601">
            <v>0.40039999999999998</v>
          </cell>
        </row>
        <row r="602">
          <cell r="F602" t="str">
            <v>70467387</v>
          </cell>
          <cell r="G602" t="str">
            <v>西凤</v>
          </cell>
          <cell r="H602" t="str">
            <v>西凤</v>
          </cell>
          <cell r="I602" t="str">
            <v>酒类</v>
          </cell>
          <cell r="J602" t="str">
            <v>白酒</v>
          </cell>
          <cell r="K602" t="str">
            <v>西凤酒 52度酒海陈藏5 500mL</v>
          </cell>
          <cell r="L602" t="str">
            <v>500mL</v>
          </cell>
          <cell r="M602" t="str">
            <v>瓶</v>
          </cell>
          <cell r="N602">
            <v>119.18</v>
          </cell>
          <cell r="O602">
            <v>198</v>
          </cell>
          <cell r="P602">
            <v>0.39212121212121198</v>
          </cell>
        </row>
        <row r="603">
          <cell r="F603" t="str">
            <v>70524489</v>
          </cell>
          <cell r="G603" t="str">
            <v>国台</v>
          </cell>
          <cell r="H603" t="str">
            <v>国台</v>
          </cell>
          <cell r="I603" t="str">
            <v>酒类</v>
          </cell>
          <cell r="J603" t="str">
            <v>白酒</v>
          </cell>
          <cell r="K603" t="str">
            <v>国台 国标酒 500mL</v>
          </cell>
          <cell r="L603" t="str">
            <v>500mL</v>
          </cell>
          <cell r="M603" t="str">
            <v>瓶</v>
          </cell>
          <cell r="N603">
            <v>352.49</v>
          </cell>
          <cell r="O603">
            <v>699</v>
          </cell>
          <cell r="P603">
            <v>0.490729613733906</v>
          </cell>
        </row>
        <row r="604">
          <cell r="F604" t="str">
            <v>70474985</v>
          </cell>
          <cell r="G604" t="str">
            <v>国台</v>
          </cell>
          <cell r="H604" t="str">
            <v>国台</v>
          </cell>
          <cell r="I604" t="str">
            <v>酒类</v>
          </cell>
          <cell r="J604" t="str">
            <v>白酒</v>
          </cell>
          <cell r="K604" t="str">
            <v>国台 国标·精品酒 500mL</v>
          </cell>
          <cell r="L604" t="str">
            <v>500mL</v>
          </cell>
          <cell r="M604" t="str">
            <v>瓶</v>
          </cell>
          <cell r="N604">
            <v>352.49</v>
          </cell>
          <cell r="O604">
            <v>799</v>
          </cell>
          <cell r="P604">
            <v>0.55446808510638301</v>
          </cell>
        </row>
        <row r="605">
          <cell r="F605" t="str">
            <v>70295132</v>
          </cell>
          <cell r="G605" t="str">
            <v>国台</v>
          </cell>
          <cell r="H605" t="str">
            <v>国台</v>
          </cell>
          <cell r="I605" t="str">
            <v>酒类</v>
          </cell>
          <cell r="J605" t="str">
            <v>白酒</v>
          </cell>
          <cell r="K605" t="str">
            <v>国台 十五年 500mL</v>
          </cell>
          <cell r="L605" t="str">
            <v>500mL</v>
          </cell>
          <cell r="M605" t="str">
            <v>瓶</v>
          </cell>
          <cell r="N605">
            <v>827.19</v>
          </cell>
          <cell r="O605">
            <v>1499</v>
          </cell>
          <cell r="P605">
            <v>0.44270847231487698</v>
          </cell>
        </row>
        <row r="606">
          <cell r="F606" t="str">
            <v>70365331</v>
          </cell>
          <cell r="G606" t="str">
            <v>国台</v>
          </cell>
          <cell r="H606" t="str">
            <v>国台</v>
          </cell>
          <cell r="I606" t="str">
            <v>酒类</v>
          </cell>
          <cell r="J606" t="str">
            <v>白酒</v>
          </cell>
          <cell r="K606" t="str">
            <v>国台 龙酒 500mL</v>
          </cell>
          <cell r="L606" t="str">
            <v>500mL</v>
          </cell>
          <cell r="M606" t="str">
            <v>瓶</v>
          </cell>
          <cell r="N606">
            <v>1513.99</v>
          </cell>
          <cell r="O606">
            <v>2999</v>
          </cell>
          <cell r="P606">
            <v>0.49017005668556202</v>
          </cell>
        </row>
        <row r="607">
          <cell r="F607" t="str">
            <v>70407719</v>
          </cell>
          <cell r="G607" t="str">
            <v>国台</v>
          </cell>
          <cell r="H607" t="str">
            <v>国台</v>
          </cell>
          <cell r="I607" t="str">
            <v>酒类</v>
          </cell>
          <cell r="J607" t="str">
            <v>白酒</v>
          </cell>
          <cell r="K607" t="str">
            <v>国台 酱酒 500mL</v>
          </cell>
          <cell r="L607" t="str">
            <v>500mL</v>
          </cell>
          <cell r="M607" t="str">
            <v>瓶</v>
          </cell>
          <cell r="N607">
            <v>199.98</v>
          </cell>
          <cell r="O607">
            <v>499</v>
          </cell>
          <cell r="P607">
            <v>0.59527054108216404</v>
          </cell>
        </row>
        <row r="608">
          <cell r="F608" t="str">
            <v>70521155</v>
          </cell>
          <cell r="G608" t="str">
            <v>国台</v>
          </cell>
          <cell r="H608" t="str">
            <v>国台</v>
          </cell>
          <cell r="I608" t="str">
            <v>酒类</v>
          </cell>
          <cell r="J608" t="str">
            <v>白酒</v>
          </cell>
          <cell r="K608" t="str">
            <v>国台 汋悦酒 500mL</v>
          </cell>
          <cell r="L608" t="str">
            <v>500mL</v>
          </cell>
          <cell r="M608" t="str">
            <v>瓶</v>
          </cell>
          <cell r="N608">
            <v>332.29</v>
          </cell>
          <cell r="O608">
            <v>599</v>
          </cell>
          <cell r="P608">
            <v>0.43976627712854799</v>
          </cell>
        </row>
        <row r="609">
          <cell r="F609" t="str">
            <v>70524443</v>
          </cell>
          <cell r="G609" t="str">
            <v>国台</v>
          </cell>
          <cell r="H609" t="str">
            <v>国台</v>
          </cell>
          <cell r="I609" t="str">
            <v>酒类</v>
          </cell>
          <cell r="J609" t="str">
            <v>白酒</v>
          </cell>
          <cell r="K609" t="str">
            <v>国台 酌渼酒 500mL</v>
          </cell>
          <cell r="L609" t="str">
            <v>500mL</v>
          </cell>
          <cell r="M609" t="str">
            <v>瓶</v>
          </cell>
          <cell r="N609">
            <v>222.2</v>
          </cell>
          <cell r="O609">
            <v>399</v>
          </cell>
          <cell r="P609">
            <v>0.43759398496240598</v>
          </cell>
        </row>
        <row r="610">
          <cell r="F610" t="str">
            <v>70247948</v>
          </cell>
          <cell r="G610" t="str">
            <v>中粮名庄荟</v>
          </cell>
          <cell r="H610" t="str">
            <v>露松</v>
          </cell>
          <cell r="I610" t="str">
            <v>酒类</v>
          </cell>
          <cell r="J610" t="str">
            <v>进口葡萄酒</v>
          </cell>
          <cell r="K610" t="str">
            <v>露松 丹马酒堡干红葡萄酒  750mL</v>
          </cell>
          <cell r="L610" t="str">
            <v>750mL</v>
          </cell>
          <cell r="M610" t="str">
            <v>瓶</v>
          </cell>
          <cell r="N610">
            <v>59.59</v>
          </cell>
          <cell r="O610">
            <v>198</v>
          </cell>
          <cell r="P610">
            <v>0.69606060606060605</v>
          </cell>
        </row>
        <row r="611">
          <cell r="F611" t="str">
            <v>70524441</v>
          </cell>
          <cell r="G611" t="str">
            <v>中粮名庄荟</v>
          </cell>
          <cell r="H611" t="str">
            <v>卡乐多</v>
          </cell>
          <cell r="I611" t="str">
            <v>酒类</v>
          </cell>
          <cell r="J611" t="str">
            <v>进口葡萄酒</v>
          </cell>
          <cell r="K611" t="str">
            <v>卡乐多 酒堡干红葡萄酒 750mL</v>
          </cell>
          <cell r="L611" t="str">
            <v>750mL</v>
          </cell>
          <cell r="M611" t="str">
            <v>瓶</v>
          </cell>
          <cell r="N611">
            <v>49.49</v>
          </cell>
          <cell r="O611">
            <v>358</v>
          </cell>
          <cell r="P611">
            <v>0.86039106145251398</v>
          </cell>
        </row>
        <row r="612">
          <cell r="F612" t="str">
            <v>70401301</v>
          </cell>
          <cell r="G612" t="str">
            <v>中粮名庄荟</v>
          </cell>
          <cell r="H612" t="str">
            <v>雷沃</v>
          </cell>
          <cell r="I612" t="str">
            <v>酒类</v>
          </cell>
          <cell r="J612" t="str">
            <v>进口葡萄酒</v>
          </cell>
          <cell r="K612" t="str">
            <v>雷沃 白露干红葡萄酒750mL</v>
          </cell>
          <cell r="L612" t="str">
            <v>750mL</v>
          </cell>
          <cell r="M612" t="str">
            <v>瓶</v>
          </cell>
          <cell r="N612">
            <v>49.49</v>
          </cell>
          <cell r="O612">
            <v>138</v>
          </cell>
          <cell r="P612">
            <v>0.63782608695652199</v>
          </cell>
        </row>
        <row r="613">
          <cell r="F613" t="str">
            <v>70401302</v>
          </cell>
          <cell r="G613" t="str">
            <v>中粮名庄荟</v>
          </cell>
          <cell r="H613" t="str">
            <v>雷沃</v>
          </cell>
          <cell r="I613" t="str">
            <v>酒类</v>
          </cell>
          <cell r="J613" t="str">
            <v>进口葡萄酒</v>
          </cell>
          <cell r="K613" t="str">
            <v>雷沃 诗伽利干红葡萄酒750mL</v>
          </cell>
          <cell r="L613" t="str">
            <v>750mL</v>
          </cell>
          <cell r="M613" t="str">
            <v>瓶</v>
          </cell>
          <cell r="N613">
            <v>49.49</v>
          </cell>
          <cell r="O613">
            <v>138</v>
          </cell>
          <cell r="P613">
            <v>0.63782608695652199</v>
          </cell>
        </row>
        <row r="614">
          <cell r="F614" t="str">
            <v>70350792</v>
          </cell>
          <cell r="G614" t="str">
            <v>中粮名庄荟</v>
          </cell>
          <cell r="H614" t="str">
            <v>罗斯乐</v>
          </cell>
          <cell r="I614" t="str">
            <v>酒类</v>
          </cell>
          <cell r="J614" t="str">
            <v>进口葡萄酒</v>
          </cell>
          <cell r="K614" t="str">
            <v>罗斯乐 男爵干红葡萄酒 750mL</v>
          </cell>
          <cell r="L614" t="str">
            <v>750mL</v>
          </cell>
          <cell r="M614" t="str">
            <v>瓶</v>
          </cell>
          <cell r="N614">
            <v>53.53</v>
          </cell>
          <cell r="O614">
            <v>158</v>
          </cell>
          <cell r="P614">
            <v>0.65784810126582305</v>
          </cell>
        </row>
        <row r="615">
          <cell r="F615" t="str">
            <v>70308447</v>
          </cell>
          <cell r="G615" t="str">
            <v>中粮名庄荟</v>
          </cell>
          <cell r="H615" t="str">
            <v>雷沃</v>
          </cell>
          <cell r="I615" t="str">
            <v>酒类</v>
          </cell>
          <cell r="J615" t="str">
            <v>进口葡萄酒</v>
          </cell>
          <cell r="K615" t="str">
            <v>雷沃 1785干红葡萄酒 750mL</v>
          </cell>
          <cell r="L615" t="str">
            <v>750mL木盒</v>
          </cell>
          <cell r="M615" t="str">
            <v>瓶</v>
          </cell>
          <cell r="N615">
            <v>66.66</v>
          </cell>
          <cell r="O615">
            <v>149</v>
          </cell>
          <cell r="P615">
            <v>0.54818791946308698</v>
          </cell>
        </row>
        <row r="616">
          <cell r="F616" t="str">
            <v>70485823</v>
          </cell>
          <cell r="G616" t="str">
            <v>中粮名庄荟</v>
          </cell>
          <cell r="H616" t="str">
            <v>雷沃堡</v>
          </cell>
          <cell r="I616" t="str">
            <v>酒类</v>
          </cell>
          <cell r="J616" t="str">
            <v>进口葡萄酒</v>
          </cell>
          <cell r="K616" t="str">
            <v>雷沃堡 酒庄干红葡萄酒2018年单支木盒装750mL</v>
          </cell>
          <cell r="L616" t="str">
            <v>750mL木盒</v>
          </cell>
          <cell r="M616" t="str">
            <v>瓶</v>
          </cell>
          <cell r="N616">
            <v>453.49</v>
          </cell>
          <cell r="O616">
            <v>1180</v>
          </cell>
          <cell r="P616">
            <v>0.61188135593220305</v>
          </cell>
        </row>
        <row r="617">
          <cell r="F617" t="str">
            <v>70381738</v>
          </cell>
          <cell r="G617" t="str">
            <v>中粮名庄荟</v>
          </cell>
          <cell r="H617" t="str">
            <v>铂帝</v>
          </cell>
          <cell r="I617" t="str">
            <v>酒类</v>
          </cell>
          <cell r="J617" t="str">
            <v>进口葡萄酒</v>
          </cell>
          <cell r="K617" t="str">
            <v>铂帝 干红葡萄酒750mL</v>
          </cell>
          <cell r="L617" t="str">
            <v>750mL</v>
          </cell>
          <cell r="M617" t="str">
            <v>瓶</v>
          </cell>
          <cell r="N617">
            <v>85.85</v>
          </cell>
          <cell r="O617">
            <v>198</v>
          </cell>
          <cell r="P617">
            <v>0.56212121212121202</v>
          </cell>
        </row>
        <row r="618">
          <cell r="F618" t="str">
            <v>70381737</v>
          </cell>
          <cell r="G618" t="str">
            <v>中粮名庄荟</v>
          </cell>
          <cell r="H618" t="str">
            <v>酷保</v>
          </cell>
          <cell r="I618" t="str">
            <v>酒类</v>
          </cell>
          <cell r="J618" t="str">
            <v>进口葡萄酒</v>
          </cell>
          <cell r="K618" t="str">
            <v>酷保  丹魄干红葡萄酒 750mL</v>
          </cell>
          <cell r="L618" t="str">
            <v>750mL</v>
          </cell>
          <cell r="M618" t="str">
            <v>瓶</v>
          </cell>
          <cell r="N618">
            <v>42.42</v>
          </cell>
          <cell r="O618">
            <v>95</v>
          </cell>
          <cell r="P618">
            <v>0.54905263157894701</v>
          </cell>
        </row>
        <row r="619">
          <cell r="F619" t="str">
            <v>70452865</v>
          </cell>
          <cell r="G619" t="str">
            <v>中粮名庄荟</v>
          </cell>
          <cell r="H619" t="str">
            <v>柯威</v>
          </cell>
          <cell r="I619" t="str">
            <v>酒类</v>
          </cell>
          <cell r="J619" t="str">
            <v>进口葡萄酒</v>
          </cell>
          <cell r="K619" t="str">
            <v>柯威 精选混酿红葡萄酒 750mL</v>
          </cell>
          <cell r="L619" t="str">
            <v>750mL</v>
          </cell>
          <cell r="M619" t="str">
            <v>瓶</v>
          </cell>
          <cell r="N619">
            <v>64.64</v>
          </cell>
          <cell r="O619">
            <v>188</v>
          </cell>
          <cell r="P619">
            <v>0.65276595744680899</v>
          </cell>
        </row>
        <row r="620">
          <cell r="F620" t="str">
            <v>70452864</v>
          </cell>
          <cell r="G620" t="str">
            <v>中粮名庄荟</v>
          </cell>
          <cell r="H620" t="str">
            <v>柯威</v>
          </cell>
          <cell r="I620" t="str">
            <v>酒类</v>
          </cell>
          <cell r="J620" t="str">
            <v>进口葡萄酒</v>
          </cell>
          <cell r="K620" t="str">
            <v>柯威 精选莫斯卡托甜白低泡葡萄酒 750mL</v>
          </cell>
          <cell r="L620" t="str">
            <v>750mL</v>
          </cell>
          <cell r="M620" t="str">
            <v>瓶</v>
          </cell>
          <cell r="N620">
            <v>75.75</v>
          </cell>
          <cell r="O620">
            <v>168</v>
          </cell>
          <cell r="P620">
            <v>0.54464285714285698</v>
          </cell>
        </row>
        <row r="621">
          <cell r="F621" t="str">
            <v>70452867</v>
          </cell>
          <cell r="G621" t="str">
            <v>中粮名庄荟</v>
          </cell>
          <cell r="H621" t="str">
            <v>洛斯卡托</v>
          </cell>
          <cell r="I621" t="str">
            <v>酒类</v>
          </cell>
          <cell r="J621" t="str">
            <v>进口葡萄酒</v>
          </cell>
          <cell r="K621" t="str">
            <v>洛斯卡托 甜桃红低泡葡萄酒 750mL</v>
          </cell>
          <cell r="L621" t="str">
            <v>750mL</v>
          </cell>
          <cell r="M621" t="str">
            <v>瓶</v>
          </cell>
          <cell r="N621">
            <v>80.8</v>
          </cell>
          <cell r="O621">
            <v>188</v>
          </cell>
          <cell r="P621">
            <v>0.56595744680851101</v>
          </cell>
        </row>
        <row r="622">
          <cell r="F622" t="str">
            <v>70452866</v>
          </cell>
          <cell r="G622" t="str">
            <v>中粮名庄荟</v>
          </cell>
          <cell r="H622" t="str">
            <v>洛斯卡托</v>
          </cell>
          <cell r="I622" t="str">
            <v>酒类</v>
          </cell>
          <cell r="J622" t="str">
            <v>进口葡萄酒</v>
          </cell>
          <cell r="K622" t="str">
            <v>洛斯卡托 甜红低泡葡萄酒 750mL</v>
          </cell>
          <cell r="L622" t="str">
            <v>750mL</v>
          </cell>
          <cell r="M622" t="str">
            <v>瓶</v>
          </cell>
          <cell r="N622">
            <v>80.8</v>
          </cell>
          <cell r="O622">
            <v>188</v>
          </cell>
          <cell r="P622">
            <v>0.56595744680851101</v>
          </cell>
        </row>
        <row r="623">
          <cell r="F623" t="str">
            <v>70266168</v>
          </cell>
          <cell r="G623" t="str">
            <v>中粮名庄荟</v>
          </cell>
          <cell r="H623" t="str">
            <v>奔富</v>
          </cell>
          <cell r="I623" t="str">
            <v>酒类</v>
          </cell>
          <cell r="J623" t="str">
            <v>进口葡萄酒</v>
          </cell>
          <cell r="K623" t="str">
            <v>奔富 麦克斯赤霞珠红葡萄酒 750mL</v>
          </cell>
          <cell r="L623" t="str">
            <v>750mL</v>
          </cell>
          <cell r="M623" t="str">
            <v>瓶</v>
          </cell>
          <cell r="N623">
            <v>258.56</v>
          </cell>
          <cell r="O623">
            <v>398</v>
          </cell>
          <cell r="P623">
            <v>0.34391959798994998</v>
          </cell>
        </row>
        <row r="624">
          <cell r="F624" t="str">
            <v>70372525</v>
          </cell>
          <cell r="G624" t="str">
            <v>中粮名庄荟</v>
          </cell>
          <cell r="H624" t="str">
            <v>马爹利</v>
          </cell>
          <cell r="I624" t="str">
            <v>酒类</v>
          </cell>
          <cell r="J624" t="str">
            <v>进口葡萄酒</v>
          </cell>
          <cell r="K624" t="str">
            <v>马爹利  鼎盛VSOP干邑白兰地 700mL</v>
          </cell>
          <cell r="L624" t="str">
            <v>700mL</v>
          </cell>
          <cell r="M624" t="str">
            <v>瓶</v>
          </cell>
          <cell r="N624">
            <v>345.42</v>
          </cell>
          <cell r="O624">
            <v>529</v>
          </cell>
          <cell r="P624">
            <v>0.340567107750473</v>
          </cell>
        </row>
        <row r="625">
          <cell r="F625" t="str">
            <v>70066226</v>
          </cell>
          <cell r="G625" t="str">
            <v>中粮名庄荟</v>
          </cell>
          <cell r="H625" t="str">
            <v>马爹利</v>
          </cell>
          <cell r="I625" t="str">
            <v>酒类</v>
          </cell>
          <cell r="J625" t="str">
            <v>进口葡萄酒</v>
          </cell>
          <cell r="K625" t="str">
            <v>马爹利  名士干邑白兰地 700mL</v>
          </cell>
          <cell r="L625" t="str">
            <v>700mL</v>
          </cell>
          <cell r="M625" t="str">
            <v>瓶</v>
          </cell>
          <cell r="N625">
            <v>506.01</v>
          </cell>
          <cell r="O625">
            <v>775</v>
          </cell>
          <cell r="P625">
            <v>0.34061935483870998</v>
          </cell>
        </row>
        <row r="626">
          <cell r="F626" t="str">
            <v>70016801</v>
          </cell>
          <cell r="G626" t="str">
            <v>中粮名庄荟</v>
          </cell>
          <cell r="H626" t="str">
            <v>芝华士</v>
          </cell>
          <cell r="I626" t="str">
            <v>酒类</v>
          </cell>
          <cell r="J626" t="str">
            <v>进口葡萄酒</v>
          </cell>
          <cell r="K626" t="str">
            <v>芝华士 12年苏格兰威士忌 700mL</v>
          </cell>
          <cell r="L626" t="str">
            <v>700mL</v>
          </cell>
          <cell r="M626" t="str">
            <v>瓶</v>
          </cell>
          <cell r="N626">
            <v>192.91</v>
          </cell>
          <cell r="O626">
            <v>303</v>
          </cell>
          <cell r="P626">
            <v>0.35702970297029701</v>
          </cell>
        </row>
        <row r="627">
          <cell r="F627" t="str">
            <v>70284512</v>
          </cell>
          <cell r="G627" t="str">
            <v>中粮名庄荟</v>
          </cell>
          <cell r="H627" t="str">
            <v>费尔德堡</v>
          </cell>
          <cell r="I627" t="str">
            <v>酒类</v>
          </cell>
          <cell r="J627" t="str">
            <v>进口啤酒</v>
          </cell>
          <cell r="K627" t="str">
            <v>费尔德堡 小麦啤酒 500mL</v>
          </cell>
          <cell r="L627" t="str">
            <v>500mL</v>
          </cell>
          <cell r="M627" t="str">
            <v>瓶</v>
          </cell>
          <cell r="N627">
            <v>4.8499999999999996</v>
          </cell>
          <cell r="O627">
            <v>8.8000000000000007</v>
          </cell>
          <cell r="P627">
            <v>0.44318181818181801</v>
          </cell>
        </row>
        <row r="628">
          <cell r="F628" t="str">
            <v>70524939</v>
          </cell>
          <cell r="G628" t="str">
            <v>中粮名庄荟</v>
          </cell>
          <cell r="H628" t="str">
            <v>维珞娜</v>
          </cell>
          <cell r="I628" t="str">
            <v>酒类</v>
          </cell>
          <cell r="J628" t="str">
            <v>葡萄酒</v>
          </cell>
          <cell r="K628" t="str">
            <v>维珞娜 干红葡萄酒750mL</v>
          </cell>
          <cell r="L628" t="str">
            <v>750mL</v>
          </cell>
          <cell r="M628" t="str">
            <v>瓶</v>
          </cell>
          <cell r="N628">
            <v>52.52</v>
          </cell>
          <cell r="O628">
            <v>180</v>
          </cell>
          <cell r="P628">
            <v>0.70533333333333303</v>
          </cell>
        </row>
        <row r="629">
          <cell r="F629" t="str">
            <v>70510983</v>
          </cell>
          <cell r="G629" t="str">
            <v>中粮名庄荟</v>
          </cell>
          <cell r="H629" t="str">
            <v>卡盾</v>
          </cell>
          <cell r="I629" t="str">
            <v>酒类</v>
          </cell>
          <cell r="J629" t="str">
            <v>进口烈酒</v>
          </cell>
          <cell r="K629" t="str">
            <v>卡盾 XO白兰地700mL</v>
          </cell>
          <cell r="L629" t="str">
            <v>700mL</v>
          </cell>
          <cell r="M629" t="str">
            <v>瓶</v>
          </cell>
          <cell r="N629">
            <v>115.14</v>
          </cell>
          <cell r="O629">
            <v>228</v>
          </cell>
          <cell r="P629">
            <v>0.49</v>
          </cell>
        </row>
        <row r="630">
          <cell r="F630" t="str">
            <v>70510982</v>
          </cell>
          <cell r="G630" t="str">
            <v>中粮名庄荟</v>
          </cell>
          <cell r="H630" t="str">
            <v>轩露</v>
          </cell>
          <cell r="I630" t="str">
            <v>酒类</v>
          </cell>
          <cell r="J630" t="str">
            <v>进口烈酒</v>
          </cell>
          <cell r="K630" t="str">
            <v>轩露 XO白兰地700mL</v>
          </cell>
          <cell r="L630" t="str">
            <v>700mL</v>
          </cell>
          <cell r="M630" t="str">
            <v>瓶</v>
          </cell>
          <cell r="N630">
            <v>115.14</v>
          </cell>
          <cell r="O630">
            <v>218</v>
          </cell>
          <cell r="P630">
            <v>0.46660550458715599</v>
          </cell>
        </row>
        <row r="631">
          <cell r="F631" t="str">
            <v>70396982</v>
          </cell>
          <cell r="G631" t="str">
            <v>中粮名庄荟</v>
          </cell>
          <cell r="H631" t="str">
            <v>莫雷</v>
          </cell>
          <cell r="I631" t="str">
            <v>酒类</v>
          </cell>
          <cell r="J631" t="str">
            <v>进口葡萄酒</v>
          </cell>
          <cell r="K631" t="str">
            <v>莫雷 庄园豪杰干红葡萄酒  750mL</v>
          </cell>
          <cell r="L631" t="str">
            <v>750mL</v>
          </cell>
          <cell r="M631" t="str">
            <v>瓶</v>
          </cell>
          <cell r="N631">
            <v>51.51</v>
          </cell>
          <cell r="O631">
            <v>138</v>
          </cell>
          <cell r="P631">
            <v>0.62304347826086903</v>
          </cell>
        </row>
        <row r="632">
          <cell r="F632" t="str">
            <v>70282202</v>
          </cell>
          <cell r="G632" t="str">
            <v>中粮名庄荟</v>
          </cell>
          <cell r="H632" t="str">
            <v>莫雷</v>
          </cell>
          <cell r="I632" t="str">
            <v>酒类</v>
          </cell>
          <cell r="J632" t="str">
            <v>进口葡萄酒</v>
          </cell>
          <cell r="K632" t="str">
            <v>莫雷 庄园精选干红葡萄酒  750mL</v>
          </cell>
          <cell r="L632" t="str">
            <v>750mL</v>
          </cell>
          <cell r="M632" t="str">
            <v>瓶</v>
          </cell>
          <cell r="N632">
            <v>51.51</v>
          </cell>
          <cell r="O632">
            <v>138</v>
          </cell>
          <cell r="P632">
            <v>0.62304347826086903</v>
          </cell>
        </row>
        <row r="633">
          <cell r="F633" t="str">
            <v>70266155</v>
          </cell>
          <cell r="G633" t="str">
            <v>中粮名庄荟</v>
          </cell>
          <cell r="H633" t="str">
            <v>莫雷</v>
          </cell>
          <cell r="I633" t="str">
            <v>酒类</v>
          </cell>
          <cell r="J633" t="str">
            <v>进口葡萄酒</v>
          </cell>
          <cell r="K633" t="str">
            <v>莫雷 庄园优选干红葡萄酒  750mL</v>
          </cell>
          <cell r="L633" t="str">
            <v>750mL</v>
          </cell>
          <cell r="M633" t="str">
            <v>瓶</v>
          </cell>
          <cell r="N633">
            <v>51.51</v>
          </cell>
          <cell r="O633">
            <v>138</v>
          </cell>
          <cell r="P633">
            <v>0.62304347826086903</v>
          </cell>
        </row>
        <row r="634">
          <cell r="F634" t="str">
            <v>70574239</v>
          </cell>
          <cell r="G634" t="str">
            <v>中粮名庄荟</v>
          </cell>
          <cell r="H634" t="str">
            <v>露松</v>
          </cell>
          <cell r="I634" t="str">
            <v>酒类</v>
          </cell>
          <cell r="J634" t="str">
            <v>葡萄酒</v>
          </cell>
          <cell r="K634" t="str">
            <v>露松 酒庄头等舱干红葡萄酒750mL</v>
          </cell>
          <cell r="L634" t="str">
            <v>750mL</v>
          </cell>
          <cell r="M634" t="str">
            <v>瓶</v>
          </cell>
          <cell r="N634">
            <v>80.8</v>
          </cell>
          <cell r="O634">
            <v>158</v>
          </cell>
          <cell r="P634">
            <v>0.48354430379746799</v>
          </cell>
        </row>
        <row r="635">
          <cell r="F635" t="str">
            <v>70574241</v>
          </cell>
          <cell r="G635" t="str">
            <v>中粮名庄荟</v>
          </cell>
          <cell r="H635" t="str">
            <v>比拉</v>
          </cell>
          <cell r="I635" t="str">
            <v>酒类</v>
          </cell>
          <cell r="J635" t="str">
            <v>葡萄酒</v>
          </cell>
          <cell r="K635" t="str">
            <v>比拉 邮差818干红葡萄酒750mL</v>
          </cell>
          <cell r="L635" t="str">
            <v>750mL</v>
          </cell>
          <cell r="M635" t="str">
            <v>瓶</v>
          </cell>
          <cell r="N635">
            <v>72.72</v>
          </cell>
          <cell r="O635">
            <v>168</v>
          </cell>
          <cell r="P635">
            <v>0.56285714285714294</v>
          </cell>
        </row>
        <row r="636">
          <cell r="F636" t="str">
            <v>70265911</v>
          </cell>
          <cell r="G636" t="str">
            <v>中粮名庄荟</v>
          </cell>
          <cell r="H636" t="str">
            <v>长城</v>
          </cell>
          <cell r="I636" t="str">
            <v>酒类</v>
          </cell>
          <cell r="J636" t="str">
            <v>葡萄酒</v>
          </cell>
          <cell r="K636" t="str">
            <v>长城 五星木盒赤霞珠干红750mL</v>
          </cell>
          <cell r="L636" t="str">
            <v>750mL</v>
          </cell>
          <cell r="M636" t="str">
            <v>瓶</v>
          </cell>
          <cell r="N636">
            <v>256.54000000000002</v>
          </cell>
          <cell r="O636">
            <v>398</v>
          </cell>
          <cell r="P636">
            <v>0.34904522613065297</v>
          </cell>
        </row>
        <row r="637">
          <cell r="F637" t="str">
            <v>70574233</v>
          </cell>
          <cell r="G637" t="str">
            <v>中粮名庄荟</v>
          </cell>
          <cell r="H637" t="str">
            <v>长城</v>
          </cell>
          <cell r="I637" t="str">
            <v>酒类</v>
          </cell>
          <cell r="J637" t="str">
            <v>葡萄酒</v>
          </cell>
          <cell r="K637" t="str">
            <v>长城 桑干梅鹿辄/赤霞珠干红葡萄酒2016 750ML</v>
          </cell>
          <cell r="L637" t="str">
            <v>750mL</v>
          </cell>
          <cell r="M637" t="str">
            <v>瓶</v>
          </cell>
          <cell r="N637">
            <v>477.73</v>
          </cell>
          <cell r="O637">
            <v>798</v>
          </cell>
          <cell r="P637">
            <v>0.395413533834586</v>
          </cell>
        </row>
        <row r="638">
          <cell r="F638" t="str">
            <v>70574244</v>
          </cell>
          <cell r="G638" t="str">
            <v>中粮名庄荟</v>
          </cell>
          <cell r="H638" t="str">
            <v>长城</v>
          </cell>
          <cell r="I638" t="str">
            <v>酒类</v>
          </cell>
          <cell r="J638" t="str">
            <v>葡萄酒</v>
          </cell>
          <cell r="K638" t="str">
            <v>长城 蓬莱玖干红葡萄酒 750mL</v>
          </cell>
          <cell r="L638" t="str">
            <v>750mL</v>
          </cell>
          <cell r="M638" t="str">
            <v>瓶</v>
          </cell>
          <cell r="N638">
            <v>80.8</v>
          </cell>
          <cell r="O638">
            <v>159</v>
          </cell>
          <cell r="P638">
            <v>0.48679245283018902</v>
          </cell>
        </row>
        <row r="639">
          <cell r="F639" t="str">
            <v>70574236</v>
          </cell>
          <cell r="G639" t="str">
            <v>中粮名庄荟</v>
          </cell>
          <cell r="H639" t="str">
            <v>长城</v>
          </cell>
          <cell r="I639" t="str">
            <v>酒类</v>
          </cell>
          <cell r="J639" t="str">
            <v>葡萄酒</v>
          </cell>
          <cell r="K639" t="str">
            <v>长城 华夏韵中漫步干红葡萄酒750mL</v>
          </cell>
          <cell r="L639" t="str">
            <v>750mL</v>
          </cell>
          <cell r="M639" t="str">
            <v>瓶</v>
          </cell>
          <cell r="N639">
            <v>54.54</v>
          </cell>
          <cell r="O639">
            <v>199</v>
          </cell>
          <cell r="P639">
            <v>0.72321608040201002</v>
          </cell>
        </row>
        <row r="640">
          <cell r="F640" t="str">
            <v>70574234</v>
          </cell>
          <cell r="G640" t="str">
            <v>中粮名庄荟</v>
          </cell>
          <cell r="H640" t="str">
            <v>长城</v>
          </cell>
          <cell r="I640" t="str">
            <v>酒类</v>
          </cell>
          <cell r="J640" t="str">
            <v>葡萄酒</v>
          </cell>
          <cell r="K640" t="str">
            <v>长城 华夏慧选赤霞珠干红葡萄酒750mL</v>
          </cell>
          <cell r="L640" t="str">
            <v>750mL</v>
          </cell>
          <cell r="M640" t="str">
            <v>瓶</v>
          </cell>
          <cell r="N640">
            <v>54.54</v>
          </cell>
          <cell r="O640">
            <v>259</v>
          </cell>
          <cell r="P640">
            <v>0.78733590733590697</v>
          </cell>
        </row>
        <row r="641">
          <cell r="F641" t="str">
            <v>70322078</v>
          </cell>
          <cell r="G641" t="str">
            <v>奥兰</v>
          </cell>
          <cell r="H641" t="str">
            <v>小红帽</v>
          </cell>
          <cell r="I641" t="str">
            <v>酒类</v>
          </cell>
          <cell r="J641" t="str">
            <v>葡萄酒</v>
          </cell>
          <cell r="K641" t="str">
            <v>奥兰 小红帽干红葡萄酒750m1</v>
          </cell>
          <cell r="L641" t="str">
            <v>750mL</v>
          </cell>
          <cell r="M641" t="str">
            <v>瓶</v>
          </cell>
          <cell r="N641">
            <v>30.3</v>
          </cell>
          <cell r="O641">
            <v>88</v>
          </cell>
          <cell r="P641">
            <v>0.652272727272727</v>
          </cell>
        </row>
        <row r="642">
          <cell r="F642" t="str">
            <v>70514474</v>
          </cell>
          <cell r="G642" t="str">
            <v>奥兰</v>
          </cell>
          <cell r="H642" t="str">
            <v>奥太狼</v>
          </cell>
          <cell r="I642" t="str">
            <v>酒类</v>
          </cell>
          <cell r="J642" t="str">
            <v>葡萄酒</v>
          </cell>
          <cell r="K642" t="str">
            <v>奥兰 奥太狼红葡萄酒187mL</v>
          </cell>
          <cell r="L642" t="str">
            <v>187mL</v>
          </cell>
          <cell r="M642" t="str">
            <v>瓶</v>
          </cell>
          <cell r="N642">
            <v>13.13</v>
          </cell>
          <cell r="O642">
            <v>29.9</v>
          </cell>
          <cell r="P642">
            <v>0.55652173913043501</v>
          </cell>
        </row>
        <row r="643">
          <cell r="F643" t="str">
            <v>70458110</v>
          </cell>
          <cell r="G643" t="str">
            <v>奥兰</v>
          </cell>
          <cell r="H643" t="str">
            <v>小红帽</v>
          </cell>
          <cell r="I643" t="str">
            <v>酒类</v>
          </cell>
          <cell r="J643" t="str">
            <v>葡萄酒</v>
          </cell>
          <cell r="K643" t="str">
            <v>奥兰 小红帽格兰珍藏N3干红葡萄酒750m1</v>
          </cell>
          <cell r="L643" t="str">
            <v>750mL</v>
          </cell>
          <cell r="M643" t="str">
            <v>瓶</v>
          </cell>
          <cell r="N643">
            <v>85.85</v>
          </cell>
          <cell r="O643">
            <v>109</v>
          </cell>
          <cell r="P643">
            <v>0.20458715596330301</v>
          </cell>
        </row>
        <row r="644">
          <cell r="F644" t="str">
            <v>70514602</v>
          </cell>
          <cell r="G644" t="str">
            <v>奥兰</v>
          </cell>
          <cell r="H644" t="str">
            <v>小红帽</v>
          </cell>
          <cell r="I644" t="str">
            <v>酒类</v>
          </cell>
          <cell r="J644" t="str">
            <v>葡萄酒</v>
          </cell>
          <cell r="K644" t="str">
            <v>奥兰 小红帽橡木桶干红葡萄洒750mL</v>
          </cell>
          <cell r="L644" t="str">
            <v>750mL</v>
          </cell>
          <cell r="M644" t="str">
            <v>瓶</v>
          </cell>
          <cell r="N644">
            <v>28.28</v>
          </cell>
          <cell r="O644">
            <v>98</v>
          </cell>
          <cell r="P644">
            <v>0.70857142857142896</v>
          </cell>
        </row>
        <row r="645">
          <cell r="F645" t="str">
            <v>70514603</v>
          </cell>
          <cell r="G645" t="str">
            <v>奥兰</v>
          </cell>
          <cell r="H645" t="str">
            <v>古藤</v>
          </cell>
          <cell r="I645" t="str">
            <v>酒类</v>
          </cell>
          <cell r="J645" t="str">
            <v>葡萄酒</v>
          </cell>
          <cell r="K645" t="str">
            <v>奥兰 古藤80年干红葡萄洒750mL</v>
          </cell>
          <cell r="L645" t="str">
            <v>750mL</v>
          </cell>
          <cell r="M645" t="str">
            <v>瓶</v>
          </cell>
          <cell r="N645">
            <v>404</v>
          </cell>
          <cell r="O645">
            <v>998</v>
          </cell>
          <cell r="P645">
            <v>0.59118236472945895</v>
          </cell>
        </row>
        <row r="646">
          <cell r="F646" t="str">
            <v>70464089</v>
          </cell>
          <cell r="G646" t="str">
            <v>奥兰</v>
          </cell>
          <cell r="H646" t="str">
            <v>小红帽</v>
          </cell>
          <cell r="I646" t="str">
            <v>酒类</v>
          </cell>
          <cell r="J646" t="str">
            <v>葡萄酒</v>
          </cell>
          <cell r="K646" t="str">
            <v>奥兰 小红帽雪莉桶白兰地700mL</v>
          </cell>
          <cell r="L646" t="str">
            <v>700mL</v>
          </cell>
          <cell r="M646" t="str">
            <v>瓶</v>
          </cell>
          <cell r="N646">
            <v>70.7</v>
          </cell>
          <cell r="O646">
            <v>198</v>
          </cell>
          <cell r="P646">
            <v>0.63939393939393896</v>
          </cell>
        </row>
        <row r="647">
          <cell r="F647" t="str">
            <v>70574232</v>
          </cell>
          <cell r="G647" t="str">
            <v>奥兰</v>
          </cell>
          <cell r="H647" t="str">
            <v>小红帽</v>
          </cell>
          <cell r="I647" t="str">
            <v>酒类</v>
          </cell>
          <cell r="J647" t="str">
            <v>葡萄酒</v>
          </cell>
          <cell r="K647" t="str">
            <v>奥兰 小红帽果香型西拉红葡萄酒750mL</v>
          </cell>
          <cell r="L647" t="str">
            <v>750mL</v>
          </cell>
          <cell r="M647" t="str">
            <v>瓶</v>
          </cell>
          <cell r="N647">
            <v>35.35</v>
          </cell>
          <cell r="O647">
            <v>59</v>
          </cell>
          <cell r="P647">
            <v>0.39491525423728802</v>
          </cell>
        </row>
        <row r="648">
          <cell r="F648" t="str">
            <v>70574248</v>
          </cell>
          <cell r="G648" t="str">
            <v>奥兰</v>
          </cell>
          <cell r="H648" t="str">
            <v>小红帽</v>
          </cell>
          <cell r="I648" t="str">
            <v>酒类</v>
          </cell>
          <cell r="J648" t="str">
            <v>葡萄酒</v>
          </cell>
          <cell r="K648" t="str">
            <v>奥兰 小红帽金典干红葡萄酒750mL</v>
          </cell>
          <cell r="L648" t="str">
            <v>750mL</v>
          </cell>
          <cell r="M648" t="str">
            <v>瓶</v>
          </cell>
          <cell r="N648">
            <v>27.27</v>
          </cell>
          <cell r="O648">
            <v>98</v>
          </cell>
          <cell r="P648">
            <v>0.71897959183673499</v>
          </cell>
        </row>
        <row r="649">
          <cell r="F649" t="str">
            <v>70351937</v>
          </cell>
          <cell r="G649" t="str">
            <v>沙地酒庄</v>
          </cell>
          <cell r="H649" t="str">
            <v>沙地酒庄</v>
          </cell>
          <cell r="I649" t="str">
            <v>酒类</v>
          </cell>
          <cell r="J649" t="str">
            <v>葡萄酒</v>
          </cell>
          <cell r="K649" t="str">
            <v>沙地酒庄 老藤赤霞珠干红葡萄酒 750m1</v>
          </cell>
          <cell r="L649" t="str">
            <v>750m1</v>
          </cell>
          <cell r="M649" t="str">
            <v>瓶</v>
          </cell>
          <cell r="N649">
            <v>32.32</v>
          </cell>
          <cell r="O649">
            <v>199</v>
          </cell>
          <cell r="P649">
            <v>0.83597989949748797</v>
          </cell>
        </row>
        <row r="650">
          <cell r="F650" t="str">
            <v>70395625</v>
          </cell>
          <cell r="G650" t="str">
            <v>沙地酒庄</v>
          </cell>
          <cell r="H650" t="str">
            <v>沙地酒庄</v>
          </cell>
          <cell r="I650" t="str">
            <v>酒类</v>
          </cell>
          <cell r="J650" t="str">
            <v>葡萄酒</v>
          </cell>
          <cell r="K650" t="str">
            <v>沙地酒庄 老藤霞多丽干白葡萄酒 750m1</v>
          </cell>
          <cell r="L650" t="str">
            <v>750m1</v>
          </cell>
          <cell r="M650" t="str">
            <v>瓶</v>
          </cell>
          <cell r="N650">
            <v>49.49</v>
          </cell>
          <cell r="O650">
            <v>199</v>
          </cell>
          <cell r="P650">
            <v>0.74884422110552795</v>
          </cell>
        </row>
        <row r="651">
          <cell r="F651" t="str">
            <v>70486151</v>
          </cell>
          <cell r="G651" t="str">
            <v>沙地酒庄</v>
          </cell>
          <cell r="H651" t="str">
            <v>沙地酒庄</v>
          </cell>
          <cell r="I651" t="str">
            <v>酒类</v>
          </cell>
          <cell r="J651" t="str">
            <v>葡萄酒</v>
          </cell>
          <cell r="K651" t="str">
            <v>沙地酒庄 赤霞珠干红葡萄酒 750m]</v>
          </cell>
          <cell r="L651" t="str">
            <v>750m1</v>
          </cell>
          <cell r="M651" t="str">
            <v>瓶</v>
          </cell>
          <cell r="N651">
            <v>58.58</v>
          </cell>
          <cell r="O651">
            <v>188</v>
          </cell>
          <cell r="P651">
            <v>0.68531914893616996</v>
          </cell>
        </row>
        <row r="652">
          <cell r="F652" t="str">
            <v>70323391</v>
          </cell>
          <cell r="G652" t="str">
            <v>沙地酒庄</v>
          </cell>
          <cell r="H652" t="str">
            <v>沙地酒庄</v>
          </cell>
          <cell r="I652" t="str">
            <v>酒类</v>
          </cell>
          <cell r="J652" t="str">
            <v>葡萄酒</v>
          </cell>
          <cell r="K652" t="str">
            <v>沙地酒庄 橡木桶赤霞珠干红葡萄酒 750m1</v>
          </cell>
          <cell r="L652" t="str">
            <v>750m1</v>
          </cell>
          <cell r="M652" t="str">
            <v>瓶</v>
          </cell>
          <cell r="N652">
            <v>109.08</v>
          </cell>
          <cell r="O652">
            <v>458</v>
          </cell>
          <cell r="P652">
            <v>0.75947598253275095</v>
          </cell>
        </row>
        <row r="653">
          <cell r="F653" t="str">
            <v>70486148</v>
          </cell>
          <cell r="G653" t="str">
            <v>沙地酒庄</v>
          </cell>
          <cell r="H653" t="str">
            <v>沙地酒庄</v>
          </cell>
          <cell r="I653" t="str">
            <v>酒类</v>
          </cell>
          <cell r="J653" t="str">
            <v>葡萄酒</v>
          </cell>
          <cell r="K653" t="str">
            <v>沙地酒庄 珍酿级梅鹿辄干红葡萄酒 750m1</v>
          </cell>
          <cell r="L653" t="str">
            <v>750m1</v>
          </cell>
          <cell r="M653" t="str">
            <v>瓶</v>
          </cell>
          <cell r="N653">
            <v>200.99</v>
          </cell>
          <cell r="O653">
            <v>698</v>
          </cell>
          <cell r="P653">
            <v>0.70919770773639002</v>
          </cell>
        </row>
        <row r="654">
          <cell r="F654" t="str">
            <v>70153995</v>
          </cell>
          <cell r="G654" t="str">
            <v>青岛啤酒</v>
          </cell>
          <cell r="H654" t="str">
            <v>青岛啤酒</v>
          </cell>
          <cell r="I654" t="str">
            <v>酒类</v>
          </cell>
          <cell r="J654" t="str">
            <v>啤酒</v>
          </cell>
          <cell r="K654" t="str">
            <v>青岛啤酒 经典10度罐啤 500mL*12罐啤</v>
          </cell>
          <cell r="L654" t="str">
            <v>500mL</v>
          </cell>
          <cell r="M654" t="str">
            <v>罐</v>
          </cell>
          <cell r="N654">
            <v>4.8600000000000003</v>
          </cell>
          <cell r="O654">
            <v>6.5</v>
          </cell>
          <cell r="P654">
            <v>0.24461538461538501</v>
          </cell>
        </row>
        <row r="655">
          <cell r="F655" t="str">
            <v>70250787</v>
          </cell>
          <cell r="G655" t="str">
            <v>青岛啤酒</v>
          </cell>
          <cell r="H655" t="str">
            <v>青岛啤酒</v>
          </cell>
          <cell r="I655" t="str">
            <v>酒类</v>
          </cell>
          <cell r="J655" t="str">
            <v>啤酒</v>
          </cell>
          <cell r="K655" t="str">
            <v>青岛啤酒 全麦白啤罐啤 500mL*12罐啤</v>
          </cell>
          <cell r="L655" t="str">
            <v>500mL</v>
          </cell>
          <cell r="M655" t="str">
            <v>罐</v>
          </cell>
          <cell r="N655">
            <v>6.06</v>
          </cell>
          <cell r="O655">
            <v>8</v>
          </cell>
          <cell r="P655">
            <v>0.23499999999999999</v>
          </cell>
        </row>
        <row r="656">
          <cell r="F656" t="str">
            <v>70169373</v>
          </cell>
          <cell r="G656" t="str">
            <v>青岛啤酒</v>
          </cell>
          <cell r="H656" t="str">
            <v>青岛啤酒</v>
          </cell>
          <cell r="I656" t="str">
            <v>酒类</v>
          </cell>
          <cell r="J656" t="str">
            <v>啤酒</v>
          </cell>
          <cell r="K656" t="str">
            <v>青岛啤酒 经典11度罐啤 330mL*24罐啤</v>
          </cell>
          <cell r="L656" t="str">
            <v>330mL</v>
          </cell>
          <cell r="M656" t="str">
            <v>罐</v>
          </cell>
          <cell r="N656">
            <v>4.04</v>
          </cell>
          <cell r="O656">
            <v>5.8</v>
          </cell>
          <cell r="P656">
            <v>0.29655172413793102</v>
          </cell>
        </row>
        <row r="657">
          <cell r="F657" t="str">
            <v>70004014</v>
          </cell>
          <cell r="G657" t="str">
            <v>青岛啤酒</v>
          </cell>
          <cell r="H657" t="str">
            <v>青岛啤酒</v>
          </cell>
          <cell r="I657" t="str">
            <v>酒类</v>
          </cell>
          <cell r="J657" t="str">
            <v>啤酒</v>
          </cell>
          <cell r="K657" t="str">
            <v>青岛啤酒 纯生8度罐啤 500mL*12罐啤</v>
          </cell>
          <cell r="L657" t="str">
            <v>500mL</v>
          </cell>
          <cell r="M657" t="str">
            <v>罐</v>
          </cell>
          <cell r="N657">
            <v>6.06</v>
          </cell>
          <cell r="O657">
            <v>8.1999999999999993</v>
          </cell>
          <cell r="P657">
            <v>0.25365853658536602</v>
          </cell>
        </row>
        <row r="658">
          <cell r="F658" t="str">
            <v>70069041</v>
          </cell>
          <cell r="G658" t="str">
            <v>青岛啤酒</v>
          </cell>
          <cell r="H658" t="str">
            <v>青岛啤酒</v>
          </cell>
          <cell r="I658" t="str">
            <v>酒类</v>
          </cell>
          <cell r="J658" t="str">
            <v>啤酒</v>
          </cell>
          <cell r="K658" t="str">
            <v>青岛啤酒 奥古特罐啤 500mL*12罐啤</v>
          </cell>
          <cell r="L658" t="str">
            <v>500mL</v>
          </cell>
          <cell r="M658" t="str">
            <v>罐</v>
          </cell>
          <cell r="N658">
            <v>8.59</v>
          </cell>
          <cell r="O658">
            <v>11</v>
          </cell>
          <cell r="P658">
            <v>0.21181818181818199</v>
          </cell>
        </row>
        <row r="659">
          <cell r="F659" t="str">
            <v>70250784</v>
          </cell>
          <cell r="G659" t="str">
            <v>青岛啤酒</v>
          </cell>
          <cell r="H659" t="str">
            <v>青岛啤酒</v>
          </cell>
          <cell r="I659" t="str">
            <v>酒类</v>
          </cell>
          <cell r="J659" t="str">
            <v>啤酒</v>
          </cell>
          <cell r="K659" t="str">
            <v>青岛啤酒 鸿运当头铝瓶 355mL*12铝瓶</v>
          </cell>
          <cell r="L659" t="str">
            <v>355mL</v>
          </cell>
          <cell r="M659" t="str">
            <v>罐</v>
          </cell>
          <cell r="N659">
            <v>12.5</v>
          </cell>
          <cell r="O659">
            <v>15</v>
          </cell>
          <cell r="P659">
            <v>0.158</v>
          </cell>
        </row>
        <row r="660">
          <cell r="F660" t="str">
            <v>70069039</v>
          </cell>
          <cell r="G660" t="str">
            <v>青岛啤酒</v>
          </cell>
          <cell r="H660" t="str">
            <v>青岛啤酒</v>
          </cell>
          <cell r="I660" t="str">
            <v>酒类</v>
          </cell>
          <cell r="J660" t="str">
            <v>啤酒</v>
          </cell>
          <cell r="K660" t="str">
            <v>青岛啤酒 崂山啤酒8度罐啤 500mL*12罐啤</v>
          </cell>
          <cell r="L660" t="str">
            <v>500mL</v>
          </cell>
          <cell r="M660" t="str">
            <v>罐</v>
          </cell>
          <cell r="N660">
            <v>3.33</v>
          </cell>
          <cell r="O660">
            <v>4.5999999999999996</v>
          </cell>
          <cell r="P660">
            <v>0.26739130434782599</v>
          </cell>
        </row>
        <row r="661">
          <cell r="F661" t="str">
            <v>70267384</v>
          </cell>
          <cell r="G661" t="str">
            <v>青岛啤酒</v>
          </cell>
          <cell r="H661" t="str">
            <v>青岛啤酒</v>
          </cell>
          <cell r="I661" t="str">
            <v>酒类</v>
          </cell>
          <cell r="J661" t="str">
            <v>啤酒</v>
          </cell>
          <cell r="K661" t="str">
            <v>青岛啤酒 经典10度 500mL(8+2)罐啤手提装</v>
          </cell>
          <cell r="L661" t="str">
            <v>500mL*10</v>
          </cell>
          <cell r="M661" t="str">
            <v>包</v>
          </cell>
          <cell r="N661">
            <v>46.46</v>
          </cell>
          <cell r="O661">
            <v>56</v>
          </cell>
          <cell r="P661">
            <v>0.16214285714285701</v>
          </cell>
        </row>
        <row r="662">
          <cell r="F662" t="str">
            <v>70334357</v>
          </cell>
          <cell r="G662" t="str">
            <v>青岛啤酒</v>
          </cell>
          <cell r="H662" t="str">
            <v>青岛啤酒</v>
          </cell>
          <cell r="I662" t="str">
            <v>酒类</v>
          </cell>
          <cell r="J662" t="str">
            <v>啤酒</v>
          </cell>
          <cell r="K662" t="str">
            <v>青岛啤酒 经典8度 500mL*6箱啤</v>
          </cell>
          <cell r="L662" t="str">
            <v>500mL</v>
          </cell>
          <cell r="M662" t="str">
            <v>罐</v>
          </cell>
          <cell r="N662">
            <v>27.78</v>
          </cell>
          <cell r="O662">
            <v>31.2</v>
          </cell>
          <cell r="P662">
            <v>0.10096153846153801</v>
          </cell>
        </row>
        <row r="663">
          <cell r="F663" t="str">
            <v>70250783</v>
          </cell>
          <cell r="G663" t="str">
            <v>青岛啤酒</v>
          </cell>
          <cell r="H663" t="str">
            <v>崂山啤酒</v>
          </cell>
          <cell r="I663" t="str">
            <v>酒类</v>
          </cell>
          <cell r="J663" t="str">
            <v>啤酒</v>
          </cell>
          <cell r="K663" t="str">
            <v>青岛啤酒 崂山啤酒8度清爽 330mL*6*4罐啤</v>
          </cell>
          <cell r="L663" t="str">
            <v>330mL</v>
          </cell>
          <cell r="M663" t="str">
            <v>罐</v>
          </cell>
          <cell r="N663">
            <v>10.3</v>
          </cell>
          <cell r="O663">
            <v>15</v>
          </cell>
          <cell r="P663">
            <v>0.30666666666666698</v>
          </cell>
        </row>
        <row r="664">
          <cell r="F664" t="str">
            <v>70486022</v>
          </cell>
          <cell r="G664" t="str">
            <v>青岛啤酒</v>
          </cell>
          <cell r="H664" t="str">
            <v>青岛啤酒</v>
          </cell>
          <cell r="I664" t="str">
            <v>酒类</v>
          </cell>
          <cell r="J664" t="str">
            <v>啤酒</v>
          </cell>
          <cell r="K664" t="str">
            <v>青岛啤酒 国潮10度 500mL*3*6牛卡纸罐啤</v>
          </cell>
          <cell r="L664" t="str">
            <v>500mL*3</v>
          </cell>
          <cell r="M664" t="str">
            <v>罐</v>
          </cell>
          <cell r="N664">
            <v>20.2</v>
          </cell>
          <cell r="O664">
            <v>24.8</v>
          </cell>
          <cell r="P664">
            <v>0.17741935483870999</v>
          </cell>
        </row>
        <row r="665">
          <cell r="F665" t="str">
            <v>70485824</v>
          </cell>
          <cell r="G665" t="str">
            <v>青岛啤酒</v>
          </cell>
          <cell r="H665" t="str">
            <v>青岛啤酒</v>
          </cell>
          <cell r="I665" t="str">
            <v>酒类</v>
          </cell>
          <cell r="J665" t="str">
            <v>啤酒</v>
          </cell>
          <cell r="K665" t="str">
            <v>青岛啤酒 经典（1903)10度 500mL*3*6牛卡纸罐啤</v>
          </cell>
          <cell r="L665" t="str">
            <v>500mL*3</v>
          </cell>
          <cell r="M665" t="str">
            <v>罐</v>
          </cell>
          <cell r="N665">
            <v>17.27</v>
          </cell>
          <cell r="O665">
            <v>22</v>
          </cell>
          <cell r="P665">
            <v>0.207272727272727</v>
          </cell>
        </row>
        <row r="666">
          <cell r="F666" t="str">
            <v>70486023</v>
          </cell>
          <cell r="G666" t="str">
            <v>青岛啤酒</v>
          </cell>
          <cell r="H666" t="str">
            <v>青岛啤酒</v>
          </cell>
          <cell r="I666" t="str">
            <v>酒类</v>
          </cell>
          <cell r="J666" t="str">
            <v>啤酒</v>
          </cell>
          <cell r="K666" t="str">
            <v>青岛啤酒 白啤11度 500mL*3*4牛卡纸罐啤</v>
          </cell>
          <cell r="L666" t="str">
            <v>500mL*3</v>
          </cell>
          <cell r="M666" t="str">
            <v>罐</v>
          </cell>
          <cell r="N666">
            <v>18.18</v>
          </cell>
          <cell r="O666">
            <v>23.8</v>
          </cell>
          <cell r="P666">
            <v>0.22857142857142901</v>
          </cell>
        </row>
        <row r="667">
          <cell r="F667" t="str">
            <v>70199033</v>
          </cell>
          <cell r="G667" t="str">
            <v>青岛啤酒</v>
          </cell>
          <cell r="H667" t="str">
            <v>青岛啤酒</v>
          </cell>
          <cell r="I667" t="str">
            <v>酒类</v>
          </cell>
          <cell r="J667" t="str">
            <v>啤酒</v>
          </cell>
          <cell r="K667" t="str">
            <v>青岛啤酒 经典11度 330mL*6*4牛卡纸罐啤</v>
          </cell>
          <cell r="L667" t="str">
            <v>330mL*6</v>
          </cell>
          <cell r="M667" t="str">
            <v>罐</v>
          </cell>
          <cell r="N667">
            <v>24.24</v>
          </cell>
          <cell r="O667">
            <v>32.799999999999997</v>
          </cell>
          <cell r="P667">
            <v>0.25365853658536602</v>
          </cell>
        </row>
        <row r="668">
          <cell r="F668" t="str">
            <v>70014790</v>
          </cell>
          <cell r="G668" t="str">
            <v>青岛啤酒</v>
          </cell>
          <cell r="H668" t="str">
            <v>青岛啤酒</v>
          </cell>
          <cell r="I668" t="str">
            <v>酒类</v>
          </cell>
          <cell r="J668" t="str">
            <v>啤酒</v>
          </cell>
          <cell r="K668" t="str">
            <v>青岛啤酒 经典8度 500mL*12箱啤</v>
          </cell>
          <cell r="L668" t="str">
            <v>500mL</v>
          </cell>
          <cell r="M668" t="str">
            <v>瓶</v>
          </cell>
          <cell r="N668">
            <v>4.04</v>
          </cell>
          <cell r="O668">
            <v>4.8</v>
          </cell>
          <cell r="P668">
            <v>0.15</v>
          </cell>
        </row>
        <row r="669">
          <cell r="F669" t="str">
            <v>70475292</v>
          </cell>
          <cell r="G669" t="str">
            <v>青岛啤酒</v>
          </cell>
          <cell r="H669" t="str">
            <v>崂山啤酒</v>
          </cell>
          <cell r="I669" t="str">
            <v>酒类</v>
          </cell>
          <cell r="J669" t="str">
            <v>啤酒</v>
          </cell>
          <cell r="K669" t="str">
            <v>青岛啤酒 崂山啤酒8度 500*6*2清爽罐啤</v>
          </cell>
          <cell r="L669" t="str">
            <v>500mL</v>
          </cell>
          <cell r="M669" t="str">
            <v>罐</v>
          </cell>
          <cell r="N669">
            <v>3.03</v>
          </cell>
          <cell r="O669">
            <v>3.5</v>
          </cell>
          <cell r="P669">
            <v>0.125714285714286</v>
          </cell>
        </row>
        <row r="670">
          <cell r="F670" t="str">
            <v>70334360</v>
          </cell>
          <cell r="G670" t="str">
            <v>青岛啤酒</v>
          </cell>
          <cell r="H670" t="str">
            <v>青岛啤酒</v>
          </cell>
          <cell r="I670" t="str">
            <v>酒类</v>
          </cell>
          <cell r="J670" t="str">
            <v>啤酒</v>
          </cell>
          <cell r="K670" t="str">
            <v>青岛啤酒 10度白啤 500mL*6瓶</v>
          </cell>
          <cell r="L670" t="str">
            <v>500mL*6</v>
          </cell>
          <cell r="M670" t="str">
            <v>瓶</v>
          </cell>
          <cell r="N670">
            <v>39.61</v>
          </cell>
          <cell r="O670">
            <v>48</v>
          </cell>
          <cell r="P670">
            <v>0.16666666666666699</v>
          </cell>
        </row>
        <row r="671">
          <cell r="F671" t="str">
            <v>70153994</v>
          </cell>
          <cell r="G671" t="str">
            <v>青岛啤酒</v>
          </cell>
          <cell r="H671" t="str">
            <v>青岛啤酒</v>
          </cell>
          <cell r="I671" t="str">
            <v>酒类</v>
          </cell>
          <cell r="J671" t="str">
            <v>啤酒</v>
          </cell>
          <cell r="K671" t="str">
            <v>青岛啤酒 奥古特12度 500mL*10礼盒</v>
          </cell>
          <cell r="L671" t="str">
            <v>500mL*10</v>
          </cell>
          <cell r="M671" t="str">
            <v>瓶</v>
          </cell>
          <cell r="N671">
            <v>95.56</v>
          </cell>
          <cell r="O671">
            <v>128</v>
          </cell>
          <cell r="P671">
            <v>0.24609375</v>
          </cell>
        </row>
        <row r="672">
          <cell r="F672" t="str">
            <v>70334358</v>
          </cell>
          <cell r="G672" t="str">
            <v>青岛啤酒</v>
          </cell>
          <cell r="H672" t="str">
            <v>青岛啤酒</v>
          </cell>
          <cell r="I672" t="str">
            <v>酒类</v>
          </cell>
          <cell r="J672" t="str">
            <v>啤酒</v>
          </cell>
          <cell r="K672" t="str">
            <v>青岛啤酒 白啤11度 500mL*10礼盒</v>
          </cell>
          <cell r="L672" t="str">
            <v>500mL*10</v>
          </cell>
          <cell r="M672" t="str">
            <v>瓶</v>
          </cell>
          <cell r="N672">
            <v>65.36</v>
          </cell>
          <cell r="O672">
            <v>88</v>
          </cell>
          <cell r="P672">
            <v>0.25</v>
          </cell>
        </row>
        <row r="673">
          <cell r="F673" t="str">
            <v>70281620</v>
          </cell>
          <cell r="G673" t="str">
            <v>青岛啤酒</v>
          </cell>
          <cell r="H673" t="str">
            <v>青岛啤酒</v>
          </cell>
          <cell r="I673" t="str">
            <v>酒类</v>
          </cell>
          <cell r="J673" t="str">
            <v>啤酒</v>
          </cell>
          <cell r="K673" t="str">
            <v>青岛啤酒 昆仑好客定制版 600mL*6瓶</v>
          </cell>
          <cell r="L673" t="str">
            <v>600mL*6</v>
          </cell>
          <cell r="M673" t="str">
            <v>瓶</v>
          </cell>
          <cell r="N673">
            <v>26.44</v>
          </cell>
          <cell r="O673">
            <v>36</v>
          </cell>
          <cell r="P673">
            <v>0.25833333333333303</v>
          </cell>
        </row>
        <row r="674">
          <cell r="F674" t="str">
            <v>70459743</v>
          </cell>
          <cell r="G674" t="str">
            <v>青岛啤酒</v>
          </cell>
          <cell r="H674" t="str">
            <v>青岛啤酒</v>
          </cell>
          <cell r="I674" t="str">
            <v>酒类</v>
          </cell>
          <cell r="J674" t="str">
            <v>啤酒</v>
          </cell>
          <cell r="K674" t="str">
            <v>青岛啤酒 10度（1903）500mL*6瓶</v>
          </cell>
          <cell r="L674" t="str">
            <v>500mL*6</v>
          </cell>
          <cell r="M674" t="str">
            <v>瓶</v>
          </cell>
          <cell r="N674">
            <v>35.35</v>
          </cell>
          <cell r="O674">
            <v>45</v>
          </cell>
          <cell r="P674">
            <v>0.206666666666667</v>
          </cell>
        </row>
        <row r="675">
          <cell r="F675" t="str">
            <v>70458243</v>
          </cell>
          <cell r="G675" t="str">
            <v>青岛啤酒</v>
          </cell>
          <cell r="H675" t="str">
            <v>青岛啤酒</v>
          </cell>
          <cell r="I675" t="str">
            <v>酒类</v>
          </cell>
          <cell r="J675" t="str">
            <v>啤酒</v>
          </cell>
          <cell r="K675" t="str">
            <v>青岛啤酒 崂山啤酒8度精品 500mL*6瓶</v>
          </cell>
          <cell r="L675" t="str">
            <v>500mL*6</v>
          </cell>
          <cell r="M675" t="str">
            <v>瓶</v>
          </cell>
          <cell r="N675">
            <v>22.67</v>
          </cell>
          <cell r="O675">
            <v>27</v>
          </cell>
          <cell r="P675">
            <v>0.15185185185185199</v>
          </cell>
        </row>
        <row r="676">
          <cell r="F676" t="str">
            <v>70459742</v>
          </cell>
          <cell r="G676" t="str">
            <v>青岛啤酒</v>
          </cell>
          <cell r="H676" t="str">
            <v>青岛啤酒</v>
          </cell>
          <cell r="I676" t="str">
            <v>酒类</v>
          </cell>
          <cell r="J676" t="str">
            <v>啤酒</v>
          </cell>
          <cell r="K676" t="str">
            <v>青岛啤酒 11度棕金 500mL*6瓶</v>
          </cell>
          <cell r="L676" t="str">
            <v>500mL*6</v>
          </cell>
          <cell r="M676" t="str">
            <v>瓶</v>
          </cell>
          <cell r="N676">
            <v>35.64</v>
          </cell>
          <cell r="O676">
            <v>45</v>
          </cell>
          <cell r="P676">
            <v>0.2</v>
          </cell>
        </row>
        <row r="677">
          <cell r="F677" t="str">
            <v>70352464</v>
          </cell>
          <cell r="G677" t="str">
            <v>燕京啤酒</v>
          </cell>
          <cell r="H677" t="str">
            <v>燕京</v>
          </cell>
          <cell r="I677" t="str">
            <v>酒类</v>
          </cell>
          <cell r="J677" t="str">
            <v>啤酒</v>
          </cell>
          <cell r="K677" t="str">
            <v>燕京 8度500mLU8 500mL</v>
          </cell>
          <cell r="L677" t="str">
            <v>500mL 3*4</v>
          </cell>
          <cell r="M677" t="str">
            <v>瓶</v>
          </cell>
          <cell r="N677">
            <v>4.6500000000000004</v>
          </cell>
          <cell r="O677">
            <v>6</v>
          </cell>
          <cell r="P677">
            <v>0.21833333333333299</v>
          </cell>
        </row>
        <row r="678">
          <cell r="F678" t="str">
            <v>70355031</v>
          </cell>
          <cell r="G678" t="str">
            <v>燕京啤酒</v>
          </cell>
          <cell r="H678" t="str">
            <v>燕京</v>
          </cell>
          <cell r="I678" t="str">
            <v>酒类</v>
          </cell>
          <cell r="J678" t="str">
            <v>啤酒</v>
          </cell>
          <cell r="K678" t="str">
            <v>燕京 8度U8啤酒棕瓶 500mL手提盒</v>
          </cell>
          <cell r="L678" t="str">
            <v>500mL 1*6</v>
          </cell>
          <cell r="M678" t="str">
            <v>瓶</v>
          </cell>
          <cell r="N678">
            <v>4.34</v>
          </cell>
          <cell r="O678">
            <v>6.65</v>
          </cell>
          <cell r="P678">
            <v>0.33984962406015001</v>
          </cell>
        </row>
        <row r="679">
          <cell r="F679" t="str">
            <v>70381708</v>
          </cell>
          <cell r="G679" t="str">
            <v>燕京啤酒</v>
          </cell>
          <cell r="H679" t="str">
            <v>燕京</v>
          </cell>
          <cell r="I679" t="str">
            <v>酒类</v>
          </cell>
          <cell r="J679" t="str">
            <v>啤酒</v>
          </cell>
          <cell r="K679" t="str">
            <v>燕京 10度V10白啤棕瓶 426mL</v>
          </cell>
          <cell r="L679" t="str">
            <v>426mL 1*12</v>
          </cell>
          <cell r="M679" t="str">
            <v>瓶</v>
          </cell>
          <cell r="N679">
            <v>6.36</v>
          </cell>
          <cell r="O679">
            <v>8</v>
          </cell>
          <cell r="P679">
            <v>0.19625000000000001</v>
          </cell>
        </row>
        <row r="680">
          <cell r="F680" t="str">
            <v>70574846</v>
          </cell>
          <cell r="G680" t="str">
            <v>燕京啤酒</v>
          </cell>
          <cell r="H680" t="str">
            <v>燕京</v>
          </cell>
          <cell r="I680" t="str">
            <v>酒类</v>
          </cell>
          <cell r="J680" t="str">
            <v>啤酒</v>
          </cell>
          <cell r="K680" t="str">
            <v>燕京 原酿12°白啤酒 300mL</v>
          </cell>
          <cell r="L680" t="str">
            <v>300mL 1*12</v>
          </cell>
          <cell r="M680" t="str">
            <v>瓶</v>
          </cell>
          <cell r="N680">
            <v>4.4400000000000004</v>
          </cell>
          <cell r="O680">
            <v>6</v>
          </cell>
          <cell r="P680">
            <v>0.25166666666666698</v>
          </cell>
        </row>
        <row r="681">
          <cell r="F681" t="str">
            <v>70559836</v>
          </cell>
          <cell r="G681" t="str">
            <v>燕京啤酒</v>
          </cell>
          <cell r="H681" t="str">
            <v>燕京</v>
          </cell>
          <cell r="I681" t="str">
            <v>酒类</v>
          </cell>
          <cell r="J681" t="str">
            <v>啤酒</v>
          </cell>
          <cell r="K681" t="str">
            <v>燕京 10度特制听装 500mL</v>
          </cell>
          <cell r="L681" t="str">
            <v>500mL 3*4</v>
          </cell>
          <cell r="M681" t="str">
            <v>瓶</v>
          </cell>
          <cell r="N681">
            <v>3.54</v>
          </cell>
          <cell r="O681">
            <v>5</v>
          </cell>
          <cell r="P681">
            <v>0.28599999999999998</v>
          </cell>
        </row>
        <row r="682">
          <cell r="F682" t="str">
            <v>70062179</v>
          </cell>
          <cell r="G682" t="str">
            <v>燕京啤酒</v>
          </cell>
          <cell r="H682" t="str">
            <v>燕京</v>
          </cell>
          <cell r="I682" t="str">
            <v>酒类</v>
          </cell>
          <cell r="J682" t="str">
            <v>啤酒</v>
          </cell>
          <cell r="K682" t="str">
            <v>燕京 10度特制听装 330mL</v>
          </cell>
          <cell r="L682" t="str">
            <v>330mL 1*24</v>
          </cell>
          <cell r="M682" t="str">
            <v>瓶</v>
          </cell>
          <cell r="N682">
            <v>2.12</v>
          </cell>
          <cell r="O682">
            <v>3</v>
          </cell>
          <cell r="P682">
            <v>0.28666666666666701</v>
          </cell>
        </row>
        <row r="683">
          <cell r="F683" t="str">
            <v>70243172</v>
          </cell>
          <cell r="G683" t="str">
            <v>燕京啤酒</v>
          </cell>
          <cell r="H683" t="str">
            <v>燕京</v>
          </cell>
          <cell r="I683" t="str">
            <v>酒类</v>
          </cell>
          <cell r="J683" t="str">
            <v>啤酒</v>
          </cell>
          <cell r="K683" t="str">
            <v>燕京 10度精品听装 330mL</v>
          </cell>
          <cell r="L683" t="str">
            <v>330mL 1*24</v>
          </cell>
          <cell r="M683" t="str">
            <v>瓶</v>
          </cell>
          <cell r="N683">
            <v>1.92</v>
          </cell>
          <cell r="O683">
            <v>2.5</v>
          </cell>
          <cell r="P683">
            <v>0.224</v>
          </cell>
        </row>
        <row r="684">
          <cell r="F684" t="str">
            <v>70381706</v>
          </cell>
          <cell r="G684" t="str">
            <v>燕京啤酒</v>
          </cell>
          <cell r="H684" t="str">
            <v>燕京</v>
          </cell>
          <cell r="I684" t="str">
            <v>酒类</v>
          </cell>
          <cell r="J684" t="str">
            <v>啤酒</v>
          </cell>
          <cell r="K684" t="str">
            <v>燕京 8度冰爽听装 500mL</v>
          </cell>
          <cell r="L684" t="str">
            <v>500mL 3*4</v>
          </cell>
          <cell r="M684" t="str">
            <v>瓶</v>
          </cell>
          <cell r="N684">
            <v>3.84</v>
          </cell>
          <cell r="O684">
            <v>5</v>
          </cell>
          <cell r="P684">
            <v>0.224</v>
          </cell>
        </row>
        <row r="685">
          <cell r="F685" t="str">
            <v>70574860</v>
          </cell>
          <cell r="G685" t="str">
            <v>燕京啤酒</v>
          </cell>
          <cell r="H685" t="str">
            <v>燕京</v>
          </cell>
          <cell r="I685" t="str">
            <v>酒类</v>
          </cell>
          <cell r="J685" t="str">
            <v>啤酒</v>
          </cell>
          <cell r="K685" t="str">
            <v>燕京 9號原浆拉格12度 500mL听装1×12纸箱</v>
          </cell>
          <cell r="L685" t="str">
            <v>500mL 1*12</v>
          </cell>
          <cell r="M685" t="str">
            <v>瓶</v>
          </cell>
          <cell r="N685">
            <v>5.66</v>
          </cell>
          <cell r="O685">
            <v>7</v>
          </cell>
          <cell r="P685">
            <v>0.184285714285714</v>
          </cell>
        </row>
        <row r="686">
          <cell r="F686" t="str">
            <v>70574266</v>
          </cell>
          <cell r="G686" t="str">
            <v>燕京啤酒</v>
          </cell>
          <cell r="H686" t="str">
            <v>燕京</v>
          </cell>
          <cell r="I686" t="str">
            <v>酒类</v>
          </cell>
          <cell r="J686" t="str">
            <v>啤酒</v>
          </cell>
          <cell r="K686" t="str">
            <v>燕京 9號树莓小麦10度 500mL听装1×12纸箱</v>
          </cell>
          <cell r="L686" t="str">
            <v>500mL 1*12</v>
          </cell>
          <cell r="M686" t="str">
            <v>瓶</v>
          </cell>
          <cell r="N686">
            <v>8.7899999999999991</v>
          </cell>
          <cell r="O686">
            <v>12</v>
          </cell>
          <cell r="P686">
            <v>0.26083333333333297</v>
          </cell>
        </row>
        <row r="687">
          <cell r="F687" t="str">
            <v>70000864</v>
          </cell>
          <cell r="G687" t="str">
            <v>统一速食</v>
          </cell>
          <cell r="H687" t="str">
            <v>统一速食</v>
          </cell>
          <cell r="I687" t="str">
            <v>速食</v>
          </cell>
          <cell r="J687" t="str">
            <v>包装方便食品</v>
          </cell>
          <cell r="K687" t="str">
            <v>统一 来一桶红烧牛肉面 103g</v>
          </cell>
          <cell r="L687" t="str">
            <v>103g</v>
          </cell>
          <cell r="M687" t="str">
            <v>个</v>
          </cell>
          <cell r="N687">
            <v>2.98</v>
          </cell>
          <cell r="O687">
            <v>4.5</v>
          </cell>
          <cell r="P687">
            <v>0.33111111111111102</v>
          </cell>
        </row>
        <row r="688">
          <cell r="F688" t="str">
            <v>70008800</v>
          </cell>
          <cell r="G688" t="str">
            <v>统一速食</v>
          </cell>
          <cell r="H688" t="str">
            <v>统一速食</v>
          </cell>
          <cell r="I688" t="str">
            <v>速食</v>
          </cell>
          <cell r="J688" t="str">
            <v>包装方便食品</v>
          </cell>
          <cell r="K688" t="str">
            <v>统一 来一桶老坛酸菜牛肉面 120g</v>
          </cell>
          <cell r="L688" t="str">
            <v>120g</v>
          </cell>
          <cell r="M688" t="str">
            <v>桶</v>
          </cell>
          <cell r="N688">
            <v>2.98</v>
          </cell>
          <cell r="O688">
            <v>4.5</v>
          </cell>
          <cell r="P688">
            <v>0.33111111111111102</v>
          </cell>
        </row>
        <row r="689">
          <cell r="F689" t="str">
            <v>70000865</v>
          </cell>
          <cell r="G689" t="str">
            <v>统一速食</v>
          </cell>
          <cell r="H689" t="str">
            <v>统一速食</v>
          </cell>
          <cell r="I689" t="str">
            <v>速食</v>
          </cell>
          <cell r="J689" t="str">
            <v>包装方便食品</v>
          </cell>
          <cell r="K689" t="str">
            <v>统一 来一桶香辣牛肉面 104g</v>
          </cell>
          <cell r="L689" t="str">
            <v>104g</v>
          </cell>
          <cell r="M689" t="str">
            <v>个</v>
          </cell>
          <cell r="N689">
            <v>2.98</v>
          </cell>
          <cell r="O689">
            <v>4.5</v>
          </cell>
          <cell r="P689">
            <v>0.33111111111111102</v>
          </cell>
        </row>
        <row r="690">
          <cell r="F690" t="str">
            <v>70233467</v>
          </cell>
          <cell r="G690" t="str">
            <v>统一速食</v>
          </cell>
          <cell r="H690" t="str">
            <v>统一速食</v>
          </cell>
          <cell r="I690" t="str">
            <v>速食</v>
          </cell>
          <cell r="J690" t="str">
            <v>包装方便食品</v>
          </cell>
          <cell r="K690" t="str">
            <v>统一 汤达人日式豚骨杯面 83g</v>
          </cell>
          <cell r="L690" t="str">
            <v>83g</v>
          </cell>
          <cell r="M690" t="str">
            <v>个</v>
          </cell>
          <cell r="N690">
            <v>3.73</v>
          </cell>
          <cell r="O690">
            <v>5.5</v>
          </cell>
          <cell r="P690">
            <v>0.31636363636363601</v>
          </cell>
        </row>
        <row r="691">
          <cell r="F691" t="str">
            <v>70233466</v>
          </cell>
          <cell r="G691" t="str">
            <v>统一速食</v>
          </cell>
          <cell r="H691" t="str">
            <v>统一速食</v>
          </cell>
          <cell r="I691" t="str">
            <v>速食</v>
          </cell>
          <cell r="J691" t="str">
            <v>包装方便食品</v>
          </cell>
          <cell r="K691" t="str">
            <v>统一 汤达人酸酸辣辣豚骨杯面 90g</v>
          </cell>
          <cell r="L691" t="str">
            <v>90g</v>
          </cell>
          <cell r="M691" t="str">
            <v>个</v>
          </cell>
          <cell r="N691">
            <v>3.73</v>
          </cell>
          <cell r="O691">
            <v>5.5</v>
          </cell>
          <cell r="P691">
            <v>0.31636363636363601</v>
          </cell>
        </row>
        <row r="692">
          <cell r="F692" t="str">
            <v>70283804</v>
          </cell>
          <cell r="G692" t="str">
            <v>统一速食</v>
          </cell>
          <cell r="H692" t="str">
            <v>统一速食</v>
          </cell>
          <cell r="I692" t="str">
            <v>速食</v>
          </cell>
          <cell r="J692" t="str">
            <v>包装方便食品</v>
          </cell>
          <cell r="K692" t="str">
            <v>统一 藤娇藤椒牛肉面 105g</v>
          </cell>
          <cell r="L692" t="str">
            <v>105g</v>
          </cell>
          <cell r="M692" t="str">
            <v>桶</v>
          </cell>
          <cell r="N692">
            <v>2.98</v>
          </cell>
          <cell r="O692">
            <v>4.5</v>
          </cell>
          <cell r="P692">
            <v>0.33111111111111102</v>
          </cell>
        </row>
        <row r="693">
          <cell r="F693" t="str">
            <v>70412043</v>
          </cell>
          <cell r="G693" t="str">
            <v>统一速食</v>
          </cell>
          <cell r="H693" t="str">
            <v>统一速食</v>
          </cell>
          <cell r="I693" t="str">
            <v>速食</v>
          </cell>
          <cell r="J693" t="str">
            <v>包装方便食品</v>
          </cell>
          <cell r="K693" t="str">
            <v>统一 茄皇牛肉面桶 120g</v>
          </cell>
          <cell r="L693" t="str">
            <v>120g</v>
          </cell>
          <cell r="M693" t="str">
            <v>桶</v>
          </cell>
          <cell r="N693">
            <v>3.73</v>
          </cell>
          <cell r="O693">
            <v>5.5</v>
          </cell>
          <cell r="P693">
            <v>0.31636363636363601</v>
          </cell>
        </row>
        <row r="694">
          <cell r="F694" t="str">
            <v>70411633</v>
          </cell>
          <cell r="G694" t="str">
            <v>统一速食</v>
          </cell>
          <cell r="H694" t="str">
            <v>统一速食</v>
          </cell>
          <cell r="I694" t="str">
            <v>速食</v>
          </cell>
          <cell r="J694" t="str">
            <v>包装方便食品</v>
          </cell>
          <cell r="K694" t="str">
            <v>统一 茄皇鸡蛋面桶 120g</v>
          </cell>
          <cell r="L694" t="str">
            <v>120g</v>
          </cell>
          <cell r="M694" t="str">
            <v>桶</v>
          </cell>
          <cell r="N694">
            <v>3.73</v>
          </cell>
          <cell r="O694">
            <v>5.5</v>
          </cell>
          <cell r="P694">
            <v>0.31636363636363601</v>
          </cell>
        </row>
        <row r="695">
          <cell r="F695" t="str">
            <v>70370477</v>
          </cell>
          <cell r="G695" t="str">
            <v>统一速食</v>
          </cell>
          <cell r="H695" t="str">
            <v>统一速食</v>
          </cell>
          <cell r="I695" t="str">
            <v>速食</v>
          </cell>
          <cell r="J695" t="str">
            <v>包装方便食品</v>
          </cell>
          <cell r="K695" t="str">
            <v>统一 来一桶红烧牛肉面 145g</v>
          </cell>
          <cell r="L695" t="str">
            <v>145g</v>
          </cell>
          <cell r="M695" t="str">
            <v>桶</v>
          </cell>
          <cell r="N695">
            <v>3.61</v>
          </cell>
          <cell r="O695">
            <v>5.5</v>
          </cell>
          <cell r="P695">
            <v>0.33818181818181797</v>
          </cell>
        </row>
        <row r="696">
          <cell r="F696" t="str">
            <v>70370472</v>
          </cell>
          <cell r="G696" t="str">
            <v>统一速食</v>
          </cell>
          <cell r="H696" t="str">
            <v>统一速食</v>
          </cell>
          <cell r="I696" t="str">
            <v>速食</v>
          </cell>
          <cell r="J696" t="str">
            <v>包装方便食品</v>
          </cell>
          <cell r="K696" t="str">
            <v>统一 来一桶老坛酸菜牛肉面 160g</v>
          </cell>
          <cell r="L696" t="str">
            <v>160g</v>
          </cell>
          <cell r="M696" t="str">
            <v>桶</v>
          </cell>
          <cell r="N696">
            <v>3.61</v>
          </cell>
          <cell r="O696">
            <v>5.5</v>
          </cell>
          <cell r="P696">
            <v>0.33818181818181797</v>
          </cell>
        </row>
        <row r="697">
          <cell r="F697" t="str">
            <v>70021380</v>
          </cell>
          <cell r="G697" t="str">
            <v>统一速食</v>
          </cell>
          <cell r="H697" t="str">
            <v>统一速食</v>
          </cell>
          <cell r="I697" t="str">
            <v>速食</v>
          </cell>
          <cell r="J697" t="str">
            <v>包装方便食品</v>
          </cell>
          <cell r="K697" t="str">
            <v>统一 汤达人日式豚骨拉面 130g</v>
          </cell>
          <cell r="L697" t="str">
            <v>130g</v>
          </cell>
          <cell r="M697" t="str">
            <v>个</v>
          </cell>
          <cell r="N697">
            <v>5.91</v>
          </cell>
          <cell r="O697">
            <v>9</v>
          </cell>
          <cell r="P697">
            <v>0.336666666666667</v>
          </cell>
        </row>
        <row r="698">
          <cell r="F698" t="str">
            <v>70317997</v>
          </cell>
          <cell r="G698" t="str">
            <v>统一速食</v>
          </cell>
          <cell r="H698" t="str">
            <v>统一速食</v>
          </cell>
          <cell r="I698" t="str">
            <v>速食</v>
          </cell>
          <cell r="J698" t="str">
            <v>包装方便食品</v>
          </cell>
          <cell r="K698" t="str">
            <v>统一 开小灶土豆煨牛腩盒 251g</v>
          </cell>
          <cell r="L698" t="str">
            <v>251g</v>
          </cell>
          <cell r="M698" t="str">
            <v>盒</v>
          </cell>
          <cell r="N698">
            <v>18.18</v>
          </cell>
          <cell r="O698">
            <v>28</v>
          </cell>
          <cell r="P698">
            <v>0.34428571428571397</v>
          </cell>
        </row>
        <row r="699">
          <cell r="F699" t="str">
            <v>70206431</v>
          </cell>
          <cell r="G699" t="str">
            <v>亿滋</v>
          </cell>
          <cell r="H699" t="str">
            <v>炫迈</v>
          </cell>
          <cell r="I699" t="str">
            <v>糖果</v>
          </cell>
          <cell r="J699" t="str">
            <v>口香糖</v>
          </cell>
          <cell r="K699" t="str">
            <v>炫迈 薄荷味28片无糖口香糖 50.4*28*9*4</v>
          </cell>
          <cell r="L699" t="str">
            <v>50.4*28*9*4</v>
          </cell>
          <cell r="M699" t="str">
            <v>包</v>
          </cell>
          <cell r="N699">
            <v>9.09</v>
          </cell>
          <cell r="O699">
            <v>12.9</v>
          </cell>
          <cell r="P699">
            <v>0.288372093023256</v>
          </cell>
        </row>
        <row r="700">
          <cell r="F700" t="str">
            <v>70284598</v>
          </cell>
          <cell r="G700" t="str">
            <v>亿滋</v>
          </cell>
          <cell r="H700" t="str">
            <v>炫迈</v>
          </cell>
          <cell r="I700" t="str">
            <v>糖果</v>
          </cell>
          <cell r="J700" t="str">
            <v>口香糖</v>
          </cell>
          <cell r="K700" t="str">
            <v>炫迈 无糖颗粒口香糖薄荷味40粒 6*6*40s</v>
          </cell>
          <cell r="L700" t="str">
            <v>6*6*40s</v>
          </cell>
          <cell r="M700" t="str">
            <v>瓶</v>
          </cell>
          <cell r="N700">
            <v>7.53</v>
          </cell>
          <cell r="O700">
            <v>11</v>
          </cell>
          <cell r="P700">
            <v>0.308181818181818</v>
          </cell>
        </row>
        <row r="701">
          <cell r="F701" t="str">
            <v>70284597</v>
          </cell>
          <cell r="G701" t="str">
            <v>亿滋</v>
          </cell>
          <cell r="H701" t="str">
            <v>炫迈</v>
          </cell>
          <cell r="I701" t="str">
            <v>糖果</v>
          </cell>
          <cell r="J701" t="str">
            <v>口香糖</v>
          </cell>
          <cell r="K701" t="str">
            <v>炫迈 无糖颗粒口香糖草莓味 40粒</v>
          </cell>
          <cell r="L701" t="str">
            <v>6*6*40s</v>
          </cell>
          <cell r="M701" t="str">
            <v>瓶</v>
          </cell>
          <cell r="N701">
            <v>7.53</v>
          </cell>
          <cell r="O701">
            <v>11</v>
          </cell>
          <cell r="P701">
            <v>0.308181818181818</v>
          </cell>
        </row>
        <row r="702">
          <cell r="F702" t="str">
            <v>70278131</v>
          </cell>
          <cell r="G702" t="str">
            <v>亿滋</v>
          </cell>
          <cell r="H702" t="str">
            <v>奥利奥</v>
          </cell>
          <cell r="I702" t="str">
            <v>饼干/糕点</v>
          </cell>
          <cell r="J702" t="str">
            <v>饼干/糕点</v>
          </cell>
          <cell r="K702" t="str">
            <v>奥利奥 缤纷双果味夹心饼干蓝莓味+树莓味97g</v>
          </cell>
          <cell r="L702" t="str">
            <v>97g</v>
          </cell>
          <cell r="M702" t="str">
            <v>包</v>
          </cell>
          <cell r="N702">
            <v>5.26</v>
          </cell>
          <cell r="O702">
            <v>7.5</v>
          </cell>
          <cell r="P702">
            <v>0.29199999999999998</v>
          </cell>
        </row>
        <row r="703">
          <cell r="F703" t="str">
            <v>70284599</v>
          </cell>
          <cell r="G703" t="str">
            <v>亿滋</v>
          </cell>
          <cell r="H703" t="str">
            <v>炫迈</v>
          </cell>
          <cell r="I703" t="str">
            <v>糖果</v>
          </cell>
          <cell r="J703" t="str">
            <v>口香糖</v>
          </cell>
          <cell r="K703" t="str">
            <v>炫迈 无糖颗粒口香糖西瓜味40粒 6*6*40s</v>
          </cell>
          <cell r="L703" t="str">
            <v>6*6*40s</v>
          </cell>
          <cell r="M703" t="str">
            <v>瓶</v>
          </cell>
          <cell r="N703">
            <v>7.53</v>
          </cell>
          <cell r="O703">
            <v>11</v>
          </cell>
          <cell r="P703">
            <v>0.308181818181818</v>
          </cell>
        </row>
        <row r="704">
          <cell r="F704" t="str">
            <v>70293906</v>
          </cell>
          <cell r="G704" t="str">
            <v>亿滋</v>
          </cell>
          <cell r="H704" t="str">
            <v>炫迈</v>
          </cell>
          <cell r="I704" t="str">
            <v>糖果</v>
          </cell>
          <cell r="J704" t="str">
            <v>口香糖</v>
          </cell>
          <cell r="K704" t="str">
            <v>炫迈 酸甜草莓味28片口香糖 50.4g*28*9*4</v>
          </cell>
          <cell r="L704" t="str">
            <v>50.4g*28*9*4</v>
          </cell>
          <cell r="M704" t="str">
            <v>包</v>
          </cell>
          <cell r="N704">
            <v>9.09</v>
          </cell>
          <cell r="O704">
            <v>12.9</v>
          </cell>
          <cell r="P704">
            <v>0.288372093023256</v>
          </cell>
        </row>
        <row r="705">
          <cell r="F705" t="str">
            <v>70206433</v>
          </cell>
          <cell r="G705" t="str">
            <v>亿滋</v>
          </cell>
          <cell r="H705" t="str">
            <v>亿滋</v>
          </cell>
          <cell r="I705" t="str">
            <v>糖果</v>
          </cell>
          <cell r="J705" t="str">
            <v>口香糖</v>
          </cell>
          <cell r="K705" t="str">
            <v>亿滋 水蜜西瓜味28片无糖口香糖 50.4*28*9*4</v>
          </cell>
          <cell r="L705" t="str">
            <v>50.4*28*9*4</v>
          </cell>
          <cell r="M705" t="str">
            <v>包</v>
          </cell>
          <cell r="N705">
            <v>9.09</v>
          </cell>
          <cell r="O705">
            <v>12.9</v>
          </cell>
          <cell r="P705">
            <v>0.288372093023256</v>
          </cell>
        </row>
        <row r="706">
          <cell r="F706" t="str">
            <v>70253722</v>
          </cell>
          <cell r="G706" t="str">
            <v>亿滋</v>
          </cell>
          <cell r="H706" t="str">
            <v>炫迈</v>
          </cell>
          <cell r="I706" t="str">
            <v>糖果</v>
          </cell>
          <cell r="J706" t="str">
            <v>口香糖</v>
          </cell>
          <cell r="K706" t="str">
            <v>炫迈 紫葡萄味28片无糖口香糖 50.4*28*9*4</v>
          </cell>
          <cell r="L706" t="str">
            <v>50.4*28*9*4</v>
          </cell>
          <cell r="M706" t="str">
            <v>包</v>
          </cell>
          <cell r="N706">
            <v>9.09</v>
          </cell>
          <cell r="O706">
            <v>12.9</v>
          </cell>
          <cell r="P706">
            <v>0.288372093023256</v>
          </cell>
        </row>
        <row r="707">
          <cell r="F707" t="str">
            <v>70362895</v>
          </cell>
          <cell r="G707" t="str">
            <v>亿滋</v>
          </cell>
          <cell r="H707" t="str">
            <v>炫迈</v>
          </cell>
          <cell r="I707" t="str">
            <v>糖果</v>
          </cell>
          <cell r="J707" t="str">
            <v>口香糖</v>
          </cell>
          <cell r="K707" t="str">
            <v>炫迈 无糖口香糖活力蓝莓味 50.4g28S*9*4</v>
          </cell>
          <cell r="L707" t="str">
            <v>28S*9*4</v>
          </cell>
          <cell r="M707" t="str">
            <v>包</v>
          </cell>
          <cell r="N707">
            <v>9.09</v>
          </cell>
          <cell r="O707">
            <v>12.9</v>
          </cell>
          <cell r="P707">
            <v>0.288372093023256</v>
          </cell>
        </row>
        <row r="708">
          <cell r="F708" t="str">
            <v>70277427</v>
          </cell>
          <cell r="G708" t="str">
            <v>亿滋</v>
          </cell>
          <cell r="H708" t="str">
            <v>奥利奥</v>
          </cell>
          <cell r="I708" t="str">
            <v>饼干/糕点</v>
          </cell>
          <cell r="J708" t="str">
            <v>饼干/糕点</v>
          </cell>
          <cell r="K708" t="str">
            <v>奥利奥 生日蛋糕味夹心饼干97g</v>
          </cell>
          <cell r="L708" t="str">
            <v>97g</v>
          </cell>
          <cell r="M708" t="str">
            <v>包</v>
          </cell>
          <cell r="N708">
            <v>5.26</v>
          </cell>
          <cell r="O708">
            <v>7.5</v>
          </cell>
          <cell r="P708">
            <v>0.29199999999999998</v>
          </cell>
        </row>
        <row r="709">
          <cell r="F709" t="str">
            <v>70350641</v>
          </cell>
          <cell r="G709" t="str">
            <v>亿滋</v>
          </cell>
          <cell r="H709" t="str">
            <v>奥利奥</v>
          </cell>
          <cell r="I709" t="str">
            <v>饼干/糕点</v>
          </cell>
          <cell r="J709" t="str">
            <v>饼干/糕点</v>
          </cell>
          <cell r="K709" t="str">
            <v>奥利奥 夹心白桃乌龙味97g</v>
          </cell>
          <cell r="L709" t="str">
            <v>97g</v>
          </cell>
          <cell r="M709" t="str">
            <v>包</v>
          </cell>
          <cell r="N709">
            <v>5.26</v>
          </cell>
          <cell r="O709">
            <v>7.5</v>
          </cell>
          <cell r="P709">
            <v>0.29199999999999998</v>
          </cell>
        </row>
        <row r="710">
          <cell r="F710" t="str">
            <v>70452735</v>
          </cell>
          <cell r="G710" t="str">
            <v>亿滋</v>
          </cell>
          <cell r="H710" t="str">
            <v>亿滋</v>
          </cell>
          <cell r="I710" t="str">
            <v>饼干/糕点</v>
          </cell>
          <cell r="J710" t="str">
            <v>饼干/糕点</v>
          </cell>
          <cell r="K710" t="str">
            <v>亿滋 趣多多大块曲奇脏脏黑巧克力味中包装 144g</v>
          </cell>
          <cell r="L710" t="str">
            <v>144g</v>
          </cell>
          <cell r="M710" t="str">
            <v>个</v>
          </cell>
          <cell r="N710">
            <v>9.49</v>
          </cell>
          <cell r="O710">
            <v>14</v>
          </cell>
          <cell r="P710">
            <v>0.315</v>
          </cell>
        </row>
        <row r="711">
          <cell r="F711" t="str">
            <v>70482741</v>
          </cell>
          <cell r="G711" t="str">
            <v>亿滋</v>
          </cell>
          <cell r="H711" t="str">
            <v>奥利奥</v>
          </cell>
          <cell r="I711" t="str">
            <v>饼干/糕点</v>
          </cell>
          <cell r="J711" t="str">
            <v>饼干/糕点</v>
          </cell>
          <cell r="K711" t="str">
            <v>奥利奥 薄脆95g香草奥碎味 95g</v>
          </cell>
          <cell r="L711" t="str">
            <v>95g</v>
          </cell>
          <cell r="M711" t="str">
            <v>包</v>
          </cell>
          <cell r="N711">
            <v>6.02</v>
          </cell>
          <cell r="O711">
            <v>8.9</v>
          </cell>
          <cell r="P711">
            <v>0.31685393258427003</v>
          </cell>
        </row>
        <row r="712">
          <cell r="F712" t="str">
            <v>70206429</v>
          </cell>
          <cell r="G712" t="str">
            <v>亿滋</v>
          </cell>
          <cell r="H712" t="str">
            <v>跃动</v>
          </cell>
          <cell r="I712" t="str">
            <v>糖果</v>
          </cell>
          <cell r="J712" t="str">
            <v>口香糖</v>
          </cell>
          <cell r="K712" t="str">
            <v>跃动 鲜果味28片无糖口香糖 28片</v>
          </cell>
          <cell r="L712" t="str">
            <v>28片</v>
          </cell>
          <cell r="M712" t="str">
            <v>包</v>
          </cell>
          <cell r="N712">
            <v>9.09</v>
          </cell>
          <cell r="O712">
            <v>12.9</v>
          </cell>
          <cell r="P712">
            <v>0.288372093023256</v>
          </cell>
        </row>
        <row r="713">
          <cell r="F713" t="str">
            <v>70482740</v>
          </cell>
          <cell r="G713" t="str">
            <v>亿滋</v>
          </cell>
          <cell r="H713" t="str">
            <v>奥利奥</v>
          </cell>
          <cell r="I713" t="str">
            <v>饼干/糕点</v>
          </cell>
          <cell r="J713" t="str">
            <v>饼干/糕点</v>
          </cell>
          <cell r="K713" t="str">
            <v>奥利奥 薄脆95g抹茶无花果味 95g</v>
          </cell>
          <cell r="L713" t="str">
            <v>95g</v>
          </cell>
          <cell r="M713" t="str">
            <v>包</v>
          </cell>
          <cell r="N713">
            <v>6.02</v>
          </cell>
          <cell r="O713">
            <v>8.9</v>
          </cell>
          <cell r="P713">
            <v>0.31685393258427003</v>
          </cell>
        </row>
        <row r="714">
          <cell r="F714" t="str">
            <v>70300523</v>
          </cell>
          <cell r="G714" t="str">
            <v>亿滋</v>
          </cell>
          <cell r="H714" t="str">
            <v>炫迈</v>
          </cell>
          <cell r="I714" t="str">
            <v>糖果</v>
          </cell>
          <cell r="J714" t="str">
            <v>口香糖</v>
          </cell>
          <cell r="K714" t="str">
            <v>炫迈 果味浪起来口香糖热情百香果味 37.8g</v>
          </cell>
          <cell r="L714" t="str">
            <v>37.8g</v>
          </cell>
          <cell r="M714" t="str">
            <v>瓶</v>
          </cell>
          <cell r="N714">
            <v>8.26</v>
          </cell>
          <cell r="O714">
            <v>11</v>
          </cell>
          <cell r="P714">
            <v>0.24181818181818199</v>
          </cell>
        </row>
        <row r="715">
          <cell r="F715" t="str">
            <v>70061278</v>
          </cell>
          <cell r="G715" t="str">
            <v>亿滋</v>
          </cell>
          <cell r="H715" t="str">
            <v>趣多多</v>
          </cell>
          <cell r="I715" t="str">
            <v>饼干/糕点</v>
          </cell>
          <cell r="J715" t="str">
            <v>饼干/糕点</v>
          </cell>
          <cell r="K715" t="str">
            <v>趣多多 软式小点嚼得到红提味单条装80g</v>
          </cell>
          <cell r="L715" t="str">
            <v>80g</v>
          </cell>
          <cell r="M715" t="str">
            <v>包</v>
          </cell>
          <cell r="N715">
            <v>5.26</v>
          </cell>
          <cell r="O715">
            <v>7.5</v>
          </cell>
          <cell r="P715">
            <v>0.29199999999999998</v>
          </cell>
        </row>
        <row r="716">
          <cell r="F716" t="str">
            <v>70049785</v>
          </cell>
          <cell r="G716" t="str">
            <v>亿滋</v>
          </cell>
          <cell r="H716" t="str">
            <v>奥利奥</v>
          </cell>
          <cell r="I716" t="str">
            <v>饼干/糕点</v>
          </cell>
          <cell r="J716" t="str">
            <v>饼干/糕点</v>
          </cell>
          <cell r="K716" t="str">
            <v>奥利奥 双心脆威化草莓味6条装</v>
          </cell>
          <cell r="L716" t="str">
            <v>87g</v>
          </cell>
          <cell r="M716" t="str">
            <v>包</v>
          </cell>
          <cell r="N716">
            <v>4.88</v>
          </cell>
          <cell r="O716">
            <v>7</v>
          </cell>
          <cell r="P716">
            <v>0.29571428571428598</v>
          </cell>
        </row>
        <row r="717">
          <cell r="F717" t="str">
            <v>70035465</v>
          </cell>
          <cell r="G717" t="str">
            <v>亿滋</v>
          </cell>
          <cell r="H717" t="str">
            <v>奥利奥</v>
          </cell>
          <cell r="I717" t="str">
            <v>饼干/糕点</v>
          </cell>
          <cell r="J717" t="str">
            <v>饼干/糕点</v>
          </cell>
          <cell r="K717" t="str">
            <v>奥利奥 双心脆威化香草味6条装</v>
          </cell>
          <cell r="L717" t="str">
            <v>87g</v>
          </cell>
          <cell r="M717" t="str">
            <v>袋</v>
          </cell>
          <cell r="N717">
            <v>4.88</v>
          </cell>
          <cell r="O717">
            <v>7</v>
          </cell>
          <cell r="P717">
            <v>0.29571428571428598</v>
          </cell>
        </row>
        <row r="718">
          <cell r="F718" t="str">
            <v>70424725</v>
          </cell>
          <cell r="G718" t="str">
            <v>亿滋</v>
          </cell>
          <cell r="H718" t="str">
            <v>奥利奥</v>
          </cell>
          <cell r="I718" t="str">
            <v>饼干/糕点</v>
          </cell>
          <cell r="J718" t="str">
            <v>饼干/糕点</v>
          </cell>
          <cell r="K718" t="str">
            <v>奥利奥 0糖夹心饼干 97g</v>
          </cell>
          <cell r="L718" t="str">
            <v>97g</v>
          </cell>
          <cell r="M718" t="str">
            <v>包</v>
          </cell>
          <cell r="N718">
            <v>7.07</v>
          </cell>
          <cell r="O718">
            <v>10</v>
          </cell>
          <cell r="P718">
            <v>0.28599999999999998</v>
          </cell>
        </row>
        <row r="719">
          <cell r="F719" t="str">
            <v>70243582</v>
          </cell>
          <cell r="G719" t="str">
            <v>亿滋</v>
          </cell>
          <cell r="H719" t="str">
            <v>炫迈</v>
          </cell>
          <cell r="I719" t="str">
            <v>糖果</v>
          </cell>
          <cell r="J719" t="str">
            <v>糖果</v>
          </cell>
          <cell r="K719" t="str">
            <v>炫迈 无糖薄荷糖劲爽薄荷味 22.5g</v>
          </cell>
          <cell r="L719" t="str">
            <v>22.5g</v>
          </cell>
          <cell r="M719" t="str">
            <v>袋</v>
          </cell>
          <cell r="N719">
            <v>8.4600000000000009</v>
          </cell>
          <cell r="O719">
            <v>11.9</v>
          </cell>
          <cell r="P719">
            <v>0.28151260504201697</v>
          </cell>
        </row>
        <row r="720">
          <cell r="F720" t="str">
            <v>70038089</v>
          </cell>
          <cell r="G720" t="str">
            <v>亿滋</v>
          </cell>
          <cell r="H720" t="str">
            <v>太平</v>
          </cell>
          <cell r="I720" t="str">
            <v>饼干/糕点</v>
          </cell>
          <cell r="J720" t="str">
            <v>饼干/糕点</v>
          </cell>
          <cell r="K720" t="str">
            <v>太平 梳打400克加铁香葱家庭装</v>
          </cell>
          <cell r="L720" t="str">
            <v>400g</v>
          </cell>
          <cell r="M720" t="str">
            <v>袋</v>
          </cell>
          <cell r="N720">
            <v>11.58</v>
          </cell>
          <cell r="O720">
            <v>15.8</v>
          </cell>
          <cell r="P720">
            <v>0.259493670886076</v>
          </cell>
        </row>
        <row r="721">
          <cell r="F721" t="str">
            <v>70243583</v>
          </cell>
          <cell r="G721" t="str">
            <v>亿滋</v>
          </cell>
          <cell r="H721" t="str">
            <v>炫迈</v>
          </cell>
          <cell r="I721" t="str">
            <v>糖果</v>
          </cell>
          <cell r="J721" t="str">
            <v>糖果</v>
          </cell>
          <cell r="K721" t="str">
            <v>炫迈 无糖薄荷糖缤纷果莓味 22.5g</v>
          </cell>
          <cell r="L721" t="str">
            <v>22.5g</v>
          </cell>
          <cell r="M721" t="str">
            <v>袋</v>
          </cell>
          <cell r="N721">
            <v>8.4600000000000009</v>
          </cell>
          <cell r="O721">
            <v>11.9</v>
          </cell>
          <cell r="P721">
            <v>0.28151260504201697</v>
          </cell>
        </row>
        <row r="722">
          <cell r="F722" t="str">
            <v>70138309</v>
          </cell>
          <cell r="G722" t="str">
            <v>亿滋</v>
          </cell>
          <cell r="H722" t="str">
            <v>奥利奥</v>
          </cell>
          <cell r="I722" t="str">
            <v>饼干/糕点</v>
          </cell>
          <cell r="J722" t="str">
            <v>饼干/糕点</v>
          </cell>
          <cell r="K722" t="str">
            <v>奥利奥 Mini原味小饼干 55g</v>
          </cell>
          <cell r="L722" t="str">
            <v>55g</v>
          </cell>
          <cell r="M722" t="str">
            <v>杯</v>
          </cell>
          <cell r="N722">
            <v>4.28</v>
          </cell>
          <cell r="O722">
            <v>6.5</v>
          </cell>
          <cell r="P722">
            <v>0.335384615384615</v>
          </cell>
        </row>
        <row r="723">
          <cell r="F723" t="str">
            <v>70489310</v>
          </cell>
          <cell r="G723" t="str">
            <v>亿滋</v>
          </cell>
          <cell r="H723" t="str">
            <v>趣多多</v>
          </cell>
          <cell r="I723" t="str">
            <v>饼干/糕点</v>
          </cell>
          <cell r="J723" t="str">
            <v>饼干/糕点</v>
          </cell>
          <cell r="K723" t="str">
            <v>趣多多 香脆曲奇浓浓巧克力味单条装 85g</v>
          </cell>
          <cell r="L723" t="str">
            <v>85g</v>
          </cell>
          <cell r="M723" t="str">
            <v>袋</v>
          </cell>
          <cell r="N723">
            <v>5.26</v>
          </cell>
          <cell r="O723">
            <v>7.5</v>
          </cell>
          <cell r="P723">
            <v>0.29199999999999998</v>
          </cell>
        </row>
        <row r="724">
          <cell r="F724" t="str">
            <v>70524436</v>
          </cell>
          <cell r="G724" t="str">
            <v>亿滋</v>
          </cell>
          <cell r="H724" t="str">
            <v>奥利奥</v>
          </cell>
          <cell r="I724" t="str">
            <v>饼干/糕点</v>
          </cell>
          <cell r="J724" t="str">
            <v>饼干/糕点</v>
          </cell>
          <cell r="K724" t="str">
            <v>奥利奥 经典原味夹心饼干CVS装 97g</v>
          </cell>
          <cell r="L724" t="str">
            <v>97g</v>
          </cell>
          <cell r="M724" t="str">
            <v>盒</v>
          </cell>
          <cell r="N724">
            <v>5.59</v>
          </cell>
          <cell r="O724">
            <v>8.5</v>
          </cell>
          <cell r="P724">
            <v>0.33647058823529402</v>
          </cell>
        </row>
        <row r="725">
          <cell r="F725" t="str">
            <v>70295122</v>
          </cell>
          <cell r="G725" t="str">
            <v>亿滋</v>
          </cell>
          <cell r="H725" t="str">
            <v>炫迈</v>
          </cell>
          <cell r="I725" t="str">
            <v>糖果</v>
          </cell>
          <cell r="J725" t="str">
            <v>糖果</v>
          </cell>
          <cell r="K725" t="str">
            <v>炫迈 无糖薄荷糖清香葡萄味 22.5g</v>
          </cell>
          <cell r="L725" t="str">
            <v>22.5g</v>
          </cell>
          <cell r="M725" t="str">
            <v>个</v>
          </cell>
          <cell r="N725">
            <v>8.4600000000000009</v>
          </cell>
          <cell r="O725">
            <v>11.9</v>
          </cell>
          <cell r="P725">
            <v>0.28151260504201697</v>
          </cell>
        </row>
        <row r="726">
          <cell r="F726" t="str">
            <v>70524315</v>
          </cell>
          <cell r="G726" t="str">
            <v>亿滋</v>
          </cell>
          <cell r="H726" t="str">
            <v>炫迈</v>
          </cell>
          <cell r="I726" t="str">
            <v>糖果</v>
          </cell>
          <cell r="J726" t="str">
            <v>口香糖</v>
          </cell>
          <cell r="K726" t="str">
            <v>炫迈 无糖口香糖白桃槐花味 50.4g</v>
          </cell>
          <cell r="L726" t="str">
            <v>50.4g</v>
          </cell>
          <cell r="M726" t="str">
            <v>盒</v>
          </cell>
          <cell r="N726">
            <v>9.09</v>
          </cell>
          <cell r="O726">
            <v>12.9</v>
          </cell>
          <cell r="P726">
            <v>0.288372093023256</v>
          </cell>
        </row>
        <row r="727">
          <cell r="F727" t="str">
            <v>70016824</v>
          </cell>
          <cell r="G727" t="str">
            <v>亿滋</v>
          </cell>
          <cell r="H727" t="str">
            <v>太平</v>
          </cell>
          <cell r="I727" t="str">
            <v>饼干/糕点</v>
          </cell>
          <cell r="J727" t="str">
            <v>饼干/糕点</v>
          </cell>
          <cell r="K727" t="str">
            <v>太平 梳打400克加铁奶盐</v>
          </cell>
          <cell r="L727" t="str">
            <v>400g</v>
          </cell>
          <cell r="M727" t="str">
            <v>袋</v>
          </cell>
          <cell r="N727">
            <v>11.58</v>
          </cell>
          <cell r="O727">
            <v>15.8</v>
          </cell>
          <cell r="P727">
            <v>0.259493670886076</v>
          </cell>
        </row>
        <row r="728">
          <cell r="F728" t="str">
            <v>70524313</v>
          </cell>
          <cell r="G728" t="str">
            <v>亿滋</v>
          </cell>
          <cell r="H728" t="str">
            <v>炫迈</v>
          </cell>
          <cell r="I728" t="str">
            <v>糖果</v>
          </cell>
          <cell r="J728" t="str">
            <v>口香糖</v>
          </cell>
          <cell r="K728" t="str">
            <v>炫迈 无糖口香糖卡曼橘柠檬草味 50.4g</v>
          </cell>
          <cell r="L728" t="str">
            <v>50.4g</v>
          </cell>
          <cell r="M728" t="str">
            <v>盒</v>
          </cell>
          <cell r="N728">
            <v>9.09</v>
          </cell>
          <cell r="O728">
            <v>12.9</v>
          </cell>
          <cell r="P728">
            <v>0.288372093023256</v>
          </cell>
        </row>
        <row r="729">
          <cell r="F729" t="str">
            <v>70485432</v>
          </cell>
          <cell r="G729" t="str">
            <v>亿滋</v>
          </cell>
          <cell r="H729" t="str">
            <v>炫迈</v>
          </cell>
          <cell r="I729" t="str">
            <v>糖果</v>
          </cell>
          <cell r="J729" t="str">
            <v>口香糖</v>
          </cell>
          <cell r="K729" t="str">
            <v>炫迈 无糖颗粒口香糖冰爆薄荷味40粒 56g</v>
          </cell>
          <cell r="L729" t="str">
            <v>56g</v>
          </cell>
          <cell r="M729" t="str">
            <v>瓶</v>
          </cell>
          <cell r="N729">
            <v>7.53</v>
          </cell>
          <cell r="O729">
            <v>11.9</v>
          </cell>
          <cell r="P729">
            <v>0.36050420168067199</v>
          </cell>
        </row>
        <row r="730">
          <cell r="F730" t="str">
            <v>70138310</v>
          </cell>
          <cell r="G730" t="str">
            <v>亿滋</v>
          </cell>
          <cell r="H730" t="str">
            <v>奥利奥</v>
          </cell>
          <cell r="I730" t="str">
            <v>饼干/糕点</v>
          </cell>
          <cell r="J730" t="str">
            <v>饼干/糕点</v>
          </cell>
          <cell r="K730" t="str">
            <v>奥利奥 Mini巧克力味小饼干 55g</v>
          </cell>
          <cell r="L730" t="str">
            <v>55g</v>
          </cell>
          <cell r="M730" t="str">
            <v>杯</v>
          </cell>
          <cell r="N730">
            <v>4.28</v>
          </cell>
          <cell r="O730">
            <v>6.5</v>
          </cell>
          <cell r="P730">
            <v>0.335384615384615</v>
          </cell>
        </row>
        <row r="731">
          <cell r="F731" t="str">
            <v>70524438</v>
          </cell>
          <cell r="G731" t="str">
            <v>亿滋</v>
          </cell>
          <cell r="H731" t="str">
            <v>奥利奥</v>
          </cell>
          <cell r="I731" t="str">
            <v>饼干/糕点</v>
          </cell>
          <cell r="J731" t="str">
            <v>饼干/糕点</v>
          </cell>
          <cell r="K731" t="str">
            <v>奥利奥 浓醇巧克力味夹心饼干CVS装 97g</v>
          </cell>
          <cell r="L731" t="str">
            <v>97g</v>
          </cell>
          <cell r="M731" t="str">
            <v>盒</v>
          </cell>
          <cell r="N731">
            <v>5.59</v>
          </cell>
          <cell r="O731">
            <v>8.5</v>
          </cell>
          <cell r="P731">
            <v>0.33647058823529402</v>
          </cell>
        </row>
        <row r="732">
          <cell r="F732" t="str">
            <v>70524437</v>
          </cell>
          <cell r="G732" t="str">
            <v>亿滋</v>
          </cell>
          <cell r="H732" t="str">
            <v>奥利奥</v>
          </cell>
          <cell r="I732" t="str">
            <v>饼干/糕点</v>
          </cell>
          <cell r="J732" t="str">
            <v>饼干/糕点</v>
          </cell>
          <cell r="K732" t="str">
            <v>奥利奥 清新草莓味夹心饼干CVS装 97g</v>
          </cell>
          <cell r="L732" t="str">
            <v>97g</v>
          </cell>
          <cell r="M732" t="str">
            <v>盒</v>
          </cell>
          <cell r="N732">
            <v>5.59</v>
          </cell>
          <cell r="O732">
            <v>8.5</v>
          </cell>
          <cell r="P732">
            <v>0.33647058823529402</v>
          </cell>
        </row>
        <row r="733">
          <cell r="F733" t="str">
            <v>70359204</v>
          </cell>
          <cell r="G733" t="str">
            <v>亿滋</v>
          </cell>
          <cell r="H733" t="str">
            <v>炫迈</v>
          </cell>
          <cell r="I733" t="str">
            <v>糖果</v>
          </cell>
          <cell r="J733" t="str">
            <v>口香糖</v>
          </cell>
          <cell r="K733" t="str">
            <v>炫迈 水蜜西瓜味5片无糖口香糖</v>
          </cell>
          <cell r="L733" t="str">
            <v>5片</v>
          </cell>
          <cell r="M733" t="str">
            <v>包</v>
          </cell>
          <cell r="N733">
            <v>2.02</v>
          </cell>
          <cell r="O733">
            <v>3</v>
          </cell>
          <cell r="P733">
            <v>0.32</v>
          </cell>
        </row>
        <row r="734">
          <cell r="F734" t="str">
            <v>70485431</v>
          </cell>
          <cell r="G734" t="str">
            <v>亿滋</v>
          </cell>
          <cell r="H734" t="str">
            <v>炫迈</v>
          </cell>
          <cell r="I734" t="str">
            <v>糖果</v>
          </cell>
          <cell r="J734" t="str">
            <v>口香糖</v>
          </cell>
          <cell r="K734" t="str">
            <v>炫迈 无糖颗粒口香糖冰爆咖啡味40粒 56g</v>
          </cell>
          <cell r="L734" t="str">
            <v>56g</v>
          </cell>
          <cell r="M734" t="str">
            <v>瓶</v>
          </cell>
          <cell r="N734">
            <v>7.53</v>
          </cell>
          <cell r="O734">
            <v>11.9</v>
          </cell>
          <cell r="P734">
            <v>0.36050420168067199</v>
          </cell>
        </row>
        <row r="735">
          <cell r="F735" t="str">
            <v>70498352</v>
          </cell>
          <cell r="G735" t="str">
            <v>亿滋</v>
          </cell>
          <cell r="H735" t="str">
            <v>趣多多</v>
          </cell>
          <cell r="I735" t="str">
            <v>饼干/糕点</v>
          </cell>
          <cell r="J735" t="str">
            <v>饼干/糕点</v>
          </cell>
          <cell r="K735" t="str">
            <v>趣多多 香脆曲奇真香咖啡味单条装 85g</v>
          </cell>
          <cell r="L735" t="str">
            <v>85g</v>
          </cell>
          <cell r="M735" t="str">
            <v>袋</v>
          </cell>
          <cell r="N735">
            <v>5.26</v>
          </cell>
          <cell r="O735">
            <v>7.5</v>
          </cell>
          <cell r="P735">
            <v>0.29199999999999998</v>
          </cell>
        </row>
        <row r="736">
          <cell r="F736" t="str">
            <v>70459047</v>
          </cell>
          <cell r="G736" t="str">
            <v>亿滋</v>
          </cell>
          <cell r="H736" t="str">
            <v>趣多多</v>
          </cell>
          <cell r="I736" t="str">
            <v>饼干/糕点</v>
          </cell>
          <cell r="J736" t="str">
            <v>饼干/糕点</v>
          </cell>
          <cell r="K736" t="str">
            <v>趣多多 迷你满满巧克力味 41g</v>
          </cell>
          <cell r="L736" t="str">
            <v>41g</v>
          </cell>
          <cell r="M736" t="str">
            <v>盒</v>
          </cell>
          <cell r="N736">
            <v>4.7300000000000004</v>
          </cell>
          <cell r="O736">
            <v>6.9</v>
          </cell>
          <cell r="P736">
            <v>0.30869565217391298</v>
          </cell>
        </row>
        <row r="737">
          <cell r="F737" t="str">
            <v>70524440</v>
          </cell>
          <cell r="G737" t="str">
            <v>亿滋</v>
          </cell>
          <cell r="H737" t="str">
            <v>奥利奥</v>
          </cell>
          <cell r="I737" t="str">
            <v>饼干/糕点</v>
          </cell>
          <cell r="J737" t="str">
            <v>饼干/糕点</v>
          </cell>
          <cell r="K737" t="str">
            <v>奥利奥 五款口味混合装 388g</v>
          </cell>
          <cell r="L737" t="str">
            <v>388g</v>
          </cell>
          <cell r="M737" t="str">
            <v>盒</v>
          </cell>
          <cell r="N737">
            <v>18.12</v>
          </cell>
          <cell r="O737">
            <v>25.9</v>
          </cell>
          <cell r="P737">
            <v>0.29343629343629302</v>
          </cell>
        </row>
        <row r="738">
          <cell r="F738" t="str">
            <v>70524321</v>
          </cell>
          <cell r="G738" t="str">
            <v>亿滋</v>
          </cell>
          <cell r="H738" t="str">
            <v>炫迈</v>
          </cell>
          <cell r="I738" t="str">
            <v>糖果</v>
          </cell>
          <cell r="J738" t="str">
            <v>口香糖</v>
          </cell>
          <cell r="K738" t="str">
            <v>炫迈 无糖口香糖海盐荔枝味 50.4g</v>
          </cell>
          <cell r="L738" t="str">
            <v>50.4g</v>
          </cell>
          <cell r="M738" t="str">
            <v>盒</v>
          </cell>
          <cell r="N738">
            <v>9.09</v>
          </cell>
          <cell r="O738">
            <v>12.9</v>
          </cell>
          <cell r="P738">
            <v>0.288372093023256</v>
          </cell>
        </row>
        <row r="739">
          <cell r="F739" t="str">
            <v>70392721</v>
          </cell>
          <cell r="G739" t="str">
            <v>亿滋</v>
          </cell>
          <cell r="H739" t="str">
            <v>炫迈</v>
          </cell>
          <cell r="I739" t="str">
            <v>糖果</v>
          </cell>
          <cell r="J739" t="str">
            <v>口香糖</v>
          </cell>
          <cell r="K739" t="str">
            <v>炫迈 酸甜草莓味5片无糖口香糖</v>
          </cell>
          <cell r="L739" t="str">
            <v>5片</v>
          </cell>
          <cell r="M739" t="str">
            <v>个</v>
          </cell>
          <cell r="N739">
            <v>2.02</v>
          </cell>
          <cell r="O739">
            <v>3</v>
          </cell>
          <cell r="P739">
            <v>0.32</v>
          </cell>
        </row>
        <row r="740">
          <cell r="F740" t="str">
            <v>70489306</v>
          </cell>
          <cell r="G740" t="str">
            <v>亿滋</v>
          </cell>
          <cell r="H740" t="str">
            <v>奥利奥</v>
          </cell>
          <cell r="I740" t="str">
            <v>饼干/糕点</v>
          </cell>
          <cell r="J740" t="str">
            <v>饼干/糕点</v>
          </cell>
          <cell r="K740" t="str">
            <v>奥利奥 可可脆卷香草慕斯味 50g</v>
          </cell>
          <cell r="L740" t="str">
            <v>50g</v>
          </cell>
          <cell r="M740" t="str">
            <v>盒</v>
          </cell>
          <cell r="N740">
            <v>3.88</v>
          </cell>
          <cell r="O740">
            <v>5.9</v>
          </cell>
          <cell r="P740">
            <v>0.33559322033898298</v>
          </cell>
        </row>
        <row r="741">
          <cell r="F741" t="str">
            <v>70489305</v>
          </cell>
          <cell r="G741" t="str">
            <v>亿滋</v>
          </cell>
          <cell r="H741" t="str">
            <v>奥利奥</v>
          </cell>
          <cell r="I741" t="str">
            <v>饼干/糕点</v>
          </cell>
          <cell r="J741" t="str">
            <v>饼干/糕点</v>
          </cell>
          <cell r="K741" t="str">
            <v>奥利奥 可可脆卷浓郁巧克力味 50g</v>
          </cell>
          <cell r="L741" t="str">
            <v>50g</v>
          </cell>
          <cell r="M741" t="str">
            <v>盒</v>
          </cell>
          <cell r="N741">
            <v>3.88</v>
          </cell>
          <cell r="O741">
            <v>5.9</v>
          </cell>
          <cell r="P741">
            <v>0.33559322033898298</v>
          </cell>
        </row>
        <row r="742">
          <cell r="F742" t="str">
            <v>70499252</v>
          </cell>
          <cell r="G742" t="str">
            <v>亿滋</v>
          </cell>
          <cell r="H742" t="str">
            <v>奥利奥</v>
          </cell>
          <cell r="I742" t="str">
            <v>饼干/糕点</v>
          </cell>
          <cell r="J742" t="str">
            <v>饼干/糕点</v>
          </cell>
          <cell r="K742" t="str">
            <v>奥利奥 迷你经典原味 40g</v>
          </cell>
          <cell r="L742" t="str">
            <v>40g</v>
          </cell>
          <cell r="M742" t="str">
            <v>盒</v>
          </cell>
          <cell r="N742">
            <v>4.7300000000000004</v>
          </cell>
          <cell r="O742">
            <v>6.9</v>
          </cell>
          <cell r="P742">
            <v>0.30869565217391298</v>
          </cell>
        </row>
        <row r="743">
          <cell r="F743" t="str">
            <v>70359202</v>
          </cell>
          <cell r="G743" t="str">
            <v>亿滋</v>
          </cell>
          <cell r="H743" t="str">
            <v>炫动</v>
          </cell>
          <cell r="I743" t="str">
            <v>糖果</v>
          </cell>
          <cell r="J743" t="str">
            <v>口香糖</v>
          </cell>
          <cell r="K743" t="str">
            <v>炫动 薄荷味5片无糖口香糖</v>
          </cell>
          <cell r="L743" t="str">
            <v>5片</v>
          </cell>
          <cell r="M743" t="str">
            <v>包</v>
          </cell>
          <cell r="N743">
            <v>2.02</v>
          </cell>
          <cell r="O743">
            <v>3</v>
          </cell>
          <cell r="P743">
            <v>0.32</v>
          </cell>
        </row>
        <row r="744">
          <cell r="F744" t="str">
            <v>70524318</v>
          </cell>
          <cell r="G744" t="str">
            <v>亿滋</v>
          </cell>
          <cell r="H744" t="str">
            <v>炫迈</v>
          </cell>
          <cell r="I744" t="str">
            <v>糖果</v>
          </cell>
          <cell r="J744" t="str">
            <v>薄荷糖</v>
          </cell>
          <cell r="K744" t="str">
            <v>炫迈 无糖薄荷糖激爽爆柠味 22.5g</v>
          </cell>
          <cell r="L744" t="str">
            <v>22.5g</v>
          </cell>
          <cell r="M744" t="str">
            <v>盒</v>
          </cell>
          <cell r="N744">
            <v>8.4600000000000009</v>
          </cell>
          <cell r="O744">
            <v>11.9</v>
          </cell>
          <cell r="P744">
            <v>0.28151260504201697</v>
          </cell>
        </row>
        <row r="745">
          <cell r="F745" t="str">
            <v>70524311</v>
          </cell>
          <cell r="G745" t="str">
            <v>亿滋</v>
          </cell>
          <cell r="H745" t="str">
            <v>炫迈</v>
          </cell>
          <cell r="I745" t="str">
            <v>糖果</v>
          </cell>
          <cell r="J745" t="str">
            <v>薄荷糖</v>
          </cell>
          <cell r="K745" t="str">
            <v>炫迈 无糖薄荷糖冰摇荔枝味 22.5g</v>
          </cell>
          <cell r="L745" t="str">
            <v>22.5g</v>
          </cell>
          <cell r="M745" t="str">
            <v>盒</v>
          </cell>
          <cell r="N745">
            <v>8.4600000000000009</v>
          </cell>
          <cell r="O745">
            <v>11.9</v>
          </cell>
          <cell r="P745">
            <v>0.28151260504201697</v>
          </cell>
        </row>
        <row r="746">
          <cell r="F746" t="str">
            <v>70414676</v>
          </cell>
          <cell r="G746" t="str">
            <v>乐事</v>
          </cell>
          <cell r="H746" t="str">
            <v>乐事</v>
          </cell>
          <cell r="I746" t="str">
            <v>零食</v>
          </cell>
          <cell r="J746" t="str">
            <v>膨化食品</v>
          </cell>
          <cell r="K746" t="str">
            <v>乐事 无限忠于原味薯片90g</v>
          </cell>
          <cell r="L746" t="str">
            <v>90g</v>
          </cell>
          <cell r="M746" t="str">
            <v>桶</v>
          </cell>
          <cell r="N746">
            <v>6.85</v>
          </cell>
          <cell r="O746">
            <v>10</v>
          </cell>
          <cell r="P746">
            <v>0.308</v>
          </cell>
        </row>
        <row r="747">
          <cell r="F747" t="str">
            <v>70180293</v>
          </cell>
          <cell r="G747" t="str">
            <v>乐事</v>
          </cell>
          <cell r="H747" t="str">
            <v>乐事</v>
          </cell>
          <cell r="I747" t="str">
            <v>零食</v>
          </cell>
          <cell r="J747" t="str">
            <v>膨化食品</v>
          </cell>
          <cell r="K747" t="str">
            <v>乐事 薯片清新清爽黄瓜味70g</v>
          </cell>
          <cell r="L747" t="str">
            <v>70g</v>
          </cell>
          <cell r="M747" t="str">
            <v>袋</v>
          </cell>
          <cell r="N747">
            <v>5.24</v>
          </cell>
          <cell r="O747">
            <v>7.2</v>
          </cell>
          <cell r="P747">
            <v>0.265277777777778</v>
          </cell>
        </row>
        <row r="748">
          <cell r="F748" t="str">
            <v>70180285</v>
          </cell>
          <cell r="G748" t="str">
            <v>乐事</v>
          </cell>
          <cell r="H748" t="str">
            <v>乐事</v>
          </cell>
          <cell r="I748" t="str">
            <v>零食</v>
          </cell>
          <cell r="J748" t="str">
            <v>膨化食品</v>
          </cell>
          <cell r="K748" t="str">
            <v>乐事 薯片美国经典原味70g</v>
          </cell>
          <cell r="L748" t="str">
            <v>70g</v>
          </cell>
          <cell r="M748" t="str">
            <v>袋</v>
          </cell>
          <cell r="N748">
            <v>5.24</v>
          </cell>
          <cell r="O748">
            <v>7.2</v>
          </cell>
          <cell r="P748">
            <v>0.265277777777778</v>
          </cell>
        </row>
        <row r="749">
          <cell r="F749" t="str">
            <v>70414680</v>
          </cell>
          <cell r="G749" t="str">
            <v>乐事</v>
          </cell>
          <cell r="H749" t="str">
            <v>乐事</v>
          </cell>
          <cell r="I749" t="str">
            <v>零食</v>
          </cell>
          <cell r="J749" t="str">
            <v>膨化食品</v>
          </cell>
          <cell r="K749" t="str">
            <v>乐事 无限鲜浓番茄薯片90g</v>
          </cell>
          <cell r="L749" t="str">
            <v>90g</v>
          </cell>
          <cell r="M749" t="str">
            <v>桶</v>
          </cell>
          <cell r="N749">
            <v>6.85</v>
          </cell>
          <cell r="O749">
            <v>10</v>
          </cell>
          <cell r="P749">
            <v>0.308</v>
          </cell>
        </row>
        <row r="750">
          <cell r="F750" t="str">
            <v>70414682</v>
          </cell>
          <cell r="G750" t="str">
            <v>乐事</v>
          </cell>
          <cell r="H750" t="str">
            <v>乐事</v>
          </cell>
          <cell r="I750" t="str">
            <v>零食</v>
          </cell>
          <cell r="J750" t="str">
            <v>膨化食品</v>
          </cell>
          <cell r="K750" t="str">
            <v>乐事 无限翡翠黄瓜味薯片90g</v>
          </cell>
          <cell r="L750" t="str">
            <v>90g</v>
          </cell>
          <cell r="M750" t="str">
            <v>桶</v>
          </cell>
          <cell r="N750">
            <v>6.85</v>
          </cell>
          <cell r="O750">
            <v>10</v>
          </cell>
          <cell r="P750">
            <v>0.308</v>
          </cell>
        </row>
        <row r="751">
          <cell r="F751" t="str">
            <v>70414678</v>
          </cell>
          <cell r="G751" t="str">
            <v>乐事</v>
          </cell>
          <cell r="H751" t="str">
            <v>乐事</v>
          </cell>
          <cell r="I751" t="str">
            <v>零食</v>
          </cell>
          <cell r="J751" t="str">
            <v>膨化食品</v>
          </cell>
          <cell r="K751" t="str">
            <v>乐事 无限嗞嗞烤肉薯片90g</v>
          </cell>
          <cell r="L751" t="str">
            <v>90g</v>
          </cell>
          <cell r="M751" t="str">
            <v>桶</v>
          </cell>
          <cell r="N751">
            <v>6.85</v>
          </cell>
          <cell r="O751">
            <v>10</v>
          </cell>
          <cell r="P751">
            <v>0.308</v>
          </cell>
        </row>
        <row r="752">
          <cell r="F752" t="str">
            <v>70180288</v>
          </cell>
          <cell r="G752" t="str">
            <v>乐事</v>
          </cell>
          <cell r="H752" t="str">
            <v>乐事</v>
          </cell>
          <cell r="I752" t="str">
            <v>零食</v>
          </cell>
          <cell r="J752" t="str">
            <v>膨化食品</v>
          </cell>
          <cell r="K752" t="str">
            <v>乐事 薯片墨西哥鸡汁番茄味70g</v>
          </cell>
          <cell r="L752" t="str">
            <v>70g</v>
          </cell>
          <cell r="M752" t="str">
            <v>袋</v>
          </cell>
          <cell r="N752">
            <v>5.24</v>
          </cell>
          <cell r="O752">
            <v>7.2</v>
          </cell>
          <cell r="P752">
            <v>0.265277777777778</v>
          </cell>
        </row>
        <row r="753">
          <cell r="F753" t="str">
            <v>70180294</v>
          </cell>
          <cell r="G753" t="str">
            <v>乐事</v>
          </cell>
          <cell r="H753" t="str">
            <v>乐事</v>
          </cell>
          <cell r="I753" t="str">
            <v>零食</v>
          </cell>
          <cell r="J753" t="str">
            <v>膨化食品</v>
          </cell>
          <cell r="K753" t="str">
            <v>乐事 薯片清新清爽青柠味70g</v>
          </cell>
          <cell r="L753" t="str">
            <v>70g</v>
          </cell>
          <cell r="M753" t="str">
            <v>袋</v>
          </cell>
          <cell r="N753">
            <v>5.24</v>
          </cell>
          <cell r="O753">
            <v>7.2</v>
          </cell>
          <cell r="P753">
            <v>0.265277777777778</v>
          </cell>
        </row>
        <row r="754">
          <cell r="F754" t="str">
            <v>70414679</v>
          </cell>
          <cell r="G754" t="str">
            <v>乐事</v>
          </cell>
          <cell r="H754" t="str">
            <v>乐事</v>
          </cell>
          <cell r="I754" t="str">
            <v>零食</v>
          </cell>
          <cell r="J754" t="str">
            <v>膨化食品</v>
          </cell>
          <cell r="K754" t="str">
            <v>乐事 无限青柠味薯片90g</v>
          </cell>
          <cell r="L754" t="str">
            <v>90g</v>
          </cell>
          <cell r="M754" t="str">
            <v>桶</v>
          </cell>
          <cell r="N754">
            <v>6.85</v>
          </cell>
          <cell r="O754">
            <v>10</v>
          </cell>
          <cell r="P754">
            <v>0.308</v>
          </cell>
        </row>
        <row r="755">
          <cell r="F755" t="str">
            <v>70180286</v>
          </cell>
          <cell r="G755" t="str">
            <v>乐事</v>
          </cell>
          <cell r="H755" t="str">
            <v>乐事</v>
          </cell>
          <cell r="I755" t="str">
            <v>零食</v>
          </cell>
          <cell r="J755" t="str">
            <v>膨化食品</v>
          </cell>
          <cell r="K755" t="str">
            <v>乐事 薯片德克萨斯烧烤味70g</v>
          </cell>
          <cell r="L755" t="str">
            <v>70g</v>
          </cell>
          <cell r="M755" t="str">
            <v>袋</v>
          </cell>
          <cell r="N755">
            <v>5.24</v>
          </cell>
          <cell r="O755">
            <v>7.2</v>
          </cell>
          <cell r="P755">
            <v>0.265277777777778</v>
          </cell>
        </row>
        <row r="756">
          <cell r="F756" t="str">
            <v>70180287</v>
          </cell>
          <cell r="G756" t="str">
            <v>乐事</v>
          </cell>
          <cell r="H756" t="str">
            <v>乐事</v>
          </cell>
          <cell r="I756" t="str">
            <v>零食</v>
          </cell>
          <cell r="J756" t="str">
            <v>膨化食品</v>
          </cell>
          <cell r="K756" t="str">
            <v>乐事 薯片意大利香浓红烩味70g</v>
          </cell>
          <cell r="L756" t="str">
            <v>70g</v>
          </cell>
          <cell r="M756" t="str">
            <v>袋</v>
          </cell>
          <cell r="N756">
            <v>5.24</v>
          </cell>
          <cell r="O756">
            <v>7.2</v>
          </cell>
          <cell r="P756">
            <v>0.265277777777778</v>
          </cell>
        </row>
        <row r="757">
          <cell r="F757" t="str">
            <v>70414677</v>
          </cell>
          <cell r="G757" t="str">
            <v>乐事</v>
          </cell>
          <cell r="H757" t="str">
            <v>乐事</v>
          </cell>
          <cell r="I757" t="str">
            <v>零食</v>
          </cell>
          <cell r="J757" t="str">
            <v>膨化食品</v>
          </cell>
          <cell r="K757" t="str">
            <v>乐事 无限吮指红烧肉味薯片90g</v>
          </cell>
          <cell r="L757" t="str">
            <v>90g</v>
          </cell>
          <cell r="M757" t="str">
            <v>桶</v>
          </cell>
          <cell r="N757">
            <v>6.85</v>
          </cell>
          <cell r="O757">
            <v>10</v>
          </cell>
          <cell r="P757">
            <v>0.308</v>
          </cell>
        </row>
        <row r="758">
          <cell r="F758" t="str">
            <v>70177423</v>
          </cell>
          <cell r="G758" t="str">
            <v>乐事</v>
          </cell>
          <cell r="H758" t="str">
            <v>乐事</v>
          </cell>
          <cell r="I758" t="str">
            <v>零食</v>
          </cell>
          <cell r="J758" t="str">
            <v>膨化食品</v>
          </cell>
          <cell r="K758" t="str">
            <v>乐事 清新清爽黄瓜味40g</v>
          </cell>
          <cell r="L758" t="str">
            <v>40g</v>
          </cell>
          <cell r="M758" t="str">
            <v>包</v>
          </cell>
          <cell r="N758">
            <v>3.25</v>
          </cell>
          <cell r="O758">
            <v>4.9000000000000004</v>
          </cell>
          <cell r="P758">
            <v>0.33061224489795898</v>
          </cell>
        </row>
        <row r="759">
          <cell r="F759" t="str">
            <v>70253989</v>
          </cell>
          <cell r="G759" t="str">
            <v>乐事</v>
          </cell>
          <cell r="H759" t="str">
            <v>乐事</v>
          </cell>
          <cell r="I759" t="str">
            <v>零食</v>
          </cell>
          <cell r="J759" t="str">
            <v>膨化食品</v>
          </cell>
          <cell r="K759" t="str">
            <v>乐事 大波浪薯片香脆烤鸡翅味70g</v>
          </cell>
          <cell r="L759" t="str">
            <v>70g</v>
          </cell>
          <cell r="M759" t="str">
            <v>个</v>
          </cell>
          <cell r="N759">
            <v>5.24</v>
          </cell>
          <cell r="O759">
            <v>7.2</v>
          </cell>
          <cell r="P759">
            <v>0.265277777777778</v>
          </cell>
        </row>
        <row r="760">
          <cell r="F760" t="str">
            <v>70266416</v>
          </cell>
          <cell r="G760" t="str">
            <v>乐事</v>
          </cell>
          <cell r="H760" t="str">
            <v>乐事</v>
          </cell>
          <cell r="I760" t="str">
            <v>零食</v>
          </cell>
          <cell r="J760" t="str">
            <v>膨化食品</v>
          </cell>
          <cell r="K760" t="str">
            <v>乐事 大波浪薯片碳烤五花肉味70g</v>
          </cell>
          <cell r="L760" t="str">
            <v>70g</v>
          </cell>
          <cell r="M760" t="str">
            <v>袋</v>
          </cell>
          <cell r="N760">
            <v>5.24</v>
          </cell>
          <cell r="O760">
            <v>7.2</v>
          </cell>
          <cell r="P760">
            <v>0.265277777777778</v>
          </cell>
        </row>
        <row r="761">
          <cell r="F761" t="str">
            <v>70253987</v>
          </cell>
          <cell r="G761" t="str">
            <v>乐事</v>
          </cell>
          <cell r="H761" t="str">
            <v>乐事</v>
          </cell>
          <cell r="I761" t="str">
            <v>零食</v>
          </cell>
          <cell r="J761" t="str">
            <v>膨化食品</v>
          </cell>
          <cell r="K761" t="str">
            <v>乐事 大波浪薯片铁板鱿鱼味70g</v>
          </cell>
          <cell r="L761" t="str">
            <v>70g</v>
          </cell>
          <cell r="M761" t="str">
            <v>个</v>
          </cell>
          <cell r="N761">
            <v>5.24</v>
          </cell>
          <cell r="O761">
            <v>7.2</v>
          </cell>
          <cell r="P761">
            <v>0.265277777777778</v>
          </cell>
        </row>
        <row r="762">
          <cell r="F762" t="str">
            <v>70175344</v>
          </cell>
          <cell r="G762" t="str">
            <v>乐事</v>
          </cell>
          <cell r="H762" t="str">
            <v>乐事</v>
          </cell>
          <cell r="I762" t="str">
            <v>零食</v>
          </cell>
          <cell r="J762" t="str">
            <v>膨化食品</v>
          </cell>
          <cell r="K762" t="str">
            <v>乐事 薯片美国经典原味40g</v>
          </cell>
          <cell r="L762" t="str">
            <v>40g</v>
          </cell>
          <cell r="M762" t="str">
            <v>包</v>
          </cell>
          <cell r="N762">
            <v>3.02</v>
          </cell>
          <cell r="O762">
            <v>4.9000000000000004</v>
          </cell>
          <cell r="P762">
            <v>0.37755102040816302</v>
          </cell>
        </row>
        <row r="763">
          <cell r="F763" t="str">
            <v>70177422</v>
          </cell>
          <cell r="G763" t="str">
            <v>乐事</v>
          </cell>
          <cell r="H763" t="str">
            <v>乐事</v>
          </cell>
          <cell r="I763" t="str">
            <v>零食</v>
          </cell>
          <cell r="J763" t="str">
            <v>膨化食品</v>
          </cell>
          <cell r="K763" t="str">
            <v>乐事 墨西哥鸡汁番茄味40g</v>
          </cell>
          <cell r="L763" t="str">
            <v>40g</v>
          </cell>
          <cell r="M763" t="str">
            <v>包</v>
          </cell>
          <cell r="N763">
            <v>3.25</v>
          </cell>
          <cell r="O763">
            <v>4.9000000000000004</v>
          </cell>
          <cell r="P763">
            <v>0.33061224489795898</v>
          </cell>
        </row>
        <row r="764">
          <cell r="F764" t="str">
            <v>70471284</v>
          </cell>
          <cell r="G764" t="str">
            <v>乐事</v>
          </cell>
          <cell r="H764" t="str">
            <v>乐事</v>
          </cell>
          <cell r="I764" t="str">
            <v>零食</v>
          </cell>
          <cell r="J764" t="str">
            <v>膨化食品</v>
          </cell>
          <cell r="K764" t="str">
            <v>乐事 无限组合包(原味+黄瓜)90克*2罐*12组</v>
          </cell>
          <cell r="L764" t="str">
            <v>180g</v>
          </cell>
          <cell r="M764" t="str">
            <v>包</v>
          </cell>
          <cell r="N764">
            <v>13.13</v>
          </cell>
          <cell r="O764">
            <v>17.899999999999999</v>
          </cell>
          <cell r="P764">
            <v>0.25921787709497202</v>
          </cell>
        </row>
        <row r="765">
          <cell r="F765" t="str">
            <v>70471285</v>
          </cell>
          <cell r="G765" t="str">
            <v>乐事</v>
          </cell>
          <cell r="H765" t="str">
            <v>乐事</v>
          </cell>
          <cell r="I765" t="str">
            <v>零食</v>
          </cell>
          <cell r="J765" t="str">
            <v>膨化食品</v>
          </cell>
          <cell r="K765" t="str">
            <v>乐事 组合包(原味+黄瓜+青柠)56克*3包*7组</v>
          </cell>
          <cell r="L765" t="str">
            <v>168g</v>
          </cell>
          <cell r="M765" t="str">
            <v>包</v>
          </cell>
          <cell r="N765">
            <v>12.36</v>
          </cell>
          <cell r="O765">
            <v>17.899999999999999</v>
          </cell>
          <cell r="P765">
            <v>0.30279329608938499</v>
          </cell>
        </row>
        <row r="766">
          <cell r="F766" t="str">
            <v>70177421</v>
          </cell>
          <cell r="G766" t="str">
            <v>乐事</v>
          </cell>
          <cell r="H766" t="str">
            <v>乐事</v>
          </cell>
          <cell r="I766" t="str">
            <v>零食</v>
          </cell>
          <cell r="J766" t="str">
            <v>膨化食品</v>
          </cell>
          <cell r="K766" t="str">
            <v>乐事 德克萨斯烧烤味40g</v>
          </cell>
          <cell r="L766" t="str">
            <v>40g</v>
          </cell>
          <cell r="M766" t="str">
            <v>包</v>
          </cell>
          <cell r="N766">
            <v>3.05</v>
          </cell>
          <cell r="O766">
            <v>4.9000000000000004</v>
          </cell>
          <cell r="P766">
            <v>0.371428571428571</v>
          </cell>
        </row>
        <row r="767">
          <cell r="F767" t="str">
            <v>70524420</v>
          </cell>
          <cell r="G767" t="str">
            <v>乐事</v>
          </cell>
          <cell r="H767" t="str">
            <v>乐事</v>
          </cell>
          <cell r="I767" t="str">
            <v>零食</v>
          </cell>
          <cell r="J767" t="str">
            <v>膨化食品</v>
          </cell>
          <cell r="K767" t="str">
            <v>乐事 鸡肉粒薯片炙烤鸡肉串味 90g</v>
          </cell>
          <cell r="L767" t="str">
            <v>90g</v>
          </cell>
          <cell r="M767" t="str">
            <v>罐</v>
          </cell>
          <cell r="N767">
            <v>8.08</v>
          </cell>
          <cell r="O767">
            <v>11</v>
          </cell>
          <cell r="P767">
            <v>0.25818181818181801</v>
          </cell>
        </row>
        <row r="768">
          <cell r="F768" t="str">
            <v>70524421</v>
          </cell>
          <cell r="G768" t="str">
            <v>乐事</v>
          </cell>
          <cell r="H768" t="str">
            <v>乐事</v>
          </cell>
          <cell r="I768" t="str">
            <v>零食</v>
          </cell>
          <cell r="J768" t="str">
            <v>膨化食品</v>
          </cell>
          <cell r="K768" t="str">
            <v>乐事 牛肉粒薯片炭烤和牛味 90g</v>
          </cell>
          <cell r="L768" t="str">
            <v>90g</v>
          </cell>
          <cell r="M768" t="str">
            <v>罐</v>
          </cell>
          <cell r="N768">
            <v>8.08</v>
          </cell>
          <cell r="O768">
            <v>11</v>
          </cell>
          <cell r="P768">
            <v>0.25818181818181801</v>
          </cell>
        </row>
        <row r="769">
          <cell r="F769" t="str">
            <v>70524320</v>
          </cell>
          <cell r="G769" t="str">
            <v>乐事</v>
          </cell>
          <cell r="H769" t="str">
            <v>百草味</v>
          </cell>
          <cell r="I769" t="str">
            <v>零食</v>
          </cell>
          <cell r="J769" t="str">
            <v>零食</v>
          </cell>
          <cell r="K769" t="str">
            <v>百草味 弹弹鱼豆腐香辣味 75g</v>
          </cell>
          <cell r="L769" t="str">
            <v>75g</v>
          </cell>
          <cell r="M769" t="str">
            <v>袋</v>
          </cell>
          <cell r="N769">
            <v>4.43</v>
          </cell>
          <cell r="O769">
            <v>6.5</v>
          </cell>
          <cell r="P769">
            <v>0.31076923076923102</v>
          </cell>
        </row>
        <row r="770">
          <cell r="F770" t="str">
            <v>70442699</v>
          </cell>
          <cell r="G770" t="str">
            <v>乐事</v>
          </cell>
          <cell r="H770" t="str">
            <v>乐事</v>
          </cell>
          <cell r="I770" t="str">
            <v>零食</v>
          </cell>
          <cell r="J770" t="str">
            <v>膨化食品</v>
          </cell>
          <cell r="K770" t="str">
            <v>乐事 黑芝麻奇亚籽山药薄片70克*22包</v>
          </cell>
          <cell r="L770" t="str">
            <v>70g</v>
          </cell>
          <cell r="M770" t="str">
            <v>袋</v>
          </cell>
          <cell r="N770">
            <v>5.36</v>
          </cell>
          <cell r="O770">
            <v>7</v>
          </cell>
          <cell r="P770">
            <v>0.22571428571428601</v>
          </cell>
        </row>
        <row r="771">
          <cell r="F771" t="str">
            <v>70403481</v>
          </cell>
          <cell r="G771" t="str">
            <v>乐事</v>
          </cell>
          <cell r="H771" t="str">
            <v>乐事</v>
          </cell>
          <cell r="I771" t="str">
            <v>零食</v>
          </cell>
          <cell r="J771" t="str">
            <v>膨化食品</v>
          </cell>
          <cell r="K771" t="str">
            <v>乐事 香辣小龙虾味 135g</v>
          </cell>
          <cell r="L771" t="str">
            <v>135g</v>
          </cell>
          <cell r="M771" t="str">
            <v>袋</v>
          </cell>
          <cell r="N771">
            <v>9.49</v>
          </cell>
          <cell r="O771">
            <v>13.5</v>
          </cell>
          <cell r="P771">
            <v>0.28962962962963001</v>
          </cell>
        </row>
        <row r="772">
          <cell r="F772" t="str">
            <v>70442700</v>
          </cell>
          <cell r="G772" t="str">
            <v>乐事</v>
          </cell>
          <cell r="H772" t="str">
            <v>乐事</v>
          </cell>
          <cell r="I772" t="str">
            <v>零食</v>
          </cell>
          <cell r="J772" t="str">
            <v>膨化食品</v>
          </cell>
          <cell r="K772" t="str">
            <v>乐事 红枣枸杞山药薄片70克*22包</v>
          </cell>
          <cell r="L772" t="str">
            <v>70g</v>
          </cell>
          <cell r="M772" t="str">
            <v>袋</v>
          </cell>
          <cell r="N772">
            <v>5.36</v>
          </cell>
          <cell r="O772">
            <v>7</v>
          </cell>
          <cell r="P772">
            <v>0.22571428571428601</v>
          </cell>
        </row>
        <row r="773">
          <cell r="F773" t="str">
            <v>70403714</v>
          </cell>
          <cell r="G773" t="str">
            <v>乐事</v>
          </cell>
          <cell r="H773" t="str">
            <v>乐事</v>
          </cell>
          <cell r="I773" t="str">
            <v>零食</v>
          </cell>
          <cell r="J773" t="str">
            <v>膨化食品</v>
          </cell>
          <cell r="K773" t="str">
            <v>乐事 金黄炒蟹味 135g</v>
          </cell>
          <cell r="L773" t="str">
            <v>135g</v>
          </cell>
          <cell r="M773" t="str">
            <v>袋</v>
          </cell>
          <cell r="N773">
            <v>9.49</v>
          </cell>
          <cell r="O773">
            <v>13.5</v>
          </cell>
          <cell r="P773">
            <v>0.28962962962963001</v>
          </cell>
        </row>
        <row r="774">
          <cell r="F774" t="str">
            <v>70524325</v>
          </cell>
          <cell r="G774" t="str">
            <v>乐事</v>
          </cell>
          <cell r="H774" t="str">
            <v>百草味</v>
          </cell>
          <cell r="I774" t="str">
            <v>零食</v>
          </cell>
          <cell r="J774" t="str">
            <v>肉铺</v>
          </cell>
          <cell r="K774" t="str">
            <v>百草味 川香猪肉片 50g</v>
          </cell>
          <cell r="L774" t="str">
            <v>50g</v>
          </cell>
          <cell r="M774" t="str">
            <v>袋</v>
          </cell>
          <cell r="N774">
            <v>6.49</v>
          </cell>
          <cell r="O774">
            <v>9.5</v>
          </cell>
          <cell r="P774">
            <v>0.30947368421052601</v>
          </cell>
        </row>
        <row r="775">
          <cell r="F775" t="str">
            <v>70524419</v>
          </cell>
          <cell r="G775" t="str">
            <v>乐事</v>
          </cell>
          <cell r="H775" t="str">
            <v>乐事</v>
          </cell>
          <cell r="I775" t="str">
            <v>零食</v>
          </cell>
          <cell r="J775" t="str">
            <v>膨化食品</v>
          </cell>
          <cell r="K775" t="str">
            <v>乐事 飘香麻辣锅味 135g</v>
          </cell>
          <cell r="L775" t="str">
            <v>135g</v>
          </cell>
          <cell r="M775" t="str">
            <v>袋</v>
          </cell>
          <cell r="N775">
            <v>9.49</v>
          </cell>
          <cell r="O775">
            <v>13.5</v>
          </cell>
          <cell r="P775">
            <v>0.28962962962963001</v>
          </cell>
        </row>
        <row r="776">
          <cell r="F776" t="str">
            <v>70497970</v>
          </cell>
          <cell r="G776" t="str">
            <v>乐事</v>
          </cell>
          <cell r="H776" t="str">
            <v>百草味</v>
          </cell>
          <cell r="I776" t="str">
            <v>零食</v>
          </cell>
          <cell r="J776" t="str">
            <v>零食</v>
          </cell>
          <cell r="K776" t="str">
            <v>百草味 轻青芒果干 42g</v>
          </cell>
          <cell r="L776" t="str">
            <v>42g</v>
          </cell>
          <cell r="M776" t="str">
            <v>袋</v>
          </cell>
          <cell r="N776">
            <v>4.43</v>
          </cell>
          <cell r="O776">
            <v>6.5</v>
          </cell>
          <cell r="P776">
            <v>0.31076923076923102</v>
          </cell>
        </row>
        <row r="777">
          <cell r="F777" t="str">
            <v>70524331</v>
          </cell>
          <cell r="G777" t="str">
            <v>乐事</v>
          </cell>
          <cell r="H777" t="str">
            <v>百草味</v>
          </cell>
          <cell r="I777" t="str">
            <v>零食</v>
          </cell>
          <cell r="J777" t="str">
            <v>零食</v>
          </cell>
          <cell r="K777" t="str">
            <v>百草味 白桃乌龙味青梅 80g</v>
          </cell>
          <cell r="L777" t="str">
            <v>80g</v>
          </cell>
          <cell r="M777" t="str">
            <v>袋</v>
          </cell>
          <cell r="N777">
            <v>4.43</v>
          </cell>
          <cell r="O777">
            <v>6.5</v>
          </cell>
          <cell r="P777">
            <v>0.31076923076923102</v>
          </cell>
        </row>
        <row r="778">
          <cell r="F778" t="str">
            <v>70524323</v>
          </cell>
          <cell r="G778" t="str">
            <v>乐事</v>
          </cell>
          <cell r="H778" t="str">
            <v>百草味</v>
          </cell>
          <cell r="I778" t="str">
            <v>零食</v>
          </cell>
          <cell r="J778" t="str">
            <v>零食</v>
          </cell>
          <cell r="K778" t="str">
            <v>百草味 吮指蟹味棒香辣火锅味 60g</v>
          </cell>
          <cell r="L778" t="str">
            <v>60g</v>
          </cell>
          <cell r="M778" t="str">
            <v>袋</v>
          </cell>
          <cell r="N778">
            <v>6.49</v>
          </cell>
          <cell r="O778">
            <v>9.5</v>
          </cell>
          <cell r="P778">
            <v>0.30947368421052601</v>
          </cell>
        </row>
        <row r="779">
          <cell r="F779" t="str">
            <v>70524329</v>
          </cell>
          <cell r="G779" t="str">
            <v>乐事</v>
          </cell>
          <cell r="H779" t="str">
            <v>百草味</v>
          </cell>
          <cell r="I779" t="str">
            <v>零食</v>
          </cell>
          <cell r="J779" t="str">
            <v>肉铺</v>
          </cell>
          <cell r="K779" t="str">
            <v>百草味 川香麻辣牛肉 45g</v>
          </cell>
          <cell r="L779" t="str">
            <v>45g</v>
          </cell>
          <cell r="M779" t="str">
            <v>袋</v>
          </cell>
          <cell r="N779">
            <v>8.84</v>
          </cell>
          <cell r="O779">
            <v>13.5</v>
          </cell>
          <cell r="P779">
            <v>0.338518518518519</v>
          </cell>
        </row>
        <row r="780">
          <cell r="F780" t="str">
            <v>70524486</v>
          </cell>
          <cell r="G780" t="str">
            <v>乐事</v>
          </cell>
          <cell r="H780" t="str">
            <v>乐事</v>
          </cell>
          <cell r="I780" t="str">
            <v>零食</v>
          </cell>
          <cell r="J780" t="str">
            <v>膨化食品</v>
          </cell>
          <cell r="K780" t="str">
            <v>乐事 空气脆脆玉米脆奶香芝士味 60g</v>
          </cell>
          <cell r="L780" t="str">
            <v>60g</v>
          </cell>
          <cell r="M780" t="str">
            <v>袋</v>
          </cell>
          <cell r="N780">
            <v>4.95</v>
          </cell>
          <cell r="O780">
            <v>6.9</v>
          </cell>
          <cell r="P780">
            <v>0.27536231884057999</v>
          </cell>
        </row>
        <row r="781">
          <cell r="F781" t="str">
            <v>70524487</v>
          </cell>
          <cell r="G781" t="str">
            <v>乐事</v>
          </cell>
          <cell r="H781" t="str">
            <v>乐事</v>
          </cell>
          <cell r="I781" t="str">
            <v>零食</v>
          </cell>
          <cell r="J781" t="str">
            <v>膨化食品</v>
          </cell>
          <cell r="K781" t="str">
            <v>乐事 空气脆脆玉米脆滋滋烤肉味 60g</v>
          </cell>
          <cell r="L781" t="str">
            <v>60g</v>
          </cell>
          <cell r="M781" t="str">
            <v>袋</v>
          </cell>
          <cell r="N781">
            <v>4.95</v>
          </cell>
          <cell r="O781">
            <v>6.9</v>
          </cell>
          <cell r="P781">
            <v>0.27536231884057999</v>
          </cell>
        </row>
        <row r="782">
          <cell r="F782" t="str">
            <v>70524335</v>
          </cell>
          <cell r="G782" t="str">
            <v>乐事</v>
          </cell>
          <cell r="H782" t="str">
            <v>百草味</v>
          </cell>
          <cell r="I782" t="str">
            <v>零食</v>
          </cell>
          <cell r="J782" t="str">
            <v>肠类</v>
          </cell>
          <cell r="K782" t="str">
            <v>百草味 肉香小烤肠（奥尔良风味）60g</v>
          </cell>
          <cell r="L782" t="str">
            <v>60g</v>
          </cell>
          <cell r="M782" t="str">
            <v>袋</v>
          </cell>
          <cell r="N782">
            <v>6.26</v>
          </cell>
          <cell r="O782">
            <v>9.5</v>
          </cell>
          <cell r="P782">
            <v>0.334736842105263</v>
          </cell>
        </row>
        <row r="783">
          <cell r="F783" t="str">
            <v>70524317</v>
          </cell>
          <cell r="G783" t="str">
            <v>乐事</v>
          </cell>
          <cell r="H783" t="str">
            <v>百草味</v>
          </cell>
          <cell r="I783" t="str">
            <v>零食</v>
          </cell>
          <cell r="J783" t="str">
            <v>零食</v>
          </cell>
          <cell r="K783" t="str">
            <v>百草味 酸酸辣辣海带结 80g</v>
          </cell>
          <cell r="L783" t="str">
            <v>80g</v>
          </cell>
          <cell r="M783" t="str">
            <v>袋</v>
          </cell>
          <cell r="N783">
            <v>4.24</v>
          </cell>
          <cell r="O783">
            <v>6.5</v>
          </cell>
          <cell r="P783">
            <v>0.34153846153846201</v>
          </cell>
        </row>
        <row r="784">
          <cell r="F784" t="str">
            <v>70506566</v>
          </cell>
          <cell r="G784" t="str">
            <v>乐事</v>
          </cell>
          <cell r="H784" t="str">
            <v>百草味</v>
          </cell>
          <cell r="I784" t="str">
            <v>零食</v>
          </cell>
          <cell r="J784" t="str">
            <v>肉铺</v>
          </cell>
          <cell r="K784" t="str">
            <v>百草味 虎皮凤爪红油香辣味 68g</v>
          </cell>
          <cell r="L784" t="str">
            <v>68g</v>
          </cell>
          <cell r="M784" t="str">
            <v>袋</v>
          </cell>
          <cell r="N784">
            <v>8.69</v>
          </cell>
          <cell r="O784">
            <v>13.5</v>
          </cell>
          <cell r="P784">
            <v>0.35037037037037</v>
          </cell>
        </row>
        <row r="785">
          <cell r="F785" t="str">
            <v>70524333</v>
          </cell>
          <cell r="G785" t="str">
            <v>乐事</v>
          </cell>
          <cell r="H785" t="str">
            <v>百草味</v>
          </cell>
          <cell r="I785" t="str">
            <v>零食</v>
          </cell>
          <cell r="J785" t="str">
            <v>零食</v>
          </cell>
          <cell r="K785" t="str">
            <v>百草味 多多梅 60g</v>
          </cell>
          <cell r="L785" t="str">
            <v>60g</v>
          </cell>
          <cell r="M785" t="str">
            <v>袋</v>
          </cell>
          <cell r="N785">
            <v>4.3099999999999996</v>
          </cell>
          <cell r="O785">
            <v>6.5</v>
          </cell>
          <cell r="P785">
            <v>0.32923076923076899</v>
          </cell>
        </row>
        <row r="786">
          <cell r="F786" t="str">
            <v>70524337</v>
          </cell>
          <cell r="G786" t="str">
            <v>乐事</v>
          </cell>
          <cell r="H786" t="str">
            <v>百草味</v>
          </cell>
          <cell r="I786" t="str">
            <v>零食</v>
          </cell>
          <cell r="J786" t="str">
            <v>肠类</v>
          </cell>
          <cell r="K786" t="str">
            <v>百草味 肉香小烤肠（烟熏味）60g</v>
          </cell>
          <cell r="L786" t="str">
            <v>60g</v>
          </cell>
          <cell r="M786" t="str">
            <v>袋</v>
          </cell>
          <cell r="N786">
            <v>6.26</v>
          </cell>
          <cell r="O786">
            <v>9.5</v>
          </cell>
          <cell r="P786">
            <v>0.334736842105263</v>
          </cell>
        </row>
        <row r="787">
          <cell r="F787" t="str">
            <v>70524327</v>
          </cell>
          <cell r="G787" t="str">
            <v>乐事</v>
          </cell>
          <cell r="H787" t="str">
            <v>百草味</v>
          </cell>
          <cell r="I787" t="str">
            <v>零食</v>
          </cell>
          <cell r="J787" t="str">
            <v>肉铺</v>
          </cell>
          <cell r="K787" t="str">
            <v>百草味 原切牛肉条五香味 40g</v>
          </cell>
          <cell r="L787" t="str">
            <v>40g</v>
          </cell>
          <cell r="M787" t="str">
            <v>袋</v>
          </cell>
          <cell r="N787">
            <v>8.84</v>
          </cell>
          <cell r="O787">
            <v>13.5</v>
          </cell>
          <cell r="P787">
            <v>0.338518518518519</v>
          </cell>
        </row>
        <row r="788">
          <cell r="F788" t="str">
            <v>70442697</v>
          </cell>
          <cell r="G788" t="str">
            <v>乐事</v>
          </cell>
          <cell r="H788" t="str">
            <v>乐事</v>
          </cell>
          <cell r="I788" t="str">
            <v>零食</v>
          </cell>
          <cell r="J788" t="str">
            <v>膨化食品</v>
          </cell>
          <cell r="K788" t="str">
            <v>乐事 大波浪薯片-麻辣花生味60克*22包</v>
          </cell>
          <cell r="L788" t="str">
            <v>60g</v>
          </cell>
          <cell r="M788" t="str">
            <v>袋</v>
          </cell>
          <cell r="N788">
            <v>5.15</v>
          </cell>
          <cell r="O788">
            <v>7</v>
          </cell>
          <cell r="P788">
            <v>0.25714285714285701</v>
          </cell>
        </row>
        <row r="789">
          <cell r="F789" t="str">
            <v>70442698</v>
          </cell>
          <cell r="G789" t="str">
            <v>乐事</v>
          </cell>
          <cell r="H789" t="str">
            <v>乐事</v>
          </cell>
          <cell r="I789" t="str">
            <v>零食</v>
          </cell>
          <cell r="J789" t="str">
            <v>膨化食品</v>
          </cell>
          <cell r="K789" t="str">
            <v>乐事 大波浪薯片-柠檬酸辣凤爪味60克*22包</v>
          </cell>
          <cell r="L789" t="str">
            <v>60g</v>
          </cell>
          <cell r="M789" t="str">
            <v>袋</v>
          </cell>
          <cell r="N789">
            <v>5.15</v>
          </cell>
          <cell r="O789">
            <v>7</v>
          </cell>
          <cell r="P789">
            <v>0.25714285714285701</v>
          </cell>
        </row>
        <row r="790">
          <cell r="F790" t="str">
            <v>70543431</v>
          </cell>
          <cell r="G790" t="str">
            <v>乐事</v>
          </cell>
          <cell r="H790" t="str">
            <v>乐事</v>
          </cell>
          <cell r="I790" t="str">
            <v>零食</v>
          </cell>
          <cell r="J790" t="str">
            <v>膨化食品</v>
          </cell>
          <cell r="K790" t="str">
            <v>乐事 分享大礼包 370克</v>
          </cell>
          <cell r="L790" t="str">
            <v>370g</v>
          </cell>
          <cell r="M790" t="str">
            <v>袋</v>
          </cell>
          <cell r="N790">
            <v>29.09</v>
          </cell>
          <cell r="O790">
            <v>39.9</v>
          </cell>
          <cell r="P790">
            <v>0.26365914786967398</v>
          </cell>
        </row>
        <row r="791">
          <cell r="F791" t="str">
            <v>70543505</v>
          </cell>
          <cell r="G791" t="str">
            <v>乐事</v>
          </cell>
          <cell r="H791" t="str">
            <v>乐事</v>
          </cell>
          <cell r="I791" t="str">
            <v>零食</v>
          </cell>
          <cell r="J791" t="str">
            <v>膨化食品</v>
          </cell>
          <cell r="K791" t="str">
            <v>乐事 分享大礼包 239克</v>
          </cell>
          <cell r="L791" t="str">
            <v>239g</v>
          </cell>
          <cell r="M791" t="str">
            <v>袋</v>
          </cell>
          <cell r="N791">
            <v>18.18</v>
          </cell>
          <cell r="O791">
            <v>24.9</v>
          </cell>
          <cell r="P791">
            <v>0.262650602409639</v>
          </cell>
        </row>
        <row r="792">
          <cell r="F792" t="str">
            <v>70543440</v>
          </cell>
          <cell r="G792" t="str">
            <v>乐事</v>
          </cell>
          <cell r="H792" t="str">
            <v>乐事</v>
          </cell>
          <cell r="I792" t="str">
            <v>零食</v>
          </cell>
          <cell r="J792" t="str">
            <v>膨化食品</v>
          </cell>
          <cell r="K792" t="str">
            <v>乐事 零食全家桶617克</v>
          </cell>
          <cell r="L792" t="str">
            <v>617g</v>
          </cell>
          <cell r="M792" t="str">
            <v>桶</v>
          </cell>
          <cell r="N792">
            <v>62.62</v>
          </cell>
          <cell r="O792">
            <v>84.9</v>
          </cell>
          <cell r="P792">
            <v>0.25512367491166099</v>
          </cell>
        </row>
        <row r="793">
          <cell r="F793" t="str">
            <v>70543448</v>
          </cell>
          <cell r="G793" t="str">
            <v>乐事</v>
          </cell>
          <cell r="H793" t="str">
            <v>乐事</v>
          </cell>
          <cell r="I793" t="str">
            <v>零食</v>
          </cell>
          <cell r="J793" t="str">
            <v>膨化食品</v>
          </cell>
          <cell r="K793" t="str">
            <v>乐事 新春祝福桶 90克*4罐</v>
          </cell>
          <cell r="L793" t="str">
            <v>360g</v>
          </cell>
          <cell r="M793" t="str">
            <v>桶</v>
          </cell>
          <cell r="N793">
            <v>39.31</v>
          </cell>
          <cell r="O793">
            <v>53.9</v>
          </cell>
          <cell r="P793">
            <v>0.26345083487940602</v>
          </cell>
        </row>
        <row r="794">
          <cell r="F794" t="str">
            <v>70543445</v>
          </cell>
          <cell r="G794" t="str">
            <v>乐事</v>
          </cell>
          <cell r="H794" t="str">
            <v>乐事</v>
          </cell>
          <cell r="I794" t="str">
            <v>零食</v>
          </cell>
          <cell r="J794" t="str">
            <v>膨化食品</v>
          </cell>
          <cell r="K794" t="str">
            <v>乐事 福乐桶 1000克</v>
          </cell>
          <cell r="L794" t="str">
            <v>1000g</v>
          </cell>
          <cell r="M794" t="str">
            <v>盒</v>
          </cell>
          <cell r="N794">
            <v>90.9</v>
          </cell>
          <cell r="O794">
            <v>122.9</v>
          </cell>
          <cell r="P794">
            <v>0.25305126118795801</v>
          </cell>
        </row>
        <row r="795">
          <cell r="F795" t="str">
            <v>70543449</v>
          </cell>
          <cell r="G795" t="str">
            <v>乐事</v>
          </cell>
          <cell r="H795" t="str">
            <v>百草味</v>
          </cell>
          <cell r="I795" t="str">
            <v>零食</v>
          </cell>
          <cell r="J795" t="str">
            <v>坚果</v>
          </cell>
          <cell r="K795" t="str">
            <v>百草味 喜乐礼920g</v>
          </cell>
          <cell r="L795" t="str">
            <v>920g</v>
          </cell>
          <cell r="M795" t="str">
            <v>盒</v>
          </cell>
          <cell r="N795">
            <v>29.04</v>
          </cell>
          <cell r="O795">
            <v>40.9</v>
          </cell>
          <cell r="P795">
            <v>0.28288508557457198</v>
          </cell>
        </row>
        <row r="796">
          <cell r="F796" t="str">
            <v>70543452</v>
          </cell>
          <cell r="G796" t="str">
            <v>乐事</v>
          </cell>
          <cell r="H796" t="str">
            <v>百草味</v>
          </cell>
          <cell r="I796" t="str">
            <v>零食</v>
          </cell>
          <cell r="J796" t="str">
            <v>坚果</v>
          </cell>
          <cell r="K796" t="str">
            <v>百草味 鸿运礼1504g</v>
          </cell>
          <cell r="L796" t="str">
            <v>1504g</v>
          </cell>
          <cell r="M796" t="str">
            <v>盒</v>
          </cell>
          <cell r="N796">
            <v>48.78</v>
          </cell>
          <cell r="O796">
            <v>69</v>
          </cell>
          <cell r="P796">
            <v>0.28594202898550702</v>
          </cell>
        </row>
        <row r="797">
          <cell r="F797" t="str">
            <v>70543406</v>
          </cell>
          <cell r="G797" t="str">
            <v>乐事</v>
          </cell>
          <cell r="H797" t="str">
            <v>百草味</v>
          </cell>
          <cell r="I797" t="str">
            <v>零食</v>
          </cell>
          <cell r="J797" t="str">
            <v>坚果</v>
          </cell>
          <cell r="K797" t="str">
            <v>百草味 富贵礼1630g</v>
          </cell>
          <cell r="L797" t="str">
            <v>1630g</v>
          </cell>
          <cell r="M797" t="str">
            <v>盒</v>
          </cell>
          <cell r="N797">
            <v>67.42</v>
          </cell>
          <cell r="O797">
            <v>95</v>
          </cell>
          <cell r="P797">
            <v>0.28326315789473699</v>
          </cell>
        </row>
        <row r="798">
          <cell r="F798" t="str">
            <v>70543416</v>
          </cell>
          <cell r="G798" t="str">
            <v>乐事</v>
          </cell>
          <cell r="H798" t="str">
            <v>百草味</v>
          </cell>
          <cell r="I798" t="str">
            <v>零食</v>
          </cell>
          <cell r="J798" t="str">
            <v>坚果</v>
          </cell>
          <cell r="K798" t="str">
            <v>百草味 团圆礼1830g</v>
          </cell>
          <cell r="L798" t="str">
            <v>1830g</v>
          </cell>
          <cell r="M798" t="str">
            <v>盒</v>
          </cell>
          <cell r="N798">
            <v>91.2</v>
          </cell>
          <cell r="O798">
            <v>129</v>
          </cell>
          <cell r="P798">
            <v>0.28596899224806199</v>
          </cell>
        </row>
        <row r="799">
          <cell r="F799" t="str">
            <v>70543465</v>
          </cell>
          <cell r="G799" t="str">
            <v>乐事</v>
          </cell>
          <cell r="H799" t="str">
            <v>百草味</v>
          </cell>
          <cell r="I799" t="str">
            <v>零食</v>
          </cell>
          <cell r="J799" t="str">
            <v>坚果</v>
          </cell>
          <cell r="K799" t="str">
            <v>百草味 锦绣礼 2030g</v>
          </cell>
          <cell r="L799" t="str">
            <v>2030g</v>
          </cell>
          <cell r="M799" t="str">
            <v>盒</v>
          </cell>
          <cell r="N799">
            <v>112.41</v>
          </cell>
          <cell r="O799">
            <v>159</v>
          </cell>
          <cell r="P799">
            <v>0.28597484276729601</v>
          </cell>
        </row>
        <row r="800">
          <cell r="F800" t="str">
            <v>70543421</v>
          </cell>
          <cell r="G800" t="str">
            <v>乐事</v>
          </cell>
          <cell r="H800" t="str">
            <v>百草味</v>
          </cell>
          <cell r="I800" t="str">
            <v>零食</v>
          </cell>
          <cell r="J800" t="str">
            <v>坚果</v>
          </cell>
          <cell r="K800" t="str">
            <v>百草味 坚果有礼1758g（罐装开窗）</v>
          </cell>
          <cell r="L800" t="str">
            <v>1758g</v>
          </cell>
          <cell r="M800" t="str">
            <v>盒</v>
          </cell>
          <cell r="N800">
            <v>140.59</v>
          </cell>
          <cell r="O800">
            <v>199</v>
          </cell>
          <cell r="P800">
            <v>0.286532663316583</v>
          </cell>
        </row>
        <row r="801">
          <cell r="F801" t="str">
            <v>70000823</v>
          </cell>
          <cell r="G801" t="str">
            <v>洽洽</v>
          </cell>
          <cell r="H801" t="str">
            <v>洽洽</v>
          </cell>
          <cell r="I801" t="str">
            <v>零食</v>
          </cell>
          <cell r="J801" t="str">
            <v>坚果</v>
          </cell>
          <cell r="K801" t="str">
            <v>洽洽 香瓜子 260g</v>
          </cell>
          <cell r="L801" t="str">
            <v>260g</v>
          </cell>
          <cell r="M801" t="str">
            <v>包</v>
          </cell>
          <cell r="N801">
            <v>9.6</v>
          </cell>
          <cell r="O801">
            <v>14</v>
          </cell>
          <cell r="P801">
            <v>0.307857142857143</v>
          </cell>
        </row>
        <row r="802">
          <cell r="F802" t="str">
            <v>70000821</v>
          </cell>
          <cell r="G802" t="str">
            <v>洽洽</v>
          </cell>
          <cell r="H802" t="str">
            <v>洽洽</v>
          </cell>
          <cell r="I802" t="str">
            <v>零食</v>
          </cell>
          <cell r="J802" t="str">
            <v>坚果</v>
          </cell>
          <cell r="K802" t="str">
            <v>洽洽 香瓜子 160g</v>
          </cell>
          <cell r="L802" t="str">
            <v>160g</v>
          </cell>
          <cell r="M802" t="str">
            <v>包</v>
          </cell>
          <cell r="N802">
            <v>6.06</v>
          </cell>
          <cell r="O802">
            <v>9</v>
          </cell>
          <cell r="P802">
            <v>0.32</v>
          </cell>
        </row>
        <row r="803">
          <cell r="F803" t="str">
            <v>70005199</v>
          </cell>
          <cell r="G803" t="str">
            <v>洽洽</v>
          </cell>
          <cell r="H803" t="str">
            <v>洽洽</v>
          </cell>
          <cell r="I803" t="str">
            <v>零食</v>
          </cell>
          <cell r="J803" t="str">
            <v>坚果</v>
          </cell>
          <cell r="K803" t="str">
            <v>洽洽 原香瓜子 258g</v>
          </cell>
          <cell r="L803" t="str">
            <v>285g</v>
          </cell>
          <cell r="M803" t="str">
            <v>袋</v>
          </cell>
          <cell r="N803">
            <v>11.11</v>
          </cell>
          <cell r="O803">
            <v>16</v>
          </cell>
          <cell r="P803">
            <v>0.29875000000000002</v>
          </cell>
        </row>
        <row r="804">
          <cell r="F804" t="str">
            <v>70005211</v>
          </cell>
          <cell r="G804" t="str">
            <v>洽洽</v>
          </cell>
          <cell r="H804" t="str">
            <v>洽洽</v>
          </cell>
          <cell r="I804" t="str">
            <v>零食</v>
          </cell>
          <cell r="J804" t="str">
            <v>坚果</v>
          </cell>
          <cell r="K804" t="str">
            <v>洽洽 原香瓜子 142g</v>
          </cell>
          <cell r="L804" t="str">
            <v>150g</v>
          </cell>
          <cell r="M804" t="str">
            <v>袋</v>
          </cell>
          <cell r="N804">
            <v>6.06</v>
          </cell>
          <cell r="O804">
            <v>9</v>
          </cell>
          <cell r="P804">
            <v>0.32</v>
          </cell>
        </row>
        <row r="805">
          <cell r="F805" t="str">
            <v>70254659</v>
          </cell>
          <cell r="G805" t="str">
            <v>洽洽</v>
          </cell>
          <cell r="H805" t="str">
            <v>洽洽</v>
          </cell>
          <cell r="I805" t="str">
            <v>零食</v>
          </cell>
          <cell r="J805" t="str">
            <v>坚果</v>
          </cell>
          <cell r="K805" t="str">
            <v>洽洽 焦糖味瓜子 108g</v>
          </cell>
          <cell r="L805" t="str">
            <v>108g</v>
          </cell>
          <cell r="M805" t="str">
            <v>袋</v>
          </cell>
          <cell r="N805">
            <v>6.06</v>
          </cell>
          <cell r="O805">
            <v>9</v>
          </cell>
          <cell r="P805">
            <v>0.32</v>
          </cell>
        </row>
        <row r="806">
          <cell r="F806" t="str">
            <v>70005213</v>
          </cell>
          <cell r="G806" t="str">
            <v>洽洽</v>
          </cell>
          <cell r="H806" t="str">
            <v>洽洽</v>
          </cell>
          <cell r="I806" t="str">
            <v>零食</v>
          </cell>
          <cell r="J806" t="str">
            <v>坚果</v>
          </cell>
          <cell r="K806" t="str">
            <v>洽洽 奶香瓜子 150g</v>
          </cell>
          <cell r="L806" t="str">
            <v>150g</v>
          </cell>
          <cell r="M806" t="str">
            <v>包</v>
          </cell>
          <cell r="N806">
            <v>6.26</v>
          </cell>
          <cell r="O806">
            <v>9</v>
          </cell>
          <cell r="P806">
            <v>0.29777777777777797</v>
          </cell>
        </row>
        <row r="807">
          <cell r="F807" t="str">
            <v>70005201</v>
          </cell>
          <cell r="G807" t="str">
            <v>洽洽</v>
          </cell>
          <cell r="H807" t="str">
            <v>洽洽</v>
          </cell>
          <cell r="I807" t="str">
            <v>零食</v>
          </cell>
          <cell r="J807" t="str">
            <v>坚果</v>
          </cell>
          <cell r="K807" t="str">
            <v>洽洽 奶香瓜子 285g</v>
          </cell>
          <cell r="L807" t="str">
            <v>285g</v>
          </cell>
          <cell r="M807" t="str">
            <v>袋</v>
          </cell>
          <cell r="N807">
            <v>11.11</v>
          </cell>
          <cell r="O807">
            <v>16</v>
          </cell>
          <cell r="P807">
            <v>0.29875000000000002</v>
          </cell>
        </row>
        <row r="808">
          <cell r="F808" t="str">
            <v>70280818</v>
          </cell>
          <cell r="G808" t="str">
            <v>洽洽</v>
          </cell>
          <cell r="H808" t="str">
            <v>洽洽</v>
          </cell>
          <cell r="I808" t="str">
            <v>零食</v>
          </cell>
          <cell r="J808" t="str">
            <v>坚果</v>
          </cell>
          <cell r="K808" t="str">
            <v>洽洽 小黄袋每日坚果15日装 345g+赠480mL</v>
          </cell>
          <cell r="L808" t="str">
            <v>345g+赠480mL</v>
          </cell>
          <cell r="M808" t="str">
            <v>包</v>
          </cell>
          <cell r="N808">
            <v>68.680000000000007</v>
          </cell>
          <cell r="O808">
            <v>98</v>
          </cell>
          <cell r="P808">
            <v>0.29224489795918401</v>
          </cell>
        </row>
        <row r="809">
          <cell r="F809" t="str">
            <v>70257340</v>
          </cell>
          <cell r="G809" t="str">
            <v>洽洽</v>
          </cell>
          <cell r="H809" t="str">
            <v>洽洽</v>
          </cell>
          <cell r="I809" t="str">
            <v>零食</v>
          </cell>
          <cell r="J809" t="str">
            <v>坚果</v>
          </cell>
          <cell r="K809" t="str">
            <v>洽洽 山核桃味瓜子 108g</v>
          </cell>
          <cell r="L809" t="str">
            <v>108g</v>
          </cell>
          <cell r="M809" t="str">
            <v>包</v>
          </cell>
          <cell r="N809">
            <v>6.26</v>
          </cell>
          <cell r="O809">
            <v>9</v>
          </cell>
          <cell r="P809">
            <v>0.29777777777777797</v>
          </cell>
        </row>
        <row r="810">
          <cell r="F810" t="str">
            <v>70344759</v>
          </cell>
          <cell r="G810" t="str">
            <v>洽洽</v>
          </cell>
          <cell r="H810" t="str">
            <v>洽洽</v>
          </cell>
          <cell r="I810" t="str">
            <v>零食</v>
          </cell>
          <cell r="J810" t="str">
            <v>坚果</v>
          </cell>
          <cell r="K810" t="str">
            <v>洽洽 藤椒味瓜子 108g</v>
          </cell>
          <cell r="L810" t="str">
            <v>108g</v>
          </cell>
          <cell r="M810" t="str">
            <v>袋</v>
          </cell>
          <cell r="N810">
            <v>6.26</v>
          </cell>
          <cell r="O810">
            <v>9</v>
          </cell>
          <cell r="P810">
            <v>0.29777777777777797</v>
          </cell>
        </row>
        <row r="811">
          <cell r="F811" t="str">
            <v>70024222</v>
          </cell>
          <cell r="G811" t="str">
            <v>洽洽</v>
          </cell>
          <cell r="H811" t="str">
            <v>洽洽</v>
          </cell>
          <cell r="I811" t="str">
            <v>零食</v>
          </cell>
          <cell r="J811" t="str">
            <v>坚果</v>
          </cell>
          <cell r="K811" t="str">
            <v>洽洽 奶油小而香西瓜子 180g</v>
          </cell>
          <cell r="L811" t="str">
            <v>180g</v>
          </cell>
          <cell r="M811" t="str">
            <v>袋</v>
          </cell>
          <cell r="N811">
            <v>12.73</v>
          </cell>
          <cell r="O811">
            <v>19</v>
          </cell>
          <cell r="P811">
            <v>0.32368421052631602</v>
          </cell>
        </row>
        <row r="812">
          <cell r="F812" t="str">
            <v>70375770</v>
          </cell>
          <cell r="G812" t="str">
            <v>洽洽</v>
          </cell>
          <cell r="H812" t="str">
            <v>洽洽</v>
          </cell>
          <cell r="I812" t="str">
            <v>零食</v>
          </cell>
          <cell r="J812" t="str">
            <v>坚果</v>
          </cell>
          <cell r="K812" t="str">
            <v>洽洽 小蓝袋益生菌每日坚果15日装 345g+赠480mL</v>
          </cell>
          <cell r="L812" t="str">
            <v>345g+赠480mL</v>
          </cell>
          <cell r="M812" t="str">
            <v>包</v>
          </cell>
          <cell r="N812">
            <v>68.680000000000007</v>
          </cell>
          <cell r="O812">
            <v>98</v>
          </cell>
          <cell r="P812">
            <v>0.29224489795918401</v>
          </cell>
        </row>
        <row r="813">
          <cell r="F813" t="str">
            <v>70346874</v>
          </cell>
          <cell r="G813" t="str">
            <v>洽洽</v>
          </cell>
          <cell r="H813" t="str">
            <v>洽洽</v>
          </cell>
          <cell r="I813" t="str">
            <v>零食</v>
          </cell>
          <cell r="J813" t="str">
            <v>坚果</v>
          </cell>
          <cell r="K813" t="str">
            <v>洽洽 夏威夷果 120g</v>
          </cell>
          <cell r="L813" t="str">
            <v>120g</v>
          </cell>
          <cell r="M813" t="str">
            <v>袋</v>
          </cell>
          <cell r="N813">
            <v>14.75</v>
          </cell>
          <cell r="O813">
            <v>20</v>
          </cell>
          <cell r="P813">
            <v>0.2555</v>
          </cell>
        </row>
        <row r="814">
          <cell r="F814" t="str">
            <v>70000614</v>
          </cell>
          <cell r="G814" t="str">
            <v>旺旺</v>
          </cell>
          <cell r="H814" t="str">
            <v>旺旺</v>
          </cell>
          <cell r="I814" t="str">
            <v>奶类</v>
          </cell>
          <cell r="J814" t="str">
            <v>奶类饮料</v>
          </cell>
          <cell r="K814" t="str">
            <v>旺仔 牛奶原味 245mL</v>
          </cell>
          <cell r="L814" t="str">
            <v>245mL</v>
          </cell>
          <cell r="M814" t="str">
            <v>罐</v>
          </cell>
          <cell r="N814">
            <v>4.16</v>
          </cell>
          <cell r="O814">
            <v>6</v>
          </cell>
          <cell r="P814">
            <v>0.3</v>
          </cell>
        </row>
        <row r="815">
          <cell r="F815" t="str">
            <v>70004844</v>
          </cell>
          <cell r="G815" t="str">
            <v>旺旺</v>
          </cell>
          <cell r="H815" t="str">
            <v>旺旺</v>
          </cell>
          <cell r="I815" t="str">
            <v>零食</v>
          </cell>
          <cell r="J815" t="str">
            <v>膨化食品</v>
          </cell>
          <cell r="K815" t="str">
            <v>旺旺 鲜贝 105g</v>
          </cell>
          <cell r="L815" t="str">
            <v>105g</v>
          </cell>
          <cell r="M815" t="str">
            <v>包</v>
          </cell>
          <cell r="N815">
            <v>6.67</v>
          </cell>
          <cell r="O815">
            <v>10.5</v>
          </cell>
          <cell r="P815">
            <v>0.359047619047619</v>
          </cell>
        </row>
        <row r="816">
          <cell r="F816" t="str">
            <v>70004845</v>
          </cell>
          <cell r="G816" t="str">
            <v>旺旺</v>
          </cell>
          <cell r="H816" t="str">
            <v>旺旺</v>
          </cell>
          <cell r="I816" t="str">
            <v>零食</v>
          </cell>
          <cell r="J816" t="str">
            <v>膨化食品</v>
          </cell>
          <cell r="K816" t="str">
            <v>旺旺 雪饼(大) 118g</v>
          </cell>
          <cell r="L816" t="str">
            <v>118g</v>
          </cell>
          <cell r="M816" t="str">
            <v>包</v>
          </cell>
          <cell r="N816">
            <v>5.15</v>
          </cell>
          <cell r="O816">
            <v>8</v>
          </cell>
          <cell r="P816">
            <v>0.35</v>
          </cell>
        </row>
        <row r="817">
          <cell r="F817" t="str">
            <v>70004755</v>
          </cell>
          <cell r="G817" t="str">
            <v>旺旺</v>
          </cell>
          <cell r="H817" t="str">
            <v>旺旺</v>
          </cell>
          <cell r="I817" t="str">
            <v>零食</v>
          </cell>
          <cell r="J817" t="str">
            <v>膨化食品</v>
          </cell>
          <cell r="K817" t="str">
            <v>旺旺 小小酥原味 60g</v>
          </cell>
          <cell r="L817" t="str">
            <v>60g</v>
          </cell>
          <cell r="M817" t="str">
            <v>包</v>
          </cell>
          <cell r="N817">
            <v>2.89</v>
          </cell>
          <cell r="O817">
            <v>4.5</v>
          </cell>
          <cell r="P817">
            <v>0.35111111111111099</v>
          </cell>
        </row>
        <row r="818">
          <cell r="F818" t="str">
            <v>70004756</v>
          </cell>
          <cell r="G818" t="str">
            <v>旺旺</v>
          </cell>
          <cell r="H818" t="str">
            <v>旺旺</v>
          </cell>
          <cell r="I818" t="str">
            <v>零食</v>
          </cell>
          <cell r="J818" t="str">
            <v>膨化食品</v>
          </cell>
          <cell r="K818" t="str">
            <v>旺旺 小小酥葱香鸡味 60g</v>
          </cell>
          <cell r="L818" t="str">
            <v>60g</v>
          </cell>
          <cell r="M818" t="str">
            <v>包</v>
          </cell>
          <cell r="N818">
            <v>2.89</v>
          </cell>
          <cell r="O818">
            <v>4.5</v>
          </cell>
          <cell r="P818">
            <v>0.35111111111111099</v>
          </cell>
        </row>
        <row r="819">
          <cell r="F819" t="str">
            <v>70004757</v>
          </cell>
          <cell r="G819" t="str">
            <v>旺旺</v>
          </cell>
          <cell r="H819" t="str">
            <v>旺旺</v>
          </cell>
          <cell r="I819" t="str">
            <v>零食</v>
          </cell>
          <cell r="J819" t="str">
            <v>膨化食品</v>
          </cell>
          <cell r="K819" t="str">
            <v>旺旺 小小酥黑胡椒味 60g</v>
          </cell>
          <cell r="L819" t="str">
            <v>60g*8*4</v>
          </cell>
          <cell r="M819" t="str">
            <v>包</v>
          </cell>
          <cell r="N819">
            <v>2.89</v>
          </cell>
          <cell r="O819">
            <v>4.5</v>
          </cell>
          <cell r="P819">
            <v>0.35111111111111099</v>
          </cell>
        </row>
        <row r="820">
          <cell r="F820" t="str">
            <v>70026786</v>
          </cell>
          <cell r="G820" t="str">
            <v>旺旺</v>
          </cell>
          <cell r="H820" t="str">
            <v>旺旺</v>
          </cell>
          <cell r="I820" t="str">
            <v>糖果</v>
          </cell>
          <cell r="J820" t="str">
            <v>软糖</v>
          </cell>
          <cell r="K820" t="str">
            <v>旺仔 QQ糖水蜜桃 70g</v>
          </cell>
          <cell r="L820" t="str">
            <v>70g</v>
          </cell>
          <cell r="M820" t="str">
            <v>包</v>
          </cell>
          <cell r="N820">
            <v>2.76</v>
          </cell>
          <cell r="O820">
            <v>4.5</v>
          </cell>
          <cell r="P820">
            <v>0.38222222222222202</v>
          </cell>
        </row>
        <row r="821">
          <cell r="F821" t="str">
            <v>70000656</v>
          </cell>
          <cell r="G821" t="str">
            <v>旺旺</v>
          </cell>
          <cell r="H821" t="str">
            <v>旺旺</v>
          </cell>
          <cell r="I821" t="str">
            <v>糖果</v>
          </cell>
          <cell r="J821" t="str">
            <v>软糖</v>
          </cell>
          <cell r="K821" t="str">
            <v>旺仔 QQ糖香橙 70g</v>
          </cell>
          <cell r="L821" t="str">
            <v>70g</v>
          </cell>
          <cell r="M821" t="str">
            <v>包</v>
          </cell>
          <cell r="N821">
            <v>2.76</v>
          </cell>
          <cell r="O821">
            <v>4.5</v>
          </cell>
          <cell r="P821">
            <v>0.38222222222222202</v>
          </cell>
        </row>
        <row r="822">
          <cell r="F822" t="str">
            <v>70001491</v>
          </cell>
          <cell r="G822" t="str">
            <v>旺旺</v>
          </cell>
          <cell r="H822" t="str">
            <v>旺旺</v>
          </cell>
          <cell r="I822" t="str">
            <v>糖果</v>
          </cell>
          <cell r="J822" t="str">
            <v>软糖</v>
          </cell>
          <cell r="K822" t="str">
            <v>旺仔 QQ糖蓝莓 70g</v>
          </cell>
          <cell r="L822" t="str">
            <v>70g</v>
          </cell>
          <cell r="M822" t="str">
            <v>包</v>
          </cell>
          <cell r="N822">
            <v>2.76</v>
          </cell>
          <cell r="O822">
            <v>4.5</v>
          </cell>
          <cell r="P822">
            <v>0.38222222222222202</v>
          </cell>
        </row>
        <row r="823">
          <cell r="F823" t="str">
            <v>70188786</v>
          </cell>
          <cell r="G823" t="str">
            <v>旺旺</v>
          </cell>
          <cell r="H823" t="str">
            <v>旺旺</v>
          </cell>
          <cell r="I823" t="str">
            <v>糖果</v>
          </cell>
          <cell r="J823" t="str">
            <v>软糖</v>
          </cell>
          <cell r="K823" t="str">
            <v>旺仔 牛奶糖原味 42g</v>
          </cell>
          <cell r="L823" t="str">
            <v>42g</v>
          </cell>
          <cell r="M823" t="str">
            <v>袋</v>
          </cell>
          <cell r="N823">
            <v>2.2999999999999998</v>
          </cell>
          <cell r="O823">
            <v>4</v>
          </cell>
          <cell r="P823">
            <v>0.41749999999999998</v>
          </cell>
        </row>
        <row r="824">
          <cell r="F824" t="str">
            <v>70276067</v>
          </cell>
          <cell r="G824" t="str">
            <v>甘源</v>
          </cell>
          <cell r="H824" t="str">
            <v>甘源</v>
          </cell>
          <cell r="I824" t="str">
            <v>零食</v>
          </cell>
          <cell r="J824" t="str">
            <v>坚果</v>
          </cell>
          <cell r="K824" t="str">
            <v>甘源 多味花生 75g</v>
          </cell>
          <cell r="L824" t="str">
            <v>75g</v>
          </cell>
          <cell r="M824" t="str">
            <v>袋</v>
          </cell>
          <cell r="N824">
            <v>3.23</v>
          </cell>
          <cell r="O824">
            <v>5</v>
          </cell>
          <cell r="P824">
            <v>0.34799999999999998</v>
          </cell>
        </row>
        <row r="825">
          <cell r="F825" t="str">
            <v>70166919</v>
          </cell>
          <cell r="G825" t="str">
            <v>甘源</v>
          </cell>
          <cell r="H825" t="str">
            <v>甘源</v>
          </cell>
          <cell r="I825" t="str">
            <v>零食</v>
          </cell>
          <cell r="J825" t="str">
            <v>坚果</v>
          </cell>
          <cell r="K825" t="str">
            <v>甘源 蟹黄瓜子仁 75g</v>
          </cell>
          <cell r="L825" t="str">
            <v>75g</v>
          </cell>
          <cell r="M825" t="str">
            <v>袋</v>
          </cell>
          <cell r="N825">
            <v>3.23</v>
          </cell>
          <cell r="O825">
            <v>5</v>
          </cell>
          <cell r="P825">
            <v>0.34799999999999998</v>
          </cell>
        </row>
        <row r="826">
          <cell r="F826" t="str">
            <v>70276971</v>
          </cell>
          <cell r="G826" t="str">
            <v>甘源</v>
          </cell>
          <cell r="H826" t="str">
            <v>甘源</v>
          </cell>
          <cell r="I826" t="str">
            <v>零食</v>
          </cell>
          <cell r="J826" t="str">
            <v>坚果</v>
          </cell>
          <cell r="K826" t="str">
            <v>甘源 香辣花生 75g</v>
          </cell>
          <cell r="L826" t="str">
            <v>75g</v>
          </cell>
          <cell r="M826" t="str">
            <v>袋</v>
          </cell>
          <cell r="N826">
            <v>3.23</v>
          </cell>
          <cell r="O826">
            <v>5</v>
          </cell>
          <cell r="P826">
            <v>0.34799999999999998</v>
          </cell>
        </row>
        <row r="827">
          <cell r="F827" t="str">
            <v>70166916</v>
          </cell>
          <cell r="G827" t="str">
            <v>甘源</v>
          </cell>
          <cell r="H827" t="str">
            <v>甘源</v>
          </cell>
          <cell r="I827" t="str">
            <v>零食</v>
          </cell>
          <cell r="J827" t="str">
            <v>坚果</v>
          </cell>
          <cell r="K827" t="str">
            <v>甘源 原味青豌豆 75g</v>
          </cell>
          <cell r="L827" t="str">
            <v>75g</v>
          </cell>
          <cell r="M827" t="str">
            <v>袋</v>
          </cell>
          <cell r="N827">
            <v>3.23</v>
          </cell>
          <cell r="O827">
            <v>5</v>
          </cell>
          <cell r="P827">
            <v>0.34799999999999998</v>
          </cell>
        </row>
        <row r="828">
          <cell r="F828" t="str">
            <v>70166917</v>
          </cell>
          <cell r="G828" t="str">
            <v>甘源</v>
          </cell>
          <cell r="H828" t="str">
            <v>甘源</v>
          </cell>
          <cell r="I828" t="str">
            <v>零食</v>
          </cell>
          <cell r="J828" t="str">
            <v>坚果</v>
          </cell>
          <cell r="K828" t="str">
            <v>甘源 蟹黄蚕豆 75g</v>
          </cell>
          <cell r="L828" t="str">
            <v>75g</v>
          </cell>
          <cell r="M828" t="str">
            <v>袋</v>
          </cell>
          <cell r="N828">
            <v>3.23</v>
          </cell>
          <cell r="O828">
            <v>5</v>
          </cell>
          <cell r="P828">
            <v>0.34799999999999998</v>
          </cell>
        </row>
        <row r="829">
          <cell r="F829" t="str">
            <v>70235210</v>
          </cell>
          <cell r="G829" t="str">
            <v>甘源</v>
          </cell>
          <cell r="H829" t="str">
            <v>甘源</v>
          </cell>
          <cell r="I829" t="str">
            <v>零食</v>
          </cell>
          <cell r="J829" t="str">
            <v>坚果</v>
          </cell>
          <cell r="K829" t="str">
            <v>甘源 牌袋装美国青豌豆(蒜香味) 75g</v>
          </cell>
          <cell r="L829" t="str">
            <v>75g</v>
          </cell>
          <cell r="M829" t="str">
            <v>袋</v>
          </cell>
          <cell r="N829">
            <v>3.23</v>
          </cell>
          <cell r="O829">
            <v>5</v>
          </cell>
          <cell r="P829">
            <v>0.34799999999999998</v>
          </cell>
        </row>
        <row r="830">
          <cell r="F830" t="str">
            <v>70386250</v>
          </cell>
          <cell r="G830" t="str">
            <v>甘源</v>
          </cell>
          <cell r="H830" t="str">
            <v>甘源</v>
          </cell>
          <cell r="I830" t="str">
            <v>零食</v>
          </cell>
          <cell r="J830" t="str">
            <v>坚果</v>
          </cell>
          <cell r="K830" t="str">
            <v>甘源 牛排味兰花豆 75g</v>
          </cell>
          <cell r="L830" t="str">
            <v>75g</v>
          </cell>
          <cell r="M830" t="str">
            <v>袋</v>
          </cell>
          <cell r="N830">
            <v>3.23</v>
          </cell>
          <cell r="O830">
            <v>5</v>
          </cell>
          <cell r="P830">
            <v>0.34799999999999998</v>
          </cell>
        </row>
        <row r="831">
          <cell r="F831" t="str">
            <v>70275342</v>
          </cell>
          <cell r="G831" t="str">
            <v>甘源</v>
          </cell>
          <cell r="H831" t="str">
            <v>甘源</v>
          </cell>
          <cell r="I831" t="str">
            <v>零食</v>
          </cell>
          <cell r="J831" t="str">
            <v>坚果</v>
          </cell>
          <cell r="K831" t="str">
            <v>甘源 鲜虾味虾条豆果 75g</v>
          </cell>
          <cell r="L831" t="str">
            <v>75g</v>
          </cell>
          <cell r="M831" t="str">
            <v>包</v>
          </cell>
          <cell r="N831">
            <v>3.23</v>
          </cell>
          <cell r="O831">
            <v>5</v>
          </cell>
          <cell r="P831">
            <v>0.34799999999999998</v>
          </cell>
        </row>
        <row r="832">
          <cell r="F832" t="str">
            <v>70433027</v>
          </cell>
          <cell r="G832" t="str">
            <v>甘源</v>
          </cell>
          <cell r="H832" t="str">
            <v>甘源</v>
          </cell>
          <cell r="I832" t="str">
            <v>零食</v>
          </cell>
          <cell r="J832" t="str">
            <v>坚果</v>
          </cell>
          <cell r="K832" t="str">
            <v>甘源 原味青豌豆 208g</v>
          </cell>
          <cell r="L832" t="str">
            <v>208g</v>
          </cell>
          <cell r="M832" t="str">
            <v>袋</v>
          </cell>
          <cell r="N832">
            <v>8.59</v>
          </cell>
          <cell r="O832">
            <v>14.8</v>
          </cell>
          <cell r="P832">
            <v>0.41418918918918901</v>
          </cell>
        </row>
        <row r="833">
          <cell r="F833" t="str">
            <v>70428529</v>
          </cell>
          <cell r="G833" t="str">
            <v>甘源</v>
          </cell>
          <cell r="H833" t="str">
            <v>甘源</v>
          </cell>
          <cell r="I833" t="str">
            <v>零食</v>
          </cell>
          <cell r="J833" t="str">
            <v>坚果</v>
          </cell>
          <cell r="K833" t="str">
            <v>甘源 一家人礼盒 1200g</v>
          </cell>
          <cell r="L833" t="str">
            <v>1300g</v>
          </cell>
          <cell r="M833" t="str">
            <v>个</v>
          </cell>
          <cell r="N833">
            <v>89.99</v>
          </cell>
          <cell r="O833">
            <v>158</v>
          </cell>
          <cell r="P833">
            <v>0.42481012658227901</v>
          </cell>
        </row>
        <row r="834">
          <cell r="F834" t="str">
            <v>70375963</v>
          </cell>
          <cell r="G834" t="str">
            <v>甘源</v>
          </cell>
          <cell r="H834" t="str">
            <v>甘源</v>
          </cell>
          <cell r="I834" t="str">
            <v>零食</v>
          </cell>
          <cell r="J834" t="str">
            <v>坚果</v>
          </cell>
          <cell r="K834" t="str">
            <v>甘源 多味花生 258g</v>
          </cell>
          <cell r="L834" t="str">
            <v>258g</v>
          </cell>
          <cell r="M834" t="str">
            <v>袋</v>
          </cell>
          <cell r="N834">
            <v>9.9</v>
          </cell>
          <cell r="O834">
            <v>15.9</v>
          </cell>
          <cell r="P834">
            <v>0.37106918238993702</v>
          </cell>
        </row>
        <row r="835">
          <cell r="F835" t="str">
            <v>70486123</v>
          </cell>
          <cell r="G835" t="str">
            <v>甘源</v>
          </cell>
          <cell r="H835" t="str">
            <v>甘源</v>
          </cell>
          <cell r="I835" t="str">
            <v>零食</v>
          </cell>
          <cell r="J835" t="str">
            <v>坚果</v>
          </cell>
          <cell r="K835" t="str">
            <v>甘源 蜂蜜琥珀核桃仁 32g</v>
          </cell>
          <cell r="L835" t="str">
            <v>32g</v>
          </cell>
          <cell r="M835" t="str">
            <v>袋</v>
          </cell>
          <cell r="N835">
            <v>3.03</v>
          </cell>
          <cell r="O835">
            <v>5</v>
          </cell>
          <cell r="P835">
            <v>0.38800000000000001</v>
          </cell>
        </row>
        <row r="836">
          <cell r="F836" t="str">
            <v>70433026</v>
          </cell>
          <cell r="G836" t="str">
            <v>甘源</v>
          </cell>
          <cell r="H836" t="str">
            <v>甘源</v>
          </cell>
          <cell r="I836" t="str">
            <v>零食</v>
          </cell>
          <cell r="J836" t="str">
            <v>坚果</v>
          </cell>
          <cell r="K836" t="str">
            <v>甘源 蟹黄味瓜子仁 208g</v>
          </cell>
          <cell r="L836" t="str">
            <v>208g</v>
          </cell>
          <cell r="M836" t="str">
            <v>袋</v>
          </cell>
          <cell r="N836">
            <v>8.59</v>
          </cell>
          <cell r="O836">
            <v>14.8</v>
          </cell>
          <cell r="P836">
            <v>0.41418918918918901</v>
          </cell>
        </row>
        <row r="837">
          <cell r="F837" t="str">
            <v>70433025</v>
          </cell>
          <cell r="G837" t="str">
            <v>甘源</v>
          </cell>
          <cell r="H837" t="str">
            <v>甘源</v>
          </cell>
          <cell r="I837" t="str">
            <v>零食</v>
          </cell>
          <cell r="J837" t="str">
            <v>坚果</v>
          </cell>
          <cell r="K837" t="str">
            <v>甘源 蟹黄味蚕豆 208g</v>
          </cell>
          <cell r="L837" t="str">
            <v>208g</v>
          </cell>
          <cell r="M837" t="str">
            <v>袋</v>
          </cell>
          <cell r="N837">
            <v>8.59</v>
          </cell>
          <cell r="O837">
            <v>14.8</v>
          </cell>
          <cell r="P837">
            <v>0.41418918918918901</v>
          </cell>
        </row>
        <row r="838">
          <cell r="F838" t="str">
            <v>70466154</v>
          </cell>
          <cell r="G838" t="str">
            <v>甘源</v>
          </cell>
          <cell r="H838" t="str">
            <v>甘源</v>
          </cell>
          <cell r="I838" t="str">
            <v>零食</v>
          </cell>
          <cell r="J838" t="str">
            <v>坚果</v>
          </cell>
          <cell r="K838" t="str">
            <v>甘源 阖家欢礼盒 900g</v>
          </cell>
          <cell r="L838" t="str">
            <v>900g</v>
          </cell>
          <cell r="M838" t="str">
            <v>包</v>
          </cell>
          <cell r="N838">
            <v>73.73</v>
          </cell>
          <cell r="O838">
            <v>108</v>
          </cell>
          <cell r="P838">
            <v>0.31055555555555597</v>
          </cell>
        </row>
        <row r="839">
          <cell r="F839" t="str">
            <v>70087860</v>
          </cell>
          <cell r="G839" t="str">
            <v>甘源</v>
          </cell>
          <cell r="H839" t="str">
            <v>甘源</v>
          </cell>
          <cell r="I839" t="str">
            <v>零食</v>
          </cell>
          <cell r="J839" t="str">
            <v>坚果</v>
          </cell>
          <cell r="K839" t="str">
            <v>甘源 缤纷综合果仁 208g</v>
          </cell>
          <cell r="L839" t="str">
            <v>208g</v>
          </cell>
          <cell r="M839" t="str">
            <v>袋</v>
          </cell>
          <cell r="N839">
            <v>12.02</v>
          </cell>
          <cell r="O839">
            <v>19.8</v>
          </cell>
          <cell r="P839">
            <v>0.38686868686868697</v>
          </cell>
        </row>
        <row r="840">
          <cell r="F840" t="str">
            <v>70485944</v>
          </cell>
          <cell r="G840" t="str">
            <v>甘源</v>
          </cell>
          <cell r="H840" t="str">
            <v>甘源</v>
          </cell>
          <cell r="I840" t="str">
            <v>零食</v>
          </cell>
          <cell r="J840" t="str">
            <v>膨化食品</v>
          </cell>
          <cell r="K840" t="str">
            <v>甘源 甘酸番茄味薯片 62g</v>
          </cell>
          <cell r="L840" t="str">
            <v>62g</v>
          </cell>
          <cell r="M840" t="str">
            <v>袋</v>
          </cell>
          <cell r="N840">
            <v>3.43</v>
          </cell>
          <cell r="O840">
            <v>5.5</v>
          </cell>
          <cell r="P840">
            <v>0.36909090909090903</v>
          </cell>
        </row>
        <row r="841">
          <cell r="F841" t="str">
            <v>70485946</v>
          </cell>
          <cell r="G841" t="str">
            <v>甘源</v>
          </cell>
          <cell r="H841" t="str">
            <v>甘源</v>
          </cell>
          <cell r="I841" t="str">
            <v>零食</v>
          </cell>
          <cell r="J841" t="str">
            <v>膨化食品</v>
          </cell>
          <cell r="K841" t="str">
            <v>甘源 铁板牛排味薯片 62g</v>
          </cell>
          <cell r="L841" t="str">
            <v>62g</v>
          </cell>
          <cell r="M841" t="str">
            <v>袋</v>
          </cell>
          <cell r="N841">
            <v>3.43</v>
          </cell>
          <cell r="O841">
            <v>5.5</v>
          </cell>
          <cell r="P841">
            <v>0.36909090909090903</v>
          </cell>
        </row>
        <row r="842">
          <cell r="F842" t="str">
            <v>70543501</v>
          </cell>
          <cell r="G842" t="str">
            <v>甘源</v>
          </cell>
          <cell r="H842" t="str">
            <v>甘源</v>
          </cell>
          <cell r="I842" t="str">
            <v>零食</v>
          </cell>
          <cell r="J842" t="str">
            <v>膨化食品</v>
          </cell>
          <cell r="K842" t="str">
            <v>甘源 鲜虾味豆果虾条 208g</v>
          </cell>
          <cell r="L842" t="str">
            <v>208g</v>
          </cell>
          <cell r="M842" t="str">
            <v>袋</v>
          </cell>
          <cell r="N842">
            <v>9.6999999999999993</v>
          </cell>
          <cell r="O842">
            <v>13.8</v>
          </cell>
          <cell r="P842">
            <v>0.29057971014492801</v>
          </cell>
        </row>
        <row r="843">
          <cell r="F843" t="str">
            <v>70283779</v>
          </cell>
          <cell r="G843" t="str">
            <v>甘源</v>
          </cell>
          <cell r="H843" t="str">
            <v>甘源</v>
          </cell>
          <cell r="I843" t="str">
            <v>零食</v>
          </cell>
          <cell r="J843" t="str">
            <v>坚果</v>
          </cell>
          <cell r="K843" t="str">
            <v>甘源 酱香烤肉味兰花豆 75g</v>
          </cell>
          <cell r="L843" t="str">
            <v>75g</v>
          </cell>
          <cell r="M843" t="str">
            <v>袋</v>
          </cell>
          <cell r="N843">
            <v>3.58</v>
          </cell>
          <cell r="O843">
            <v>5.8</v>
          </cell>
          <cell r="P843">
            <v>0.37758620689655198</v>
          </cell>
        </row>
        <row r="844">
          <cell r="F844" t="str">
            <v>70574274</v>
          </cell>
          <cell r="G844" t="str">
            <v>甘源</v>
          </cell>
          <cell r="H844" t="str">
            <v>甘源</v>
          </cell>
          <cell r="I844" t="str">
            <v>零食</v>
          </cell>
          <cell r="J844" t="str">
            <v>坚果</v>
          </cell>
          <cell r="K844" t="str">
            <v>甘源 综合果仁 75g</v>
          </cell>
          <cell r="L844" t="str">
            <v>75g</v>
          </cell>
          <cell r="M844" t="str">
            <v>袋</v>
          </cell>
          <cell r="N844">
            <v>5.28</v>
          </cell>
          <cell r="O844">
            <v>8.5</v>
          </cell>
          <cell r="P844">
            <v>0.372941176470588</v>
          </cell>
        </row>
        <row r="845">
          <cell r="F845" t="str">
            <v>70574871</v>
          </cell>
          <cell r="G845" t="str">
            <v>甘源</v>
          </cell>
          <cell r="H845" t="str">
            <v>甘源</v>
          </cell>
          <cell r="I845" t="str">
            <v>零食</v>
          </cell>
          <cell r="J845" t="str">
            <v>膨化食品</v>
          </cell>
          <cell r="K845" t="str">
            <v>甘源 爆椒咸蛋黄糯米锅巴 102g</v>
          </cell>
          <cell r="L845" t="str">
            <v>102g</v>
          </cell>
          <cell r="M845" t="str">
            <v>袋</v>
          </cell>
          <cell r="N845">
            <v>6.38</v>
          </cell>
          <cell r="O845">
            <v>9.9</v>
          </cell>
          <cell r="P845">
            <v>0.34848484848484901</v>
          </cell>
        </row>
        <row r="846">
          <cell r="F846" t="str">
            <v>70574849</v>
          </cell>
          <cell r="G846" t="str">
            <v>甘源</v>
          </cell>
          <cell r="H846" t="str">
            <v>甘源</v>
          </cell>
          <cell r="I846" t="str">
            <v>零食</v>
          </cell>
          <cell r="J846" t="str">
            <v>膨化食品</v>
          </cell>
          <cell r="K846" t="str">
            <v>甘源 黑蒜藤椒糯米锅巴 102g</v>
          </cell>
          <cell r="L846" t="str">
            <v>102g</v>
          </cell>
          <cell r="M846" t="str">
            <v>袋</v>
          </cell>
          <cell r="N846">
            <v>6.38</v>
          </cell>
          <cell r="O846">
            <v>9.9</v>
          </cell>
          <cell r="P846">
            <v>0.34848484848484901</v>
          </cell>
        </row>
        <row r="847">
          <cell r="F847" t="str">
            <v>70574870</v>
          </cell>
          <cell r="G847" t="str">
            <v>甘源</v>
          </cell>
          <cell r="H847" t="str">
            <v>甘源</v>
          </cell>
          <cell r="I847" t="str">
            <v>零食</v>
          </cell>
          <cell r="J847" t="str">
            <v>膨化食品</v>
          </cell>
          <cell r="K847" t="str">
            <v>甘源 鲜虾鸡汁味糯米锅巴 102g</v>
          </cell>
          <cell r="L847" t="str">
            <v>102g</v>
          </cell>
          <cell r="M847" t="str">
            <v>袋</v>
          </cell>
          <cell r="N847">
            <v>6.38</v>
          </cell>
          <cell r="O847">
            <v>9.9</v>
          </cell>
          <cell r="P847">
            <v>0.34848484848484901</v>
          </cell>
        </row>
        <row r="848">
          <cell r="F848" t="str">
            <v>70574880</v>
          </cell>
          <cell r="G848" t="str">
            <v>甘源</v>
          </cell>
          <cell r="H848" t="str">
            <v>甘源</v>
          </cell>
          <cell r="I848" t="str">
            <v>零食</v>
          </cell>
          <cell r="J848" t="str">
            <v>坚果</v>
          </cell>
          <cell r="K848" t="str">
            <v>甘源 带壳蒜香味花生 108g</v>
          </cell>
          <cell r="L848" t="str">
            <v>108g</v>
          </cell>
          <cell r="M848" t="str">
            <v>袋</v>
          </cell>
          <cell r="N848">
            <v>5.28</v>
          </cell>
          <cell r="O848">
            <v>8.5</v>
          </cell>
          <cell r="P848">
            <v>0.372941176470588</v>
          </cell>
        </row>
        <row r="849">
          <cell r="F849" t="str">
            <v>70574862</v>
          </cell>
          <cell r="G849" t="str">
            <v>甘源</v>
          </cell>
          <cell r="H849" t="str">
            <v>甘源</v>
          </cell>
          <cell r="I849" t="str">
            <v>零食</v>
          </cell>
          <cell r="J849" t="str">
            <v>坚果</v>
          </cell>
          <cell r="K849" t="str">
            <v>甘源 带壳奶香味花生 108g</v>
          </cell>
          <cell r="L849" t="str">
            <v>108g</v>
          </cell>
          <cell r="M849" t="str">
            <v>袋</v>
          </cell>
          <cell r="N849">
            <v>5.28</v>
          </cell>
          <cell r="O849">
            <v>8.5</v>
          </cell>
          <cell r="P849">
            <v>0.372941176470588</v>
          </cell>
        </row>
        <row r="850">
          <cell r="F850" t="str">
            <v>70574875</v>
          </cell>
          <cell r="G850" t="str">
            <v>甘源</v>
          </cell>
          <cell r="H850" t="str">
            <v>甘源</v>
          </cell>
          <cell r="I850" t="str">
            <v>零食</v>
          </cell>
          <cell r="J850" t="str">
            <v>坚果</v>
          </cell>
          <cell r="K850" t="str">
            <v>甘源 蒜香味绿蚕豆 208g</v>
          </cell>
          <cell r="L850" t="str">
            <v>208g</v>
          </cell>
          <cell r="M850" t="str">
            <v>袋</v>
          </cell>
          <cell r="N850">
            <v>10.36</v>
          </cell>
          <cell r="O850">
            <v>15.9</v>
          </cell>
          <cell r="P850">
            <v>0.34150943396226402</v>
          </cell>
        </row>
        <row r="851">
          <cell r="F851" t="str">
            <v>70574850</v>
          </cell>
          <cell r="G851" t="str">
            <v>甘源</v>
          </cell>
          <cell r="H851" t="str">
            <v>甘源</v>
          </cell>
          <cell r="I851" t="str">
            <v>零食</v>
          </cell>
          <cell r="J851" t="str">
            <v>坚果</v>
          </cell>
          <cell r="K851" t="str">
            <v>甘源 带壳蒜香味花生 260g</v>
          </cell>
          <cell r="L851" t="str">
            <v>260g</v>
          </cell>
          <cell r="M851" t="str">
            <v>袋</v>
          </cell>
          <cell r="N851">
            <v>10.36</v>
          </cell>
          <cell r="O851">
            <v>15.9</v>
          </cell>
          <cell r="P851">
            <v>0.34150943396226402</v>
          </cell>
        </row>
        <row r="852">
          <cell r="F852" t="str">
            <v>70574276</v>
          </cell>
          <cell r="G852" t="str">
            <v>甘源</v>
          </cell>
          <cell r="H852" t="str">
            <v>甘源</v>
          </cell>
          <cell r="I852" t="str">
            <v>零食</v>
          </cell>
          <cell r="J852" t="str">
            <v>坚果</v>
          </cell>
          <cell r="K852" t="str">
            <v>甘源 带壳奶香味花生 260g</v>
          </cell>
          <cell r="L852" t="str">
            <v>260g</v>
          </cell>
          <cell r="M852" t="str">
            <v>袋</v>
          </cell>
          <cell r="N852">
            <v>10.36</v>
          </cell>
          <cell r="O852">
            <v>15.9</v>
          </cell>
          <cell r="P852">
            <v>0.34150943396226402</v>
          </cell>
        </row>
        <row r="853">
          <cell r="F853" t="str">
            <v>70558959</v>
          </cell>
          <cell r="G853" t="str">
            <v>甘源</v>
          </cell>
          <cell r="H853" t="str">
            <v>甘源</v>
          </cell>
          <cell r="I853" t="str">
            <v>零食</v>
          </cell>
          <cell r="J853" t="str">
            <v>礼盒</v>
          </cell>
          <cell r="K853" t="str">
            <v>甘源 好味到家礼盒 825g</v>
          </cell>
          <cell r="L853" t="str">
            <v>825g</v>
          </cell>
          <cell r="M853" t="str">
            <v>盒</v>
          </cell>
          <cell r="N853">
            <v>65.25</v>
          </cell>
          <cell r="O853">
            <v>129</v>
          </cell>
          <cell r="P853">
            <v>0.48922480620155001</v>
          </cell>
        </row>
        <row r="854">
          <cell r="F854" t="str">
            <v>70574858</v>
          </cell>
          <cell r="G854" t="str">
            <v>甘源</v>
          </cell>
          <cell r="H854" t="str">
            <v>甘源</v>
          </cell>
          <cell r="I854" t="str">
            <v>零食</v>
          </cell>
          <cell r="J854" t="str">
            <v>礼盒</v>
          </cell>
          <cell r="K854" t="str">
            <v>甘源 好味到家礼盒 1050g</v>
          </cell>
          <cell r="L854" t="str">
            <v>1050g</v>
          </cell>
          <cell r="M854" t="str">
            <v>盒</v>
          </cell>
          <cell r="N854">
            <v>94.99</v>
          </cell>
          <cell r="O854">
            <v>169</v>
          </cell>
          <cell r="P854">
            <v>0.43236686390532503</v>
          </cell>
        </row>
        <row r="855">
          <cell r="F855" t="str">
            <v>70558962</v>
          </cell>
          <cell r="G855" t="str">
            <v>甘源</v>
          </cell>
          <cell r="H855" t="str">
            <v>甘源</v>
          </cell>
          <cell r="I855" t="str">
            <v>零食</v>
          </cell>
          <cell r="J855" t="str">
            <v>礼盒</v>
          </cell>
          <cell r="K855" t="str">
            <v>甘源 好味到家礼盒 1200g</v>
          </cell>
          <cell r="L855" t="str">
            <v>1200g</v>
          </cell>
          <cell r="M855" t="str">
            <v>盒</v>
          </cell>
          <cell r="N855">
            <v>127.61</v>
          </cell>
          <cell r="O855">
            <v>239</v>
          </cell>
          <cell r="P855">
            <v>0.46075313807531398</v>
          </cell>
        </row>
        <row r="856">
          <cell r="F856" t="str">
            <v>70574884</v>
          </cell>
          <cell r="G856" t="str">
            <v>甘源</v>
          </cell>
          <cell r="H856" t="str">
            <v>甘源</v>
          </cell>
          <cell r="I856" t="str">
            <v>零食</v>
          </cell>
          <cell r="J856" t="str">
            <v>膨化食品</v>
          </cell>
          <cell r="K856" t="str">
            <v>甘源 海盐黑胡椒味鲜切薯条 120g</v>
          </cell>
          <cell r="L856" t="str">
            <v>120g</v>
          </cell>
          <cell r="M856" t="str">
            <v>袋</v>
          </cell>
          <cell r="N856">
            <v>8.16</v>
          </cell>
          <cell r="O856">
            <v>13</v>
          </cell>
          <cell r="P856">
            <v>0.366153846153846</v>
          </cell>
        </row>
        <row r="857">
          <cell r="F857" t="str">
            <v>70574883</v>
          </cell>
          <cell r="G857" t="str">
            <v>甘源</v>
          </cell>
          <cell r="H857" t="str">
            <v>甘源</v>
          </cell>
          <cell r="I857" t="str">
            <v>零食</v>
          </cell>
          <cell r="J857" t="str">
            <v>膨化食品</v>
          </cell>
          <cell r="K857" t="str">
            <v>甘源 蜂蜜黄油味鲜切薯条 120g</v>
          </cell>
          <cell r="L857" t="str">
            <v>120g</v>
          </cell>
          <cell r="M857" t="str">
            <v>袋</v>
          </cell>
          <cell r="N857">
            <v>8.16</v>
          </cell>
          <cell r="O857">
            <v>13</v>
          </cell>
          <cell r="P857">
            <v>0.366153846153846</v>
          </cell>
        </row>
        <row r="858">
          <cell r="F858" t="str">
            <v>70000792</v>
          </cell>
          <cell r="G858" t="str">
            <v>玛氏箭牌</v>
          </cell>
          <cell r="H858" t="str">
            <v>益达</v>
          </cell>
          <cell r="I858" t="str">
            <v>糖果</v>
          </cell>
          <cell r="J858" t="str">
            <v>口香糖</v>
          </cell>
          <cell r="K858" t="str">
            <v>箭牌 益达 木糖醇清爽草莓40粒(1*6*6)</v>
          </cell>
          <cell r="L858" t="str">
            <v>56g</v>
          </cell>
          <cell r="M858" t="str">
            <v>听</v>
          </cell>
          <cell r="N858">
            <v>9.9700000000000006</v>
          </cell>
          <cell r="O858">
            <v>13.8</v>
          </cell>
          <cell r="P858">
            <v>0.270289855072464</v>
          </cell>
        </row>
        <row r="859">
          <cell r="F859" t="str">
            <v>70000159</v>
          </cell>
          <cell r="G859" t="str">
            <v>玛氏箭牌</v>
          </cell>
          <cell r="H859" t="str">
            <v>益达</v>
          </cell>
          <cell r="I859" t="str">
            <v>糖果</v>
          </cell>
          <cell r="J859" t="str">
            <v>口香糖</v>
          </cell>
          <cell r="K859" t="str">
            <v>箭牌 益达 木糖醇香浓蜜瓜40粒(1*6*6)</v>
          </cell>
          <cell r="L859" t="str">
            <v>56g</v>
          </cell>
          <cell r="M859" t="str">
            <v>瓶</v>
          </cell>
          <cell r="N859">
            <v>9.9700000000000006</v>
          </cell>
          <cell r="O859">
            <v>13.8</v>
          </cell>
          <cell r="P859">
            <v>0.270289855072464</v>
          </cell>
        </row>
        <row r="860">
          <cell r="F860" t="str">
            <v>70044486</v>
          </cell>
          <cell r="G860" t="str">
            <v>玛氏箭牌</v>
          </cell>
          <cell r="H860" t="str">
            <v>德芙</v>
          </cell>
          <cell r="I860" t="str">
            <v>糖果</v>
          </cell>
          <cell r="J860" t="str">
            <v>巧克力</v>
          </cell>
          <cell r="K860" t="str">
            <v>箭牌 德芙 香浓黑巧克力(1*10*12)</v>
          </cell>
          <cell r="L860" t="str">
            <v>43g</v>
          </cell>
          <cell r="M860" t="str">
            <v>个</v>
          </cell>
          <cell r="N860">
            <v>6.81</v>
          </cell>
          <cell r="O860">
            <v>9.5</v>
          </cell>
          <cell r="P860">
            <v>0.276842105263158</v>
          </cell>
        </row>
        <row r="861">
          <cell r="F861" t="str">
            <v>70131794</v>
          </cell>
          <cell r="G861" t="str">
            <v>玛氏箭牌</v>
          </cell>
          <cell r="H861" t="str">
            <v>M&amp;M’s</v>
          </cell>
          <cell r="I861" t="str">
            <v>糖果</v>
          </cell>
          <cell r="J861" t="str">
            <v>巧克力</v>
          </cell>
          <cell r="K861" t="str">
            <v>箭牌  M&amp;M’s 牛奶巧克力豆100克瓶装(1*8*8)</v>
          </cell>
          <cell r="L861" t="str">
            <v>100g</v>
          </cell>
          <cell r="M861" t="str">
            <v>个</v>
          </cell>
          <cell r="N861">
            <v>13.74</v>
          </cell>
          <cell r="O861">
            <v>20</v>
          </cell>
          <cell r="P861">
            <v>0.30649999999999999</v>
          </cell>
        </row>
        <row r="862">
          <cell r="F862" t="str">
            <v>70325263</v>
          </cell>
          <cell r="G862" t="str">
            <v>玛氏箭牌</v>
          </cell>
          <cell r="H862" t="str">
            <v>绿箭</v>
          </cell>
          <cell r="I862" t="str">
            <v>糖果</v>
          </cell>
          <cell r="J862" t="str">
            <v>口香糖</v>
          </cell>
          <cell r="K862" t="str">
            <v>箭牌 绿箭 口香糖(1*60*20) 13.5g</v>
          </cell>
          <cell r="L862" t="str">
            <v>13.5g</v>
          </cell>
          <cell r="M862" t="str">
            <v>个</v>
          </cell>
          <cell r="N862">
            <v>1.64</v>
          </cell>
          <cell r="O862">
            <v>2.5</v>
          </cell>
          <cell r="P862">
            <v>0.34</v>
          </cell>
        </row>
        <row r="863">
          <cell r="F863" t="str">
            <v>70025269</v>
          </cell>
          <cell r="G863" t="str">
            <v>玛氏箭牌</v>
          </cell>
          <cell r="H863" t="str">
            <v>绿箭</v>
          </cell>
          <cell r="I863" t="str">
            <v>糖果</v>
          </cell>
          <cell r="J863" t="str">
            <v>硬糖</v>
          </cell>
          <cell r="K863" t="str">
            <v>绿箭薄荷糖原味薄荷35粒铁盒装 23.8g</v>
          </cell>
          <cell r="L863" t="str">
            <v>23.8g</v>
          </cell>
          <cell r="M863" t="str">
            <v>盒</v>
          </cell>
          <cell r="N863">
            <v>6.86</v>
          </cell>
          <cell r="O863">
            <v>10</v>
          </cell>
          <cell r="P863">
            <v>0.307</v>
          </cell>
        </row>
        <row r="864">
          <cell r="F864" t="str">
            <v>70038307</v>
          </cell>
          <cell r="G864" t="str">
            <v>玛氏箭牌</v>
          </cell>
          <cell r="H864" t="str">
            <v>士力架</v>
          </cell>
          <cell r="I864" t="str">
            <v>糖果</v>
          </cell>
          <cell r="J864" t="str">
            <v>巧克力</v>
          </cell>
          <cell r="K864" t="str">
            <v>士力架原味 460g 1*12</v>
          </cell>
          <cell r="L864" t="str">
            <v>460g</v>
          </cell>
          <cell r="M864" t="str">
            <v>个</v>
          </cell>
          <cell r="N864">
            <v>34.340000000000003</v>
          </cell>
          <cell r="O864">
            <v>49</v>
          </cell>
          <cell r="P864">
            <v>0.29224489795918401</v>
          </cell>
        </row>
        <row r="865">
          <cell r="F865" t="str">
            <v>70236403</v>
          </cell>
          <cell r="G865" t="str">
            <v>玛氏箭牌</v>
          </cell>
          <cell r="H865" t="str">
            <v>德芙</v>
          </cell>
          <cell r="I865" t="str">
            <v>糖果</v>
          </cell>
          <cell r="J865" t="str">
            <v>巧克力</v>
          </cell>
          <cell r="K865" t="str">
            <v>德芙牛奶碗装252g 1x24_new</v>
          </cell>
          <cell r="L865" t="str">
            <v>252g</v>
          </cell>
          <cell r="M865" t="str">
            <v>盒</v>
          </cell>
          <cell r="N865">
            <v>34.340000000000003</v>
          </cell>
          <cell r="O865">
            <v>49</v>
          </cell>
          <cell r="P865">
            <v>0.29224489795918401</v>
          </cell>
        </row>
        <row r="866">
          <cell r="F866" t="str">
            <v>70269631</v>
          </cell>
          <cell r="G866" t="str">
            <v>玛氏箭牌</v>
          </cell>
          <cell r="H866" t="str">
            <v>德芙</v>
          </cell>
          <cell r="I866" t="str">
            <v>糖果</v>
          </cell>
          <cell r="J866" t="str">
            <v>巧克力</v>
          </cell>
          <cell r="K866" t="str">
            <v>德芙 春节分享装牛奶 588g</v>
          </cell>
          <cell r="L866" t="str">
            <v>588g</v>
          </cell>
          <cell r="M866" t="str">
            <v>盒</v>
          </cell>
          <cell r="N866">
            <v>74.739999999999995</v>
          </cell>
          <cell r="O866">
            <v>88</v>
          </cell>
          <cell r="P866">
            <v>0.142272727272727</v>
          </cell>
        </row>
        <row r="867">
          <cell r="F867" t="str">
            <v>70510630</v>
          </cell>
          <cell r="G867" t="str">
            <v>玛氏箭牌</v>
          </cell>
          <cell r="H867" t="str">
            <v>彩虹糖</v>
          </cell>
          <cell r="I867" t="str">
            <v>糖果</v>
          </cell>
          <cell r="J867" t="str">
            <v>软糖</v>
          </cell>
          <cell r="K867" t="str">
            <v>彩虹糖袋装 45g</v>
          </cell>
          <cell r="L867" t="str">
            <v>4.5g</v>
          </cell>
          <cell r="M867" t="str">
            <v>袋</v>
          </cell>
          <cell r="N867">
            <v>3.43</v>
          </cell>
          <cell r="O867">
            <v>5</v>
          </cell>
          <cell r="P867">
            <v>0.30599999999999999</v>
          </cell>
        </row>
        <row r="868">
          <cell r="F868" t="str">
            <v>70206421</v>
          </cell>
          <cell r="G868" t="str">
            <v>玛氏箭牌</v>
          </cell>
          <cell r="H868" t="str">
            <v>真知棒</v>
          </cell>
          <cell r="I868" t="str">
            <v>糖果</v>
          </cell>
          <cell r="J868" t="str">
            <v>硬糖</v>
          </cell>
          <cell r="K868" t="str">
            <v>真知棒什锦水果味108支常规装(4种口味)</v>
          </cell>
          <cell r="L868" t="str">
            <v>972G</v>
          </cell>
          <cell r="M868" t="str">
            <v>罐</v>
          </cell>
          <cell r="N868">
            <v>0.3</v>
          </cell>
          <cell r="O868">
            <v>0.5</v>
          </cell>
          <cell r="P868">
            <v>0.38</v>
          </cell>
        </row>
        <row r="869">
          <cell r="F869" t="str">
            <v>70471279</v>
          </cell>
          <cell r="G869" t="str">
            <v>玛氏箭牌</v>
          </cell>
          <cell r="H869" t="str">
            <v>益达</v>
          </cell>
          <cell r="I869" t="str">
            <v>糖果</v>
          </cell>
          <cell r="J869" t="str">
            <v>口香糖</v>
          </cell>
          <cell r="K869" t="str">
            <v>益达清爽西瓜20片装 54g</v>
          </cell>
          <cell r="L869" t="str">
            <v>54g</v>
          </cell>
          <cell r="M869" t="str">
            <v>盒</v>
          </cell>
          <cell r="N869">
            <v>7.07</v>
          </cell>
          <cell r="O869">
            <v>10</v>
          </cell>
          <cell r="P869">
            <v>0.28599999999999998</v>
          </cell>
        </row>
        <row r="870">
          <cell r="F870" t="str">
            <v>70471280</v>
          </cell>
          <cell r="G870" t="str">
            <v>玛氏箭牌</v>
          </cell>
          <cell r="H870" t="str">
            <v>益达</v>
          </cell>
          <cell r="I870" t="str">
            <v>糖果</v>
          </cell>
          <cell r="J870" t="str">
            <v>口香糖</v>
          </cell>
          <cell r="K870" t="str">
            <v>益达清爽草莓20片装 54g</v>
          </cell>
          <cell r="L870" t="str">
            <v>54g</v>
          </cell>
          <cell r="M870" t="str">
            <v>盒</v>
          </cell>
          <cell r="N870">
            <v>7.07</v>
          </cell>
          <cell r="O870">
            <v>10</v>
          </cell>
          <cell r="P870">
            <v>0.28599999999999998</v>
          </cell>
        </row>
        <row r="871">
          <cell r="F871" t="str">
            <v>70044487</v>
          </cell>
          <cell r="G871" t="str">
            <v>玛氏箭牌</v>
          </cell>
          <cell r="H871" t="str">
            <v>德芙</v>
          </cell>
          <cell r="I871" t="str">
            <v>糖果</v>
          </cell>
          <cell r="J871" t="str">
            <v>巧克力</v>
          </cell>
          <cell r="K871" t="str">
            <v>德芙榛仁巧克力 43克</v>
          </cell>
          <cell r="L871" t="str">
            <v>43g</v>
          </cell>
          <cell r="M871" t="str">
            <v>个</v>
          </cell>
          <cell r="N871">
            <v>7.12</v>
          </cell>
          <cell r="O871">
            <v>9.5</v>
          </cell>
          <cell r="P871">
            <v>0.24315789473684199</v>
          </cell>
        </row>
        <row r="872">
          <cell r="F872" t="str">
            <v>70273972</v>
          </cell>
          <cell r="G872" t="str">
            <v>洁柔</v>
          </cell>
          <cell r="H872" t="str">
            <v>洁柔</v>
          </cell>
          <cell r="I872" t="str">
            <v>个人护理用品</v>
          </cell>
          <cell r="J872" t="str">
            <v>纸类用品</v>
          </cell>
          <cell r="K872" t="str">
            <v>洁柔 BR070-03Face天然无香130抽抽取式纸面巾(整提装)16提/件</v>
          </cell>
          <cell r="L872" t="str">
            <v>100抽*4层/包</v>
          </cell>
          <cell r="M872" t="str">
            <v>袋</v>
          </cell>
          <cell r="N872">
            <v>9.09</v>
          </cell>
          <cell r="O872">
            <v>15</v>
          </cell>
          <cell r="P872">
            <v>0.38800000000000001</v>
          </cell>
        </row>
        <row r="873">
          <cell r="F873" t="str">
            <v>70273971</v>
          </cell>
          <cell r="G873" t="str">
            <v>洁柔</v>
          </cell>
          <cell r="H873" t="str">
            <v>洁柔</v>
          </cell>
          <cell r="I873" t="str">
            <v>个人护理用品</v>
          </cell>
          <cell r="J873" t="str">
            <v>纸类用品</v>
          </cell>
          <cell r="K873" t="str">
            <v>洁柔 BR070-03Face天然无香130抽抽取式纸面巾(单包装) 48包/件</v>
          </cell>
          <cell r="L873" t="str">
            <v>100抽*4层/包</v>
          </cell>
          <cell r="M873" t="str">
            <v>袋</v>
          </cell>
          <cell r="N873">
            <v>3.23</v>
          </cell>
          <cell r="O873">
            <v>5</v>
          </cell>
          <cell r="P873">
            <v>0.34799999999999998</v>
          </cell>
        </row>
        <row r="874">
          <cell r="F874" t="str">
            <v>70390014</v>
          </cell>
          <cell r="G874" t="str">
            <v>洁柔</v>
          </cell>
          <cell r="H874" t="str">
            <v>朵蕾蜜</v>
          </cell>
          <cell r="I874" t="str">
            <v>个人护理用品</v>
          </cell>
          <cell r="J874" t="str">
            <v>纸类用品</v>
          </cell>
          <cell r="K874" t="str">
            <v>朵蕾蜜 DJ24T05酷爱少女240透感薄卫生巾5片</v>
          </cell>
          <cell r="L874" t="str">
            <v>48包/件</v>
          </cell>
          <cell r="M874" t="str">
            <v>个</v>
          </cell>
          <cell r="N874">
            <v>4.91</v>
          </cell>
          <cell r="O874">
            <v>10</v>
          </cell>
          <cell r="P874">
            <v>0.504</v>
          </cell>
        </row>
        <row r="875">
          <cell r="F875" t="str">
            <v>70401741</v>
          </cell>
          <cell r="G875" t="str">
            <v>洁柔</v>
          </cell>
          <cell r="H875" t="str">
            <v>朵蕾蜜</v>
          </cell>
          <cell r="I875" t="str">
            <v>个人护理用品</v>
          </cell>
          <cell r="J875" t="str">
            <v>纸类用品</v>
          </cell>
          <cell r="K875" t="str">
            <v>朵蕾蜜 DJ42E04天鹅奢绒420量多夜用卫生巾 (4片装）</v>
          </cell>
          <cell r="L875" t="str">
            <v>4片装</v>
          </cell>
          <cell r="M875" t="str">
            <v>包</v>
          </cell>
          <cell r="N875">
            <v>7.09</v>
          </cell>
          <cell r="O875">
            <v>13</v>
          </cell>
          <cell r="P875">
            <v>0.44923076923076899</v>
          </cell>
        </row>
        <row r="876">
          <cell r="F876" t="str">
            <v>70381814</v>
          </cell>
          <cell r="G876" t="str">
            <v>洁柔</v>
          </cell>
          <cell r="H876" t="str">
            <v>洁柔</v>
          </cell>
          <cell r="I876" t="str">
            <v>个人护理用品</v>
          </cell>
          <cell r="J876" t="str">
            <v>纸类用品</v>
          </cell>
          <cell r="K876" t="str">
            <v>洁柔 DKmLY02 朵蕾蜜梦幻少女纯棉超薄裤型卫生巾M-L码2片</v>
          </cell>
          <cell r="L876" t="str">
            <v>24包/件</v>
          </cell>
          <cell r="M876" t="str">
            <v>包</v>
          </cell>
          <cell r="N876">
            <v>8.3800000000000008</v>
          </cell>
          <cell r="O876">
            <v>15</v>
          </cell>
          <cell r="P876">
            <v>0.43533333333333302</v>
          </cell>
        </row>
        <row r="877">
          <cell r="F877" t="str">
            <v>70280600</v>
          </cell>
          <cell r="G877" t="str">
            <v>洁柔</v>
          </cell>
          <cell r="H877" t="str">
            <v>洁柔</v>
          </cell>
          <cell r="I877" t="str">
            <v>个人护理用品</v>
          </cell>
          <cell r="J877" t="str">
            <v>纸类用品</v>
          </cell>
          <cell r="K877" t="str">
            <v>洁柔 JR089-03A 130抽抽取式面巾整提装</v>
          </cell>
          <cell r="L877" t="str">
            <v>3包/提；16提/件</v>
          </cell>
          <cell r="M877" t="str">
            <v>个</v>
          </cell>
          <cell r="N877">
            <v>8.33</v>
          </cell>
          <cell r="O877">
            <v>15</v>
          </cell>
          <cell r="P877">
            <v>0.43866666666666698</v>
          </cell>
        </row>
        <row r="878">
          <cell r="F878" t="str">
            <v>70381811</v>
          </cell>
          <cell r="G878" t="str">
            <v>洁柔</v>
          </cell>
          <cell r="H878" t="str">
            <v>洁柔</v>
          </cell>
          <cell r="I878" t="str">
            <v>个人护理用品</v>
          </cell>
          <cell r="J878" t="str">
            <v>纸类用品</v>
          </cell>
          <cell r="K878" t="str">
            <v>洁柔 JR089-03A130抽抽取式面巾单包装</v>
          </cell>
          <cell r="L878" t="str">
            <v>48包/件</v>
          </cell>
          <cell r="M878" t="str">
            <v>包</v>
          </cell>
          <cell r="N878">
            <v>2.78</v>
          </cell>
          <cell r="O878">
            <v>5</v>
          </cell>
          <cell r="P878">
            <v>0.438</v>
          </cell>
        </row>
        <row r="879">
          <cell r="F879" t="str">
            <v>70272799</v>
          </cell>
          <cell r="G879" t="str">
            <v>洁柔</v>
          </cell>
          <cell r="H879" t="str">
            <v>洁柔</v>
          </cell>
          <cell r="I879" t="str">
            <v>个人护理用品</v>
          </cell>
          <cell r="J879" t="str">
            <v>纸类用品</v>
          </cell>
          <cell r="K879" t="str">
            <v>洁柔 JS006-10卫生湿巾(10片装)独立装 60袋/件</v>
          </cell>
          <cell r="L879" t="str">
            <v>10片/袋</v>
          </cell>
          <cell r="M879" t="str">
            <v>包</v>
          </cell>
          <cell r="N879">
            <v>2.98</v>
          </cell>
          <cell r="O879">
            <v>5</v>
          </cell>
          <cell r="P879">
            <v>0.39800000000000002</v>
          </cell>
        </row>
        <row r="880">
          <cell r="F880" t="str">
            <v>70381810</v>
          </cell>
          <cell r="G880" t="str">
            <v>洁柔</v>
          </cell>
          <cell r="H880" t="str">
            <v>洁柔</v>
          </cell>
          <cell r="I880" t="str">
            <v>个人护理用品</v>
          </cell>
          <cell r="J880" t="str">
            <v>纸类用品</v>
          </cell>
          <cell r="K880" t="str">
            <v>洁柔  PR078-06NFACE天然无香120抽抽取式纸面巾 （整提装）12提/件</v>
          </cell>
          <cell r="L880" t="str">
            <v>120抽*3层/包</v>
          </cell>
          <cell r="M880" t="str">
            <v>包</v>
          </cell>
          <cell r="N880">
            <v>18.18</v>
          </cell>
          <cell r="O880">
            <v>30</v>
          </cell>
          <cell r="P880">
            <v>0.38800000000000001</v>
          </cell>
        </row>
        <row r="881">
          <cell r="F881" t="str">
            <v>70282079</v>
          </cell>
          <cell r="G881" t="str">
            <v>洁柔</v>
          </cell>
          <cell r="H881" t="str">
            <v>洁柔</v>
          </cell>
          <cell r="I881" t="str">
            <v>个人护理用品</v>
          </cell>
          <cell r="J881" t="str">
            <v>纸类用品</v>
          </cell>
          <cell r="K881" t="str">
            <v>洁柔 PR078-06NFACE天然无香120抽抽取式纸面巾（单包装） 72包/件</v>
          </cell>
          <cell r="L881" t="str">
            <v>120抽*3层/包</v>
          </cell>
          <cell r="M881" t="str">
            <v>包</v>
          </cell>
          <cell r="N881">
            <v>3.03</v>
          </cell>
          <cell r="O881">
            <v>5</v>
          </cell>
          <cell r="P881">
            <v>0.38800000000000001</v>
          </cell>
        </row>
        <row r="882">
          <cell r="F882" t="str">
            <v>70275441</v>
          </cell>
          <cell r="G882" t="str">
            <v>洁柔</v>
          </cell>
          <cell r="H882" t="str">
            <v>洁柔</v>
          </cell>
          <cell r="I882" t="str">
            <v>个人护理用品</v>
          </cell>
          <cell r="J882" t="str">
            <v>纸类用品</v>
          </cell>
          <cell r="K882" t="str">
            <v>洁柔 PW003-10卫生纸70g(Face立体压花无芯)(10卷装)</v>
          </cell>
          <cell r="L882" t="str">
            <v>10提/件</v>
          </cell>
          <cell r="M882" t="str">
            <v>包</v>
          </cell>
          <cell r="N882">
            <v>10</v>
          </cell>
          <cell r="O882">
            <v>18.5</v>
          </cell>
          <cell r="P882">
            <v>0.45405405405405402</v>
          </cell>
        </row>
        <row r="883">
          <cell r="F883" t="str">
            <v>70209138</v>
          </cell>
          <cell r="G883" t="str">
            <v>洁柔</v>
          </cell>
          <cell r="H883" t="str">
            <v>洁柔</v>
          </cell>
          <cell r="I883" t="str">
            <v>个人护理用品</v>
          </cell>
          <cell r="J883" t="str">
            <v>抽纸</v>
          </cell>
          <cell r="K883" t="str">
            <v>洁柔 纸面巾(Face粉4层软抽)116抽 (3包装)</v>
          </cell>
          <cell r="L883" t="str">
            <v>3*16=48包/箱</v>
          </cell>
          <cell r="M883" t="str">
            <v>包</v>
          </cell>
          <cell r="N883">
            <v>9.92</v>
          </cell>
          <cell r="O883">
            <v>18.5</v>
          </cell>
          <cell r="P883">
            <v>0.45837837837837803</v>
          </cell>
        </row>
        <row r="884">
          <cell r="F884" t="str">
            <v>70401738</v>
          </cell>
          <cell r="G884" t="str">
            <v>洁柔</v>
          </cell>
          <cell r="H884" t="str">
            <v>朵蕾蜜</v>
          </cell>
          <cell r="I884" t="str">
            <v>个人护理用品</v>
          </cell>
          <cell r="J884" t="str">
            <v>卫生用品</v>
          </cell>
          <cell r="K884" t="str">
            <v>洁柔 朵蕾蜜天鹅奢绒250日用卫生巾 (8片装)</v>
          </cell>
          <cell r="L884" t="str">
            <v>1*24=24包/箱</v>
          </cell>
          <cell r="M884" t="str">
            <v>包</v>
          </cell>
          <cell r="N884">
            <v>10.1</v>
          </cell>
          <cell r="O884">
            <v>25</v>
          </cell>
          <cell r="P884">
            <v>0.59199999999999997</v>
          </cell>
        </row>
        <row r="885">
          <cell r="F885" t="str">
            <v>70574847</v>
          </cell>
          <cell r="G885" t="str">
            <v>洁柔</v>
          </cell>
          <cell r="H885" t="str">
            <v>朵蕾蜜</v>
          </cell>
          <cell r="I885" t="str">
            <v>个人护理用品</v>
          </cell>
          <cell r="J885" t="str">
            <v>卫生用品</v>
          </cell>
          <cell r="K885" t="str">
            <v>洁柔 朵蕾蜜猫ning日贴女性卫生裤M-L码 (4片装)</v>
          </cell>
          <cell r="L885" t="str">
            <v>1*36=36包/箱</v>
          </cell>
          <cell r="M885" t="str">
            <v>包</v>
          </cell>
          <cell r="N885">
            <v>9.09</v>
          </cell>
          <cell r="O885">
            <v>18</v>
          </cell>
          <cell r="P885">
            <v>0.49</v>
          </cell>
        </row>
        <row r="886">
          <cell r="F886" t="str">
            <v>70574261</v>
          </cell>
          <cell r="G886" t="str">
            <v>洁柔</v>
          </cell>
          <cell r="H886" t="str">
            <v>洁柔</v>
          </cell>
          <cell r="I886" t="str">
            <v>个人护理用品</v>
          </cell>
          <cell r="J886" t="str">
            <v>卫生纸</v>
          </cell>
          <cell r="K886" t="str">
            <v>洁柔 卫生纸(立体压花抽取式厕纸)80抽4层 (3包装)</v>
          </cell>
          <cell r="L886" t="str">
            <v>3*16=48包/箱</v>
          </cell>
          <cell r="M886" t="str">
            <v>包</v>
          </cell>
          <cell r="N886">
            <v>8.08</v>
          </cell>
          <cell r="O886">
            <v>15</v>
          </cell>
          <cell r="P886">
            <v>0.45600000000000002</v>
          </cell>
        </row>
        <row r="887">
          <cell r="F887" t="str">
            <v>70312885</v>
          </cell>
          <cell r="G887" t="str">
            <v>洁柔</v>
          </cell>
          <cell r="H887" t="str">
            <v>洁柔</v>
          </cell>
          <cell r="I887" t="str">
            <v>个人护理用品</v>
          </cell>
          <cell r="J887" t="str">
            <v>卫生纸</v>
          </cell>
          <cell r="K887" t="str">
            <v>洁柔 卫生纸135g(Face有芯×小鹦鹉BEBE) (12卷装)</v>
          </cell>
          <cell r="L887" t="str">
            <v>12*6=72卷/袋</v>
          </cell>
          <cell r="M887" t="str">
            <v>包</v>
          </cell>
          <cell r="N887">
            <v>19.190000000000001</v>
          </cell>
          <cell r="O887">
            <v>35</v>
          </cell>
          <cell r="P887">
            <v>0.44628571428571401</v>
          </cell>
        </row>
        <row r="888">
          <cell r="F888" t="str">
            <v>70520538</v>
          </cell>
          <cell r="G888" t="str">
            <v>洁柔</v>
          </cell>
          <cell r="H888" t="str">
            <v>洁柔</v>
          </cell>
          <cell r="I888" t="str">
            <v>个人护理用品</v>
          </cell>
          <cell r="J888" t="str">
            <v>卫生纸</v>
          </cell>
          <cell r="K888" t="str">
            <v>洁柔 卫生纸140g(Face有芯) (10卷装)</v>
          </cell>
          <cell r="L888" t="str">
            <v>10*6=60卷/袋</v>
          </cell>
          <cell r="M888" t="str">
            <v>包</v>
          </cell>
          <cell r="N888">
            <v>18.18</v>
          </cell>
          <cell r="O888">
            <v>35</v>
          </cell>
          <cell r="P888">
            <v>0.47542857142857098</v>
          </cell>
        </row>
        <row r="889">
          <cell r="F889" t="str">
            <v>70574851</v>
          </cell>
          <cell r="G889" t="str">
            <v>洁柔</v>
          </cell>
          <cell r="H889" t="str">
            <v>洁柔</v>
          </cell>
          <cell r="I889" t="str">
            <v>个人护理用品</v>
          </cell>
          <cell r="J889" t="str">
            <v>抽纸</v>
          </cell>
          <cell r="K889" t="str">
            <v>洁柔 纸面巾(Face粉软抽)110抽3层 (18包装)</v>
          </cell>
          <cell r="L889" t="str">
            <v>18*4=72包/箱</v>
          </cell>
          <cell r="M889" t="str">
            <v>包</v>
          </cell>
          <cell r="N889">
            <v>32.83</v>
          </cell>
          <cell r="O889">
            <v>59</v>
          </cell>
          <cell r="P889">
            <v>0.43813559322033901</v>
          </cell>
        </row>
        <row r="890">
          <cell r="F890" t="str">
            <v>75000482</v>
          </cell>
          <cell r="G890" t="str">
            <v>洁柔</v>
          </cell>
          <cell r="H890" t="str">
            <v>洁柔</v>
          </cell>
          <cell r="I890" t="str">
            <v>个人护理用品</v>
          </cell>
          <cell r="J890" t="str">
            <v>抽纸</v>
          </cell>
          <cell r="K890" t="str">
            <v>洁柔 纸面巾(Face粉小方巾)28抽3层 (10包装)</v>
          </cell>
          <cell r="L890" t="str">
            <v>10*12=120包/箱</v>
          </cell>
          <cell r="M890" t="str">
            <v>包</v>
          </cell>
          <cell r="N890">
            <v>9.09</v>
          </cell>
          <cell r="O890">
            <v>20</v>
          </cell>
          <cell r="P890">
            <v>0.54100000000000004</v>
          </cell>
        </row>
        <row r="891">
          <cell r="F891" t="str">
            <v>70151684</v>
          </cell>
          <cell r="G891" t="str">
            <v>洁柔</v>
          </cell>
          <cell r="H891" t="str">
            <v>洁柔</v>
          </cell>
          <cell r="I891" t="str">
            <v>日用品</v>
          </cell>
          <cell r="J891" t="str">
            <v>纺织品</v>
          </cell>
          <cell r="K891" t="str">
            <v>洁柔 面子牌便携绵柔毛巾 (1条装)</v>
          </cell>
          <cell r="L891" t="str">
            <v>1个</v>
          </cell>
          <cell r="M891" t="str">
            <v>包</v>
          </cell>
          <cell r="N891">
            <v>2.5299999999999998</v>
          </cell>
          <cell r="O891">
            <v>6</v>
          </cell>
          <cell r="P891">
            <v>0.57499999999999996</v>
          </cell>
        </row>
        <row r="892">
          <cell r="F892" t="str">
            <v>70574876</v>
          </cell>
          <cell r="G892" t="str">
            <v>洁柔</v>
          </cell>
          <cell r="H892" t="str">
            <v>洁柔</v>
          </cell>
          <cell r="I892" t="str">
            <v>日用品</v>
          </cell>
          <cell r="J892" t="str">
            <v>纺织品</v>
          </cell>
          <cell r="K892" t="str">
            <v>洁柔 面子牌便携绵柔浴巾 (1条/包)</v>
          </cell>
          <cell r="L892" t="str">
            <v>1个</v>
          </cell>
          <cell r="M892" t="str">
            <v>袋</v>
          </cell>
          <cell r="N892">
            <v>4.75</v>
          </cell>
          <cell r="O892">
            <v>10</v>
          </cell>
          <cell r="P892">
            <v>0.52100000000000002</v>
          </cell>
        </row>
        <row r="893">
          <cell r="F893" t="str">
            <v>70574260</v>
          </cell>
          <cell r="G893" t="str">
            <v>洁柔</v>
          </cell>
          <cell r="H893" t="str">
            <v>洁柔</v>
          </cell>
          <cell r="I893" t="str">
            <v>个人护理用品</v>
          </cell>
          <cell r="J893" t="str">
            <v>抽纸</v>
          </cell>
          <cell r="K893" t="str">
            <v>洁柔 缤纷致爱箱 1箱</v>
          </cell>
          <cell r="L893" t="str">
            <v>1*1=1箱</v>
          </cell>
          <cell r="M893" t="str">
            <v>箱</v>
          </cell>
          <cell r="N893">
            <v>64.64</v>
          </cell>
          <cell r="O893">
            <v>99</v>
          </cell>
          <cell r="P893">
            <v>0.34060606060606102</v>
          </cell>
        </row>
        <row r="894">
          <cell r="F894" t="str">
            <v>70574852</v>
          </cell>
          <cell r="G894" t="str">
            <v>洁柔</v>
          </cell>
          <cell r="H894" t="str">
            <v>洁柔</v>
          </cell>
          <cell r="I894" t="str">
            <v>个人护理用品</v>
          </cell>
          <cell r="J894" t="str">
            <v>抽纸</v>
          </cell>
          <cell r="K894" t="str">
            <v>洁柔 暖心陪伴箱 1箱</v>
          </cell>
          <cell r="L894" t="str">
            <v>1*1=1箱</v>
          </cell>
          <cell r="M894" t="str">
            <v>箱</v>
          </cell>
          <cell r="N894">
            <v>39.39</v>
          </cell>
          <cell r="O894">
            <v>69</v>
          </cell>
          <cell r="P894">
            <v>0.42347826086956503</v>
          </cell>
        </row>
        <row r="895">
          <cell r="F895" t="str">
            <v>70275438</v>
          </cell>
          <cell r="G895" t="str">
            <v>洁柔</v>
          </cell>
          <cell r="H895" t="str">
            <v>洁柔牌</v>
          </cell>
          <cell r="I895" t="str">
            <v>个人护理用品</v>
          </cell>
          <cell r="J895" t="str">
            <v>纸类用品</v>
          </cell>
          <cell r="K895" t="str">
            <v>洁柔牌 BJ173-10 Face200克卷纸卫生纸(10卷装) 6提/件</v>
          </cell>
          <cell r="L895" t="str">
            <v>200克/卷 10卷/提</v>
          </cell>
          <cell r="M895" t="str">
            <v>包</v>
          </cell>
          <cell r="N895">
            <v>28.28</v>
          </cell>
          <cell r="O895">
            <v>45</v>
          </cell>
          <cell r="P895">
            <v>0.36533333333333301</v>
          </cell>
        </row>
        <row r="896">
          <cell r="F896" t="str">
            <v>70273980</v>
          </cell>
          <cell r="G896" t="str">
            <v>洁柔</v>
          </cell>
          <cell r="H896" t="str">
            <v>洁柔牌</v>
          </cell>
          <cell r="I896" t="str">
            <v>个人护理用品</v>
          </cell>
          <cell r="J896" t="str">
            <v>纸类用品</v>
          </cell>
          <cell r="K896" t="str">
            <v>洁柔牌 JJ174-01FACE无芯卷纸卫生纸5提/件</v>
          </cell>
          <cell r="L896" t="str">
            <v>5提/件</v>
          </cell>
          <cell r="M896" t="str">
            <v>袋</v>
          </cell>
          <cell r="N896">
            <v>22.22</v>
          </cell>
          <cell r="O896">
            <v>38</v>
          </cell>
          <cell r="P896">
            <v>0.40947368421052599</v>
          </cell>
        </row>
        <row r="897">
          <cell r="F897" t="str">
            <v>70281912</v>
          </cell>
          <cell r="G897" t="str">
            <v>洁柔</v>
          </cell>
          <cell r="H897" t="str">
            <v>洁柔牌</v>
          </cell>
          <cell r="I897" t="str">
            <v>个人护理用品</v>
          </cell>
          <cell r="J897" t="str">
            <v>纸类用品</v>
          </cell>
          <cell r="K897" t="str">
            <v>洁柔牌 BJ213-10J（FACE油画锦鲤有芯）140g4层（10卷装）</v>
          </cell>
          <cell r="L897" t="str">
            <v>10卷装</v>
          </cell>
          <cell r="M897" t="str">
            <v>包</v>
          </cell>
          <cell r="N897">
            <v>20.2</v>
          </cell>
          <cell r="O897">
            <v>35</v>
          </cell>
          <cell r="P897">
            <v>0.41714285714285698</v>
          </cell>
        </row>
        <row r="898">
          <cell r="F898" t="str">
            <v>70024659</v>
          </cell>
          <cell r="G898" t="str">
            <v>维达</v>
          </cell>
          <cell r="H898" t="str">
            <v>维达</v>
          </cell>
          <cell r="I898" t="str">
            <v>个人护理用品</v>
          </cell>
          <cell r="J898" t="str">
            <v>纸类用品</v>
          </cell>
          <cell r="K898" t="str">
            <v>维达 盒装3层抽取式纸面巾 100抽</v>
          </cell>
          <cell r="L898" t="str">
            <v>100抽</v>
          </cell>
          <cell r="M898" t="str">
            <v>个</v>
          </cell>
          <cell r="N898">
            <v>4.24</v>
          </cell>
          <cell r="O898">
            <v>6</v>
          </cell>
          <cell r="P898">
            <v>0.28666666666666701</v>
          </cell>
        </row>
        <row r="899">
          <cell r="F899" t="str">
            <v>70044190</v>
          </cell>
          <cell r="G899" t="str">
            <v>维达</v>
          </cell>
          <cell r="H899" t="str">
            <v>维达</v>
          </cell>
          <cell r="I899" t="str">
            <v>个人护理用品</v>
          </cell>
          <cell r="J899" t="str">
            <v>纸类用品</v>
          </cell>
          <cell r="K899" t="str">
            <v>维达 超韧3层抽取式纸面巾 120抽4包</v>
          </cell>
          <cell r="L899" t="str">
            <v>120抽4包</v>
          </cell>
          <cell r="M899" t="str">
            <v>包</v>
          </cell>
          <cell r="N899">
            <v>9.6999999999999993</v>
          </cell>
          <cell r="O899">
            <v>16</v>
          </cell>
          <cell r="P899">
            <v>0.388125</v>
          </cell>
        </row>
        <row r="900">
          <cell r="F900" t="str">
            <v>70058735</v>
          </cell>
          <cell r="G900" t="str">
            <v>维达</v>
          </cell>
          <cell r="H900" t="str">
            <v>维达</v>
          </cell>
          <cell r="I900" t="str">
            <v>个人护理用品</v>
          </cell>
          <cell r="J900" t="str">
            <v>纸类用品</v>
          </cell>
          <cell r="K900" t="str">
            <v>维达 超韧4层无芯卷纸 1000g</v>
          </cell>
          <cell r="L900" t="str">
            <v>1000g</v>
          </cell>
          <cell r="M900" t="str">
            <v>个</v>
          </cell>
          <cell r="N900">
            <v>14.65</v>
          </cell>
          <cell r="O900">
            <v>23</v>
          </cell>
          <cell r="P900">
            <v>0.35695652173913001</v>
          </cell>
        </row>
        <row r="901">
          <cell r="F901" t="str">
            <v>70312781</v>
          </cell>
          <cell r="G901" t="str">
            <v>维达</v>
          </cell>
          <cell r="H901" t="str">
            <v>维达</v>
          </cell>
          <cell r="I901" t="str">
            <v>个人护理用品</v>
          </cell>
          <cell r="J901" t="str">
            <v>纸类用品</v>
          </cell>
          <cell r="K901" t="str">
            <v>维达 立体美4层有芯卫卷 1320g</v>
          </cell>
          <cell r="L901" t="str">
            <v>1320g</v>
          </cell>
          <cell r="M901" t="str">
            <v>个</v>
          </cell>
          <cell r="N901">
            <v>22.22</v>
          </cell>
          <cell r="O901">
            <v>30</v>
          </cell>
          <cell r="P901">
            <v>0.252</v>
          </cell>
        </row>
        <row r="902">
          <cell r="F902" t="str">
            <v>70312782</v>
          </cell>
          <cell r="G902" t="str">
            <v>维达</v>
          </cell>
          <cell r="H902" t="str">
            <v>维达</v>
          </cell>
          <cell r="I902" t="str">
            <v>个人护理用品</v>
          </cell>
          <cell r="J902" t="str">
            <v>纸类用品</v>
          </cell>
          <cell r="K902" t="str">
            <v>维达 立体美4层无芯卫卷 1440g</v>
          </cell>
          <cell r="L902" t="str">
            <v>1440g</v>
          </cell>
          <cell r="M902" t="str">
            <v>个</v>
          </cell>
          <cell r="N902">
            <v>22.22</v>
          </cell>
          <cell r="O902">
            <v>30</v>
          </cell>
          <cell r="P902">
            <v>0.252</v>
          </cell>
        </row>
        <row r="903">
          <cell r="F903" t="str">
            <v>70312779</v>
          </cell>
          <cell r="G903" t="str">
            <v>维达</v>
          </cell>
          <cell r="H903" t="str">
            <v>维达</v>
          </cell>
          <cell r="I903" t="str">
            <v>个人护理用品</v>
          </cell>
          <cell r="J903" t="str">
            <v>纸类用品</v>
          </cell>
          <cell r="K903" t="str">
            <v>维达 可冲散湿厕纸 40片</v>
          </cell>
          <cell r="L903" t="str">
            <v>40片</v>
          </cell>
          <cell r="M903" t="str">
            <v>包</v>
          </cell>
          <cell r="N903">
            <v>8.08</v>
          </cell>
          <cell r="O903">
            <v>12</v>
          </cell>
          <cell r="P903">
            <v>0.32</v>
          </cell>
        </row>
        <row r="904">
          <cell r="F904" t="str">
            <v>70231552</v>
          </cell>
          <cell r="G904" t="str">
            <v>维达</v>
          </cell>
          <cell r="H904" t="str">
            <v>维达</v>
          </cell>
          <cell r="I904" t="str">
            <v>个人护理用品</v>
          </cell>
          <cell r="J904" t="str">
            <v>纸类用品</v>
          </cell>
          <cell r="K904" t="str">
            <v>得宝 卫生湿巾 12片</v>
          </cell>
          <cell r="L904" t="str">
            <v>12片</v>
          </cell>
          <cell r="M904" t="str">
            <v>包</v>
          </cell>
          <cell r="N904">
            <v>3.74</v>
          </cell>
          <cell r="O904">
            <v>6</v>
          </cell>
          <cell r="P904">
            <v>0.37166666666666698</v>
          </cell>
        </row>
        <row r="905">
          <cell r="F905" t="str">
            <v>70235341</v>
          </cell>
          <cell r="G905" t="str">
            <v>维达</v>
          </cell>
          <cell r="H905" t="str">
            <v>维达</v>
          </cell>
          <cell r="I905" t="str">
            <v>个人护理用品</v>
          </cell>
          <cell r="J905" t="str">
            <v>纸类用品</v>
          </cell>
          <cell r="K905" t="str">
            <v>得宝 4层迷你纸手帕茉莉花香 12包</v>
          </cell>
          <cell r="L905" t="str">
            <v>12包</v>
          </cell>
          <cell r="M905" t="str">
            <v>包</v>
          </cell>
          <cell r="N905">
            <v>10.199999999999999</v>
          </cell>
          <cell r="O905">
            <v>14</v>
          </cell>
          <cell r="P905">
            <v>0.26428571428571401</v>
          </cell>
        </row>
        <row r="906">
          <cell r="F906" t="str">
            <v>70090496</v>
          </cell>
          <cell r="G906" t="str">
            <v>维达</v>
          </cell>
          <cell r="H906" t="str">
            <v>维达</v>
          </cell>
          <cell r="I906" t="str">
            <v>个人护理用品</v>
          </cell>
          <cell r="J906" t="str">
            <v>纸类用品</v>
          </cell>
          <cell r="K906" t="str">
            <v>维达 超韧3层L码抽取式纸面巾 150抽</v>
          </cell>
          <cell r="L906" t="str">
            <v>150抽</v>
          </cell>
          <cell r="M906" t="str">
            <v>包</v>
          </cell>
          <cell r="N906">
            <v>3.64</v>
          </cell>
          <cell r="O906">
            <v>5</v>
          </cell>
          <cell r="P906">
            <v>0.26600000000000001</v>
          </cell>
        </row>
        <row r="907">
          <cell r="F907" t="str">
            <v>70256007</v>
          </cell>
          <cell r="G907" t="str">
            <v>维达</v>
          </cell>
          <cell r="H907" t="str">
            <v>维达</v>
          </cell>
          <cell r="I907" t="str">
            <v>个人护理用品</v>
          </cell>
          <cell r="J907" t="str">
            <v>纸类用品</v>
          </cell>
          <cell r="K907" t="str">
            <v>维达 超韧3层抽取式纸面巾 130抽</v>
          </cell>
          <cell r="L907" t="str">
            <v>130抽</v>
          </cell>
          <cell r="M907" t="str">
            <v>包</v>
          </cell>
          <cell r="N907">
            <v>2.83</v>
          </cell>
          <cell r="O907">
            <v>4.5</v>
          </cell>
          <cell r="P907">
            <v>0.36444444444444402</v>
          </cell>
        </row>
        <row r="908">
          <cell r="F908" t="str">
            <v>70326789</v>
          </cell>
          <cell r="G908" t="str">
            <v>维达</v>
          </cell>
          <cell r="H908" t="str">
            <v>维达</v>
          </cell>
          <cell r="I908" t="str">
            <v>个人护理用品</v>
          </cell>
          <cell r="J908" t="str">
            <v>纸类用品</v>
          </cell>
          <cell r="K908" t="str">
            <v>维达 棉韧3层抽取式面巾 100抽</v>
          </cell>
          <cell r="L908" t="str">
            <v>100抽</v>
          </cell>
          <cell r="M908" t="str">
            <v>包</v>
          </cell>
          <cell r="N908">
            <v>2.88</v>
          </cell>
          <cell r="O908">
            <v>4</v>
          </cell>
          <cell r="P908">
            <v>0.27250000000000002</v>
          </cell>
        </row>
        <row r="909">
          <cell r="F909" t="str">
            <v>70232754</v>
          </cell>
          <cell r="G909" t="str">
            <v>维达</v>
          </cell>
          <cell r="H909" t="str">
            <v>维达</v>
          </cell>
          <cell r="I909" t="str">
            <v>个人护理用品</v>
          </cell>
          <cell r="J909" t="str">
            <v>纸类用品</v>
          </cell>
          <cell r="K909" t="str">
            <v>维达 超韧4层有芯卫卷 1800g</v>
          </cell>
          <cell r="L909" t="str">
            <v>1800g</v>
          </cell>
          <cell r="M909" t="str">
            <v>个</v>
          </cell>
          <cell r="N909">
            <v>27.47</v>
          </cell>
          <cell r="O909">
            <v>38</v>
          </cell>
          <cell r="P909">
            <v>0.27</v>
          </cell>
        </row>
        <row r="910">
          <cell r="F910" t="str">
            <v>70198014</v>
          </cell>
          <cell r="G910" t="str">
            <v>维达</v>
          </cell>
          <cell r="H910" t="str">
            <v>维达</v>
          </cell>
          <cell r="I910" t="str">
            <v>个人护理用品</v>
          </cell>
          <cell r="J910" t="str">
            <v>纸类用品</v>
          </cell>
          <cell r="K910" t="str">
            <v>维达 可水洗厨房纸巾 75节*2卷</v>
          </cell>
          <cell r="L910" t="str">
            <v>75节*2卷</v>
          </cell>
          <cell r="M910" t="str">
            <v>包</v>
          </cell>
          <cell r="N910">
            <v>8.69</v>
          </cell>
          <cell r="O910">
            <v>12</v>
          </cell>
          <cell r="P910">
            <v>0.269166666666667</v>
          </cell>
        </row>
        <row r="911">
          <cell r="F911" t="str">
            <v>70326792</v>
          </cell>
          <cell r="G911" t="str">
            <v>维达</v>
          </cell>
          <cell r="H911" t="str">
            <v>维达</v>
          </cell>
          <cell r="I911" t="str">
            <v>个人护理用品</v>
          </cell>
          <cell r="J911" t="str">
            <v>纸类用品</v>
          </cell>
          <cell r="K911" t="str">
            <v>得宝 mini系列4层抽取式纸面巾 80抽</v>
          </cell>
          <cell r="L911" t="str">
            <v>80抽</v>
          </cell>
          <cell r="M911" t="str">
            <v>包</v>
          </cell>
          <cell r="N911">
            <v>2.98</v>
          </cell>
          <cell r="O911">
            <v>4.5</v>
          </cell>
          <cell r="P911">
            <v>0.33111111111111102</v>
          </cell>
        </row>
        <row r="912">
          <cell r="F912" t="str">
            <v>70325833</v>
          </cell>
          <cell r="G912" t="str">
            <v>维达</v>
          </cell>
          <cell r="H912" t="str">
            <v>维达</v>
          </cell>
          <cell r="I912" t="str">
            <v>个人护理用品</v>
          </cell>
          <cell r="J912" t="str">
            <v>纸类用品</v>
          </cell>
          <cell r="K912" t="str">
            <v>维达 超韧4层手帕纸 24包</v>
          </cell>
          <cell r="L912" t="str">
            <v>24包</v>
          </cell>
          <cell r="M912" t="str">
            <v>包</v>
          </cell>
          <cell r="N912">
            <v>11.72</v>
          </cell>
          <cell r="O912">
            <v>16</v>
          </cell>
          <cell r="P912">
            <v>0.260625</v>
          </cell>
        </row>
        <row r="913">
          <cell r="F913" t="str">
            <v>70486017</v>
          </cell>
          <cell r="G913" t="str">
            <v>维达</v>
          </cell>
          <cell r="H913" t="str">
            <v>维达</v>
          </cell>
          <cell r="I913" t="str">
            <v>个人护理用品</v>
          </cell>
          <cell r="J913" t="str">
            <v>纸类用品</v>
          </cell>
          <cell r="K913" t="str">
            <v>维达 超韧4层便携装抽取式纸面巾 20抽</v>
          </cell>
          <cell r="L913" t="str">
            <v>20抽</v>
          </cell>
          <cell r="M913" t="str">
            <v>包</v>
          </cell>
          <cell r="N913">
            <v>1.1599999999999999</v>
          </cell>
          <cell r="O913">
            <v>1.8</v>
          </cell>
          <cell r="P913">
            <v>0.35</v>
          </cell>
        </row>
        <row r="914">
          <cell r="F914" t="str">
            <v>70486024</v>
          </cell>
          <cell r="G914" t="str">
            <v>维达</v>
          </cell>
          <cell r="H914" t="str">
            <v>维达</v>
          </cell>
          <cell r="I914" t="str">
            <v>个人护理用品</v>
          </cell>
          <cell r="J914" t="str">
            <v>纸类用品</v>
          </cell>
          <cell r="K914" t="str">
            <v>维达 超韧4层无芯卫卷 1800g</v>
          </cell>
          <cell r="L914" t="str">
            <v>1800g</v>
          </cell>
          <cell r="M914" t="str">
            <v>包</v>
          </cell>
          <cell r="N914">
            <v>26.26</v>
          </cell>
          <cell r="O914">
            <v>35</v>
          </cell>
          <cell r="P914">
            <v>0.24228571428571399</v>
          </cell>
        </row>
        <row r="915">
          <cell r="F915" t="str">
            <v>70486018</v>
          </cell>
          <cell r="G915" t="str">
            <v>维达</v>
          </cell>
          <cell r="H915" t="str">
            <v>维达</v>
          </cell>
          <cell r="I915" t="str">
            <v>个人护理用品</v>
          </cell>
          <cell r="J915" t="str">
            <v>卫生用品</v>
          </cell>
          <cell r="K915" t="str">
            <v>薇尔 舒适V感240日用极薄棉柔卫生巾 4片</v>
          </cell>
          <cell r="L915" t="str">
            <v>4片</v>
          </cell>
          <cell r="M915" t="str">
            <v>包</v>
          </cell>
          <cell r="N915">
            <v>5.05</v>
          </cell>
          <cell r="O915">
            <v>7</v>
          </cell>
          <cell r="P915">
            <v>0.27142857142857102</v>
          </cell>
        </row>
        <row r="916">
          <cell r="F916" t="str">
            <v>70486019</v>
          </cell>
          <cell r="G916" t="str">
            <v>维达</v>
          </cell>
          <cell r="H916" t="str">
            <v>维达</v>
          </cell>
          <cell r="I916" t="str">
            <v>个人护理用品</v>
          </cell>
          <cell r="J916" t="str">
            <v>卫生用品</v>
          </cell>
          <cell r="K916" t="str">
            <v>薇尔 舒适V感420加长夜用极薄棉柔卫生巾 2片</v>
          </cell>
          <cell r="L916" t="str">
            <v>2片</v>
          </cell>
          <cell r="M916" t="str">
            <v>包</v>
          </cell>
          <cell r="N916">
            <v>5.05</v>
          </cell>
          <cell r="O916">
            <v>7</v>
          </cell>
          <cell r="P916">
            <v>0.27142857142857102</v>
          </cell>
        </row>
        <row r="917">
          <cell r="F917" t="str">
            <v>70543487</v>
          </cell>
          <cell r="G917" t="str">
            <v>维达</v>
          </cell>
          <cell r="H917" t="str">
            <v>维达</v>
          </cell>
          <cell r="I917" t="str">
            <v>个人护理用品</v>
          </cell>
          <cell r="J917" t="str">
            <v>纸抽</v>
          </cell>
          <cell r="K917" t="str">
            <v>维达 初肌秘密洗脸巾抽取式 70抽</v>
          </cell>
          <cell r="L917" t="str">
            <v>70抽</v>
          </cell>
          <cell r="M917" t="str">
            <v>包</v>
          </cell>
          <cell r="N917">
            <v>9.09</v>
          </cell>
          <cell r="O917">
            <v>12.9</v>
          </cell>
          <cell r="P917">
            <v>0.288372093023256</v>
          </cell>
        </row>
        <row r="918">
          <cell r="F918" t="str">
            <v>70543419</v>
          </cell>
          <cell r="G918" t="str">
            <v>维达</v>
          </cell>
          <cell r="H918" t="str">
            <v>维达</v>
          </cell>
          <cell r="I918" t="str">
            <v>个人护理用品</v>
          </cell>
          <cell r="J918" t="str">
            <v>卷筒纸</v>
          </cell>
          <cell r="K918" t="str">
            <v>得宝 天鹅湖无香有芯卫卷 1600g</v>
          </cell>
          <cell r="L918" t="str">
            <v>1600g</v>
          </cell>
          <cell r="M918" t="str">
            <v>袋</v>
          </cell>
          <cell r="N918">
            <v>28.79</v>
          </cell>
          <cell r="O918">
            <v>45</v>
          </cell>
          <cell r="P918">
            <v>0.35399999999999998</v>
          </cell>
        </row>
        <row r="919">
          <cell r="F919" t="str">
            <v>70543433</v>
          </cell>
          <cell r="G919" t="str">
            <v>维达</v>
          </cell>
          <cell r="H919" t="str">
            <v>维达</v>
          </cell>
          <cell r="I919" t="str">
            <v>个人护理用品</v>
          </cell>
          <cell r="J919" t="str">
            <v>卷筒纸</v>
          </cell>
          <cell r="K919" t="str">
            <v>得宝 天鹅湖樱花味有芯卫卷 1600g</v>
          </cell>
          <cell r="L919" t="str">
            <v>1600g</v>
          </cell>
          <cell r="M919" t="str">
            <v>袋</v>
          </cell>
          <cell r="N919">
            <v>28.79</v>
          </cell>
          <cell r="O919">
            <v>45</v>
          </cell>
          <cell r="P919">
            <v>0.35399999999999998</v>
          </cell>
        </row>
        <row r="920">
          <cell r="F920" t="str">
            <v>70543512</v>
          </cell>
          <cell r="G920" t="str">
            <v>维达</v>
          </cell>
          <cell r="H920" t="str">
            <v>维达</v>
          </cell>
          <cell r="I920" t="str">
            <v>个人护理用品</v>
          </cell>
          <cell r="J920" t="str">
            <v>纸抽</v>
          </cell>
          <cell r="K920" t="str">
            <v>得宝 天然无香4层抽取式纸面巾 92抽</v>
          </cell>
          <cell r="L920" t="str">
            <v>92抽</v>
          </cell>
          <cell r="M920" t="str">
            <v>包</v>
          </cell>
          <cell r="N920">
            <v>3.64</v>
          </cell>
          <cell r="O920">
            <v>7</v>
          </cell>
          <cell r="P920">
            <v>0.47571428571428598</v>
          </cell>
        </row>
        <row r="921">
          <cell r="F921" t="str">
            <v>70543476</v>
          </cell>
          <cell r="G921" t="str">
            <v>维达</v>
          </cell>
          <cell r="H921" t="str">
            <v>维达</v>
          </cell>
          <cell r="I921" t="str">
            <v>个人护理用品</v>
          </cell>
          <cell r="J921" t="str">
            <v>卫生用品</v>
          </cell>
          <cell r="K921" t="str">
            <v>薇尔 舒适V感240日用极薄棉柔卫生巾 10片</v>
          </cell>
          <cell r="L921" t="str">
            <v>10片</v>
          </cell>
          <cell r="M921" t="str">
            <v>包</v>
          </cell>
          <cell r="N921">
            <v>7.58</v>
          </cell>
          <cell r="O921">
            <v>13</v>
          </cell>
          <cell r="P921">
            <v>0.41153846153846202</v>
          </cell>
        </row>
        <row r="922">
          <cell r="F922" t="str">
            <v>70543441</v>
          </cell>
          <cell r="G922" t="str">
            <v>维达</v>
          </cell>
          <cell r="H922" t="str">
            <v>维达</v>
          </cell>
          <cell r="I922" t="str">
            <v>个人护理用品</v>
          </cell>
          <cell r="J922" t="str">
            <v>卫生用品</v>
          </cell>
          <cell r="K922" t="str">
            <v>薇尔 舒适V感190迷你极薄棉柔卫生巾 14片</v>
          </cell>
          <cell r="L922" t="str">
            <v>14片</v>
          </cell>
          <cell r="M922" t="str">
            <v>包</v>
          </cell>
          <cell r="N922">
            <v>7.58</v>
          </cell>
          <cell r="O922">
            <v>13</v>
          </cell>
          <cell r="P922">
            <v>0.41153846153846202</v>
          </cell>
        </row>
        <row r="923">
          <cell r="F923" t="str">
            <v>70543474</v>
          </cell>
          <cell r="G923" t="str">
            <v>维达</v>
          </cell>
          <cell r="H923" t="str">
            <v>维达</v>
          </cell>
          <cell r="I923" t="str">
            <v>个人护理用品</v>
          </cell>
          <cell r="J923" t="str">
            <v>卫生用品</v>
          </cell>
          <cell r="K923" t="str">
            <v>薇尔 舒适V感420加长夜用极薄棉柔卫生巾 6片</v>
          </cell>
          <cell r="L923" t="str">
            <v>6片</v>
          </cell>
          <cell r="M923" t="str">
            <v>包</v>
          </cell>
          <cell r="N923">
            <v>7.58</v>
          </cell>
          <cell r="O923">
            <v>13</v>
          </cell>
          <cell r="P923">
            <v>0.41153846153846202</v>
          </cell>
        </row>
        <row r="924">
          <cell r="F924" t="str">
            <v>70543482</v>
          </cell>
          <cell r="G924" t="str">
            <v>维达</v>
          </cell>
          <cell r="H924" t="str">
            <v>薇尔</v>
          </cell>
          <cell r="I924" t="str">
            <v>个人护理用品</v>
          </cell>
          <cell r="J924" t="str">
            <v>卫生用品</v>
          </cell>
          <cell r="K924" t="str">
            <v>薇尔 亲肌纯棉240mmV型日用卫生巾 10片</v>
          </cell>
          <cell r="L924" t="str">
            <v>10片</v>
          </cell>
          <cell r="M924" t="str">
            <v>包</v>
          </cell>
          <cell r="N924">
            <v>9.09</v>
          </cell>
          <cell r="O924">
            <v>15</v>
          </cell>
          <cell r="P924">
            <v>0.38800000000000001</v>
          </cell>
        </row>
        <row r="925">
          <cell r="F925" t="str">
            <v>70543504</v>
          </cell>
          <cell r="G925" t="str">
            <v>维达</v>
          </cell>
          <cell r="H925" t="str">
            <v>薇尔</v>
          </cell>
          <cell r="I925" t="str">
            <v>个人护理用品</v>
          </cell>
          <cell r="J925" t="str">
            <v>卫生用品</v>
          </cell>
          <cell r="K925" t="str">
            <v>薇尔 亲肌纯棉320mmV型夜用卫生巾 8片</v>
          </cell>
          <cell r="L925" t="str">
            <v>8片</v>
          </cell>
          <cell r="M925" t="str">
            <v>包</v>
          </cell>
          <cell r="N925">
            <v>9.09</v>
          </cell>
          <cell r="O925">
            <v>15</v>
          </cell>
          <cell r="P925">
            <v>0.38800000000000001</v>
          </cell>
        </row>
        <row r="926">
          <cell r="F926" t="str">
            <v>70543450</v>
          </cell>
          <cell r="G926" t="str">
            <v>维达</v>
          </cell>
          <cell r="H926" t="str">
            <v>维达</v>
          </cell>
          <cell r="I926" t="str">
            <v>个人护理用品</v>
          </cell>
          <cell r="J926" t="str">
            <v>卫生用品</v>
          </cell>
          <cell r="K926" t="str">
            <v>薇尔 舒适V感L码极薄棉柔裤型卫生巾 3片</v>
          </cell>
          <cell r="L926" t="str">
            <v>3片</v>
          </cell>
          <cell r="M926" t="str">
            <v>包</v>
          </cell>
          <cell r="N926">
            <v>6.57</v>
          </cell>
          <cell r="O926">
            <v>11</v>
          </cell>
          <cell r="P926">
            <v>0.397272727272727</v>
          </cell>
        </row>
        <row r="927">
          <cell r="F927" t="str">
            <v>70574886</v>
          </cell>
          <cell r="G927" t="str">
            <v>维达</v>
          </cell>
          <cell r="H927" t="str">
            <v>维达</v>
          </cell>
          <cell r="I927" t="str">
            <v>个人护理用品</v>
          </cell>
          <cell r="J927" t="str">
            <v>抽纸</v>
          </cell>
          <cell r="K927" t="str">
            <v>维达 超韧3层抽取式纸面巾 102抽</v>
          </cell>
          <cell r="L927" t="str">
            <v>102抽</v>
          </cell>
          <cell r="M927" t="str">
            <v>包</v>
          </cell>
          <cell r="N927">
            <v>2.02</v>
          </cell>
          <cell r="O927">
            <v>3</v>
          </cell>
          <cell r="P927">
            <v>0.32</v>
          </cell>
        </row>
        <row r="928">
          <cell r="F928" t="str">
            <v>70574869</v>
          </cell>
          <cell r="G928" t="str">
            <v>维达</v>
          </cell>
          <cell r="H928" t="str">
            <v>维达</v>
          </cell>
          <cell r="I928" t="str">
            <v>个人护理用品</v>
          </cell>
          <cell r="J928" t="str">
            <v>湿巾</v>
          </cell>
          <cell r="K928" t="str">
            <v>维达 湿巾8片/包*8包</v>
          </cell>
          <cell r="L928" t="str">
            <v>8片/包*8包</v>
          </cell>
          <cell r="M928" t="str">
            <v>包</v>
          </cell>
          <cell r="N928">
            <v>8.59</v>
          </cell>
          <cell r="O928">
            <v>13</v>
          </cell>
          <cell r="P928">
            <v>0.33307692307692299</v>
          </cell>
        </row>
        <row r="929">
          <cell r="F929" t="str">
            <v>70574879</v>
          </cell>
          <cell r="G929" t="str">
            <v>维达</v>
          </cell>
          <cell r="H929" t="str">
            <v>维达</v>
          </cell>
          <cell r="I929" t="str">
            <v>个人护理用品</v>
          </cell>
          <cell r="J929" t="str">
            <v>湿巾</v>
          </cell>
          <cell r="K929" t="str">
            <v>维达 湿巾(温和无香)杀菌湿巾 80片</v>
          </cell>
          <cell r="L929" t="str">
            <v>80片/包</v>
          </cell>
          <cell r="M929" t="str">
            <v>包</v>
          </cell>
          <cell r="N929">
            <v>9.49</v>
          </cell>
          <cell r="O929">
            <v>14</v>
          </cell>
          <cell r="P929">
            <v>0.315</v>
          </cell>
        </row>
        <row r="930">
          <cell r="F930" t="str">
            <v>70275267</v>
          </cell>
          <cell r="G930" t="str">
            <v>维达</v>
          </cell>
          <cell r="H930" t="str">
            <v>维达</v>
          </cell>
          <cell r="I930" t="str">
            <v>个人护理用品</v>
          </cell>
          <cell r="J930" t="str">
            <v>湿巾</v>
          </cell>
          <cell r="K930" t="str">
            <v>维达 (西柚香)厨房清洁湿巾 60片/包</v>
          </cell>
          <cell r="L930" t="str">
            <v>60片/包</v>
          </cell>
          <cell r="M930" t="str">
            <v>包</v>
          </cell>
          <cell r="N930">
            <v>10.07</v>
          </cell>
          <cell r="O930">
            <v>15</v>
          </cell>
          <cell r="P930">
            <v>0.32200000000000001</v>
          </cell>
        </row>
        <row r="931">
          <cell r="F931" t="str">
            <v>70574267</v>
          </cell>
          <cell r="G931" t="str">
            <v>维达</v>
          </cell>
          <cell r="H931" t="str">
            <v>维达</v>
          </cell>
          <cell r="I931" t="str">
            <v>个人护理用品</v>
          </cell>
          <cell r="J931" t="str">
            <v>抽纸</v>
          </cell>
          <cell r="K931" t="str">
            <v>维达 超韧Plus悬挂式3层纸面巾 280抽</v>
          </cell>
          <cell r="L931" t="str">
            <v>280抽</v>
          </cell>
          <cell r="M931" t="str">
            <v>包</v>
          </cell>
          <cell r="N931">
            <v>6.72</v>
          </cell>
          <cell r="O931">
            <v>11</v>
          </cell>
          <cell r="P931">
            <v>0.383636363636364</v>
          </cell>
        </row>
        <row r="932">
          <cell r="F932" t="str">
            <v>70574891</v>
          </cell>
          <cell r="G932" t="str">
            <v>维达</v>
          </cell>
          <cell r="H932" t="str">
            <v>维达</v>
          </cell>
          <cell r="I932" t="str">
            <v>个人护理用品</v>
          </cell>
          <cell r="J932" t="str">
            <v>抽纸</v>
          </cell>
          <cell r="K932" t="str">
            <v>维达 得宝100%棉洁面棉柔巾 90抽</v>
          </cell>
          <cell r="L932" t="str">
            <v>90抽</v>
          </cell>
          <cell r="M932" t="str">
            <v>包</v>
          </cell>
          <cell r="N932">
            <v>18.18</v>
          </cell>
          <cell r="O932">
            <v>27</v>
          </cell>
          <cell r="P932">
            <v>0.32</v>
          </cell>
        </row>
        <row r="933">
          <cell r="F933" t="str">
            <v>70574861</v>
          </cell>
          <cell r="G933" t="str">
            <v>维达</v>
          </cell>
          <cell r="H933" t="str">
            <v>维达</v>
          </cell>
          <cell r="I933" t="str">
            <v>个人护理用品</v>
          </cell>
          <cell r="J933" t="str">
            <v>抽纸</v>
          </cell>
          <cell r="K933" t="str">
            <v>维达 得宝花样肌洗脸巾 70抽</v>
          </cell>
          <cell r="L933" t="str">
            <v>70抽</v>
          </cell>
          <cell r="M933" t="str">
            <v>包</v>
          </cell>
          <cell r="N933">
            <v>13.43</v>
          </cell>
          <cell r="O933">
            <v>20</v>
          </cell>
          <cell r="P933">
            <v>0.32150000000000001</v>
          </cell>
        </row>
        <row r="934">
          <cell r="F934" t="str">
            <v>70517812</v>
          </cell>
          <cell r="G934" t="str">
            <v>金竹</v>
          </cell>
          <cell r="H934" t="str">
            <v>金竹</v>
          </cell>
          <cell r="I934" t="str">
            <v>个人护理用品</v>
          </cell>
          <cell r="J934" t="str">
            <v>湿巾</v>
          </cell>
          <cell r="K934" t="str">
            <v>金竹 竹纤维婴儿柔肤湿巾 180mm×180mm×80片</v>
          </cell>
          <cell r="L934" t="str">
            <v>180mm×180mm×80片 540.2g</v>
          </cell>
          <cell r="M934" t="str">
            <v>包</v>
          </cell>
          <cell r="N934">
            <v>6.05</v>
          </cell>
          <cell r="O934">
            <v>12.9</v>
          </cell>
          <cell r="P934">
            <v>0.526356589147287</v>
          </cell>
        </row>
        <row r="935">
          <cell r="F935" t="str">
            <v>70517829</v>
          </cell>
          <cell r="G935" t="str">
            <v>金竹</v>
          </cell>
          <cell r="H935" t="str">
            <v>金竹</v>
          </cell>
          <cell r="I935" t="str">
            <v>个人护理用品</v>
          </cell>
          <cell r="J935" t="str">
            <v>湿巾</v>
          </cell>
          <cell r="K935" t="str">
            <v>金竹 竹纤维湿厕纸 200mm×150mm×80片</v>
          </cell>
          <cell r="L935" t="str">
            <v>200mm×150mm×80片 583.7g</v>
          </cell>
          <cell r="M935" t="str">
            <v>包</v>
          </cell>
          <cell r="N935">
            <v>6.91</v>
          </cell>
          <cell r="O935">
            <v>14.9</v>
          </cell>
          <cell r="P935">
            <v>0.53154362416107404</v>
          </cell>
        </row>
        <row r="936">
          <cell r="F936" t="str">
            <v>70524382</v>
          </cell>
          <cell r="G936" t="str">
            <v>金竹</v>
          </cell>
          <cell r="H936" t="str">
            <v>金竹</v>
          </cell>
          <cell r="I936" t="str">
            <v>个人护理用品</v>
          </cell>
          <cell r="J936" t="str">
            <v>抽纸</v>
          </cell>
          <cell r="K936" t="str">
            <v>金竹 竹娃135软抽 8包/提 120抽</v>
          </cell>
          <cell r="L936" t="str">
            <v>135mm×190mm×360张（120抽3层）129g</v>
          </cell>
          <cell r="M936" t="str">
            <v>包</v>
          </cell>
          <cell r="N936">
            <v>1.5</v>
          </cell>
          <cell r="O936">
            <v>3</v>
          </cell>
          <cell r="P936">
            <v>0.49333333333333301</v>
          </cell>
        </row>
        <row r="937">
          <cell r="F937" t="str">
            <v>70524387</v>
          </cell>
          <cell r="G937" t="str">
            <v>金竹</v>
          </cell>
          <cell r="H937" t="str">
            <v>金竹</v>
          </cell>
          <cell r="I937" t="str">
            <v>个人护理用品</v>
          </cell>
          <cell r="J937" t="str">
            <v>卷纸</v>
          </cell>
          <cell r="K937" t="str">
            <v>金竹 竹娃1800克无芯卷纸 10卷/提</v>
          </cell>
          <cell r="L937" t="str">
            <v>108mm×138mm/节 180g</v>
          </cell>
          <cell r="M937" t="str">
            <v>包</v>
          </cell>
          <cell r="N937">
            <v>16.27</v>
          </cell>
          <cell r="O937">
            <v>35</v>
          </cell>
          <cell r="P937">
            <v>0.53057142857142903</v>
          </cell>
        </row>
        <row r="938">
          <cell r="F938" t="str">
            <v>70478145</v>
          </cell>
          <cell r="G938" t="str">
            <v>金竹</v>
          </cell>
          <cell r="H938" t="str">
            <v>金竹</v>
          </cell>
          <cell r="I938" t="str">
            <v>个人护理用品</v>
          </cell>
          <cell r="J938" t="str">
            <v>抽纸</v>
          </cell>
          <cell r="K938" t="str">
            <v>金竹 哪吒135软抽 4包/提 120抽</v>
          </cell>
          <cell r="L938" t="str">
            <v>135mm×190mm×360张（120抽3层）129g</v>
          </cell>
          <cell r="M938" t="str">
            <v>包</v>
          </cell>
          <cell r="N938">
            <v>1.58</v>
          </cell>
          <cell r="O938">
            <v>3</v>
          </cell>
          <cell r="P938">
            <v>0.47</v>
          </cell>
        </row>
        <row r="939">
          <cell r="F939" t="str">
            <v>70478140</v>
          </cell>
          <cell r="G939" t="str">
            <v>金竹</v>
          </cell>
          <cell r="H939" t="str">
            <v>金竹</v>
          </cell>
          <cell r="I939" t="str">
            <v>个人护理用品</v>
          </cell>
          <cell r="J939" t="str">
            <v>抽纸</v>
          </cell>
          <cell r="K939" t="str">
            <v>金竹 哪吒155软抽 3包/提 130抽</v>
          </cell>
          <cell r="L939" t="str">
            <v>155mm×190mm×360张（130抽3层）161g</v>
          </cell>
          <cell r="M939" t="str">
            <v>包</v>
          </cell>
          <cell r="N939">
            <v>1.95</v>
          </cell>
          <cell r="O939">
            <v>4.2</v>
          </cell>
          <cell r="P939">
            <v>0.53095238095238095</v>
          </cell>
        </row>
        <row r="940">
          <cell r="F940" t="str">
            <v>70478151</v>
          </cell>
          <cell r="G940" t="str">
            <v>金竹</v>
          </cell>
          <cell r="H940" t="str">
            <v>金竹</v>
          </cell>
          <cell r="I940" t="str">
            <v>个人护理用品</v>
          </cell>
          <cell r="J940" t="str">
            <v>抽纸</v>
          </cell>
          <cell r="K940" t="str">
            <v>金竹 哪吒条巾纸 12包/提</v>
          </cell>
          <cell r="L940" t="str">
            <v>200mm×200mm×36张（12片3层）22g</v>
          </cell>
          <cell r="M940" t="str">
            <v>包</v>
          </cell>
          <cell r="N940">
            <v>0.43</v>
          </cell>
          <cell r="O940">
            <v>1</v>
          </cell>
          <cell r="P940">
            <v>0.56000000000000005</v>
          </cell>
        </row>
        <row r="941">
          <cell r="F941" t="str">
            <v>70478157</v>
          </cell>
          <cell r="G941" t="str">
            <v>金竹</v>
          </cell>
          <cell r="H941" t="str">
            <v>金竹</v>
          </cell>
          <cell r="I941" t="str">
            <v>个人护理用品</v>
          </cell>
          <cell r="J941" t="str">
            <v>抽纸</v>
          </cell>
          <cell r="K941" t="str">
            <v>金竹 198厨房抽纸 3包/提</v>
          </cell>
          <cell r="L941" t="str">
            <v>198mm×210mm×160张2层 166g</v>
          </cell>
          <cell r="M941" t="str">
            <v>包</v>
          </cell>
          <cell r="N941">
            <v>2.42</v>
          </cell>
          <cell r="O941">
            <v>6</v>
          </cell>
          <cell r="P941">
            <v>0.59166666666666701</v>
          </cell>
        </row>
        <row r="942">
          <cell r="F942" t="str">
            <v>70013610</v>
          </cell>
          <cell r="G942" t="str">
            <v>宝洁</v>
          </cell>
          <cell r="H942" t="str">
            <v>汰渍</v>
          </cell>
          <cell r="I942" t="str">
            <v>清洁用品</v>
          </cell>
          <cell r="J942" t="str">
            <v>洗涤类</v>
          </cell>
          <cell r="K942" t="str">
            <v>汰渍 净白去渍升级洗衣粉 1.15kg</v>
          </cell>
          <cell r="L942" t="str">
            <v>1.15kg</v>
          </cell>
          <cell r="M942" t="str">
            <v>袋</v>
          </cell>
          <cell r="N942">
            <v>9.25</v>
          </cell>
          <cell r="O942">
            <v>11.8</v>
          </cell>
          <cell r="P942">
            <v>0.20847457627118701</v>
          </cell>
        </row>
        <row r="943">
          <cell r="F943" t="str">
            <v>70090328</v>
          </cell>
          <cell r="G943" t="str">
            <v>宝洁</v>
          </cell>
          <cell r="H943" t="str">
            <v>汰渍</v>
          </cell>
          <cell r="I943" t="str">
            <v>清洁用品</v>
          </cell>
          <cell r="J943" t="str">
            <v>洗涤类</v>
          </cell>
          <cell r="K943" t="str">
            <v>汰渍 汰渍全效炫白加360度洁净力洗衣粉百合 3kg</v>
          </cell>
          <cell r="L943" t="str">
            <v>3kg</v>
          </cell>
          <cell r="M943" t="str">
            <v>袋</v>
          </cell>
          <cell r="N943">
            <v>30.44</v>
          </cell>
          <cell r="O943">
            <v>39.9</v>
          </cell>
          <cell r="P943">
            <v>0.22957393483709301</v>
          </cell>
        </row>
        <row r="944">
          <cell r="F944" t="str">
            <v>70176645</v>
          </cell>
          <cell r="G944" t="str">
            <v>宝洁</v>
          </cell>
          <cell r="H944" t="str">
            <v>汰渍</v>
          </cell>
          <cell r="I944" t="str">
            <v>清洁用品</v>
          </cell>
          <cell r="J944" t="str">
            <v>衣物清洁</v>
          </cell>
          <cell r="K944" t="str">
            <v>汰渍 二合一洗衣粉淡雅薰香 1.65千克</v>
          </cell>
          <cell r="L944" t="str">
            <v>1.65kg</v>
          </cell>
          <cell r="M944" t="str">
            <v>袋</v>
          </cell>
          <cell r="N944">
            <v>16.05</v>
          </cell>
          <cell r="O944">
            <v>20.9</v>
          </cell>
          <cell r="P944">
            <v>0.22440191387559799</v>
          </cell>
        </row>
        <row r="945">
          <cell r="F945" t="str">
            <v>70186942</v>
          </cell>
          <cell r="G945" t="str">
            <v>宝洁</v>
          </cell>
          <cell r="H945" t="str">
            <v>汰渍</v>
          </cell>
          <cell r="I945" t="str">
            <v>清洁用品</v>
          </cell>
          <cell r="J945" t="str">
            <v>洗涤类</v>
          </cell>
          <cell r="K945" t="str">
            <v>汰渍 洁净熏香熏衣草香氛高浓度洗衣液 2000g</v>
          </cell>
          <cell r="L945" t="str">
            <v>2kg</v>
          </cell>
          <cell r="M945" t="str">
            <v>袋</v>
          </cell>
          <cell r="N945">
            <v>32.72</v>
          </cell>
          <cell r="O945">
            <v>49.9</v>
          </cell>
          <cell r="P945">
            <v>0.33767535070140298</v>
          </cell>
        </row>
        <row r="946">
          <cell r="F946" t="str">
            <v>70192210</v>
          </cell>
          <cell r="G946" t="str">
            <v>宝洁</v>
          </cell>
          <cell r="H946" t="str">
            <v>汰渍</v>
          </cell>
          <cell r="I946" t="str">
            <v>清洁用品</v>
          </cell>
          <cell r="J946" t="str">
            <v>衣物清洁</v>
          </cell>
          <cell r="K946" t="str">
            <v>汰渍全效360度三重功效洗衣皂188克</v>
          </cell>
          <cell r="L946" t="str">
            <v>188g</v>
          </cell>
          <cell r="M946" t="str">
            <v>个</v>
          </cell>
          <cell r="N946">
            <v>4.8499999999999996</v>
          </cell>
          <cell r="O946">
            <v>6.9</v>
          </cell>
          <cell r="P946">
            <v>0.28985507246376802</v>
          </cell>
        </row>
        <row r="947">
          <cell r="F947" t="str">
            <v>70191277</v>
          </cell>
          <cell r="G947" t="str">
            <v>宝洁</v>
          </cell>
          <cell r="H947" t="str">
            <v>汰渍</v>
          </cell>
          <cell r="I947" t="str">
            <v>清洁用品</v>
          </cell>
          <cell r="J947" t="str">
            <v>衣物清洁</v>
          </cell>
          <cell r="K947" t="str">
            <v>汰渍全效360°升级洗衣液3kg</v>
          </cell>
          <cell r="L947" t="str">
            <v>3kg</v>
          </cell>
          <cell r="M947" t="str">
            <v>袋</v>
          </cell>
          <cell r="N947">
            <v>44.74</v>
          </cell>
          <cell r="O947">
            <v>69.900000000000006</v>
          </cell>
          <cell r="P947">
            <v>0.35350500715307598</v>
          </cell>
        </row>
        <row r="948">
          <cell r="F948" t="str">
            <v>70179568</v>
          </cell>
          <cell r="G948" t="str">
            <v>宝洁</v>
          </cell>
          <cell r="H948" t="str">
            <v>舒肤佳</v>
          </cell>
          <cell r="I948" t="str">
            <v>个人护理用品</v>
          </cell>
          <cell r="J948" t="str">
            <v>洗发沐浴</v>
          </cell>
          <cell r="K948" t="str">
            <v>舒肤佳 纯白清香型香皂 100克</v>
          </cell>
          <cell r="L948" t="str">
            <v>100g</v>
          </cell>
          <cell r="M948" t="str">
            <v>个</v>
          </cell>
          <cell r="N948">
            <v>3.84</v>
          </cell>
          <cell r="O948">
            <v>4.9000000000000004</v>
          </cell>
          <cell r="P948">
            <v>0.208163265306123</v>
          </cell>
        </row>
        <row r="949">
          <cell r="F949" t="str">
            <v>70179566</v>
          </cell>
          <cell r="G949" t="str">
            <v>宝洁</v>
          </cell>
          <cell r="H949" t="str">
            <v>舒肤佳</v>
          </cell>
          <cell r="I949" t="str">
            <v>个人护理用品</v>
          </cell>
          <cell r="J949" t="str">
            <v>皂类</v>
          </cell>
          <cell r="K949" t="str">
            <v>舒肤佳 柠檬清新型香皂 100克</v>
          </cell>
          <cell r="L949" t="str">
            <v>100g</v>
          </cell>
          <cell r="M949" t="str">
            <v>个</v>
          </cell>
          <cell r="N949">
            <v>3.84</v>
          </cell>
          <cell r="O949">
            <v>4.9000000000000004</v>
          </cell>
          <cell r="P949">
            <v>0.208163265306123</v>
          </cell>
        </row>
        <row r="950">
          <cell r="F950" t="str">
            <v>70047809</v>
          </cell>
          <cell r="G950" t="str">
            <v>宝洁</v>
          </cell>
          <cell r="H950" t="str">
            <v>舒肤佳</v>
          </cell>
          <cell r="I950" t="str">
            <v>个人护理用品</v>
          </cell>
          <cell r="J950" t="str">
            <v>洗发沐浴</v>
          </cell>
          <cell r="K950" t="str">
            <v>舒肤佳 纯白清香型沐浴露 720g</v>
          </cell>
          <cell r="L950" t="str">
            <v>720mL</v>
          </cell>
          <cell r="M950" t="str">
            <v>瓶</v>
          </cell>
          <cell r="N950">
            <v>30.05</v>
          </cell>
          <cell r="O950">
            <v>39.9</v>
          </cell>
          <cell r="P950">
            <v>0.239348370927318</v>
          </cell>
        </row>
        <row r="951">
          <cell r="F951" t="str">
            <v>70291226</v>
          </cell>
          <cell r="G951" t="str">
            <v>宝洁</v>
          </cell>
          <cell r="H951" t="str">
            <v>舒肤佳</v>
          </cell>
          <cell r="I951" t="str">
            <v>个人护理用品</v>
          </cell>
          <cell r="J951" t="str">
            <v>洗发沐浴</v>
          </cell>
          <cell r="K951" t="str">
            <v>舒肤佳 洗手液纯白清香 225g</v>
          </cell>
          <cell r="L951" t="str">
            <v>225g</v>
          </cell>
          <cell r="M951" t="str">
            <v>瓶</v>
          </cell>
          <cell r="N951">
            <v>9.7899999999999991</v>
          </cell>
          <cell r="O951">
            <v>12.9</v>
          </cell>
          <cell r="P951">
            <v>0.23410852713178301</v>
          </cell>
        </row>
        <row r="952">
          <cell r="F952" t="str">
            <v>70024712</v>
          </cell>
          <cell r="G952" t="str">
            <v>宝洁</v>
          </cell>
          <cell r="H952" t="str">
            <v>舒肤佳</v>
          </cell>
          <cell r="I952" t="str">
            <v>个人护理用品</v>
          </cell>
          <cell r="J952" t="str">
            <v>洗发沐浴</v>
          </cell>
          <cell r="K952" t="str">
            <v>舒肤佳 柠檬清香型沐浴露 1kg</v>
          </cell>
          <cell r="L952" t="str">
            <v>1kg</v>
          </cell>
          <cell r="M952" t="str">
            <v>瓶</v>
          </cell>
          <cell r="N952">
            <v>35.33</v>
          </cell>
          <cell r="O952">
            <v>52.9</v>
          </cell>
          <cell r="P952">
            <v>0.325519848771267</v>
          </cell>
        </row>
        <row r="953">
          <cell r="F953" t="str">
            <v>70016988</v>
          </cell>
          <cell r="G953" t="str">
            <v>宝洁</v>
          </cell>
          <cell r="H953" t="str">
            <v>舒肤佳</v>
          </cell>
          <cell r="I953" t="str">
            <v>个人护理用品</v>
          </cell>
          <cell r="J953" t="str">
            <v>洗发沐浴</v>
          </cell>
          <cell r="K953" t="str">
            <v>舒肤佳 纯白清香型香皂 100g*3</v>
          </cell>
          <cell r="L953" t="str">
            <v>100g*3</v>
          </cell>
          <cell r="M953" t="str">
            <v>个</v>
          </cell>
          <cell r="N953">
            <v>10.98</v>
          </cell>
          <cell r="O953">
            <v>15.9</v>
          </cell>
          <cell r="P953">
            <v>0.30251572327044002</v>
          </cell>
        </row>
        <row r="954">
          <cell r="F954" t="str">
            <v>70010563</v>
          </cell>
          <cell r="G954" t="str">
            <v>宝洁</v>
          </cell>
          <cell r="H954" t="str">
            <v>舒肤佳</v>
          </cell>
          <cell r="I954" t="str">
            <v>个人护理用品</v>
          </cell>
          <cell r="J954" t="str">
            <v>沐浴用品</v>
          </cell>
          <cell r="K954" t="str">
            <v>舒肤佳 健康净护沐浴露柠檬香 360克</v>
          </cell>
          <cell r="L954" t="str">
            <v>360g</v>
          </cell>
          <cell r="M954" t="str">
            <v>瓶</v>
          </cell>
          <cell r="N954">
            <v>17.04</v>
          </cell>
          <cell r="O954">
            <v>21.9</v>
          </cell>
          <cell r="P954">
            <v>0.21415525114155201</v>
          </cell>
        </row>
        <row r="955">
          <cell r="F955" t="str">
            <v>70000273</v>
          </cell>
          <cell r="G955" t="str">
            <v>宝洁</v>
          </cell>
          <cell r="H955" t="str">
            <v>飘柔</v>
          </cell>
          <cell r="I955" t="str">
            <v>个人护理用品</v>
          </cell>
          <cell r="J955" t="str">
            <v>洗发沐浴</v>
          </cell>
          <cell r="K955" t="str">
            <v>飘柔 滋润去屑洗发露 400g</v>
          </cell>
          <cell r="L955" t="str">
            <v>400g</v>
          </cell>
          <cell r="M955" t="str">
            <v>瓶</v>
          </cell>
          <cell r="N955">
            <v>24.49</v>
          </cell>
          <cell r="O955">
            <v>29.9</v>
          </cell>
          <cell r="P955">
            <v>0.17257525083611999</v>
          </cell>
        </row>
        <row r="956">
          <cell r="F956" t="str">
            <v>70000268</v>
          </cell>
          <cell r="G956" t="str">
            <v>宝洁</v>
          </cell>
          <cell r="H956" t="str">
            <v>飘柔</v>
          </cell>
          <cell r="I956" t="str">
            <v>个人护理用品</v>
          </cell>
          <cell r="J956" t="str">
            <v>洗发沐浴</v>
          </cell>
          <cell r="K956" t="str">
            <v>飘柔多效滋润修护型洗发露200g</v>
          </cell>
          <cell r="L956" t="str">
            <v>200g</v>
          </cell>
          <cell r="M956" t="str">
            <v>瓶</v>
          </cell>
          <cell r="N956">
            <v>12.81</v>
          </cell>
          <cell r="O956">
            <v>15.9</v>
          </cell>
          <cell r="P956">
            <v>0.186792452830189</v>
          </cell>
        </row>
        <row r="957">
          <cell r="F957" t="str">
            <v>70024713</v>
          </cell>
          <cell r="G957" t="str">
            <v>宝洁</v>
          </cell>
          <cell r="H957" t="str">
            <v>飘柔</v>
          </cell>
          <cell r="I957" t="str">
            <v>个人护理用品</v>
          </cell>
          <cell r="J957" t="str">
            <v>护发用品</v>
          </cell>
          <cell r="K957" t="str">
            <v>飘柔多效滋润修护型洗发露750g</v>
          </cell>
          <cell r="L957" t="str">
            <v>750g</v>
          </cell>
          <cell r="M957" t="str">
            <v>瓶</v>
          </cell>
          <cell r="N957">
            <v>42.45</v>
          </cell>
          <cell r="O957">
            <v>58.9</v>
          </cell>
          <cell r="P957">
            <v>0.27215619694397303</v>
          </cell>
        </row>
        <row r="958">
          <cell r="F958" t="str">
            <v>70010269</v>
          </cell>
          <cell r="G958" t="str">
            <v>宝洁</v>
          </cell>
          <cell r="H958" t="str">
            <v>潘婷</v>
          </cell>
          <cell r="I958" t="str">
            <v>个人护理用品</v>
          </cell>
          <cell r="J958" t="str">
            <v>洗发沐浴</v>
          </cell>
          <cell r="K958" t="str">
            <v>潘婷 丝质顺滑洗发露 400g</v>
          </cell>
          <cell r="L958" t="str">
            <v>400g</v>
          </cell>
          <cell r="M958" t="str">
            <v>瓶</v>
          </cell>
          <cell r="N958">
            <v>29.05</v>
          </cell>
          <cell r="O958">
            <v>38</v>
          </cell>
          <cell r="P958">
            <v>0.22789473684210501</v>
          </cell>
        </row>
        <row r="959">
          <cell r="F959" t="str">
            <v>70000293</v>
          </cell>
          <cell r="G959" t="str">
            <v>宝洁</v>
          </cell>
          <cell r="H959" t="str">
            <v>潘婷</v>
          </cell>
          <cell r="I959" t="str">
            <v>个人护理用品</v>
          </cell>
          <cell r="J959" t="str">
            <v>洗发沐浴</v>
          </cell>
          <cell r="K959" t="str">
            <v>潘婷 乳液修护洗发露 750g</v>
          </cell>
          <cell r="L959" t="str">
            <v>750g</v>
          </cell>
          <cell r="M959" t="str">
            <v>瓶</v>
          </cell>
          <cell r="N959">
            <v>47.79</v>
          </cell>
          <cell r="O959">
            <v>68.5</v>
          </cell>
          <cell r="P959">
            <v>0.29532846715328498</v>
          </cell>
        </row>
        <row r="960">
          <cell r="F960" t="str">
            <v>70010456</v>
          </cell>
          <cell r="G960" t="str">
            <v>宝洁</v>
          </cell>
          <cell r="H960" t="str">
            <v>潘婷</v>
          </cell>
          <cell r="I960" t="str">
            <v>个人护理用品</v>
          </cell>
          <cell r="J960" t="str">
            <v>洗发沐浴</v>
          </cell>
          <cell r="K960" t="str">
            <v>潘婷 丝质顺滑润发精华素 400g</v>
          </cell>
          <cell r="L960" t="str">
            <v>400g</v>
          </cell>
          <cell r="M960" t="str">
            <v>瓶</v>
          </cell>
          <cell r="N960">
            <v>26.9</v>
          </cell>
          <cell r="O960">
            <v>38</v>
          </cell>
          <cell r="P960">
            <v>0.285263157894737</v>
          </cell>
        </row>
        <row r="961">
          <cell r="F961" t="str">
            <v>70000234</v>
          </cell>
          <cell r="G961" t="str">
            <v>宝洁</v>
          </cell>
          <cell r="H961" t="str">
            <v>潘婷</v>
          </cell>
          <cell r="I961" t="str">
            <v>个人护理用品</v>
          </cell>
          <cell r="J961" t="str">
            <v>护发用品</v>
          </cell>
          <cell r="K961" t="str">
            <v>潘婷 乳液修护洗发露 200g</v>
          </cell>
          <cell r="L961" t="str">
            <v>200g</v>
          </cell>
          <cell r="M961" t="str">
            <v>瓶</v>
          </cell>
          <cell r="N961">
            <v>16.41</v>
          </cell>
          <cell r="O961">
            <v>21</v>
          </cell>
          <cell r="P961">
            <v>0.21047619047619101</v>
          </cell>
        </row>
        <row r="962">
          <cell r="F962" t="str">
            <v>70253969</v>
          </cell>
          <cell r="G962" t="str">
            <v>宝洁</v>
          </cell>
          <cell r="H962" t="str">
            <v>潘婷</v>
          </cell>
          <cell r="I962" t="str">
            <v>个人护理用品</v>
          </cell>
          <cell r="J962" t="str">
            <v>护发用品</v>
          </cell>
          <cell r="K962" t="str">
            <v>潘婷 强韧养根润发洗发露 750g</v>
          </cell>
          <cell r="L962" t="str">
            <v>750g</v>
          </cell>
          <cell r="M962" t="str">
            <v>瓶</v>
          </cell>
          <cell r="N962">
            <v>47.68</v>
          </cell>
          <cell r="O962">
            <v>68.5</v>
          </cell>
          <cell r="P962">
            <v>0.29708029197080299</v>
          </cell>
        </row>
        <row r="963">
          <cell r="F963" t="str">
            <v>70381764</v>
          </cell>
          <cell r="G963" t="str">
            <v>宝洁</v>
          </cell>
          <cell r="H963" t="str">
            <v>潘婷</v>
          </cell>
          <cell r="I963" t="str">
            <v>个人护理用品</v>
          </cell>
          <cell r="J963" t="str">
            <v>护发用品</v>
          </cell>
          <cell r="K963" t="str">
            <v>潘婷 沁润水养洗发露-滋养型 530mL</v>
          </cell>
          <cell r="L963" t="str">
            <v>530mL</v>
          </cell>
          <cell r="M963" t="str">
            <v>瓶</v>
          </cell>
          <cell r="N963">
            <v>68.36</v>
          </cell>
          <cell r="O963">
            <v>99</v>
          </cell>
          <cell r="P963">
            <v>0.30272727272727301</v>
          </cell>
        </row>
        <row r="964">
          <cell r="F964" t="str">
            <v>70274480</v>
          </cell>
          <cell r="G964" t="str">
            <v>宝洁</v>
          </cell>
          <cell r="H964" t="str">
            <v>欧乐B</v>
          </cell>
          <cell r="I964" t="str">
            <v>个人护理用品</v>
          </cell>
          <cell r="J964" t="str">
            <v>牙膏牙刷</v>
          </cell>
          <cell r="K964" t="str">
            <v>欧乐B 牙龈专护牙膏(对抗红肿出血) 140g</v>
          </cell>
          <cell r="L964" t="str">
            <v>140g</v>
          </cell>
          <cell r="M964" t="str">
            <v>盒</v>
          </cell>
          <cell r="N964">
            <v>23.27</v>
          </cell>
          <cell r="O964">
            <v>35.9</v>
          </cell>
          <cell r="P964">
            <v>0.34540389972144803</v>
          </cell>
        </row>
        <row r="965">
          <cell r="F965" t="str">
            <v>70312827</v>
          </cell>
          <cell r="G965" t="str">
            <v>宝洁</v>
          </cell>
          <cell r="H965" t="str">
            <v>欧乐B</v>
          </cell>
          <cell r="I965" t="str">
            <v>个人护理用品</v>
          </cell>
          <cell r="J965" t="str">
            <v>牙膏牙刷</v>
          </cell>
          <cell r="K965" t="str">
            <v>欧乐B 专业护龈微米金深洁牙刷 双支装</v>
          </cell>
          <cell r="L965" t="str">
            <v>2支</v>
          </cell>
          <cell r="M965" t="str">
            <v>个</v>
          </cell>
          <cell r="N965">
            <v>19.98</v>
          </cell>
          <cell r="O965">
            <v>29.9</v>
          </cell>
          <cell r="P965">
            <v>0.32508361204013397</v>
          </cell>
        </row>
        <row r="966">
          <cell r="F966" t="str">
            <v>70001206</v>
          </cell>
          <cell r="G966" t="str">
            <v>宝洁</v>
          </cell>
          <cell r="H966" t="str">
            <v>佳洁士</v>
          </cell>
          <cell r="I966" t="str">
            <v>个人护理用品</v>
          </cell>
          <cell r="J966" t="str">
            <v>牙膏牙刷</v>
          </cell>
          <cell r="K966" t="str">
            <v>佳洁士 双效炫白牙膏 120g</v>
          </cell>
          <cell r="L966" t="str">
            <v>120g</v>
          </cell>
          <cell r="M966" t="str">
            <v>个</v>
          </cell>
          <cell r="N966">
            <v>8.42</v>
          </cell>
          <cell r="O966">
            <v>10.9</v>
          </cell>
          <cell r="P966">
            <v>0.21926605504587199</v>
          </cell>
        </row>
        <row r="967">
          <cell r="F967" t="str">
            <v>70070642</v>
          </cell>
          <cell r="G967" t="str">
            <v>宝洁</v>
          </cell>
          <cell r="H967" t="str">
            <v>佳洁士</v>
          </cell>
          <cell r="I967" t="str">
            <v>个人护理用品</v>
          </cell>
          <cell r="J967" t="str">
            <v>牙膏牙刷</v>
          </cell>
          <cell r="K967" t="str">
            <v>佳洁士 3D炫白双效去渍白牙膏 170g</v>
          </cell>
          <cell r="L967" t="str">
            <v>170g</v>
          </cell>
          <cell r="M967" t="str">
            <v>个</v>
          </cell>
          <cell r="N967">
            <v>11.56</v>
          </cell>
          <cell r="O967">
            <v>14.9</v>
          </cell>
          <cell r="P967">
            <v>0.21610738255033601</v>
          </cell>
        </row>
        <row r="968">
          <cell r="F968" t="str">
            <v>70017006</v>
          </cell>
          <cell r="G968" t="str">
            <v>宝洁</v>
          </cell>
          <cell r="H968" t="str">
            <v>佳洁士</v>
          </cell>
          <cell r="I968" t="str">
            <v>个人护理用品</v>
          </cell>
          <cell r="J968" t="str">
            <v>牙膏牙刷</v>
          </cell>
          <cell r="K968" t="str">
            <v>佳洁士 外柔内刚牙刷 单支装</v>
          </cell>
          <cell r="L968" t="str">
            <v>1支</v>
          </cell>
          <cell r="M968" t="str">
            <v>个</v>
          </cell>
          <cell r="N968">
            <v>4.93</v>
          </cell>
          <cell r="O968">
            <v>6.9</v>
          </cell>
          <cell r="P968">
            <v>0.27826086956521701</v>
          </cell>
        </row>
        <row r="969">
          <cell r="F969" t="str">
            <v>70043691</v>
          </cell>
          <cell r="G969" t="str">
            <v>宝洁</v>
          </cell>
          <cell r="H969" t="str">
            <v>佳洁士</v>
          </cell>
          <cell r="I969" t="str">
            <v>个人护理用品</v>
          </cell>
          <cell r="J969" t="str">
            <v>牙膏牙刷</v>
          </cell>
          <cell r="K969" t="str">
            <v>佳洁士 3D炫白茉莉茶爽牙膏 170g</v>
          </cell>
          <cell r="L969" t="str">
            <v>170g</v>
          </cell>
          <cell r="M969" t="str">
            <v>个</v>
          </cell>
          <cell r="N969">
            <v>11.56</v>
          </cell>
          <cell r="O969">
            <v>14.9</v>
          </cell>
          <cell r="P969">
            <v>0.21610738255033601</v>
          </cell>
        </row>
        <row r="970">
          <cell r="F970" t="str">
            <v>70010739</v>
          </cell>
          <cell r="G970" t="str">
            <v>宝洁</v>
          </cell>
          <cell r="H970" t="str">
            <v>佳洁士</v>
          </cell>
          <cell r="I970" t="str">
            <v>个人护理用品</v>
          </cell>
          <cell r="J970" t="str">
            <v>牙膏牙刷</v>
          </cell>
          <cell r="K970" t="str">
            <v>佳洁士 护理牙刷 单支装</v>
          </cell>
          <cell r="L970" t="str">
            <v>1支</v>
          </cell>
          <cell r="M970" t="str">
            <v>个</v>
          </cell>
          <cell r="N970">
            <v>5.66</v>
          </cell>
          <cell r="O970">
            <v>7.9</v>
          </cell>
          <cell r="P970">
            <v>0.27721518987341798</v>
          </cell>
        </row>
        <row r="971">
          <cell r="F971" t="str">
            <v>70289481</v>
          </cell>
          <cell r="G971" t="str">
            <v>宝洁</v>
          </cell>
          <cell r="H971" t="str">
            <v>佳洁士</v>
          </cell>
          <cell r="I971" t="str">
            <v>个人护理用品</v>
          </cell>
          <cell r="J971" t="str">
            <v>牙膏牙刷</v>
          </cell>
          <cell r="K971" t="str">
            <v>佳洁士 全优7效 强健牙釉质 牙膏 120克</v>
          </cell>
          <cell r="L971" t="str">
            <v>120g</v>
          </cell>
          <cell r="M971" t="str">
            <v>个</v>
          </cell>
          <cell r="N971">
            <v>10.1</v>
          </cell>
          <cell r="O971">
            <v>14.9</v>
          </cell>
          <cell r="P971">
            <v>0.31543624161073802</v>
          </cell>
        </row>
        <row r="972">
          <cell r="F972" t="str">
            <v>70312815</v>
          </cell>
          <cell r="G972" t="str">
            <v>宝洁</v>
          </cell>
          <cell r="H972" t="str">
            <v>佳洁士</v>
          </cell>
          <cell r="I972" t="str">
            <v>个人护理用品</v>
          </cell>
          <cell r="J972" t="str">
            <v>牙膏牙刷</v>
          </cell>
          <cell r="K972" t="str">
            <v>佳洁士 全优7效 强健牙釉质 牙膏 180克</v>
          </cell>
          <cell r="L972" t="str">
            <v>180g</v>
          </cell>
          <cell r="M972" t="str">
            <v>盒</v>
          </cell>
          <cell r="N972">
            <v>13.27</v>
          </cell>
          <cell r="O972">
            <v>19.899999999999999</v>
          </cell>
          <cell r="P972">
            <v>0.32663316582914598</v>
          </cell>
        </row>
        <row r="973">
          <cell r="F973" t="str">
            <v>70312858</v>
          </cell>
          <cell r="G973" t="str">
            <v>宝洁</v>
          </cell>
          <cell r="H973" t="str">
            <v>佳洁士</v>
          </cell>
          <cell r="I973" t="str">
            <v>个人护理用品</v>
          </cell>
          <cell r="J973" t="str">
            <v>牙膏牙刷</v>
          </cell>
          <cell r="K973" t="str">
            <v>佳洁士 锁白致尚技术牙膏（清恬樱花香）120g</v>
          </cell>
          <cell r="L973" t="str">
            <v>120g</v>
          </cell>
          <cell r="M973" t="str">
            <v>盒</v>
          </cell>
          <cell r="N973">
            <v>17.399999999999999</v>
          </cell>
          <cell r="O973">
            <v>25.9</v>
          </cell>
          <cell r="P973">
            <v>0.321621621621622</v>
          </cell>
        </row>
        <row r="974">
          <cell r="F974" t="str">
            <v>70312814</v>
          </cell>
          <cell r="G974" t="str">
            <v>宝洁</v>
          </cell>
          <cell r="H974" t="str">
            <v>佳洁士</v>
          </cell>
          <cell r="I974" t="str">
            <v>个人护理用品</v>
          </cell>
          <cell r="J974" t="str">
            <v>牙膏牙刷</v>
          </cell>
          <cell r="K974" t="str">
            <v>佳洁士 天鹅绒黑茶护龈牙刷 两支优惠装</v>
          </cell>
          <cell r="L974" t="str">
            <v>2支</v>
          </cell>
          <cell r="M974" t="str">
            <v>个</v>
          </cell>
          <cell r="N974">
            <v>16.420000000000002</v>
          </cell>
          <cell r="O974">
            <v>23.9</v>
          </cell>
          <cell r="P974">
            <v>0.30585774058577397</v>
          </cell>
        </row>
        <row r="975">
          <cell r="F975" t="str">
            <v>70171164</v>
          </cell>
          <cell r="G975" t="str">
            <v>宝洁</v>
          </cell>
          <cell r="H975" t="str">
            <v>护舒宝</v>
          </cell>
          <cell r="I975" t="str">
            <v>个人护理用品</v>
          </cell>
          <cell r="J975" t="str">
            <v>卫生用品</v>
          </cell>
          <cell r="K975" t="str">
            <v>护舒宝 云感棉贴身日用10片卫生巾</v>
          </cell>
          <cell r="L975" t="str">
            <v>10片</v>
          </cell>
          <cell r="M975" t="str">
            <v>包</v>
          </cell>
          <cell r="N975">
            <v>7.13</v>
          </cell>
          <cell r="O975">
            <v>9.9</v>
          </cell>
          <cell r="P975">
            <v>0.27272727272727298</v>
          </cell>
        </row>
        <row r="976">
          <cell r="F976" t="str">
            <v>70171155</v>
          </cell>
          <cell r="G976" t="str">
            <v>宝洁</v>
          </cell>
          <cell r="H976" t="str">
            <v>护舒宝</v>
          </cell>
          <cell r="I976" t="str">
            <v>个人护理用品</v>
          </cell>
          <cell r="J976" t="str">
            <v>卫生用品</v>
          </cell>
          <cell r="K976" t="str">
            <v>护舒宝 云感棉贴身量多日/夜用10片包卫生巾</v>
          </cell>
          <cell r="L976" t="str">
            <v>10片</v>
          </cell>
          <cell r="M976" t="str">
            <v>包</v>
          </cell>
          <cell r="N976">
            <v>8.5</v>
          </cell>
          <cell r="O976">
            <v>11.9</v>
          </cell>
          <cell r="P976">
            <v>0.27815126050420202</v>
          </cell>
        </row>
        <row r="977">
          <cell r="F977" t="str">
            <v>70000246</v>
          </cell>
          <cell r="G977" t="str">
            <v>宝洁</v>
          </cell>
          <cell r="H977" t="str">
            <v>海飞丝</v>
          </cell>
          <cell r="I977" t="str">
            <v>个人护理用品</v>
          </cell>
          <cell r="J977" t="str">
            <v>洗发沐浴</v>
          </cell>
          <cell r="K977" t="str">
            <v>海飞丝去屑丝质柔滑型洗发露 430克</v>
          </cell>
          <cell r="L977" t="str">
            <v>430克</v>
          </cell>
          <cell r="M977" t="str">
            <v>瓶</v>
          </cell>
          <cell r="N977">
            <v>38.35</v>
          </cell>
          <cell r="O977">
            <v>48.9</v>
          </cell>
          <cell r="P977">
            <v>0.20797546012269899</v>
          </cell>
        </row>
        <row r="978">
          <cell r="F978" t="str">
            <v>70000250</v>
          </cell>
          <cell r="G978" t="str">
            <v>宝洁</v>
          </cell>
          <cell r="H978" t="str">
            <v>海飞丝</v>
          </cell>
          <cell r="I978" t="str">
            <v>个人护理用品</v>
          </cell>
          <cell r="J978" t="str">
            <v>洗发沐浴</v>
          </cell>
          <cell r="K978" t="str">
            <v>海飞丝 去屑清爽控油型洗发露 430克</v>
          </cell>
          <cell r="L978" t="str">
            <v>430克</v>
          </cell>
          <cell r="M978" t="str">
            <v>瓶</v>
          </cell>
          <cell r="N978">
            <v>38.35</v>
          </cell>
          <cell r="O978">
            <v>48.9</v>
          </cell>
          <cell r="P978">
            <v>0.20797546012269899</v>
          </cell>
        </row>
        <row r="979">
          <cell r="F979" t="str">
            <v>70224627</v>
          </cell>
          <cell r="G979" t="str">
            <v>宝洁</v>
          </cell>
          <cell r="H979" t="str">
            <v>海飞丝</v>
          </cell>
          <cell r="I979" t="str">
            <v>个人护理用品</v>
          </cell>
          <cell r="J979" t="str">
            <v>洗发沐浴</v>
          </cell>
          <cell r="K979" t="str">
            <v>海飞丝 男士去屑洗发露净爽劲感去油 380g</v>
          </cell>
          <cell r="L979" t="str">
            <v>380g</v>
          </cell>
          <cell r="M979" t="str">
            <v>瓶</v>
          </cell>
          <cell r="N979">
            <v>35.32</v>
          </cell>
          <cell r="O979">
            <v>48.9</v>
          </cell>
          <cell r="P979">
            <v>0.27055214723926402</v>
          </cell>
        </row>
        <row r="980">
          <cell r="F980" t="str">
            <v>70013617</v>
          </cell>
          <cell r="G980" t="str">
            <v>宝洁</v>
          </cell>
          <cell r="H980" t="str">
            <v>碧浪</v>
          </cell>
          <cell r="I980" t="str">
            <v>清洁用品</v>
          </cell>
          <cell r="J980" t="str">
            <v>洗涤类</v>
          </cell>
          <cell r="K980" t="str">
            <v>碧浪 专研抗菌洁净除螨洗衣粉清雅茉莉 1.41kg</v>
          </cell>
          <cell r="L980" t="str">
            <v>1.41kg</v>
          </cell>
          <cell r="M980" t="str">
            <v>袋</v>
          </cell>
          <cell r="N980">
            <v>17.100000000000001</v>
          </cell>
          <cell r="O980">
            <v>21.5</v>
          </cell>
          <cell r="P980">
            <v>0.196744186046512</v>
          </cell>
        </row>
        <row r="981">
          <cell r="F981" t="str">
            <v>70312838</v>
          </cell>
          <cell r="G981" t="str">
            <v>宝洁</v>
          </cell>
          <cell r="H981" t="str">
            <v>碧浪</v>
          </cell>
          <cell r="I981" t="str">
            <v>清洁用品</v>
          </cell>
          <cell r="J981" t="str">
            <v>洗涤类</v>
          </cell>
          <cell r="K981" t="str">
            <v>碧浪专业抗菌洗衣液高效除螨草本清新2kg</v>
          </cell>
          <cell r="L981" t="str">
            <v>2kg</v>
          </cell>
          <cell r="M981" t="str">
            <v>瓶</v>
          </cell>
          <cell r="N981">
            <v>37.229999999999997</v>
          </cell>
          <cell r="O981">
            <v>49.9</v>
          </cell>
          <cell r="P981">
            <v>0.246492985971944</v>
          </cell>
        </row>
        <row r="982">
          <cell r="F982" t="str">
            <v>70312839</v>
          </cell>
          <cell r="G982" t="str">
            <v>宝洁</v>
          </cell>
          <cell r="H982" t="str">
            <v>碧浪</v>
          </cell>
          <cell r="I982" t="str">
            <v>清洁用品</v>
          </cell>
          <cell r="J982" t="str">
            <v>洗涤类</v>
          </cell>
          <cell r="K982" t="str">
            <v>碧浪专业抗菌洗衣液高效除螨草本清新3kg</v>
          </cell>
          <cell r="L982" t="str">
            <v>3kg</v>
          </cell>
          <cell r="M982" t="str">
            <v>瓶</v>
          </cell>
          <cell r="N982">
            <v>51.07</v>
          </cell>
          <cell r="O982">
            <v>69.900000000000006</v>
          </cell>
          <cell r="P982">
            <v>0.26223175965665202</v>
          </cell>
        </row>
        <row r="983">
          <cell r="F983" t="str">
            <v>70077961</v>
          </cell>
          <cell r="G983" t="str">
            <v>宝洁</v>
          </cell>
          <cell r="H983" t="str">
            <v>碧浪</v>
          </cell>
          <cell r="I983" t="str">
            <v>清洁用品</v>
          </cell>
          <cell r="J983" t="str">
            <v>衣物清洁</v>
          </cell>
          <cell r="K983" t="str">
            <v>碧浪洁净更除菌洗衣粉自然清新2.55千克</v>
          </cell>
          <cell r="L983" t="str">
            <v>2.55kg</v>
          </cell>
          <cell r="M983" t="str">
            <v>袋</v>
          </cell>
          <cell r="N983">
            <v>29.42</v>
          </cell>
          <cell r="O983">
            <v>42.9</v>
          </cell>
          <cell r="P983">
            <v>0.30745920745920702</v>
          </cell>
        </row>
        <row r="984">
          <cell r="F984" t="str">
            <v>70312851</v>
          </cell>
          <cell r="G984" t="str">
            <v>宝洁</v>
          </cell>
          <cell r="H984" t="str">
            <v>OLAY</v>
          </cell>
          <cell r="I984" t="str">
            <v>个人护理用品</v>
          </cell>
          <cell r="J984" t="str">
            <v>洗发沐浴</v>
          </cell>
          <cell r="K984" t="str">
            <v>OLAY BODYSCIENCE莹亮臻护精华沐浴乳 500g</v>
          </cell>
          <cell r="L984" t="str">
            <v>500g</v>
          </cell>
          <cell r="M984" t="str">
            <v>瓶</v>
          </cell>
          <cell r="N984">
            <v>34.01</v>
          </cell>
          <cell r="O984">
            <v>66.900000000000006</v>
          </cell>
          <cell r="P984">
            <v>0.48669656203288503</v>
          </cell>
        </row>
        <row r="985">
          <cell r="F985" t="str">
            <v>70017565</v>
          </cell>
          <cell r="G985" t="str">
            <v>宝洁</v>
          </cell>
          <cell r="H985" t="str">
            <v>飘柔</v>
          </cell>
          <cell r="I985" t="str">
            <v>个人护理用品</v>
          </cell>
          <cell r="J985" t="str">
            <v>洗发水</v>
          </cell>
          <cell r="K985" t="str">
            <v>飘柔 日常护理双效去屑清爽型洗发露 750g</v>
          </cell>
          <cell r="L985" t="str">
            <v>750g</v>
          </cell>
          <cell r="M985" t="str">
            <v>瓶</v>
          </cell>
          <cell r="N985">
            <v>25.5</v>
          </cell>
          <cell r="O985">
            <v>37.9</v>
          </cell>
          <cell r="P985">
            <v>0.32031662269129302</v>
          </cell>
        </row>
        <row r="986">
          <cell r="F986" t="str">
            <v>70574258</v>
          </cell>
          <cell r="G986" t="str">
            <v>宝洁</v>
          </cell>
          <cell r="H986" t="str">
            <v>海飞丝</v>
          </cell>
          <cell r="I986" t="str">
            <v>个人护理用品</v>
          </cell>
          <cell r="J986" t="str">
            <v>洗发水</v>
          </cell>
          <cell r="K986" t="str">
            <v>海飞丝 深透净爽型去屑头皮护理洗发露 360g</v>
          </cell>
          <cell r="L986" t="str">
            <v>360g</v>
          </cell>
          <cell r="M986" t="str">
            <v>瓶</v>
          </cell>
          <cell r="N986">
            <v>43.32</v>
          </cell>
          <cell r="O986">
            <v>59.8</v>
          </cell>
          <cell r="P986">
            <v>0.26839464882943098</v>
          </cell>
        </row>
        <row r="987">
          <cell r="F987" t="str">
            <v>70346813</v>
          </cell>
          <cell r="G987" t="str">
            <v>联合利华</v>
          </cell>
          <cell r="H987" t="str">
            <v>奥妙</v>
          </cell>
          <cell r="I987" t="str">
            <v>个人护理用品</v>
          </cell>
          <cell r="J987" t="str">
            <v>个护类</v>
          </cell>
          <cell r="K987" t="str">
            <v>奥妙 洗洁精柠檬去油 1.1kg</v>
          </cell>
          <cell r="L987" t="str">
            <v>1.1kg</v>
          </cell>
          <cell r="M987" t="str">
            <v>瓶</v>
          </cell>
          <cell r="N987">
            <v>8.4700000000000006</v>
          </cell>
          <cell r="O987">
            <v>13.9</v>
          </cell>
          <cell r="P987">
            <v>0.38417266187050397</v>
          </cell>
        </row>
        <row r="988">
          <cell r="F988" t="str">
            <v>70346816</v>
          </cell>
          <cell r="G988" t="str">
            <v>联合利华</v>
          </cell>
          <cell r="H988" t="str">
            <v>奥妙</v>
          </cell>
          <cell r="I988" t="str">
            <v>个人护理用品</v>
          </cell>
          <cell r="J988" t="str">
            <v>个护类</v>
          </cell>
          <cell r="K988" t="str">
            <v>奥妙 洗洁精茶树除菌 1.1kg</v>
          </cell>
          <cell r="L988" t="str">
            <v>1.1kg</v>
          </cell>
          <cell r="M988" t="str">
            <v>瓶</v>
          </cell>
          <cell r="N988">
            <v>8.4700000000000006</v>
          </cell>
          <cell r="O988">
            <v>13.9</v>
          </cell>
          <cell r="P988">
            <v>0.38417266187050397</v>
          </cell>
        </row>
        <row r="989">
          <cell r="F989" t="str">
            <v>70385965</v>
          </cell>
          <cell r="G989" t="str">
            <v>联合利华</v>
          </cell>
          <cell r="H989" t="str">
            <v>DOMESTOS</v>
          </cell>
          <cell r="I989" t="str">
            <v>个人护理用品</v>
          </cell>
          <cell r="J989" t="str">
            <v>个护类</v>
          </cell>
          <cell r="K989" t="str">
            <v>DOMESTOS 长效洁净洁厕啫喱冰川山泉香 600g</v>
          </cell>
          <cell r="L989" t="str">
            <v>600g</v>
          </cell>
          <cell r="M989" t="str">
            <v>瓶</v>
          </cell>
          <cell r="N989">
            <v>10.57</v>
          </cell>
          <cell r="O989">
            <v>14.9</v>
          </cell>
          <cell r="P989">
            <v>0.28322147651006702</v>
          </cell>
        </row>
        <row r="990">
          <cell r="F990" t="str">
            <v>70346810</v>
          </cell>
          <cell r="G990" t="str">
            <v>联合利华</v>
          </cell>
          <cell r="H990" t="str">
            <v>奥妙</v>
          </cell>
          <cell r="I990" t="str">
            <v>个人护理用品</v>
          </cell>
          <cell r="J990" t="str">
            <v>个护类</v>
          </cell>
          <cell r="K990" t="str">
            <v>奥妙 洗洁精柠檬去油 480g</v>
          </cell>
          <cell r="L990" t="str">
            <v>480g</v>
          </cell>
          <cell r="M990" t="str">
            <v>瓶</v>
          </cell>
          <cell r="N990">
            <v>4.25</v>
          </cell>
          <cell r="O990">
            <v>6</v>
          </cell>
          <cell r="P990">
            <v>0.28499999999999998</v>
          </cell>
        </row>
        <row r="991">
          <cell r="F991" t="str">
            <v>70017559</v>
          </cell>
          <cell r="G991" t="str">
            <v>联合利华</v>
          </cell>
          <cell r="H991" t="str">
            <v>金纺</v>
          </cell>
          <cell r="I991" t="str">
            <v>个人护理用品</v>
          </cell>
          <cell r="J991" t="str">
            <v>个护类</v>
          </cell>
          <cell r="K991" t="str">
            <v>金纺 衣物柔顺剂清新柔顺2kg</v>
          </cell>
          <cell r="L991" t="str">
            <v>2kg</v>
          </cell>
          <cell r="M991" t="str">
            <v>瓶</v>
          </cell>
          <cell r="N991">
            <v>23.14</v>
          </cell>
          <cell r="O991">
            <v>29.9</v>
          </cell>
          <cell r="P991">
            <v>0.21839464882943099</v>
          </cell>
        </row>
        <row r="992">
          <cell r="F992" t="str">
            <v>70017561</v>
          </cell>
          <cell r="G992" t="str">
            <v>联合利华</v>
          </cell>
          <cell r="H992" t="str">
            <v>金纺</v>
          </cell>
          <cell r="I992" t="str">
            <v>个人护理用品</v>
          </cell>
          <cell r="J992" t="str">
            <v>个护类</v>
          </cell>
          <cell r="K992" t="str">
            <v>金纺 怡神薰衣草衣物护理剂2kg</v>
          </cell>
          <cell r="L992" t="str">
            <v>2kg</v>
          </cell>
          <cell r="M992" t="str">
            <v>瓶</v>
          </cell>
          <cell r="N992">
            <v>23.14</v>
          </cell>
          <cell r="O992">
            <v>29.9</v>
          </cell>
          <cell r="P992">
            <v>0.21839464882943099</v>
          </cell>
        </row>
        <row r="993">
          <cell r="F993" t="str">
            <v>70089179</v>
          </cell>
          <cell r="G993" t="str">
            <v>联合利华</v>
          </cell>
          <cell r="H993" t="str">
            <v>金纺</v>
          </cell>
          <cell r="I993" t="str">
            <v>个人护理用品</v>
          </cell>
          <cell r="J993" t="str">
            <v>个护类</v>
          </cell>
          <cell r="K993" t="str">
            <v>金纺 清新柔顺剂7合13kg</v>
          </cell>
          <cell r="L993" t="str">
            <v>3kg</v>
          </cell>
          <cell r="M993" t="str">
            <v>瓶</v>
          </cell>
          <cell r="N993">
            <v>32.619999999999997</v>
          </cell>
          <cell r="O993">
            <v>40.9</v>
          </cell>
          <cell r="P993">
            <v>0.194376528117359</v>
          </cell>
        </row>
        <row r="994">
          <cell r="F994" t="str">
            <v>70165320</v>
          </cell>
          <cell r="G994" t="str">
            <v>联合利华</v>
          </cell>
          <cell r="H994" t="str">
            <v>金纺</v>
          </cell>
          <cell r="I994" t="str">
            <v>个人护理用品</v>
          </cell>
          <cell r="J994" t="str">
            <v>个护类</v>
          </cell>
          <cell r="K994" t="str">
            <v>金纺Y22薰衣草 3kg</v>
          </cell>
          <cell r="L994" t="str">
            <v>3kg</v>
          </cell>
          <cell r="M994" t="str">
            <v>瓶</v>
          </cell>
          <cell r="N994">
            <v>32.619999999999997</v>
          </cell>
          <cell r="O994">
            <v>40.9</v>
          </cell>
          <cell r="P994">
            <v>0.194376528117359</v>
          </cell>
        </row>
        <row r="995">
          <cell r="F995" t="str">
            <v>70030426</v>
          </cell>
          <cell r="G995" t="str">
            <v>联合利华</v>
          </cell>
          <cell r="H995" t="str">
            <v>金纺</v>
          </cell>
          <cell r="I995" t="str">
            <v>个人护理用品</v>
          </cell>
          <cell r="J995" t="str">
            <v>个护类</v>
          </cell>
          <cell r="K995" t="str">
            <v>金纺 清新柔顺护理剂 1kg</v>
          </cell>
          <cell r="L995" t="str">
            <v>1L</v>
          </cell>
          <cell r="M995" t="str">
            <v>瓶</v>
          </cell>
          <cell r="N995">
            <v>12.47</v>
          </cell>
          <cell r="O995">
            <v>16.899999999999999</v>
          </cell>
          <cell r="P995">
            <v>0.25443786982248501</v>
          </cell>
        </row>
        <row r="996">
          <cell r="F996" t="str">
            <v>70284156</v>
          </cell>
          <cell r="G996" t="str">
            <v>联合利华</v>
          </cell>
          <cell r="H996" t="str">
            <v>奥妙</v>
          </cell>
          <cell r="I996" t="str">
            <v>个人护理用品</v>
          </cell>
          <cell r="J996" t="str">
            <v>个护类</v>
          </cell>
          <cell r="K996" t="str">
            <v>奥妙 深层洁净天然酵素洗衣粉 1.8kg</v>
          </cell>
          <cell r="L996" t="str">
            <v>1.8kg</v>
          </cell>
          <cell r="M996" t="str">
            <v>袋</v>
          </cell>
          <cell r="N996">
            <v>15.35</v>
          </cell>
          <cell r="O996">
            <v>20.9</v>
          </cell>
          <cell r="P996">
            <v>0.25837320574162698</v>
          </cell>
        </row>
        <row r="997">
          <cell r="F997" t="str">
            <v>70385955</v>
          </cell>
          <cell r="G997" t="str">
            <v>联合利华</v>
          </cell>
          <cell r="H997" t="str">
            <v>奥妙</v>
          </cell>
          <cell r="I997" t="str">
            <v>个人护理用品</v>
          </cell>
          <cell r="J997" t="str">
            <v>个护类</v>
          </cell>
          <cell r="K997" t="str">
            <v>奥妙 除菌除螨洗衣粉 1.8kg</v>
          </cell>
          <cell r="L997" t="str">
            <v>1.8kg</v>
          </cell>
          <cell r="M997" t="str">
            <v>袋</v>
          </cell>
          <cell r="N997">
            <v>15.35</v>
          </cell>
          <cell r="O997">
            <v>20.9</v>
          </cell>
          <cell r="P997">
            <v>0.25837320574162698</v>
          </cell>
        </row>
        <row r="998">
          <cell r="F998" t="str">
            <v>70291218</v>
          </cell>
          <cell r="G998" t="str">
            <v>联合利华</v>
          </cell>
          <cell r="H998" t="str">
            <v>奥妙</v>
          </cell>
          <cell r="I998" t="str">
            <v>个人护理用品</v>
          </cell>
          <cell r="J998" t="str">
            <v>个护类</v>
          </cell>
          <cell r="K998" t="str">
            <v>奥妙 深层洁净洗衣液 2.8kg+400g</v>
          </cell>
          <cell r="L998" t="str">
            <v>2.8kg+400g</v>
          </cell>
          <cell r="M998" t="str">
            <v>瓶</v>
          </cell>
          <cell r="N998">
            <v>33.03</v>
          </cell>
          <cell r="O998">
            <v>49.9</v>
          </cell>
          <cell r="P998">
            <v>0.331663326653307</v>
          </cell>
        </row>
        <row r="999">
          <cell r="F999" t="str">
            <v>70291219</v>
          </cell>
          <cell r="G999" t="str">
            <v>联合利华</v>
          </cell>
          <cell r="H999" t="str">
            <v>奥妙</v>
          </cell>
          <cell r="I999" t="str">
            <v>个人护理用品</v>
          </cell>
          <cell r="J999" t="str">
            <v>个护类</v>
          </cell>
          <cell r="K999" t="str">
            <v>奥妙 除菌除螨洗衣液 2.8kg+400g</v>
          </cell>
          <cell r="L999" t="str">
            <v>2.8kg+400g</v>
          </cell>
          <cell r="M999" t="str">
            <v>瓶</v>
          </cell>
          <cell r="N999">
            <v>33.03</v>
          </cell>
          <cell r="O999">
            <v>49.9</v>
          </cell>
          <cell r="P999">
            <v>0.331663326653307</v>
          </cell>
        </row>
        <row r="1000">
          <cell r="F1000" t="str">
            <v>70452914</v>
          </cell>
          <cell r="G1000" t="str">
            <v>联合利华</v>
          </cell>
          <cell r="H1000" t="str">
            <v>中华</v>
          </cell>
          <cell r="I1000" t="str">
            <v>个人护理用品</v>
          </cell>
          <cell r="J1000" t="str">
            <v>护肤/化妆品</v>
          </cell>
          <cell r="K1000" t="str">
            <v>中华抗糖净白牙膏 海盐薄荷味 (130+20)g</v>
          </cell>
          <cell r="L1000" t="str">
            <v>(130+20)g</v>
          </cell>
          <cell r="M1000" t="str">
            <v>个</v>
          </cell>
          <cell r="N1000">
            <v>11.41</v>
          </cell>
          <cell r="O1000">
            <v>16.899999999999999</v>
          </cell>
          <cell r="P1000">
            <v>0.31775147928994102</v>
          </cell>
        </row>
        <row r="1001">
          <cell r="F1001" t="str">
            <v>70081626</v>
          </cell>
          <cell r="G1001" t="str">
            <v>联合利华</v>
          </cell>
          <cell r="H1001" t="str">
            <v>夏士莲</v>
          </cell>
          <cell r="I1001" t="str">
            <v>个人护理用品</v>
          </cell>
          <cell r="J1001" t="str">
            <v>个护类</v>
          </cell>
          <cell r="K1001" t="str">
            <v>夏士莲 洗发露黑亮焗油洗焗2合1  750克</v>
          </cell>
          <cell r="L1001" t="str">
            <v>750mL</v>
          </cell>
          <cell r="M1001" t="str">
            <v>瓶</v>
          </cell>
          <cell r="N1001">
            <v>30.2</v>
          </cell>
          <cell r="O1001">
            <v>39.9</v>
          </cell>
          <cell r="P1001">
            <v>0.23558897243107799</v>
          </cell>
        </row>
        <row r="1002">
          <cell r="F1002" t="str">
            <v>70362186</v>
          </cell>
          <cell r="G1002" t="str">
            <v>联合利华</v>
          </cell>
          <cell r="H1002" t="str">
            <v>凡士林</v>
          </cell>
          <cell r="I1002" t="str">
            <v>个人护理用品</v>
          </cell>
          <cell r="J1002" t="str">
            <v>个护类</v>
          </cell>
          <cell r="K1002" t="str">
            <v>凡士林 经典修护晶冻 50g</v>
          </cell>
          <cell r="L1002" t="str">
            <v>50g</v>
          </cell>
          <cell r="M1002" t="str">
            <v>包</v>
          </cell>
          <cell r="N1002">
            <v>16.43</v>
          </cell>
          <cell r="O1002">
            <v>21</v>
          </cell>
          <cell r="P1002">
            <v>0.209523809523809</v>
          </cell>
        </row>
        <row r="1003">
          <cell r="F1003" t="str">
            <v>70385963</v>
          </cell>
          <cell r="G1003" t="str">
            <v>联合利华</v>
          </cell>
          <cell r="H1003" t="str">
            <v>力士</v>
          </cell>
          <cell r="I1003" t="str">
            <v>个人护理用品</v>
          </cell>
          <cell r="J1003" t="str">
            <v>个护类</v>
          </cell>
          <cell r="K1003" t="str">
            <v>联合利华力士™香氛抑菌洗手液清新柠檬马鞭草香400g</v>
          </cell>
          <cell r="L1003" t="str">
            <v>400g</v>
          </cell>
          <cell r="M1003" t="str">
            <v>瓶</v>
          </cell>
          <cell r="N1003">
            <v>12.24</v>
          </cell>
          <cell r="O1003">
            <v>15.75</v>
          </cell>
          <cell r="P1003">
            <v>0.21523809523809501</v>
          </cell>
        </row>
        <row r="1004">
          <cell r="F1004" t="str">
            <v>70312797</v>
          </cell>
          <cell r="G1004" t="str">
            <v>联合利华</v>
          </cell>
          <cell r="H1004" t="str">
            <v>多芬</v>
          </cell>
          <cell r="I1004" t="str">
            <v>个人护理用品</v>
          </cell>
          <cell r="J1004" t="str">
            <v>个护类</v>
          </cell>
          <cell r="K1004" t="str">
            <v>多芬植萃水润盈润洗发露470g</v>
          </cell>
          <cell r="L1004" t="str">
            <v>470mL</v>
          </cell>
          <cell r="M1004" t="str">
            <v>瓶</v>
          </cell>
          <cell r="N1004">
            <v>50.07</v>
          </cell>
          <cell r="O1004">
            <v>65</v>
          </cell>
          <cell r="P1004">
            <v>0.22215384615384601</v>
          </cell>
        </row>
        <row r="1005">
          <cell r="F1005" t="str">
            <v>70312798</v>
          </cell>
          <cell r="G1005" t="str">
            <v>联合利华</v>
          </cell>
          <cell r="H1005" t="str">
            <v>多芬</v>
          </cell>
          <cell r="I1005" t="str">
            <v>个人护理用品</v>
          </cell>
          <cell r="J1005" t="str">
            <v>个护类</v>
          </cell>
          <cell r="K1005" t="str">
            <v>多芬 柔顺盈润润发精华素470mL</v>
          </cell>
          <cell r="L1005" t="str">
            <v>470mL</v>
          </cell>
          <cell r="M1005" t="str">
            <v>瓶</v>
          </cell>
          <cell r="N1005">
            <v>50.07</v>
          </cell>
          <cell r="O1005">
            <v>65</v>
          </cell>
          <cell r="P1005">
            <v>0.22215384615384601</v>
          </cell>
        </row>
        <row r="1006">
          <cell r="F1006" t="str">
            <v>70385952</v>
          </cell>
          <cell r="G1006" t="str">
            <v>联合利华</v>
          </cell>
          <cell r="H1006" t="str">
            <v>凡士林</v>
          </cell>
          <cell r="I1006" t="str">
            <v>个人护理用品</v>
          </cell>
          <cell r="J1006" t="str">
            <v>个护类</v>
          </cell>
          <cell r="K1006" t="str">
            <v>凡士林 经典修护保湿润唇膏经典原味7g</v>
          </cell>
          <cell r="L1006" t="str">
            <v>7g</v>
          </cell>
          <cell r="M1006" t="str">
            <v>个</v>
          </cell>
          <cell r="N1006">
            <v>23.56</v>
          </cell>
          <cell r="O1006">
            <v>29.8</v>
          </cell>
          <cell r="P1006">
            <v>0.20134228187919501</v>
          </cell>
        </row>
        <row r="1007">
          <cell r="F1007" t="str">
            <v>70312802</v>
          </cell>
          <cell r="G1007" t="str">
            <v>联合利华</v>
          </cell>
          <cell r="H1007" t="str">
            <v>力士</v>
          </cell>
          <cell r="I1007" t="str">
            <v>个人护理用品</v>
          </cell>
          <cell r="J1007" t="str">
            <v>个护类</v>
          </cell>
          <cell r="K1007" t="str">
            <v>力士 精油香氛系列胭红玫瑰香氛洗发露 470g</v>
          </cell>
          <cell r="L1007" t="str">
            <v>470g</v>
          </cell>
          <cell r="M1007" t="str">
            <v>瓶</v>
          </cell>
          <cell r="N1007">
            <v>47.37</v>
          </cell>
          <cell r="O1007">
            <v>60</v>
          </cell>
          <cell r="P1007">
            <v>0.20266666666666699</v>
          </cell>
        </row>
        <row r="1008">
          <cell r="F1008" t="str">
            <v>70312803</v>
          </cell>
          <cell r="G1008" t="str">
            <v>联合利华</v>
          </cell>
          <cell r="H1008" t="str">
            <v>力士</v>
          </cell>
          <cell r="I1008" t="str">
            <v>个人护理用品</v>
          </cell>
          <cell r="J1008" t="str">
            <v>个护类</v>
          </cell>
          <cell r="K1008" t="str">
            <v>力士 精油香氛系列胭红玫瑰香氛润发乳 470g</v>
          </cell>
          <cell r="L1008" t="str">
            <v>470g</v>
          </cell>
          <cell r="M1008" t="str">
            <v>瓶</v>
          </cell>
          <cell r="N1008">
            <v>48.84</v>
          </cell>
          <cell r="O1008">
            <v>60</v>
          </cell>
          <cell r="P1008">
            <v>0.17783333333333301</v>
          </cell>
        </row>
        <row r="1009">
          <cell r="F1009" t="str">
            <v>70333831</v>
          </cell>
          <cell r="G1009" t="str">
            <v>联合利华</v>
          </cell>
          <cell r="H1009" t="str">
            <v>奥妙</v>
          </cell>
          <cell r="I1009" t="str">
            <v>个人护理用品</v>
          </cell>
          <cell r="J1009" t="str">
            <v>个护类</v>
          </cell>
          <cell r="K1009" t="str">
            <v>奥妙深层洁净洗衣液 2kg+300g</v>
          </cell>
          <cell r="L1009" t="str">
            <v>2kg+300g</v>
          </cell>
          <cell r="M1009" t="str">
            <v>袋</v>
          </cell>
          <cell r="N1009">
            <v>34.29</v>
          </cell>
          <cell r="O1009">
            <v>39.9</v>
          </cell>
          <cell r="P1009">
            <v>0.13208020050125299</v>
          </cell>
        </row>
        <row r="1010">
          <cell r="F1010" t="str">
            <v>70346804</v>
          </cell>
          <cell r="G1010" t="str">
            <v>联合利华</v>
          </cell>
          <cell r="H1010" t="str">
            <v>奥妙</v>
          </cell>
          <cell r="I1010" t="str">
            <v>个人护理用品</v>
          </cell>
          <cell r="J1010" t="str">
            <v>个护类</v>
          </cell>
          <cell r="K1010" t="str">
            <v>奥妙除菌除螨洗衣液 2kg+300g</v>
          </cell>
          <cell r="L1010" t="str">
            <v>2kg+300g</v>
          </cell>
          <cell r="M1010" t="str">
            <v>瓶</v>
          </cell>
          <cell r="N1010">
            <v>34.29</v>
          </cell>
          <cell r="O1010">
            <v>39.9</v>
          </cell>
          <cell r="P1010">
            <v>0.13208020050125299</v>
          </cell>
        </row>
        <row r="1011">
          <cell r="F1011" t="str">
            <v>70386567</v>
          </cell>
          <cell r="G1011" t="str">
            <v>联合利华</v>
          </cell>
          <cell r="H1011" t="str">
            <v>奥妙</v>
          </cell>
          <cell r="I1011" t="str">
            <v>个人护理用品</v>
          </cell>
          <cell r="J1011" t="str">
            <v>个护类</v>
          </cell>
          <cell r="K1011" t="str">
            <v>奥妙亮白焕彩洗衣液 (2kg+300g)</v>
          </cell>
          <cell r="L1011" t="str">
            <v>2kg+300g</v>
          </cell>
          <cell r="M1011" t="str">
            <v>瓶</v>
          </cell>
          <cell r="N1011">
            <v>34.29</v>
          </cell>
          <cell r="O1011">
            <v>39.9</v>
          </cell>
          <cell r="P1011">
            <v>0.13208020050125299</v>
          </cell>
        </row>
        <row r="1012">
          <cell r="F1012" t="str">
            <v>70286048</v>
          </cell>
          <cell r="G1012" t="str">
            <v>联合利华</v>
          </cell>
          <cell r="H1012" t="str">
            <v>清扬</v>
          </cell>
          <cell r="I1012" t="str">
            <v>个人护理用品</v>
          </cell>
          <cell r="J1012" t="str">
            <v>个护类</v>
          </cell>
          <cell r="K1012" t="str">
            <v>新清扬 男士去屑洗发露清爽控油型蓝瓶 650g</v>
          </cell>
          <cell r="L1012" t="str">
            <v>650g</v>
          </cell>
          <cell r="M1012" t="str">
            <v>瓶</v>
          </cell>
          <cell r="N1012">
            <v>56.19</v>
          </cell>
          <cell r="O1012">
            <v>73</v>
          </cell>
          <cell r="P1012">
            <v>0.222739726027397</v>
          </cell>
        </row>
        <row r="1013">
          <cell r="F1013" t="str">
            <v>70286043</v>
          </cell>
          <cell r="G1013" t="str">
            <v>联合利华</v>
          </cell>
          <cell r="H1013" t="str">
            <v>清扬</v>
          </cell>
          <cell r="I1013" t="str">
            <v>个人护理用品</v>
          </cell>
          <cell r="J1013" t="str">
            <v>个护类</v>
          </cell>
          <cell r="K1013" t="str">
            <v>清扬 男士去屑洗发露多效水润型蓝瓶 650g</v>
          </cell>
          <cell r="L1013" t="str">
            <v>650g</v>
          </cell>
          <cell r="M1013" t="str">
            <v>瓶</v>
          </cell>
          <cell r="N1013">
            <v>56.19</v>
          </cell>
          <cell r="O1013">
            <v>73</v>
          </cell>
          <cell r="P1013">
            <v>0.222739726027397</v>
          </cell>
        </row>
        <row r="1014">
          <cell r="F1014" t="str">
            <v>70385947</v>
          </cell>
          <cell r="G1014" t="str">
            <v>联合利华</v>
          </cell>
          <cell r="H1014" t="str">
            <v>清扬</v>
          </cell>
          <cell r="I1014" t="str">
            <v>个人护理用品</v>
          </cell>
          <cell r="J1014" t="str">
            <v>个护类</v>
          </cell>
          <cell r="K1014" t="str">
            <v>清扬 男士去屑洗发露活力运动薄荷型蓝瓶 650g</v>
          </cell>
          <cell r="L1014" t="str">
            <v>650g</v>
          </cell>
          <cell r="M1014" t="str">
            <v>瓶</v>
          </cell>
          <cell r="N1014">
            <v>47.47</v>
          </cell>
          <cell r="O1014">
            <v>72.900000000000006</v>
          </cell>
          <cell r="P1014">
            <v>0.34238683127572</v>
          </cell>
        </row>
        <row r="1015">
          <cell r="F1015" t="str">
            <v>70385948</v>
          </cell>
          <cell r="G1015" t="str">
            <v>联合利华</v>
          </cell>
          <cell r="H1015" t="str">
            <v>清扬</v>
          </cell>
          <cell r="I1015" t="str">
            <v>个人护理用品</v>
          </cell>
          <cell r="J1015" t="str">
            <v>个护类</v>
          </cell>
          <cell r="K1015" t="str">
            <v>清扬 去屑洗发露多效水润养护型白瓶 650g</v>
          </cell>
          <cell r="L1015" t="str">
            <v>650g</v>
          </cell>
          <cell r="M1015" t="str">
            <v>瓶</v>
          </cell>
          <cell r="N1015">
            <v>47.47</v>
          </cell>
          <cell r="O1015">
            <v>72.900000000000006</v>
          </cell>
          <cell r="P1015">
            <v>0.34238683127572</v>
          </cell>
        </row>
        <row r="1016">
          <cell r="F1016" t="str">
            <v>70385949</v>
          </cell>
          <cell r="G1016" t="str">
            <v>联合利华</v>
          </cell>
          <cell r="H1016" t="str">
            <v>清扬</v>
          </cell>
          <cell r="I1016" t="str">
            <v>个人护理用品</v>
          </cell>
          <cell r="J1016" t="str">
            <v>个护类</v>
          </cell>
          <cell r="K1016" t="str">
            <v>清扬 男士平衡控油沐浴露 活力运动 720g</v>
          </cell>
          <cell r="L1016" t="str">
            <v>720g</v>
          </cell>
          <cell r="M1016" t="str">
            <v>瓶</v>
          </cell>
          <cell r="N1016">
            <v>36.17</v>
          </cell>
          <cell r="O1016">
            <v>45.9</v>
          </cell>
          <cell r="P1016">
            <v>0.20413943355119801</v>
          </cell>
        </row>
        <row r="1017">
          <cell r="F1017" t="str">
            <v>70385950</v>
          </cell>
          <cell r="G1017" t="str">
            <v>联合利华</v>
          </cell>
          <cell r="H1017" t="str">
            <v>清扬</v>
          </cell>
          <cell r="I1017" t="str">
            <v>个人护理用品</v>
          </cell>
          <cell r="J1017" t="str">
            <v>个护类</v>
          </cell>
          <cell r="K1017" t="str">
            <v>清扬 男士平衡控油沐浴露 活力运动 400g</v>
          </cell>
          <cell r="L1017" t="str">
            <v>400g</v>
          </cell>
          <cell r="M1017" t="str">
            <v>瓶</v>
          </cell>
          <cell r="N1017">
            <v>23.25</v>
          </cell>
          <cell r="O1017">
            <v>28.9</v>
          </cell>
          <cell r="P1017">
            <v>0.187543252595156</v>
          </cell>
        </row>
        <row r="1018">
          <cell r="F1018" t="str">
            <v>70314995</v>
          </cell>
          <cell r="G1018" t="str">
            <v>联合利华</v>
          </cell>
          <cell r="H1018" t="str">
            <v>多芬</v>
          </cell>
          <cell r="I1018" t="str">
            <v>个人护理用品</v>
          </cell>
          <cell r="J1018" t="str">
            <v>个护类</v>
          </cell>
          <cell r="K1018" t="str">
            <v>多芬 樱花甜香浓密沐浴泡泡 400mL</v>
          </cell>
          <cell r="L1018" t="str">
            <v>400g</v>
          </cell>
          <cell r="M1018" t="str">
            <v>瓶</v>
          </cell>
          <cell r="N1018">
            <v>32.880000000000003</v>
          </cell>
          <cell r="O1018">
            <v>59.9</v>
          </cell>
          <cell r="P1018">
            <v>0.445742904841402</v>
          </cell>
        </row>
        <row r="1019">
          <cell r="F1019" t="str">
            <v>70314993</v>
          </cell>
          <cell r="G1019" t="str">
            <v>联合利华</v>
          </cell>
          <cell r="H1019" t="str">
            <v>凡士林</v>
          </cell>
          <cell r="I1019" t="str">
            <v>个人护理用品</v>
          </cell>
          <cell r="J1019" t="str">
            <v>个护类</v>
          </cell>
          <cell r="K1019" t="str">
            <v>凡士林 特润修护清香润手霜 50mL</v>
          </cell>
          <cell r="L1019" t="str">
            <v>50g</v>
          </cell>
          <cell r="M1019" t="str">
            <v>个</v>
          </cell>
          <cell r="N1019">
            <v>15.2</v>
          </cell>
          <cell r="O1019">
            <v>19</v>
          </cell>
          <cell r="P1019">
            <v>0.192105263157895</v>
          </cell>
        </row>
        <row r="1020">
          <cell r="F1020" t="str">
            <v>70223856</v>
          </cell>
          <cell r="G1020" t="str">
            <v>联合利华</v>
          </cell>
          <cell r="H1020" t="str">
            <v>力士</v>
          </cell>
          <cell r="I1020" t="str">
            <v>个人护理用品</v>
          </cell>
          <cell r="J1020" t="str">
            <v>个护类</v>
          </cell>
          <cell r="K1020" t="str">
            <v>力士 精油香氛沐浴乳幽莲魅肤 720g</v>
          </cell>
          <cell r="L1020" t="str">
            <v>720g</v>
          </cell>
          <cell r="M1020" t="str">
            <v>瓶</v>
          </cell>
          <cell r="N1020">
            <v>32.770000000000003</v>
          </cell>
          <cell r="O1020">
            <v>38</v>
          </cell>
          <cell r="P1020">
            <v>0.128947368421053</v>
          </cell>
        </row>
        <row r="1021">
          <cell r="F1021" t="str">
            <v>70223857</v>
          </cell>
          <cell r="G1021" t="str">
            <v>联合利华</v>
          </cell>
          <cell r="H1021" t="str">
            <v>力士</v>
          </cell>
          <cell r="I1021" t="str">
            <v>个人护理用品</v>
          </cell>
          <cell r="J1021" t="str">
            <v>个护类</v>
          </cell>
          <cell r="K1021" t="str">
            <v>力士 爽肤沐浴乳闪亮冰爽 720g</v>
          </cell>
          <cell r="L1021" t="str">
            <v>720g</v>
          </cell>
          <cell r="M1021" t="str">
            <v>瓶</v>
          </cell>
          <cell r="N1021">
            <v>33.79</v>
          </cell>
          <cell r="O1021">
            <v>37.6</v>
          </cell>
          <cell r="P1021">
            <v>9.2287234042553207E-2</v>
          </cell>
        </row>
        <row r="1022">
          <cell r="F1022" t="str">
            <v>70223858</v>
          </cell>
          <cell r="G1022" t="str">
            <v>联合利华</v>
          </cell>
          <cell r="H1022" t="str">
            <v>力士</v>
          </cell>
          <cell r="I1022" t="str">
            <v>个人护理用品</v>
          </cell>
          <cell r="J1022" t="str">
            <v>个护类</v>
          </cell>
          <cell r="K1022" t="str">
            <v>力士 娇肤沐浴乳恒久嫩肤 720g</v>
          </cell>
          <cell r="L1022" t="str">
            <v>720g</v>
          </cell>
          <cell r="M1022" t="str">
            <v>瓶</v>
          </cell>
          <cell r="N1022">
            <v>33.79</v>
          </cell>
          <cell r="O1022">
            <v>37.6</v>
          </cell>
          <cell r="P1022">
            <v>9.2287234042553207E-2</v>
          </cell>
        </row>
        <row r="1023">
          <cell r="F1023" t="str">
            <v>70254187</v>
          </cell>
          <cell r="G1023" t="str">
            <v>联合利华</v>
          </cell>
          <cell r="H1023" t="str">
            <v>凡士林</v>
          </cell>
          <cell r="I1023" t="str">
            <v>个人护理用品</v>
          </cell>
          <cell r="J1023" t="str">
            <v>个护类</v>
          </cell>
          <cell r="K1023" t="str">
            <v>凡士林 精华修护润肤露 200mL</v>
          </cell>
          <cell r="L1023" t="str">
            <v>200g</v>
          </cell>
          <cell r="M1023" t="str">
            <v>个</v>
          </cell>
          <cell r="N1023">
            <v>26.18</v>
          </cell>
          <cell r="O1023">
            <v>37</v>
          </cell>
          <cell r="P1023">
            <v>0.28540540540540499</v>
          </cell>
        </row>
        <row r="1024">
          <cell r="F1024" t="str">
            <v>70346818</v>
          </cell>
          <cell r="G1024" t="str">
            <v>联合利华</v>
          </cell>
          <cell r="H1024" t="str">
            <v>奥妙</v>
          </cell>
          <cell r="I1024" t="str">
            <v>个人护理用品</v>
          </cell>
          <cell r="J1024" t="str">
            <v>个护类</v>
          </cell>
          <cell r="K1024" t="str">
            <v>奥妙 厨房重油污净柠檬西柚香型 480g</v>
          </cell>
          <cell r="L1024" t="str">
            <v>480g</v>
          </cell>
          <cell r="M1024" t="str">
            <v>瓶</v>
          </cell>
          <cell r="N1024">
            <v>15.82</v>
          </cell>
          <cell r="O1024">
            <v>20.9</v>
          </cell>
          <cell r="P1024">
            <v>0.235885167464115</v>
          </cell>
        </row>
        <row r="1025">
          <cell r="F1025" t="str">
            <v>70020836</v>
          </cell>
          <cell r="G1025" t="str">
            <v>联合利华</v>
          </cell>
          <cell r="H1025" t="str">
            <v>力士</v>
          </cell>
          <cell r="I1025" t="str">
            <v>个人护理用品</v>
          </cell>
          <cell r="J1025" t="str">
            <v>个护类</v>
          </cell>
          <cell r="K1025" t="str">
            <v>力士 水润丝滑柔亮洗发乳 480g</v>
          </cell>
          <cell r="L1025" t="str">
            <v>400mL+80mL</v>
          </cell>
          <cell r="M1025" t="str">
            <v>瓶</v>
          </cell>
          <cell r="N1025">
            <v>29.9</v>
          </cell>
          <cell r="O1025">
            <v>39.9</v>
          </cell>
          <cell r="P1025">
            <v>0.243358395989975</v>
          </cell>
        </row>
        <row r="1026">
          <cell r="F1026" t="str">
            <v>70234712</v>
          </cell>
          <cell r="G1026" t="str">
            <v>联合利华</v>
          </cell>
          <cell r="H1026" t="str">
            <v>力士</v>
          </cell>
          <cell r="I1026" t="str">
            <v>个人护理用品</v>
          </cell>
          <cell r="J1026" t="str">
            <v>个护类</v>
          </cell>
          <cell r="K1026" t="str">
            <v>力士 水润丝滑洗发乳 750g</v>
          </cell>
          <cell r="L1026" t="str">
            <v>750g</v>
          </cell>
          <cell r="M1026" t="str">
            <v>瓶</v>
          </cell>
          <cell r="N1026">
            <v>41.11</v>
          </cell>
          <cell r="O1026">
            <v>60</v>
          </cell>
          <cell r="P1026">
            <v>0.30816666666666698</v>
          </cell>
        </row>
        <row r="1027">
          <cell r="F1027" t="str">
            <v>70246785</v>
          </cell>
          <cell r="G1027" t="str">
            <v>联合利华</v>
          </cell>
          <cell r="H1027" t="str">
            <v>力士</v>
          </cell>
          <cell r="I1027" t="str">
            <v>个人护理用品</v>
          </cell>
          <cell r="J1027" t="str">
            <v>个护类</v>
          </cell>
          <cell r="K1027" t="str">
            <v>力士 赋活炫亮洗发乳 750g</v>
          </cell>
          <cell r="L1027" t="str">
            <v>750g</v>
          </cell>
          <cell r="M1027" t="str">
            <v>瓶</v>
          </cell>
          <cell r="N1027">
            <v>41.11</v>
          </cell>
          <cell r="O1027">
            <v>60</v>
          </cell>
          <cell r="P1027">
            <v>0.30816666666666698</v>
          </cell>
        </row>
        <row r="1028">
          <cell r="F1028" t="str">
            <v>70045464</v>
          </cell>
          <cell r="G1028" t="str">
            <v>联合利华</v>
          </cell>
          <cell r="H1028" t="str">
            <v>多芬</v>
          </cell>
          <cell r="I1028" t="str">
            <v>个人护理用品</v>
          </cell>
          <cell r="J1028" t="str">
            <v>个护类</v>
          </cell>
          <cell r="K1028" t="str">
            <v>多芬 柔肤乳霜沐浴乳滋润乳液720g</v>
          </cell>
          <cell r="L1028" t="str">
            <v>720g</v>
          </cell>
          <cell r="M1028" t="str">
            <v>瓶</v>
          </cell>
          <cell r="N1028">
            <v>36.159999999999997</v>
          </cell>
          <cell r="O1028">
            <v>42.9</v>
          </cell>
          <cell r="P1028">
            <v>0.14871794871794899</v>
          </cell>
        </row>
        <row r="1029">
          <cell r="F1029" t="str">
            <v>70385951</v>
          </cell>
          <cell r="G1029" t="str">
            <v>联合利华</v>
          </cell>
          <cell r="H1029" t="str">
            <v>多芬</v>
          </cell>
          <cell r="I1029" t="str">
            <v>个人护理用品</v>
          </cell>
          <cell r="J1029" t="str">
            <v>个护类</v>
          </cell>
          <cell r="K1029" t="str">
            <v>多芬 樱花甜香滋养美肤沐浴乳 720g</v>
          </cell>
          <cell r="L1029" t="str">
            <v>720g</v>
          </cell>
          <cell r="M1029" t="str">
            <v>瓶</v>
          </cell>
          <cell r="N1029">
            <v>36.159999999999997</v>
          </cell>
          <cell r="O1029">
            <v>42.9</v>
          </cell>
          <cell r="P1029">
            <v>0.14871794871794899</v>
          </cell>
        </row>
        <row r="1030">
          <cell r="F1030" t="str">
            <v>70312794</v>
          </cell>
          <cell r="G1030" t="str">
            <v>联合利华</v>
          </cell>
          <cell r="H1030" t="str">
            <v>清扬</v>
          </cell>
          <cell r="I1030" t="str">
            <v>个人护理用品</v>
          </cell>
          <cell r="J1030" t="str">
            <v>个护类</v>
          </cell>
          <cell r="K1030" t="str">
            <v>清扬 男士去屑洗发露活力运动薄荷型超值装 (400+160)g</v>
          </cell>
          <cell r="L1030" t="str">
            <v>(400+160)g</v>
          </cell>
          <cell r="M1030" t="str">
            <v>瓶</v>
          </cell>
          <cell r="N1030">
            <v>43.73</v>
          </cell>
          <cell r="O1030">
            <v>47</v>
          </cell>
          <cell r="P1030">
            <v>6.0212765957446797E-2</v>
          </cell>
        </row>
        <row r="1031">
          <cell r="F1031" t="str">
            <v>70286054</v>
          </cell>
          <cell r="G1031" t="str">
            <v>联合利华</v>
          </cell>
          <cell r="H1031" t="str">
            <v>金纺</v>
          </cell>
          <cell r="I1031" t="str">
            <v>个人护理用品</v>
          </cell>
          <cell r="J1031" t="str">
            <v>个护类</v>
          </cell>
          <cell r="K1031" t="str">
            <v>金纺 Y23纯净温和促销装(瓶内送) 2kg+600g</v>
          </cell>
          <cell r="L1031" t="str">
            <v>2kg+600g</v>
          </cell>
          <cell r="M1031" t="str">
            <v>瓶</v>
          </cell>
          <cell r="N1031">
            <v>26.99</v>
          </cell>
          <cell r="O1031">
            <v>35.9</v>
          </cell>
          <cell r="P1031">
            <v>0.24094707520891401</v>
          </cell>
        </row>
        <row r="1032">
          <cell r="F1032" t="str">
            <v>70386382</v>
          </cell>
          <cell r="G1032" t="str">
            <v>联合利华</v>
          </cell>
          <cell r="H1032" t="str">
            <v>中华</v>
          </cell>
          <cell r="I1032" t="str">
            <v>个人护理用品</v>
          </cell>
          <cell r="J1032" t="str">
            <v>个护类</v>
          </cell>
          <cell r="K1032" t="str">
            <v>中华 魔丽迅白酷爽+冰晶双重薄荷 (140g+20g)</v>
          </cell>
          <cell r="L1032" t="str">
            <v>(140g+20g)</v>
          </cell>
          <cell r="M1032" t="str">
            <v>个</v>
          </cell>
          <cell r="N1032">
            <v>12.18</v>
          </cell>
          <cell r="O1032">
            <v>15.9</v>
          </cell>
          <cell r="P1032">
            <v>0.22641509433962301</v>
          </cell>
        </row>
        <row r="1033">
          <cell r="F1033" t="str">
            <v>70315009</v>
          </cell>
          <cell r="G1033" t="str">
            <v>联合利华</v>
          </cell>
          <cell r="H1033" t="str">
            <v>奥妙</v>
          </cell>
          <cell r="I1033" t="str">
            <v>个人护理用品</v>
          </cell>
          <cell r="J1033" t="str">
            <v>个护类</v>
          </cell>
          <cell r="K1033" t="str">
            <v>奥妙 自然工坊多功能清洁乳柠檬型 380g</v>
          </cell>
          <cell r="L1033" t="str">
            <v>380g</v>
          </cell>
          <cell r="M1033" t="str">
            <v>瓶</v>
          </cell>
          <cell r="N1033">
            <v>11.99</v>
          </cell>
          <cell r="O1033">
            <v>15.9</v>
          </cell>
          <cell r="P1033">
            <v>0.23836477987421401</v>
          </cell>
        </row>
        <row r="1034">
          <cell r="F1034" t="str">
            <v>70291211</v>
          </cell>
          <cell r="G1034" t="str">
            <v>联合利华</v>
          </cell>
          <cell r="H1034" t="str">
            <v>力士</v>
          </cell>
          <cell r="I1034" t="str">
            <v>个人护理用品</v>
          </cell>
          <cell r="J1034" t="str">
            <v>个护类</v>
          </cell>
          <cell r="K1034" t="str">
            <v>联合利华 力士排浊除菌香皂幽莲魅肤 100g+5g</v>
          </cell>
          <cell r="L1034" t="str">
            <v>100g+5g</v>
          </cell>
          <cell r="M1034" t="str">
            <v>个</v>
          </cell>
          <cell r="N1034">
            <v>4.0999999999999996</v>
          </cell>
          <cell r="O1034">
            <v>4.5</v>
          </cell>
          <cell r="P1034">
            <v>8.0000000000000099E-2</v>
          </cell>
        </row>
        <row r="1035">
          <cell r="F1035" t="str">
            <v>70385961</v>
          </cell>
          <cell r="G1035" t="str">
            <v>联合利华</v>
          </cell>
          <cell r="H1035" t="str">
            <v>奥妙</v>
          </cell>
          <cell r="I1035" t="str">
            <v>个人护理用品</v>
          </cell>
          <cell r="J1035" t="str">
            <v>个护类</v>
          </cell>
          <cell r="K1035" t="str">
            <v>奥妙 彩漂液 680g</v>
          </cell>
          <cell r="L1035" t="str">
            <v>680g</v>
          </cell>
          <cell r="M1035" t="str">
            <v>瓶</v>
          </cell>
          <cell r="N1035">
            <v>11.38</v>
          </cell>
          <cell r="O1035">
            <v>15.9</v>
          </cell>
          <cell r="P1035">
            <v>0.276729559748428</v>
          </cell>
        </row>
        <row r="1036">
          <cell r="F1036" t="str">
            <v>70283067</v>
          </cell>
          <cell r="G1036" t="str">
            <v>联合利华</v>
          </cell>
          <cell r="H1036" t="str">
            <v>金纺</v>
          </cell>
          <cell r="I1036" t="str">
            <v>个人护理用品</v>
          </cell>
          <cell r="J1036" t="str">
            <v>个护类</v>
          </cell>
          <cell r="K1036" t="str">
            <v>金纺 怡神薰衣草衣物护理剂袋装 850g</v>
          </cell>
          <cell r="L1036" t="str">
            <v>900mL</v>
          </cell>
          <cell r="M1036" t="str">
            <v>袋</v>
          </cell>
          <cell r="N1036">
            <v>8.48</v>
          </cell>
          <cell r="O1036">
            <v>12.9</v>
          </cell>
          <cell r="P1036">
            <v>0.33565891472868198</v>
          </cell>
        </row>
        <row r="1037">
          <cell r="F1037" t="str">
            <v>70315010</v>
          </cell>
          <cell r="G1037" t="str">
            <v>联合利华</v>
          </cell>
          <cell r="H1037" t="str">
            <v>奥妙</v>
          </cell>
          <cell r="I1037" t="str">
            <v>个人护理用品</v>
          </cell>
          <cell r="J1037" t="str">
            <v>个护类</v>
          </cell>
          <cell r="K1037" t="str">
            <v>奥妙 酵素衣领净 400g</v>
          </cell>
          <cell r="L1037" t="str">
            <v>400g</v>
          </cell>
          <cell r="M1037" t="str">
            <v>瓶</v>
          </cell>
          <cell r="N1037">
            <v>12.22</v>
          </cell>
          <cell r="O1037">
            <v>19.899999999999999</v>
          </cell>
          <cell r="P1037">
            <v>0.37989949748743701</v>
          </cell>
        </row>
        <row r="1038">
          <cell r="F1038" t="str">
            <v>70314987</v>
          </cell>
          <cell r="G1038" t="str">
            <v>联合利华</v>
          </cell>
          <cell r="H1038" t="str">
            <v>力士</v>
          </cell>
          <cell r="I1038" t="str">
            <v>个人护理用品</v>
          </cell>
          <cell r="J1038" t="str">
            <v>个护类</v>
          </cell>
          <cell r="K1038" t="str">
            <v>力士 植萃精油香氛沐浴露天堂鸟与玫瑰籽 550g</v>
          </cell>
          <cell r="L1038" t="str">
            <v>550g</v>
          </cell>
          <cell r="M1038" t="str">
            <v>瓶</v>
          </cell>
          <cell r="N1038">
            <v>30</v>
          </cell>
          <cell r="O1038">
            <v>49.9</v>
          </cell>
          <cell r="P1038">
            <v>0.39298597194388801</v>
          </cell>
        </row>
        <row r="1039">
          <cell r="F1039" t="str">
            <v>70315011</v>
          </cell>
          <cell r="G1039" t="str">
            <v>联合利华</v>
          </cell>
          <cell r="H1039" t="str">
            <v>奥妙</v>
          </cell>
          <cell r="I1039" t="str">
            <v>个人护理用品</v>
          </cell>
          <cell r="J1039" t="str">
            <v>个护类</v>
          </cell>
          <cell r="K1039" t="str">
            <v>奥妙 酵素洗衣机槽清洁剂 125g*3</v>
          </cell>
          <cell r="L1039" t="str">
            <v>125g*3</v>
          </cell>
          <cell r="M1039" t="str">
            <v>包</v>
          </cell>
          <cell r="N1039">
            <v>12.71</v>
          </cell>
          <cell r="O1039">
            <v>19.899999999999999</v>
          </cell>
          <cell r="P1039">
            <v>0.35527638190954802</v>
          </cell>
        </row>
        <row r="1040">
          <cell r="F1040" t="str">
            <v>70315013</v>
          </cell>
          <cell r="G1040" t="str">
            <v>联合利华</v>
          </cell>
          <cell r="H1040" t="str">
            <v>奥妙</v>
          </cell>
          <cell r="I1040" t="str">
            <v>个人护理用品</v>
          </cell>
          <cell r="J1040" t="str">
            <v>个护类</v>
          </cell>
          <cell r="K1040" t="str">
            <v>奥妙 柠檬衣物除菌液 1kg</v>
          </cell>
          <cell r="L1040" t="str">
            <v>1kg</v>
          </cell>
          <cell r="M1040" t="str">
            <v>瓶</v>
          </cell>
          <cell r="N1040">
            <v>23.4</v>
          </cell>
          <cell r="O1040">
            <v>33.9</v>
          </cell>
          <cell r="P1040">
            <v>0.30294985250737499</v>
          </cell>
        </row>
        <row r="1041">
          <cell r="F1041" t="str">
            <v>70099312</v>
          </cell>
          <cell r="G1041" t="str">
            <v>联合利华</v>
          </cell>
          <cell r="H1041" t="str">
            <v>多芬</v>
          </cell>
          <cell r="I1041" t="str">
            <v>个人护理用品</v>
          </cell>
          <cell r="J1041" t="str">
            <v>个护类</v>
          </cell>
          <cell r="K1041" t="str">
            <v>多芬 深层营润滋养美肤沐浴乳 400g</v>
          </cell>
          <cell r="L1041" t="str">
            <v>400g</v>
          </cell>
          <cell r="M1041" t="str">
            <v>瓶</v>
          </cell>
          <cell r="N1041">
            <v>22.26</v>
          </cell>
          <cell r="O1041">
            <v>26</v>
          </cell>
          <cell r="P1041">
            <v>0.13538461538461499</v>
          </cell>
        </row>
        <row r="1042">
          <cell r="F1042" t="str">
            <v>70167706</v>
          </cell>
          <cell r="G1042" t="str">
            <v>联合利华</v>
          </cell>
          <cell r="H1042" t="str">
            <v>清扬</v>
          </cell>
          <cell r="I1042" t="str">
            <v>个人护理用品</v>
          </cell>
          <cell r="J1042" t="str">
            <v>个护类</v>
          </cell>
          <cell r="K1042" t="str">
            <v>清扬去屑洗发露多效水润养护型白瓶 450g</v>
          </cell>
          <cell r="L1042" t="str">
            <v>400g</v>
          </cell>
          <cell r="M1042" t="str">
            <v>瓶</v>
          </cell>
          <cell r="N1042">
            <v>34.54</v>
          </cell>
          <cell r="O1042">
            <v>47</v>
          </cell>
          <cell r="P1042">
            <v>0.25787234042553198</v>
          </cell>
        </row>
        <row r="1043">
          <cell r="F1043" t="str">
            <v>70167717</v>
          </cell>
          <cell r="G1043" t="str">
            <v>联合利华</v>
          </cell>
          <cell r="H1043" t="str">
            <v>清扬</v>
          </cell>
          <cell r="I1043" t="str">
            <v>个人护理用品</v>
          </cell>
          <cell r="J1043" t="str">
            <v>个护类</v>
          </cell>
          <cell r="K1043" t="str">
            <v>清扬 男士去屑洗发露多效水润型蓝瓶 450g</v>
          </cell>
          <cell r="L1043" t="str">
            <v>400g</v>
          </cell>
          <cell r="M1043" t="str">
            <v>瓶</v>
          </cell>
          <cell r="N1043">
            <v>34.54</v>
          </cell>
          <cell r="O1043">
            <v>50</v>
          </cell>
          <cell r="P1043">
            <v>0.3024</v>
          </cell>
        </row>
        <row r="1044">
          <cell r="F1044" t="str">
            <v>70314998</v>
          </cell>
          <cell r="G1044" t="str">
            <v>联合利华</v>
          </cell>
          <cell r="H1044" t="str">
            <v>中华</v>
          </cell>
          <cell r="I1044" t="str">
            <v>个人护理用品</v>
          </cell>
          <cell r="J1044" t="str">
            <v>个护类</v>
          </cell>
          <cell r="K1044" t="str">
            <v>中华 儿童防蛀牙膏草莓味 换牙期强健恒牙 60g</v>
          </cell>
          <cell r="L1044" t="str">
            <v>60g</v>
          </cell>
          <cell r="M1044" t="str">
            <v>个</v>
          </cell>
          <cell r="N1044">
            <v>9.4700000000000006</v>
          </cell>
          <cell r="O1044">
            <v>12.19</v>
          </cell>
          <cell r="P1044">
            <v>0.21493027071369999</v>
          </cell>
        </row>
        <row r="1045">
          <cell r="F1045" t="str">
            <v>70358858</v>
          </cell>
          <cell r="G1045" t="str">
            <v>联合利华</v>
          </cell>
          <cell r="H1045" t="str">
            <v>中华</v>
          </cell>
          <cell r="I1045" t="str">
            <v>个人护理用品</v>
          </cell>
          <cell r="J1045" t="str">
            <v>个护类</v>
          </cell>
          <cell r="K1045" t="str">
            <v>中华 儿童防蛀牙膏香橙味 换牙期强健恒牙 60g</v>
          </cell>
          <cell r="L1045" t="str">
            <v>60g</v>
          </cell>
          <cell r="M1045" t="str">
            <v>个</v>
          </cell>
          <cell r="N1045">
            <v>9.4700000000000006</v>
          </cell>
          <cell r="O1045">
            <v>12.19</v>
          </cell>
          <cell r="P1045">
            <v>0.21493027071369999</v>
          </cell>
        </row>
        <row r="1046">
          <cell r="F1046" t="str">
            <v>70219552</v>
          </cell>
          <cell r="G1046" t="str">
            <v>联合利华</v>
          </cell>
          <cell r="H1046" t="str">
            <v>旁氏</v>
          </cell>
          <cell r="I1046" t="str">
            <v>个人护理用品</v>
          </cell>
          <cell r="J1046" t="str">
            <v>个护类</v>
          </cell>
          <cell r="K1046" t="str">
            <v>旁氏 焕采净澈系列米粹润泽洁面乳限量装 75g</v>
          </cell>
          <cell r="L1046" t="str">
            <v>75g</v>
          </cell>
          <cell r="M1046" t="str">
            <v>瓶</v>
          </cell>
          <cell r="N1046">
            <v>15.57</v>
          </cell>
          <cell r="O1046">
            <v>19.5</v>
          </cell>
          <cell r="P1046">
            <v>0.193333333333333</v>
          </cell>
        </row>
        <row r="1047">
          <cell r="F1047" t="str">
            <v>70303814</v>
          </cell>
          <cell r="G1047" t="str">
            <v>联合利华</v>
          </cell>
          <cell r="H1047" t="str">
            <v>奥妙</v>
          </cell>
          <cell r="I1047" t="str">
            <v>个人护理用品</v>
          </cell>
          <cell r="J1047" t="str">
            <v>个护类</v>
          </cell>
          <cell r="K1047" t="str">
            <v>奥妙 深层洁净洗衣液 1kg</v>
          </cell>
          <cell r="L1047" t="str">
            <v>1kg</v>
          </cell>
          <cell r="M1047" t="str">
            <v>瓶</v>
          </cell>
          <cell r="N1047">
            <v>13.78</v>
          </cell>
          <cell r="O1047">
            <v>19.899999999999999</v>
          </cell>
          <cell r="P1047">
            <v>0.30100502512562799</v>
          </cell>
        </row>
        <row r="1048">
          <cell r="F1048" t="str">
            <v>70291061</v>
          </cell>
          <cell r="G1048" t="str">
            <v>联合利华</v>
          </cell>
          <cell r="H1048" t="str">
            <v>奥妙</v>
          </cell>
          <cell r="I1048" t="str">
            <v>个人护理用品</v>
          </cell>
          <cell r="J1048" t="str">
            <v>个护类</v>
          </cell>
          <cell r="K1048" t="str">
            <v>奥妙 除菌除螨洗衣液 1kg</v>
          </cell>
          <cell r="L1048" t="str">
            <v>1kg</v>
          </cell>
          <cell r="M1048" t="str">
            <v>瓶</v>
          </cell>
          <cell r="N1048">
            <v>13.78</v>
          </cell>
          <cell r="O1048">
            <v>19.899999999999999</v>
          </cell>
          <cell r="P1048">
            <v>0.30100502512562799</v>
          </cell>
        </row>
        <row r="1049">
          <cell r="F1049" t="str">
            <v>70046810</v>
          </cell>
          <cell r="G1049" t="str">
            <v>联合利华</v>
          </cell>
          <cell r="H1049" t="str">
            <v>奥妙</v>
          </cell>
          <cell r="I1049" t="str">
            <v>个人护理用品</v>
          </cell>
          <cell r="J1049" t="str">
            <v>个护类</v>
          </cell>
          <cell r="K1049" t="str">
            <v>奥妙 洗衣粉(净蓝) 500g</v>
          </cell>
          <cell r="L1049" t="str">
            <v>500g</v>
          </cell>
          <cell r="M1049" t="str">
            <v>个</v>
          </cell>
          <cell r="N1049">
            <v>5.04</v>
          </cell>
          <cell r="O1049">
            <v>5.9</v>
          </cell>
          <cell r="P1049">
            <v>0.13728813559322001</v>
          </cell>
        </row>
        <row r="1050">
          <cell r="F1050" t="str">
            <v>70168345</v>
          </cell>
          <cell r="G1050" t="str">
            <v>联合利华</v>
          </cell>
          <cell r="H1050" t="str">
            <v>清扬</v>
          </cell>
          <cell r="I1050" t="str">
            <v>个人护理用品</v>
          </cell>
          <cell r="J1050" t="str">
            <v>个护类</v>
          </cell>
          <cell r="K1050" t="str">
            <v>清扬 男士去屑洗发露活力运动薄荷型蓝瓶 175g</v>
          </cell>
          <cell r="L1050" t="str">
            <v>175g</v>
          </cell>
          <cell r="M1050" t="str">
            <v>瓶</v>
          </cell>
          <cell r="N1050">
            <v>19.53</v>
          </cell>
          <cell r="O1050">
            <v>23</v>
          </cell>
          <cell r="P1050">
            <v>0.14217391304347801</v>
          </cell>
        </row>
        <row r="1051">
          <cell r="F1051" t="str">
            <v>70168343</v>
          </cell>
          <cell r="G1051" t="str">
            <v>联合利华</v>
          </cell>
          <cell r="H1051" t="str">
            <v>清扬</v>
          </cell>
          <cell r="I1051" t="str">
            <v>个人护理用品</v>
          </cell>
          <cell r="J1051" t="str">
            <v>个护类</v>
          </cell>
          <cell r="K1051" t="str">
            <v>清扬 洗发露多效水润养护型 175g</v>
          </cell>
          <cell r="L1051" t="str">
            <v>175g</v>
          </cell>
          <cell r="M1051" t="str">
            <v>瓶</v>
          </cell>
          <cell r="N1051">
            <v>19.53</v>
          </cell>
          <cell r="O1051">
            <v>23</v>
          </cell>
          <cell r="P1051">
            <v>0.14217391304347801</v>
          </cell>
        </row>
        <row r="1052">
          <cell r="F1052" t="str">
            <v>70386549</v>
          </cell>
          <cell r="G1052" t="str">
            <v>联合利华</v>
          </cell>
          <cell r="H1052" t="str">
            <v>多芬</v>
          </cell>
          <cell r="I1052" t="str">
            <v>个人护理用品</v>
          </cell>
          <cell r="J1052" t="str">
            <v>个护类</v>
          </cell>
          <cell r="K1052" t="str">
            <v>多芬 密集滋养旅行装 SP+CD+PW (50+50+45)g</v>
          </cell>
          <cell r="L1052" t="str">
            <v>(50+50+45)g</v>
          </cell>
          <cell r="M1052" t="str">
            <v>包</v>
          </cell>
          <cell r="N1052">
            <v>15.46</v>
          </cell>
          <cell r="O1052">
            <v>22</v>
          </cell>
          <cell r="P1052">
            <v>0.28999999999999998</v>
          </cell>
        </row>
        <row r="1053">
          <cell r="F1053" t="str">
            <v>70385964</v>
          </cell>
          <cell r="G1053" t="str">
            <v>联合利华</v>
          </cell>
          <cell r="H1053" t="str">
            <v>DOMESTOS</v>
          </cell>
          <cell r="I1053" t="str">
            <v>个人护理用品</v>
          </cell>
          <cell r="J1053" t="str">
            <v>个护类</v>
          </cell>
          <cell r="K1053" t="str">
            <v>DOMESTOS 长效洁净洁厕啫喱沧海星光香 600g</v>
          </cell>
          <cell r="L1053" t="str">
            <v>600g</v>
          </cell>
          <cell r="M1053" t="str">
            <v>瓶</v>
          </cell>
          <cell r="N1053">
            <v>10.57</v>
          </cell>
          <cell r="O1053">
            <v>14.9</v>
          </cell>
          <cell r="P1053">
            <v>0.28322147651006702</v>
          </cell>
        </row>
        <row r="1054">
          <cell r="F1054" t="str">
            <v>70030427</v>
          </cell>
          <cell r="G1054" t="str">
            <v>联合利华</v>
          </cell>
          <cell r="H1054" t="str">
            <v>金纺</v>
          </cell>
          <cell r="I1054" t="str">
            <v>个人护理用品</v>
          </cell>
          <cell r="J1054" t="str">
            <v>个护类</v>
          </cell>
          <cell r="K1054" t="str">
            <v>金纺 怡神熏衣草护理剂 1kg</v>
          </cell>
          <cell r="L1054" t="str">
            <v>1L</v>
          </cell>
          <cell r="M1054" t="str">
            <v>瓶</v>
          </cell>
          <cell r="N1054">
            <v>13.53</v>
          </cell>
          <cell r="O1054">
            <v>16.899999999999999</v>
          </cell>
          <cell r="P1054">
            <v>0.19112426035503</v>
          </cell>
        </row>
        <row r="1055">
          <cell r="F1055" t="str">
            <v>70385954</v>
          </cell>
          <cell r="G1055" t="str">
            <v>联合利华</v>
          </cell>
          <cell r="H1055" t="str">
            <v>奥妙</v>
          </cell>
          <cell r="I1055" t="str">
            <v>个人护理用品</v>
          </cell>
          <cell r="J1055" t="str">
            <v>个护类</v>
          </cell>
          <cell r="K1055" t="str">
            <v>奥妙 深层洁净洗衣粉 2.7kg</v>
          </cell>
          <cell r="L1055" t="str">
            <v>2.7kg</v>
          </cell>
          <cell r="M1055" t="str">
            <v>袋</v>
          </cell>
          <cell r="N1055">
            <v>27.37</v>
          </cell>
          <cell r="O1055">
            <v>31.9</v>
          </cell>
          <cell r="P1055">
            <v>0.13354231974921599</v>
          </cell>
        </row>
        <row r="1056">
          <cell r="F1056" t="str">
            <v>70386383</v>
          </cell>
          <cell r="G1056" t="str">
            <v>联合利华</v>
          </cell>
          <cell r="H1056" t="str">
            <v>多芬</v>
          </cell>
          <cell r="I1056" t="str">
            <v>个人护理用品</v>
          </cell>
          <cell r="J1056" t="str">
            <v>个护类</v>
          </cell>
          <cell r="K1056" t="str">
            <v>多芬 密集滋养洗护套装 SP CD (400+380)g</v>
          </cell>
          <cell r="L1056" t="str">
            <v>(400+380)g</v>
          </cell>
          <cell r="M1056" t="str">
            <v>包</v>
          </cell>
          <cell r="N1056">
            <v>31.75</v>
          </cell>
          <cell r="O1056">
            <v>38.9</v>
          </cell>
          <cell r="P1056">
            <v>0.175578406169666</v>
          </cell>
        </row>
        <row r="1057">
          <cell r="F1057" t="str">
            <v>70386550</v>
          </cell>
          <cell r="G1057" t="str">
            <v>联合利华</v>
          </cell>
          <cell r="H1057" t="str">
            <v>多芬</v>
          </cell>
          <cell r="I1057" t="str">
            <v>个人护理用品</v>
          </cell>
          <cell r="J1057" t="str">
            <v>个护类</v>
          </cell>
          <cell r="K1057" t="str">
            <v>多芬 滋养水润洗发乳套装 (400+380)g</v>
          </cell>
          <cell r="L1057" t="str">
            <v>(400+380)g</v>
          </cell>
          <cell r="M1057" t="str">
            <v>包</v>
          </cell>
          <cell r="N1057">
            <v>31.75</v>
          </cell>
          <cell r="O1057">
            <v>38.9</v>
          </cell>
          <cell r="P1057">
            <v>0.175578406169666</v>
          </cell>
        </row>
        <row r="1058">
          <cell r="F1058" t="str">
            <v>70386380</v>
          </cell>
          <cell r="G1058" t="str">
            <v>联合利华</v>
          </cell>
          <cell r="H1058" t="str">
            <v>力士</v>
          </cell>
          <cell r="I1058" t="str">
            <v>个人护理用品</v>
          </cell>
          <cell r="J1058" t="str">
            <v>个护类</v>
          </cell>
          <cell r="K1058" t="str">
            <v>力士 新活炫亮洗发超值装(400+160)g</v>
          </cell>
          <cell r="L1058" t="str">
            <v>(400+160)g</v>
          </cell>
          <cell r="M1058" t="str">
            <v>包</v>
          </cell>
          <cell r="N1058">
            <v>29.9</v>
          </cell>
          <cell r="O1058">
            <v>39.9</v>
          </cell>
          <cell r="P1058">
            <v>0.243358395989975</v>
          </cell>
        </row>
        <row r="1059">
          <cell r="F1059" t="str">
            <v>70201366</v>
          </cell>
          <cell r="G1059" t="str">
            <v>联合利华</v>
          </cell>
          <cell r="H1059" t="str">
            <v>旁氏</v>
          </cell>
          <cell r="I1059" t="str">
            <v>个人护理用品</v>
          </cell>
          <cell r="J1059" t="str">
            <v>个护类</v>
          </cell>
          <cell r="K1059" t="str">
            <v>旁氏 亮采净白粉润白皙洁面乳 75g</v>
          </cell>
          <cell r="L1059" t="str">
            <v>75g</v>
          </cell>
          <cell r="M1059" t="str">
            <v>包</v>
          </cell>
          <cell r="N1059">
            <v>15.57</v>
          </cell>
          <cell r="O1059">
            <v>19.5</v>
          </cell>
          <cell r="P1059">
            <v>0.193333333333333</v>
          </cell>
        </row>
        <row r="1060">
          <cell r="F1060" t="str">
            <v>70168344</v>
          </cell>
          <cell r="G1060" t="str">
            <v>联合利华</v>
          </cell>
          <cell r="H1060" t="str">
            <v>清扬</v>
          </cell>
          <cell r="I1060" t="str">
            <v>个人护理用品</v>
          </cell>
          <cell r="J1060" t="str">
            <v>洗发沐浴</v>
          </cell>
          <cell r="K1060" t="str">
            <v>清扬 男士去屑洗发露多效水润养护型蓝瓶 175g</v>
          </cell>
          <cell r="L1060" t="str">
            <v>175g</v>
          </cell>
          <cell r="M1060" t="str">
            <v>瓶</v>
          </cell>
          <cell r="N1060">
            <v>17.78</v>
          </cell>
          <cell r="O1060">
            <v>23</v>
          </cell>
          <cell r="P1060">
            <v>0.219565217391304</v>
          </cell>
        </row>
        <row r="1061">
          <cell r="F1061" t="str">
            <v>70451904</v>
          </cell>
          <cell r="G1061" t="str">
            <v>联合利华</v>
          </cell>
          <cell r="H1061" t="str">
            <v>中华</v>
          </cell>
          <cell r="I1061" t="str">
            <v>个人护理用品</v>
          </cell>
          <cell r="J1061" t="str">
            <v>护肤/化妆品</v>
          </cell>
          <cell r="K1061" t="str">
            <v>中华抗糖抗敏牙膏 香草牡丹味 54X90g</v>
          </cell>
          <cell r="L1061" t="str">
            <v>90g</v>
          </cell>
          <cell r="M1061" t="str">
            <v>包</v>
          </cell>
          <cell r="N1061">
            <v>7.32</v>
          </cell>
          <cell r="O1061">
            <v>9.9</v>
          </cell>
          <cell r="P1061">
            <v>0.25252525252525299</v>
          </cell>
        </row>
        <row r="1062">
          <cell r="F1062" t="str">
            <v>70315000</v>
          </cell>
          <cell r="G1062" t="str">
            <v>联合利华</v>
          </cell>
          <cell r="H1062" t="str">
            <v>奥妙</v>
          </cell>
          <cell r="I1062" t="str">
            <v>清洁用品</v>
          </cell>
          <cell r="J1062" t="str">
            <v>衣物清洁</v>
          </cell>
          <cell r="K1062" t="str">
            <v>奥妙 自然工坊洁净柔护洗衣露 (2kg+650g)</v>
          </cell>
          <cell r="L1062" t="str">
            <v>(2kg+650g)</v>
          </cell>
          <cell r="M1062" t="str">
            <v>瓶</v>
          </cell>
          <cell r="N1062">
            <v>36.869999999999997</v>
          </cell>
          <cell r="O1062">
            <v>59.9</v>
          </cell>
          <cell r="P1062">
            <v>0.37846410684474102</v>
          </cell>
        </row>
        <row r="1063">
          <cell r="F1063" t="str">
            <v>70452913</v>
          </cell>
          <cell r="G1063" t="str">
            <v>联合利华</v>
          </cell>
          <cell r="H1063" t="str">
            <v>奥妙</v>
          </cell>
          <cell r="I1063" t="str">
            <v>清洁用品</v>
          </cell>
          <cell r="J1063" t="str">
            <v>衣物清洁</v>
          </cell>
          <cell r="K1063" t="str">
            <v>奥妙自然工坊除菌养护洗衣露 (2kg+650g)</v>
          </cell>
          <cell r="L1063" t="str">
            <v>(2kg+650g)</v>
          </cell>
          <cell r="M1063" t="str">
            <v>桶</v>
          </cell>
          <cell r="N1063">
            <v>36.869999999999997</v>
          </cell>
          <cell r="O1063">
            <v>59.9</v>
          </cell>
          <cell r="P1063">
            <v>0.37846410684474102</v>
          </cell>
        </row>
        <row r="1064">
          <cell r="F1064" t="str">
            <v>70381972</v>
          </cell>
          <cell r="G1064" t="str">
            <v>联合利华</v>
          </cell>
          <cell r="H1064" t="str">
            <v>奥妙</v>
          </cell>
          <cell r="I1064" t="str">
            <v>清洁用品</v>
          </cell>
          <cell r="J1064" t="str">
            <v>衣物清洁</v>
          </cell>
          <cell r="K1064" t="str">
            <v>奥妙洁净套盒(2kg+200g+400g+375g+1kg)</v>
          </cell>
          <cell r="L1064" t="str">
            <v>(2kg+200g+400g+375g+1kg)</v>
          </cell>
          <cell r="M1064" t="str">
            <v>盒</v>
          </cell>
          <cell r="N1064">
            <v>97.97</v>
          </cell>
          <cell r="O1064">
            <v>139.9</v>
          </cell>
          <cell r="P1064">
            <v>0.29278055754110099</v>
          </cell>
        </row>
        <row r="1065">
          <cell r="F1065" t="str">
            <v>70390496</v>
          </cell>
          <cell r="G1065" t="str">
            <v>联合利华</v>
          </cell>
          <cell r="H1065" t="str">
            <v>凡士林</v>
          </cell>
          <cell r="I1065" t="str">
            <v>个人护理用品</v>
          </cell>
          <cell r="J1065" t="str">
            <v>护肤/化妆品</v>
          </cell>
          <cell r="K1065" t="str">
            <v>凡士林滋养修护润唇膏原味 3.5g</v>
          </cell>
          <cell r="L1065" t="str">
            <v>3.5g</v>
          </cell>
          <cell r="M1065" t="str">
            <v>个</v>
          </cell>
          <cell r="N1065">
            <v>17.78</v>
          </cell>
          <cell r="O1065">
            <v>24.9</v>
          </cell>
          <cell r="P1065">
            <v>0.27911646586345401</v>
          </cell>
        </row>
        <row r="1066">
          <cell r="F1066" t="str">
            <v>70452736</v>
          </cell>
          <cell r="G1066" t="str">
            <v>联合利华</v>
          </cell>
          <cell r="H1066" t="str">
            <v>凡士林</v>
          </cell>
          <cell r="I1066" t="str">
            <v>个人护理用品</v>
          </cell>
          <cell r="J1066" t="str">
            <v>护肤/化妆品</v>
          </cell>
          <cell r="K1066" t="str">
            <v>凡士林修护型润唇膏玫瑰花蕾味 3.5g</v>
          </cell>
          <cell r="L1066" t="str">
            <v>3.5g</v>
          </cell>
          <cell r="M1066" t="str">
            <v>个</v>
          </cell>
          <cell r="N1066">
            <v>17.78</v>
          </cell>
          <cell r="O1066">
            <v>24.9</v>
          </cell>
          <cell r="P1066">
            <v>0.27911646586345401</v>
          </cell>
        </row>
        <row r="1067">
          <cell r="F1067" t="str">
            <v>70452737</v>
          </cell>
          <cell r="G1067" t="str">
            <v>联合利华</v>
          </cell>
          <cell r="H1067" t="str">
            <v>中华</v>
          </cell>
          <cell r="I1067" t="str">
            <v>个人护理用品</v>
          </cell>
          <cell r="J1067" t="str">
            <v>护肤/化妆品</v>
          </cell>
          <cell r="K1067" t="str">
            <v>中华双效洁护软毛牙刷单支装</v>
          </cell>
          <cell r="L1067" t="str">
            <v>单支装</v>
          </cell>
          <cell r="M1067" t="str">
            <v>包</v>
          </cell>
          <cell r="N1067">
            <v>3.84</v>
          </cell>
          <cell r="O1067">
            <v>7.9</v>
          </cell>
          <cell r="P1067">
            <v>0.50886075949367104</v>
          </cell>
        </row>
        <row r="1068">
          <cell r="F1068" t="str">
            <v>70510900</v>
          </cell>
          <cell r="G1068" t="str">
            <v>联合利华</v>
          </cell>
          <cell r="H1068" t="str">
            <v>花木星球</v>
          </cell>
          <cell r="I1068" t="str">
            <v>个人护理用品</v>
          </cell>
          <cell r="J1068" t="str">
            <v>衣物清洁</v>
          </cell>
          <cell r="K1068" t="str">
            <v>花木星球天然香氛洗衣液 柔软亲肤 2kg</v>
          </cell>
          <cell r="L1068" t="str">
            <v>2kg</v>
          </cell>
          <cell r="M1068" t="str">
            <v>瓶</v>
          </cell>
          <cell r="N1068">
            <v>28.89</v>
          </cell>
          <cell r="O1068">
            <v>49.9</v>
          </cell>
          <cell r="P1068">
            <v>0.41543086172344701</v>
          </cell>
        </row>
        <row r="1069">
          <cell r="F1069" t="str">
            <v>70510901</v>
          </cell>
          <cell r="G1069" t="str">
            <v>联合利华</v>
          </cell>
          <cell r="H1069" t="str">
            <v>花木星球</v>
          </cell>
          <cell r="I1069" t="str">
            <v>个人护理用品</v>
          </cell>
          <cell r="J1069" t="str">
            <v>衣物清洁</v>
          </cell>
          <cell r="K1069" t="str">
            <v>花木星球天然香氛洗衣液 洁净透亮 3.3kg</v>
          </cell>
          <cell r="L1069" t="str">
            <v>3.3kg</v>
          </cell>
          <cell r="M1069" t="str">
            <v>瓶</v>
          </cell>
          <cell r="N1069">
            <v>49.42</v>
          </cell>
          <cell r="O1069">
            <v>69.900000000000006</v>
          </cell>
          <cell r="P1069">
            <v>0.28597997138769699</v>
          </cell>
        </row>
        <row r="1070">
          <cell r="F1070" t="str">
            <v>70278993</v>
          </cell>
          <cell r="G1070" t="str">
            <v>联合利华</v>
          </cell>
          <cell r="H1070" t="str">
            <v>奥妙</v>
          </cell>
          <cell r="I1070" t="str">
            <v>个人护理用品</v>
          </cell>
          <cell r="J1070" t="str">
            <v>衣物清洁</v>
          </cell>
          <cell r="K1070" t="str">
            <v>奥妙18除菌除螨洗衣液 2kg</v>
          </cell>
          <cell r="L1070" t="str">
            <v>2kg</v>
          </cell>
          <cell r="M1070" t="str">
            <v>瓶</v>
          </cell>
          <cell r="N1070">
            <v>24.44</v>
          </cell>
          <cell r="O1070">
            <v>29.9</v>
          </cell>
          <cell r="P1070">
            <v>0.17458193979933101</v>
          </cell>
        </row>
        <row r="1071">
          <cell r="F1071" t="str">
            <v>70311434</v>
          </cell>
          <cell r="G1071" t="str">
            <v>联合利华</v>
          </cell>
          <cell r="H1071" t="str">
            <v>力士</v>
          </cell>
          <cell r="I1071" t="str">
            <v>个人护理用品</v>
          </cell>
          <cell r="J1071" t="str">
            <v>洗发沐浴</v>
          </cell>
          <cell r="K1071" t="str">
            <v>力士水润丝滑柔亮洗护超值装 (650+350)g</v>
          </cell>
          <cell r="L1071" t="str">
            <v>650g+330g</v>
          </cell>
          <cell r="M1071" t="str">
            <v>盒</v>
          </cell>
          <cell r="N1071">
            <v>48.36</v>
          </cell>
          <cell r="O1071">
            <v>59.9</v>
          </cell>
          <cell r="P1071">
            <v>0.18464106844741199</v>
          </cell>
        </row>
        <row r="1072">
          <cell r="F1072" t="str">
            <v>70510874</v>
          </cell>
          <cell r="G1072" t="str">
            <v>联合利华</v>
          </cell>
          <cell r="H1072" t="str">
            <v>力士</v>
          </cell>
          <cell r="I1072" t="str">
            <v>个人护理用品</v>
          </cell>
          <cell r="J1072" t="str">
            <v>洗发沐浴</v>
          </cell>
          <cell r="K1072" t="str">
            <v>LUX力士水润丝滑香氛发膜 220g</v>
          </cell>
          <cell r="L1072" t="str">
            <v>220g</v>
          </cell>
          <cell r="M1072" t="str">
            <v>瓶</v>
          </cell>
          <cell r="N1072">
            <v>26.52</v>
          </cell>
          <cell r="O1072">
            <v>49.9</v>
          </cell>
          <cell r="P1072">
            <v>0.46312625250500999</v>
          </cell>
        </row>
        <row r="1073">
          <cell r="F1073" t="str">
            <v>70510902</v>
          </cell>
          <cell r="G1073" t="str">
            <v>联合利华</v>
          </cell>
          <cell r="H1073" t="str">
            <v>力士</v>
          </cell>
          <cell r="I1073" t="str">
            <v>个人护理用品</v>
          </cell>
          <cell r="J1073" t="str">
            <v>皂类</v>
          </cell>
          <cell r="K1073" t="str">
            <v>力士植萃净澈香皂蜜桃柑橘香 (2X95g+1X95g)</v>
          </cell>
          <cell r="L1073" t="str">
            <v>(2*95g+1*95g)</v>
          </cell>
          <cell r="M1073" t="str">
            <v>组</v>
          </cell>
          <cell r="N1073">
            <v>28.62</v>
          </cell>
          <cell r="O1073">
            <v>49.9</v>
          </cell>
          <cell r="P1073">
            <v>0.42064128256513</v>
          </cell>
        </row>
        <row r="1074">
          <cell r="F1074" t="str">
            <v>70543510</v>
          </cell>
          <cell r="G1074" t="str">
            <v>联合利华</v>
          </cell>
          <cell r="H1074" t="str">
            <v>奥妙</v>
          </cell>
          <cell r="I1074" t="str">
            <v>清洁用品</v>
          </cell>
          <cell r="J1074" t="str">
            <v>衣物清洁</v>
          </cell>
          <cell r="K1074" t="str">
            <v>奥妙快洗洗衣液 洁净柔软 线下 2kg</v>
          </cell>
          <cell r="L1074" t="str">
            <v>2kg</v>
          </cell>
          <cell r="M1074" t="str">
            <v>桶</v>
          </cell>
          <cell r="N1074">
            <v>28.08</v>
          </cell>
          <cell r="O1074">
            <v>34.9</v>
          </cell>
          <cell r="P1074">
            <v>0.187392550143266</v>
          </cell>
        </row>
        <row r="1075">
          <cell r="F1075" t="str">
            <v>70543471</v>
          </cell>
          <cell r="G1075" t="str">
            <v>联合利华</v>
          </cell>
          <cell r="H1075" t="str">
            <v>奥妙</v>
          </cell>
          <cell r="I1075" t="str">
            <v>清洁用品</v>
          </cell>
          <cell r="J1075" t="str">
            <v>衣物清洁</v>
          </cell>
          <cell r="K1075" t="str">
            <v>奥妙快洗洗衣液 洁净柔软袋装 100g</v>
          </cell>
          <cell r="L1075" t="str">
            <v>100g</v>
          </cell>
          <cell r="M1075" t="str">
            <v>桶</v>
          </cell>
          <cell r="N1075">
            <v>3.33</v>
          </cell>
          <cell r="O1075">
            <v>5</v>
          </cell>
          <cell r="P1075">
            <v>0.32600000000000001</v>
          </cell>
        </row>
        <row r="1076">
          <cell r="F1076" t="str">
            <v>70543509</v>
          </cell>
          <cell r="G1076" t="str">
            <v>联合利华</v>
          </cell>
          <cell r="H1076" t="str">
            <v>奥妙</v>
          </cell>
          <cell r="I1076" t="str">
            <v>清洁用品</v>
          </cell>
          <cell r="J1076" t="str">
            <v>衣物清洁</v>
          </cell>
          <cell r="K1076" t="str">
            <v>奥妙香氛洗衣液玫瑰山茶花香 2kg</v>
          </cell>
          <cell r="L1076" t="str">
            <v>2kg</v>
          </cell>
          <cell r="M1076" t="str">
            <v>桶</v>
          </cell>
          <cell r="N1076">
            <v>26.99</v>
          </cell>
          <cell r="O1076">
            <v>38.9</v>
          </cell>
          <cell r="P1076">
            <v>0.29948586118251902</v>
          </cell>
        </row>
        <row r="1077">
          <cell r="F1077" t="str">
            <v>70543427</v>
          </cell>
          <cell r="G1077" t="str">
            <v>联合利华</v>
          </cell>
          <cell r="H1077" t="str">
            <v>奥妙</v>
          </cell>
          <cell r="I1077" t="str">
            <v>清洁用品</v>
          </cell>
          <cell r="J1077" t="str">
            <v>衣物清洁</v>
          </cell>
          <cell r="K1077" t="str">
            <v>奥妙香氛洗衣液幽莲木兰香 2kg</v>
          </cell>
          <cell r="L1077" t="str">
            <v>2kg</v>
          </cell>
          <cell r="M1077" t="str">
            <v>桶</v>
          </cell>
          <cell r="N1077">
            <v>26.99</v>
          </cell>
          <cell r="O1077">
            <v>38.9</v>
          </cell>
          <cell r="P1077">
            <v>0.29948586118251902</v>
          </cell>
        </row>
        <row r="1078">
          <cell r="F1078" t="str">
            <v>70543477</v>
          </cell>
          <cell r="G1078" t="str">
            <v>联合利华</v>
          </cell>
          <cell r="H1078" t="str">
            <v>奥妙</v>
          </cell>
          <cell r="I1078" t="str">
            <v>清洁用品</v>
          </cell>
          <cell r="J1078" t="str">
            <v>衣物清洁</v>
          </cell>
          <cell r="K1078" t="str">
            <v>奥妙香氛洗衣液玫瑰山茶花香(袋装) 100g</v>
          </cell>
          <cell r="L1078" t="str">
            <v>100g</v>
          </cell>
          <cell r="M1078" t="str">
            <v>桶</v>
          </cell>
          <cell r="N1078">
            <v>3.33</v>
          </cell>
          <cell r="O1078">
            <v>5</v>
          </cell>
          <cell r="P1078">
            <v>0.32600000000000001</v>
          </cell>
        </row>
        <row r="1079">
          <cell r="F1079" t="str">
            <v>70543499</v>
          </cell>
          <cell r="G1079" t="str">
            <v>联合利华</v>
          </cell>
          <cell r="H1079" t="str">
            <v>清扬</v>
          </cell>
          <cell r="I1079" t="str">
            <v>个人护理用品</v>
          </cell>
          <cell r="J1079" t="str">
            <v>洗发水</v>
          </cell>
          <cell r="K1079" t="str">
            <v>CLEAR清扬净澈蓬松头皮护理洗发露 270g</v>
          </cell>
          <cell r="L1079" t="str">
            <v>270g</v>
          </cell>
          <cell r="M1079" t="str">
            <v>瓶</v>
          </cell>
          <cell r="N1079">
            <v>25.76</v>
          </cell>
          <cell r="O1079">
            <v>39.9</v>
          </cell>
          <cell r="P1079">
            <v>0.34812030075188</v>
          </cell>
        </row>
        <row r="1080">
          <cell r="F1080" t="str">
            <v>70543439</v>
          </cell>
          <cell r="G1080" t="str">
            <v>联合利华</v>
          </cell>
          <cell r="H1080" t="str">
            <v>金纺</v>
          </cell>
          <cell r="I1080" t="str">
            <v>清洁用品</v>
          </cell>
          <cell r="J1080" t="str">
            <v>衣物柔顺剂</v>
          </cell>
          <cell r="K1080" t="str">
            <v>金纺Y24衣物护理剂型色紫 (2kg+600g)</v>
          </cell>
          <cell r="L1080" t="str">
            <v>2kg+600g</v>
          </cell>
          <cell r="M1080" t="str">
            <v>桶</v>
          </cell>
          <cell r="N1080">
            <v>26.97</v>
          </cell>
          <cell r="O1080">
            <v>35.9</v>
          </cell>
          <cell r="P1080">
            <v>0.24150417827298001</v>
          </cell>
        </row>
        <row r="1081">
          <cell r="F1081" t="str">
            <v>70543520</v>
          </cell>
          <cell r="G1081" t="str">
            <v>联合利华</v>
          </cell>
          <cell r="H1081" t="str">
            <v>金纺</v>
          </cell>
          <cell r="I1081" t="str">
            <v>清洁用品</v>
          </cell>
          <cell r="J1081" t="str">
            <v>衣物柔顺剂</v>
          </cell>
          <cell r="K1081" t="str">
            <v>金纺Y24衣物护理剂型色蓝 (2kg+600g)</v>
          </cell>
          <cell r="L1081" t="str">
            <v>2kg+600g</v>
          </cell>
          <cell r="M1081" t="str">
            <v>桶</v>
          </cell>
          <cell r="N1081">
            <v>26.97</v>
          </cell>
          <cell r="O1081">
            <v>35.9</v>
          </cell>
          <cell r="P1081">
            <v>0.24150417827298001</v>
          </cell>
        </row>
        <row r="1082">
          <cell r="F1082" t="str">
            <v>70543469</v>
          </cell>
          <cell r="G1082" t="str">
            <v>联合利华</v>
          </cell>
          <cell r="H1082" t="str">
            <v>奥妙</v>
          </cell>
          <cell r="I1082" t="str">
            <v>清洁用品</v>
          </cell>
          <cell r="J1082" t="str">
            <v>果蔬净</v>
          </cell>
          <cell r="K1082" t="str">
            <v>奥妙酵素餐具净橙花小青柑香型 1kg</v>
          </cell>
          <cell r="L1082" t="str">
            <v>1kg</v>
          </cell>
          <cell r="M1082" t="str">
            <v>瓶</v>
          </cell>
          <cell r="N1082">
            <v>13.18</v>
          </cell>
          <cell r="O1082">
            <v>19.899999999999999</v>
          </cell>
          <cell r="P1082">
            <v>0.33115577889447201</v>
          </cell>
        </row>
        <row r="1083">
          <cell r="F1083" t="str">
            <v>70543478</v>
          </cell>
          <cell r="G1083" t="str">
            <v>联合利华</v>
          </cell>
          <cell r="H1083" t="str">
            <v>奥妙</v>
          </cell>
          <cell r="I1083" t="str">
            <v>清洁用品</v>
          </cell>
          <cell r="J1083" t="str">
            <v>果蔬净</v>
          </cell>
          <cell r="K1083" t="str">
            <v>奥妙酵素餐具净白茶柠檬草香型 1kg</v>
          </cell>
          <cell r="L1083" t="str">
            <v>1kg</v>
          </cell>
          <cell r="M1083" t="str">
            <v>瓶</v>
          </cell>
          <cell r="N1083">
            <v>13.18</v>
          </cell>
          <cell r="O1083">
            <v>19.899999999999999</v>
          </cell>
          <cell r="P1083">
            <v>0.33115577889447201</v>
          </cell>
        </row>
        <row r="1084">
          <cell r="F1084" t="str">
            <v>70312678</v>
          </cell>
          <cell r="G1084" t="str">
            <v>云南白药</v>
          </cell>
          <cell r="H1084" t="str">
            <v>养元青</v>
          </cell>
          <cell r="I1084" t="str">
            <v>个人护理用品</v>
          </cell>
          <cell r="J1084" t="str">
            <v>牙膏牙刷</v>
          </cell>
          <cell r="K1084" t="str">
            <v>养元青 头皮护理洗发水净澈养护浓纯姜芬香型 500mL</v>
          </cell>
          <cell r="L1084" t="str">
            <v>500mL</v>
          </cell>
          <cell r="M1084" t="str">
            <v>瓶</v>
          </cell>
          <cell r="N1084">
            <v>54.54</v>
          </cell>
          <cell r="O1084">
            <v>75</v>
          </cell>
          <cell r="P1084">
            <v>0.2656</v>
          </cell>
        </row>
        <row r="1085">
          <cell r="F1085" t="str">
            <v>70312680</v>
          </cell>
          <cell r="G1085" t="str">
            <v>云南白药</v>
          </cell>
          <cell r="H1085" t="str">
            <v>养元青</v>
          </cell>
          <cell r="I1085" t="str">
            <v>个人护理用品</v>
          </cell>
          <cell r="J1085" t="str">
            <v>牙膏牙刷</v>
          </cell>
          <cell r="K1085" t="str">
            <v>养元青 头皮护理洗发乳亮泽强韧谷物清香香型 500mL</v>
          </cell>
          <cell r="L1085" t="str">
            <v>500mL</v>
          </cell>
          <cell r="M1085" t="str">
            <v>瓶</v>
          </cell>
          <cell r="N1085">
            <v>54.54</v>
          </cell>
          <cell r="O1085">
            <v>75</v>
          </cell>
          <cell r="P1085">
            <v>0.2656</v>
          </cell>
        </row>
        <row r="1086">
          <cell r="F1086" t="str">
            <v>70312679</v>
          </cell>
          <cell r="G1086" t="str">
            <v>云南白药</v>
          </cell>
          <cell r="H1086" t="str">
            <v>养元青</v>
          </cell>
          <cell r="I1086" t="str">
            <v>个人护理用品</v>
          </cell>
          <cell r="J1086" t="str">
            <v>洗发沐浴</v>
          </cell>
          <cell r="K1086" t="str">
            <v>养元青 头皮护理洗发水净爽蓬松茶香普洱香型 500mL</v>
          </cell>
          <cell r="L1086" t="str">
            <v>500mL</v>
          </cell>
          <cell r="M1086" t="str">
            <v>瓶</v>
          </cell>
          <cell r="N1086">
            <v>54.54</v>
          </cell>
          <cell r="O1086">
            <v>75</v>
          </cell>
          <cell r="P1086">
            <v>0.2656</v>
          </cell>
        </row>
        <row r="1087">
          <cell r="F1087" t="str">
            <v>70095657</v>
          </cell>
          <cell r="G1087" t="str">
            <v>云南白药</v>
          </cell>
          <cell r="H1087" t="str">
            <v>云南白药</v>
          </cell>
          <cell r="I1087" t="str">
            <v>个人护理用品</v>
          </cell>
          <cell r="J1087" t="str">
            <v>牙膏牙刷</v>
          </cell>
          <cell r="K1087" t="str">
            <v>云南白药 牙膏 薄荷香型65g</v>
          </cell>
          <cell r="L1087" t="str">
            <v>65g</v>
          </cell>
          <cell r="M1087" t="str">
            <v>盒</v>
          </cell>
          <cell r="N1087">
            <v>12.12</v>
          </cell>
          <cell r="O1087">
            <v>16</v>
          </cell>
          <cell r="P1087">
            <v>0.23499999999999999</v>
          </cell>
        </row>
        <row r="1088">
          <cell r="F1088" t="str">
            <v>70010842</v>
          </cell>
          <cell r="G1088" t="str">
            <v>云南白药</v>
          </cell>
          <cell r="H1088" t="str">
            <v>云南白药</v>
          </cell>
          <cell r="I1088" t="str">
            <v>个人护理用品</v>
          </cell>
          <cell r="J1088" t="str">
            <v>牙膏牙刷</v>
          </cell>
          <cell r="K1088" t="str">
            <v>云南白药 牙膏 留兰香型90g</v>
          </cell>
          <cell r="L1088" t="str">
            <v>90g</v>
          </cell>
          <cell r="M1088" t="str">
            <v>盒</v>
          </cell>
          <cell r="N1088">
            <v>17.37</v>
          </cell>
          <cell r="O1088">
            <v>23</v>
          </cell>
          <cell r="P1088">
            <v>0.23739130434782599</v>
          </cell>
        </row>
        <row r="1089">
          <cell r="F1089" t="str">
            <v>70089294</v>
          </cell>
          <cell r="G1089" t="str">
            <v>云南白药</v>
          </cell>
          <cell r="H1089" t="str">
            <v>云南白药</v>
          </cell>
          <cell r="I1089" t="str">
            <v>个人护理用品</v>
          </cell>
          <cell r="J1089" t="str">
            <v>牙膏牙刷</v>
          </cell>
          <cell r="K1089" t="str">
            <v>云南白药 冬青牙膏 165g</v>
          </cell>
          <cell r="L1089" t="str">
            <v>165g</v>
          </cell>
          <cell r="M1089" t="str">
            <v>个</v>
          </cell>
          <cell r="N1089">
            <v>22.93</v>
          </cell>
          <cell r="O1089">
            <v>32</v>
          </cell>
          <cell r="P1089">
            <v>0.27656249999999999</v>
          </cell>
        </row>
        <row r="1090">
          <cell r="F1090" t="str">
            <v>70095913</v>
          </cell>
          <cell r="G1090" t="str">
            <v>云南白药</v>
          </cell>
          <cell r="H1090" t="str">
            <v>云南白药</v>
          </cell>
          <cell r="I1090" t="str">
            <v>个人护理用品</v>
          </cell>
          <cell r="J1090" t="str">
            <v>牙膏牙刷</v>
          </cell>
          <cell r="K1090" t="str">
            <v>云南白药 冬青牙膏+牙刷 45g</v>
          </cell>
          <cell r="L1090" t="str">
            <v>45g+牙刷</v>
          </cell>
          <cell r="M1090" t="str">
            <v>个</v>
          </cell>
          <cell r="N1090">
            <v>14.35</v>
          </cell>
          <cell r="O1090">
            <v>19</v>
          </cell>
          <cell r="P1090">
            <v>0.23736842105263201</v>
          </cell>
        </row>
        <row r="1091">
          <cell r="F1091" t="str">
            <v>70179558</v>
          </cell>
          <cell r="G1091" t="str">
            <v>云南白药</v>
          </cell>
          <cell r="H1091" t="str">
            <v>云南白药</v>
          </cell>
          <cell r="I1091" t="str">
            <v>个人护理用品</v>
          </cell>
          <cell r="J1091" t="str">
            <v>牙膏牙刷</v>
          </cell>
          <cell r="K1091" t="str">
            <v>云南白药 朗健牙膏 清爽薄荷型120克</v>
          </cell>
          <cell r="L1091" t="str">
            <v>120g</v>
          </cell>
          <cell r="M1091" t="str">
            <v>个</v>
          </cell>
          <cell r="N1091">
            <v>32.659999999999997</v>
          </cell>
          <cell r="O1091">
            <v>44</v>
          </cell>
          <cell r="P1091">
            <v>0.25022727272727302</v>
          </cell>
        </row>
        <row r="1092">
          <cell r="F1092" t="str">
            <v>70227921</v>
          </cell>
          <cell r="G1092" t="str">
            <v>云南白药</v>
          </cell>
          <cell r="H1092" t="str">
            <v>云南白药</v>
          </cell>
          <cell r="I1092" t="str">
            <v>个人护理用品</v>
          </cell>
          <cell r="J1092" t="str">
            <v>牙膏牙刷</v>
          </cell>
          <cell r="K1092" t="str">
            <v>云南白药 金口健牙膏益优清新激爽薄荷型105g</v>
          </cell>
          <cell r="L1092" t="str">
            <v>105g</v>
          </cell>
          <cell r="M1092" t="str">
            <v>盒</v>
          </cell>
          <cell r="N1092">
            <v>12.32</v>
          </cell>
          <cell r="O1092">
            <v>17</v>
          </cell>
          <cell r="P1092">
            <v>0.26823529411764702</v>
          </cell>
        </row>
        <row r="1093">
          <cell r="F1093" t="str">
            <v>70226598</v>
          </cell>
          <cell r="G1093" t="str">
            <v>云南白药</v>
          </cell>
          <cell r="H1093" t="str">
            <v>云南白药</v>
          </cell>
          <cell r="I1093" t="str">
            <v>个人护理用品</v>
          </cell>
          <cell r="J1093" t="str">
            <v>牙膏牙刷</v>
          </cell>
          <cell r="K1093" t="str">
            <v>云南白药 金口健牙膏益优清新冰柠薄荷型105g</v>
          </cell>
          <cell r="L1093" t="str">
            <v>105g</v>
          </cell>
          <cell r="M1093" t="str">
            <v>个</v>
          </cell>
          <cell r="N1093">
            <v>12.32</v>
          </cell>
          <cell r="O1093">
            <v>17</v>
          </cell>
          <cell r="P1093">
            <v>0.26823529411764702</v>
          </cell>
        </row>
        <row r="1094">
          <cell r="F1094" t="str">
            <v>70259092</v>
          </cell>
          <cell r="G1094" t="str">
            <v>云南白药</v>
          </cell>
          <cell r="H1094" t="str">
            <v>云南白药</v>
          </cell>
          <cell r="I1094" t="str">
            <v>个人护理用品</v>
          </cell>
          <cell r="J1094" t="str">
            <v>牙膏牙刷</v>
          </cell>
          <cell r="K1094" t="str">
            <v>云南白药 牙膏 双效抗敏水润薄荷110g</v>
          </cell>
          <cell r="L1094" t="str">
            <v>110g</v>
          </cell>
          <cell r="M1094" t="str">
            <v>盒</v>
          </cell>
          <cell r="N1094">
            <v>25.45</v>
          </cell>
          <cell r="O1094">
            <v>36</v>
          </cell>
          <cell r="P1094">
            <v>0.28611111111111098</v>
          </cell>
        </row>
        <row r="1095">
          <cell r="F1095" t="str">
            <v>70312777</v>
          </cell>
          <cell r="G1095" t="str">
            <v>云南白药</v>
          </cell>
          <cell r="H1095" t="str">
            <v>云南白药</v>
          </cell>
          <cell r="I1095" t="str">
            <v>个人护理用品</v>
          </cell>
          <cell r="J1095" t="str">
            <v>牙膏牙刷</v>
          </cell>
          <cell r="K1095" t="str">
            <v>云南白药 益生菌儿童牙膏 安全防蛀 3-6岁（草莓）</v>
          </cell>
          <cell r="L1095" t="str">
            <v>60g</v>
          </cell>
          <cell r="M1095" t="str">
            <v>个</v>
          </cell>
          <cell r="N1095">
            <v>38.380000000000003</v>
          </cell>
          <cell r="O1095">
            <v>50</v>
          </cell>
          <cell r="P1095">
            <v>0.2248</v>
          </cell>
        </row>
        <row r="1096">
          <cell r="F1096" t="str">
            <v>70301651</v>
          </cell>
          <cell r="G1096" t="str">
            <v>云南白药</v>
          </cell>
          <cell r="H1096" t="str">
            <v>云南白药</v>
          </cell>
          <cell r="I1096" t="str">
            <v>个人护理用品</v>
          </cell>
          <cell r="J1096" t="str">
            <v>牙膏牙刷</v>
          </cell>
          <cell r="K1096" t="str">
            <v>云南白药 益生菌儿童牙膏 健齿防蛀 6-12岁 （桃子果茶）</v>
          </cell>
          <cell r="L1096" t="str">
            <v>60g</v>
          </cell>
          <cell r="M1096" t="str">
            <v>个</v>
          </cell>
          <cell r="N1096">
            <v>33.33</v>
          </cell>
          <cell r="O1096">
            <v>45</v>
          </cell>
          <cell r="P1096">
            <v>0.252</v>
          </cell>
        </row>
        <row r="1097">
          <cell r="F1097" t="str">
            <v>70010843</v>
          </cell>
          <cell r="G1097" t="str">
            <v>云南白药</v>
          </cell>
          <cell r="H1097" t="str">
            <v>云南白药</v>
          </cell>
          <cell r="I1097" t="str">
            <v>个人护理用品</v>
          </cell>
          <cell r="J1097" t="str">
            <v>牙膏牙刷</v>
          </cell>
          <cell r="K1097" t="str">
            <v>云南白药牙膏 薄荷清爽香型45g</v>
          </cell>
          <cell r="L1097" t="str">
            <v>45g</v>
          </cell>
          <cell r="M1097" t="str">
            <v>盒</v>
          </cell>
          <cell r="N1097">
            <v>8.91</v>
          </cell>
          <cell r="O1097">
            <v>13</v>
          </cell>
          <cell r="P1097">
            <v>0.30769230769230799</v>
          </cell>
        </row>
        <row r="1098">
          <cell r="F1098" t="str">
            <v>70178369</v>
          </cell>
          <cell r="G1098" t="str">
            <v>云南白药</v>
          </cell>
          <cell r="H1098" t="str">
            <v>云南白药</v>
          </cell>
          <cell r="I1098" t="str">
            <v>个人护理用品</v>
          </cell>
          <cell r="J1098" t="str">
            <v>牙膏牙刷</v>
          </cell>
          <cell r="K1098" t="str">
            <v>云南白药朗健牙膏 清爽薄荷型180克</v>
          </cell>
          <cell r="L1098" t="str">
            <v>180g</v>
          </cell>
          <cell r="M1098" t="str">
            <v>个</v>
          </cell>
          <cell r="N1098">
            <v>44.44</v>
          </cell>
          <cell r="O1098">
            <v>68</v>
          </cell>
          <cell r="P1098">
            <v>0.34</v>
          </cell>
        </row>
        <row r="1099">
          <cell r="F1099" t="str">
            <v>70259093</v>
          </cell>
          <cell r="G1099" t="str">
            <v>云南白药</v>
          </cell>
          <cell r="H1099" t="str">
            <v>云南白药</v>
          </cell>
          <cell r="I1099" t="str">
            <v>个人护理用品</v>
          </cell>
          <cell r="J1099" t="str">
            <v>牙膏牙刷</v>
          </cell>
          <cell r="K1099" t="str">
            <v>云南白药 双效抗敏水润薄荷牙膏 150g</v>
          </cell>
          <cell r="L1099" t="str">
            <v>150g</v>
          </cell>
          <cell r="M1099" t="str">
            <v>盒</v>
          </cell>
          <cell r="N1099">
            <v>31.31</v>
          </cell>
          <cell r="O1099">
            <v>45</v>
          </cell>
          <cell r="P1099">
            <v>0.29733333333333301</v>
          </cell>
        </row>
        <row r="1100">
          <cell r="F1100" t="str">
            <v>70095911</v>
          </cell>
          <cell r="G1100" t="str">
            <v>云南白药</v>
          </cell>
          <cell r="H1100" t="str">
            <v>云南白药</v>
          </cell>
          <cell r="I1100" t="str">
            <v>个人护理用品</v>
          </cell>
          <cell r="J1100" t="str">
            <v>牙膏牙刷</v>
          </cell>
          <cell r="K1100" t="str">
            <v>云南白药 金口健成人牙刷 深洁养龈型</v>
          </cell>
          <cell r="L1100" t="str">
            <v>支</v>
          </cell>
          <cell r="M1100" t="str">
            <v>个</v>
          </cell>
          <cell r="N1100">
            <v>7.92</v>
          </cell>
          <cell r="O1100">
            <v>12</v>
          </cell>
          <cell r="P1100">
            <v>0.33333333333333298</v>
          </cell>
        </row>
        <row r="1101">
          <cell r="F1101" t="str">
            <v>70239057</v>
          </cell>
          <cell r="G1101" t="str">
            <v>云南白药</v>
          </cell>
          <cell r="H1101" t="str">
            <v>云南白药</v>
          </cell>
          <cell r="I1101" t="str">
            <v>个人护理用品</v>
          </cell>
          <cell r="J1101" t="str">
            <v>牙膏牙刷</v>
          </cell>
          <cell r="K1101" t="str">
            <v>云南白药 金口健成人牙刷（日常呵护）多效美白</v>
          </cell>
          <cell r="L1101" t="str">
            <v>支</v>
          </cell>
          <cell r="M1101" t="str">
            <v>盒</v>
          </cell>
          <cell r="N1101">
            <v>12.86</v>
          </cell>
          <cell r="O1101">
            <v>19</v>
          </cell>
          <cell r="P1101">
            <v>0.31684210526315798</v>
          </cell>
        </row>
        <row r="1102">
          <cell r="F1102" t="str">
            <v>70239062</v>
          </cell>
          <cell r="G1102" t="str">
            <v>云南白药</v>
          </cell>
          <cell r="H1102" t="str">
            <v>云南白药</v>
          </cell>
          <cell r="I1102" t="str">
            <v>个人护理用品</v>
          </cell>
          <cell r="J1102" t="str">
            <v>牙膏牙刷</v>
          </cell>
          <cell r="K1102" t="str">
            <v>云南白药 金口健成人牙刷 竹炭清新</v>
          </cell>
          <cell r="L1102" t="str">
            <v>支</v>
          </cell>
          <cell r="M1102" t="str">
            <v>盒</v>
          </cell>
          <cell r="N1102">
            <v>7.92</v>
          </cell>
          <cell r="O1102">
            <v>12</v>
          </cell>
          <cell r="P1102">
            <v>0.33333333333333298</v>
          </cell>
        </row>
        <row r="1103">
          <cell r="F1103" t="str">
            <v>70334761</v>
          </cell>
          <cell r="G1103" t="str">
            <v>云南白药</v>
          </cell>
          <cell r="H1103" t="str">
            <v>活性肽</v>
          </cell>
          <cell r="I1103" t="str">
            <v>个人护理用品</v>
          </cell>
          <cell r="J1103" t="str">
            <v>牙膏牙刷</v>
          </cell>
          <cell r="K1103" t="str">
            <v>活性肽 清润薄荷135g</v>
          </cell>
          <cell r="L1103" t="str">
            <v>135g</v>
          </cell>
          <cell r="M1103" t="str">
            <v>盒</v>
          </cell>
          <cell r="N1103">
            <v>48.48</v>
          </cell>
          <cell r="O1103">
            <v>69</v>
          </cell>
          <cell r="P1103">
            <v>0.29043478260869598</v>
          </cell>
        </row>
        <row r="1104">
          <cell r="F1104" t="str">
            <v>70334762</v>
          </cell>
          <cell r="G1104" t="str">
            <v>云南白药</v>
          </cell>
          <cell r="H1104" t="str">
            <v>活性肽</v>
          </cell>
          <cell r="I1104" t="str">
            <v>个人护理用品</v>
          </cell>
          <cell r="J1104" t="str">
            <v>牙膏牙刷</v>
          </cell>
          <cell r="K1104" t="str">
            <v>活性肽 清润薄荷185g</v>
          </cell>
          <cell r="L1104" t="str">
            <v>185g</v>
          </cell>
          <cell r="M1104" t="str">
            <v>盒</v>
          </cell>
          <cell r="N1104">
            <v>60.6</v>
          </cell>
          <cell r="O1104">
            <v>89</v>
          </cell>
          <cell r="P1104">
            <v>0.31235955056179798</v>
          </cell>
        </row>
        <row r="1105">
          <cell r="F1105" t="str">
            <v>70452730</v>
          </cell>
          <cell r="G1105" t="str">
            <v>云南白药</v>
          </cell>
          <cell r="H1105" t="str">
            <v>云南白药</v>
          </cell>
          <cell r="I1105" t="str">
            <v>个人护理用品</v>
          </cell>
          <cell r="J1105" t="str">
            <v>牙膏牙刷</v>
          </cell>
          <cell r="K1105" t="str">
            <v>云南白药牙膏 高地留兰香型175g</v>
          </cell>
          <cell r="L1105" t="str">
            <v>175g</v>
          </cell>
          <cell r="M1105" t="str">
            <v>个</v>
          </cell>
          <cell r="N1105">
            <v>27.27</v>
          </cell>
          <cell r="O1105">
            <v>39</v>
          </cell>
          <cell r="P1105">
            <v>0.29384615384615398</v>
          </cell>
        </row>
        <row r="1106">
          <cell r="F1106" t="str">
            <v>70452731</v>
          </cell>
          <cell r="G1106" t="str">
            <v>云南白药</v>
          </cell>
          <cell r="H1106" t="str">
            <v>云南白药</v>
          </cell>
          <cell r="I1106" t="str">
            <v>个人护理用品</v>
          </cell>
          <cell r="J1106" t="str">
            <v>牙膏牙刷</v>
          </cell>
          <cell r="K1106" t="str">
            <v>云南白药牙膏 劲爽薄荷香型205g</v>
          </cell>
          <cell r="L1106" t="str">
            <v>205g</v>
          </cell>
          <cell r="M1106" t="str">
            <v>个</v>
          </cell>
          <cell r="N1106">
            <v>30.19</v>
          </cell>
          <cell r="O1106">
            <v>43</v>
          </cell>
          <cell r="P1106">
            <v>0.29093023255813999</v>
          </cell>
        </row>
        <row r="1107">
          <cell r="F1107" t="str">
            <v>70486025</v>
          </cell>
          <cell r="G1107" t="str">
            <v>云南白药</v>
          </cell>
          <cell r="H1107" t="str">
            <v>养元青</v>
          </cell>
          <cell r="I1107" t="str">
            <v>个人护理用品</v>
          </cell>
          <cell r="J1107" t="str">
            <v>洗发沐浴</v>
          </cell>
          <cell r="K1107" t="str">
            <v>养元青头皮护理洗发乳 控油强韧 500mL</v>
          </cell>
          <cell r="L1107" t="str">
            <v>500mL</v>
          </cell>
          <cell r="M1107" t="str">
            <v>瓶</v>
          </cell>
          <cell r="N1107">
            <v>60.6</v>
          </cell>
          <cell r="O1107">
            <v>88</v>
          </cell>
          <cell r="P1107">
            <v>0.30454545454545501</v>
          </cell>
        </row>
        <row r="1108">
          <cell r="F1108" t="str">
            <v>70486026</v>
          </cell>
          <cell r="G1108" t="str">
            <v>云南白药</v>
          </cell>
          <cell r="H1108" t="str">
            <v>养元青</v>
          </cell>
          <cell r="I1108" t="str">
            <v>个人护理用品</v>
          </cell>
          <cell r="J1108" t="str">
            <v>洗发沐浴</v>
          </cell>
          <cell r="K1108" t="str">
            <v>养元青头皮护理洗发乳 控油健发 500mL</v>
          </cell>
          <cell r="L1108" t="str">
            <v>500mL</v>
          </cell>
          <cell r="M1108" t="str">
            <v>瓶</v>
          </cell>
          <cell r="N1108">
            <v>60.6</v>
          </cell>
          <cell r="O1108">
            <v>88</v>
          </cell>
          <cell r="P1108">
            <v>0.30454545454545501</v>
          </cell>
        </row>
        <row r="1109">
          <cell r="F1109" t="str">
            <v>70486027</v>
          </cell>
          <cell r="G1109" t="str">
            <v>云南白药</v>
          </cell>
          <cell r="H1109" t="str">
            <v>养元青</v>
          </cell>
          <cell r="I1109" t="str">
            <v>个人护理用品</v>
          </cell>
          <cell r="J1109" t="str">
            <v>洗发沐浴</v>
          </cell>
          <cell r="K1109" t="str">
            <v>养元青 头皮护理洗发乳控油止痒 500mL</v>
          </cell>
          <cell r="L1109" t="str">
            <v>500mL</v>
          </cell>
          <cell r="M1109" t="str">
            <v>瓶</v>
          </cell>
          <cell r="N1109">
            <v>60.6</v>
          </cell>
          <cell r="O1109">
            <v>88</v>
          </cell>
          <cell r="P1109">
            <v>0.30454545454545501</v>
          </cell>
        </row>
        <row r="1110">
          <cell r="F1110" t="str">
            <v>70524284</v>
          </cell>
          <cell r="G1110" t="str">
            <v>云南白药</v>
          </cell>
          <cell r="H1110" t="str">
            <v>云南白药</v>
          </cell>
          <cell r="I1110" t="str">
            <v>个人护理用品</v>
          </cell>
          <cell r="J1110" t="str">
            <v>牙膏牙刷</v>
          </cell>
          <cell r="K1110" t="str">
            <v>云南白药 金口健牙刷 基础系列 密羽金刷 2支装</v>
          </cell>
          <cell r="L1110" t="str">
            <v>2支装</v>
          </cell>
          <cell r="M1110" t="str">
            <v>板</v>
          </cell>
          <cell r="N1110">
            <v>8.98</v>
          </cell>
          <cell r="O1110">
            <v>16</v>
          </cell>
          <cell r="P1110">
            <v>0.43312499999999998</v>
          </cell>
        </row>
        <row r="1111">
          <cell r="F1111" t="str">
            <v>70524454</v>
          </cell>
          <cell r="G1111" t="str">
            <v>云南白药</v>
          </cell>
          <cell r="H1111" t="str">
            <v>云南白药</v>
          </cell>
          <cell r="I1111" t="str">
            <v>个人护理用品</v>
          </cell>
          <cell r="J1111" t="str">
            <v>牙膏牙刷</v>
          </cell>
          <cell r="K1111" t="str">
            <v>云南白药 金口健牙刷 基础系列 焕净 1支</v>
          </cell>
          <cell r="L1111" t="str">
            <v>1支装</v>
          </cell>
          <cell r="M1111" t="str">
            <v>板</v>
          </cell>
          <cell r="N1111">
            <v>5.46</v>
          </cell>
          <cell r="O1111">
            <v>9.6</v>
          </cell>
          <cell r="P1111">
            <v>0.42499999999999999</v>
          </cell>
        </row>
        <row r="1112">
          <cell r="F1112" t="str">
            <v>70524455</v>
          </cell>
          <cell r="G1112" t="str">
            <v>云南白药</v>
          </cell>
          <cell r="H1112" t="str">
            <v>云南白药</v>
          </cell>
          <cell r="I1112" t="str">
            <v>个人护理用品</v>
          </cell>
          <cell r="J1112" t="str">
            <v>牙膏牙刷</v>
          </cell>
          <cell r="K1112" t="str">
            <v>云南白药 金口健牙刷 基础系列 焕护 1支</v>
          </cell>
          <cell r="L1112" t="str">
            <v>1支装</v>
          </cell>
          <cell r="M1112" t="str">
            <v>板</v>
          </cell>
          <cell r="N1112">
            <v>5.46</v>
          </cell>
          <cell r="O1112">
            <v>9.6</v>
          </cell>
          <cell r="P1112">
            <v>0.42499999999999999</v>
          </cell>
        </row>
        <row r="1113">
          <cell r="F1113" t="str">
            <v>70524288</v>
          </cell>
          <cell r="G1113" t="str">
            <v>云南白药</v>
          </cell>
          <cell r="H1113" t="str">
            <v>云南白药</v>
          </cell>
          <cell r="I1113" t="str">
            <v>个人护理用品</v>
          </cell>
          <cell r="J1113" t="str">
            <v>牙膏牙刷</v>
          </cell>
          <cell r="K1113" t="str">
            <v>云南白药 金口健牙刷 基础系列 焕白 1支</v>
          </cell>
          <cell r="L1113" t="str">
            <v>1支装</v>
          </cell>
          <cell r="M1113" t="str">
            <v>板</v>
          </cell>
          <cell r="N1113">
            <v>5.46</v>
          </cell>
          <cell r="O1113">
            <v>9.6</v>
          </cell>
          <cell r="P1113">
            <v>0.42499999999999999</v>
          </cell>
        </row>
        <row r="1114">
          <cell r="F1114" t="str">
            <v>70524456</v>
          </cell>
          <cell r="G1114" t="str">
            <v>云南白药</v>
          </cell>
          <cell r="H1114" t="str">
            <v>云南白药</v>
          </cell>
          <cell r="I1114" t="str">
            <v>个人护理用品</v>
          </cell>
          <cell r="J1114" t="str">
            <v>牙膏牙刷</v>
          </cell>
          <cell r="K1114" t="str">
            <v>云南白药 金口健牙刷 基础系列 银翼旋风 2支装</v>
          </cell>
          <cell r="L1114" t="str">
            <v>2支装</v>
          </cell>
          <cell r="M1114" t="str">
            <v>板</v>
          </cell>
          <cell r="N1114">
            <v>11.15</v>
          </cell>
          <cell r="O1114">
            <v>19.600000000000001</v>
          </cell>
          <cell r="P1114">
            <v>0.42551020408163298</v>
          </cell>
        </row>
        <row r="1115">
          <cell r="F1115" t="str">
            <v>70524457</v>
          </cell>
          <cell r="G1115" t="str">
            <v>云南白药</v>
          </cell>
          <cell r="H1115" t="str">
            <v>云南白药</v>
          </cell>
          <cell r="I1115" t="str">
            <v>个人护理用品</v>
          </cell>
          <cell r="J1115" t="str">
            <v>牙膏牙刷</v>
          </cell>
          <cell r="K1115" t="str">
            <v>云南白药 金口健牙刷 基础系列 清柔旋风 2支装</v>
          </cell>
          <cell r="L1115" t="str">
            <v>2支装</v>
          </cell>
          <cell r="M1115" t="str">
            <v>板</v>
          </cell>
          <cell r="N1115">
            <v>11.15</v>
          </cell>
          <cell r="O1115">
            <v>19.600000000000001</v>
          </cell>
          <cell r="P1115">
            <v>0.42551020408163298</v>
          </cell>
        </row>
        <row r="1116">
          <cell r="F1116" t="str">
            <v>70524458</v>
          </cell>
          <cell r="G1116" t="str">
            <v>云南白药</v>
          </cell>
          <cell r="H1116" t="str">
            <v>云南白药</v>
          </cell>
          <cell r="I1116" t="str">
            <v>个人护理用品</v>
          </cell>
          <cell r="J1116" t="str">
            <v>牙膏牙刷</v>
          </cell>
          <cell r="K1116" t="str">
            <v>云南白药 金口健牙刷 基础系列 净护双旋 2支装</v>
          </cell>
          <cell r="L1116" t="str">
            <v>2支装</v>
          </cell>
          <cell r="M1116" t="str">
            <v>板</v>
          </cell>
          <cell r="N1116">
            <v>11.15</v>
          </cell>
          <cell r="O1116">
            <v>19.600000000000001</v>
          </cell>
          <cell r="P1116">
            <v>0.42551020408163298</v>
          </cell>
        </row>
        <row r="1117">
          <cell r="F1117" t="str">
            <v>70574854</v>
          </cell>
          <cell r="G1117" t="str">
            <v>云南白药</v>
          </cell>
          <cell r="H1117" t="str">
            <v>养元青</v>
          </cell>
          <cell r="I1117" t="str">
            <v>个人护理用品</v>
          </cell>
          <cell r="J1117" t="str">
            <v>洗发水</v>
          </cell>
          <cell r="K1117" t="str">
            <v>养元青强根健发防脱洗发乳 500mL</v>
          </cell>
          <cell r="L1117" t="str">
            <v>500mL</v>
          </cell>
          <cell r="M1117" t="str">
            <v>瓶</v>
          </cell>
          <cell r="N1117">
            <v>45.45</v>
          </cell>
          <cell r="O1117">
            <v>88</v>
          </cell>
          <cell r="P1117">
            <v>0.47840909090909101</v>
          </cell>
        </row>
        <row r="1118">
          <cell r="F1118" t="str">
            <v>70524464</v>
          </cell>
          <cell r="G1118" t="str">
            <v>ONCEKISS</v>
          </cell>
          <cell r="H1118" t="str">
            <v>ONCEKISS</v>
          </cell>
          <cell r="I1118" t="str">
            <v>个人护理用品</v>
          </cell>
          <cell r="J1118" t="str">
            <v>抽纸</v>
          </cell>
          <cell r="K1118" t="str">
            <v>ONCEKISS 珍珠纹洗脸柔巾 60抽</v>
          </cell>
          <cell r="L1118" t="str">
            <v>60抽/包</v>
          </cell>
          <cell r="M1118" t="str">
            <v>包</v>
          </cell>
          <cell r="N1118">
            <v>7.07</v>
          </cell>
          <cell r="O1118">
            <v>15</v>
          </cell>
          <cell r="P1118">
            <v>0.52400000000000002</v>
          </cell>
        </row>
        <row r="1119">
          <cell r="F1119" t="str">
            <v>70524465</v>
          </cell>
          <cell r="G1119" t="str">
            <v>ONCEKISS</v>
          </cell>
          <cell r="H1119" t="str">
            <v>ONCEKISS</v>
          </cell>
          <cell r="I1119" t="str">
            <v>个人护理用品</v>
          </cell>
          <cell r="J1119" t="str">
            <v>抽纸</v>
          </cell>
          <cell r="K1119" t="str">
            <v>ONCEKISS 珍珠纹洗脸柔巾 30抽</v>
          </cell>
          <cell r="L1119" t="str">
            <v>30抽/包</v>
          </cell>
          <cell r="M1119" t="str">
            <v>包</v>
          </cell>
          <cell r="N1119">
            <v>4.34</v>
          </cell>
          <cell r="O1119">
            <v>8.5</v>
          </cell>
          <cell r="P1119">
            <v>0.48352941176470599</v>
          </cell>
        </row>
        <row r="1120">
          <cell r="F1120" t="str">
            <v>70524466</v>
          </cell>
          <cell r="G1120" t="str">
            <v>ONCEKISS</v>
          </cell>
          <cell r="H1120" t="str">
            <v>ONCEKISS</v>
          </cell>
          <cell r="I1120" t="str">
            <v>日用品</v>
          </cell>
          <cell r="J1120" t="str">
            <v>纺织品</v>
          </cell>
          <cell r="K1120" t="str">
            <v>ONCEKISS 一次性浴巾80*140cm</v>
          </cell>
          <cell r="L1120" t="str">
            <v>1条/包</v>
          </cell>
          <cell r="M1120" t="str">
            <v>包</v>
          </cell>
          <cell r="N1120">
            <v>4.6500000000000004</v>
          </cell>
          <cell r="O1120">
            <v>9.9</v>
          </cell>
          <cell r="P1120">
            <v>0.52626262626262599</v>
          </cell>
        </row>
        <row r="1121">
          <cell r="F1121" t="str">
            <v>70524467</v>
          </cell>
          <cell r="G1121" t="str">
            <v>ONCEKISS</v>
          </cell>
          <cell r="H1121" t="str">
            <v>ONCEKISS</v>
          </cell>
          <cell r="I1121" t="str">
            <v>日用品</v>
          </cell>
          <cell r="J1121" t="str">
            <v>纺织品</v>
          </cell>
          <cell r="K1121" t="str">
            <v>ONCEKISS 一次性悬挂式懒人抹布 160片</v>
          </cell>
          <cell r="L1121" t="str">
            <v>160片/包</v>
          </cell>
          <cell r="M1121" t="str">
            <v>包</v>
          </cell>
          <cell r="N1121">
            <v>13.74</v>
          </cell>
          <cell r="O1121">
            <v>23.9</v>
          </cell>
          <cell r="P1121">
            <v>0.41966527196652698</v>
          </cell>
        </row>
        <row r="1122">
          <cell r="F1122" t="str">
            <v>70524468</v>
          </cell>
          <cell r="G1122" t="str">
            <v>ONCEKISS</v>
          </cell>
          <cell r="H1122" t="str">
            <v>ONCEKISS</v>
          </cell>
          <cell r="I1122" t="str">
            <v>日用品</v>
          </cell>
          <cell r="J1122" t="str">
            <v>纺织品</v>
          </cell>
          <cell r="K1122" t="str">
            <v>ONCEKISS 一次性女式纯棉内裤 5条装</v>
          </cell>
          <cell r="L1122" t="str">
            <v>5条/盒</v>
          </cell>
          <cell r="M1122" t="str">
            <v>包</v>
          </cell>
          <cell r="N1122">
            <v>18.38</v>
          </cell>
          <cell r="O1122">
            <v>29.9</v>
          </cell>
          <cell r="P1122">
            <v>0.37926421404682298</v>
          </cell>
        </row>
        <row r="1123">
          <cell r="F1123" t="str">
            <v>70524469</v>
          </cell>
          <cell r="G1123" t="str">
            <v>ONCEKISS</v>
          </cell>
          <cell r="H1123" t="str">
            <v>ONCEKISS</v>
          </cell>
          <cell r="I1123" t="str">
            <v>日用品</v>
          </cell>
          <cell r="J1123" t="str">
            <v>纺织品</v>
          </cell>
          <cell r="K1123" t="str">
            <v>ONCEKISS 一次性男式纯棉内裤 4条装</v>
          </cell>
          <cell r="L1123" t="str">
            <v>4条/盒</v>
          </cell>
          <cell r="M1123" t="str">
            <v>包</v>
          </cell>
          <cell r="N1123">
            <v>20.6</v>
          </cell>
          <cell r="O1123">
            <v>33.9</v>
          </cell>
          <cell r="P1123">
            <v>0.38613569321533903</v>
          </cell>
        </row>
        <row r="1124">
          <cell r="F1124" t="str">
            <v>70263133</v>
          </cell>
          <cell r="G1124" t="str">
            <v>立白</v>
          </cell>
          <cell r="H1124" t="str">
            <v>立白</v>
          </cell>
          <cell r="I1124" t="str">
            <v>清洁用品</v>
          </cell>
          <cell r="J1124" t="str">
            <v>衣物清洁</v>
          </cell>
          <cell r="K1124" t="str">
            <v>立白 超洁薰衣香洗衣粉 1000g</v>
          </cell>
          <cell r="L1124" t="str">
            <v>1000g</v>
          </cell>
          <cell r="M1124" t="str">
            <v>袋</v>
          </cell>
          <cell r="N1124">
            <v>9.49</v>
          </cell>
          <cell r="O1124">
            <v>13</v>
          </cell>
          <cell r="P1124">
            <v>0.26230769230769202</v>
          </cell>
        </row>
        <row r="1125">
          <cell r="F1125" t="str">
            <v>70021292</v>
          </cell>
          <cell r="G1125" t="str">
            <v>立白</v>
          </cell>
          <cell r="H1125" t="str">
            <v>立白</v>
          </cell>
          <cell r="I1125" t="str">
            <v>清洁用品</v>
          </cell>
          <cell r="J1125" t="str">
            <v>厨房清洁</v>
          </cell>
          <cell r="K1125" t="str">
            <v>立白 新金桔洗洁精 500g</v>
          </cell>
          <cell r="L1125" t="str">
            <v>500g</v>
          </cell>
          <cell r="M1125" t="str">
            <v>瓶</v>
          </cell>
          <cell r="N1125">
            <v>4.04</v>
          </cell>
          <cell r="O1125">
            <v>5.5</v>
          </cell>
          <cell r="P1125">
            <v>0.25818181818181801</v>
          </cell>
        </row>
        <row r="1126">
          <cell r="F1126" t="str">
            <v>70386392</v>
          </cell>
          <cell r="G1126" t="str">
            <v>立白</v>
          </cell>
          <cell r="H1126" t="str">
            <v>立白</v>
          </cell>
          <cell r="I1126" t="str">
            <v>清洁用品</v>
          </cell>
          <cell r="J1126" t="str">
            <v>衣物清洁</v>
          </cell>
          <cell r="K1126" t="str">
            <v>立白 透明皂+增白皂 166g*3+122g</v>
          </cell>
          <cell r="L1126" t="str">
            <v>166g*3+122g</v>
          </cell>
          <cell r="M1126" t="str">
            <v>包</v>
          </cell>
          <cell r="N1126">
            <v>11.11</v>
          </cell>
          <cell r="O1126">
            <v>15</v>
          </cell>
          <cell r="P1126">
            <v>0.252</v>
          </cell>
        </row>
        <row r="1127">
          <cell r="F1127" t="str">
            <v>70386390</v>
          </cell>
          <cell r="G1127" t="str">
            <v>立白</v>
          </cell>
          <cell r="H1127" t="str">
            <v>立白</v>
          </cell>
          <cell r="I1127" t="str">
            <v>清洁用品</v>
          </cell>
          <cell r="J1127" t="str">
            <v>衣物清洁</v>
          </cell>
          <cell r="K1127" t="str">
            <v>立白 超洁薰衣香洗衣液 1.65kg+300g</v>
          </cell>
          <cell r="L1127" t="str">
            <v>1.65kg+300g</v>
          </cell>
          <cell r="M1127" t="str">
            <v>瓶</v>
          </cell>
          <cell r="N1127">
            <v>21.72</v>
          </cell>
          <cell r="O1127">
            <v>30</v>
          </cell>
          <cell r="P1127">
            <v>0.26900000000000002</v>
          </cell>
        </row>
        <row r="1128">
          <cell r="F1128" t="str">
            <v>70386073</v>
          </cell>
          <cell r="G1128" t="str">
            <v>立白</v>
          </cell>
          <cell r="H1128" t="str">
            <v>立白</v>
          </cell>
          <cell r="I1128" t="str">
            <v>清洁用品</v>
          </cell>
          <cell r="J1128" t="str">
            <v>衣物清洁</v>
          </cell>
          <cell r="K1128" t="str">
            <v>立白 全效馨香洗衣液 1000g</v>
          </cell>
          <cell r="L1128" t="str">
            <v>1000g</v>
          </cell>
          <cell r="M1128" t="str">
            <v>瓶</v>
          </cell>
          <cell r="N1128">
            <v>14.14</v>
          </cell>
          <cell r="O1128">
            <v>20</v>
          </cell>
          <cell r="P1128">
            <v>0.28599999999999998</v>
          </cell>
        </row>
        <row r="1129">
          <cell r="F1129" t="str">
            <v>70305531</v>
          </cell>
          <cell r="G1129" t="str">
            <v>立白</v>
          </cell>
          <cell r="H1129" t="str">
            <v>立白</v>
          </cell>
          <cell r="I1129" t="str">
            <v>清洁用品</v>
          </cell>
          <cell r="J1129" t="str">
            <v>衣物清洁</v>
          </cell>
          <cell r="K1129" t="str">
            <v>立白 全效馨香洗衣液袋装 900g</v>
          </cell>
          <cell r="L1129" t="str">
            <v>900g</v>
          </cell>
          <cell r="M1129" t="str">
            <v>瓶</v>
          </cell>
          <cell r="N1129">
            <v>10.1</v>
          </cell>
          <cell r="O1129">
            <v>14</v>
          </cell>
          <cell r="P1129">
            <v>0.27142857142857102</v>
          </cell>
        </row>
        <row r="1130">
          <cell r="F1130" t="str">
            <v>70009583</v>
          </cell>
          <cell r="G1130" t="str">
            <v>立白</v>
          </cell>
          <cell r="H1130" t="str">
            <v>立白</v>
          </cell>
          <cell r="I1130" t="str">
            <v>清洁用品</v>
          </cell>
          <cell r="J1130" t="str">
            <v>衣物清洁</v>
          </cell>
          <cell r="K1130" t="str">
            <v>立白 超洁清新洗衣粉 245g</v>
          </cell>
          <cell r="L1130" t="str">
            <v>245g</v>
          </cell>
          <cell r="M1130" t="str">
            <v>袋</v>
          </cell>
          <cell r="N1130">
            <v>2.56</v>
          </cell>
          <cell r="O1130">
            <v>3.5</v>
          </cell>
          <cell r="P1130">
            <v>0.26285714285714301</v>
          </cell>
        </row>
        <row r="1131">
          <cell r="F1131" t="str">
            <v>70042931</v>
          </cell>
          <cell r="G1131" t="str">
            <v>立白</v>
          </cell>
          <cell r="H1131" t="str">
            <v>立白</v>
          </cell>
          <cell r="I1131" t="str">
            <v>清洁用品</v>
          </cell>
          <cell r="J1131" t="str">
            <v>衣物清洁</v>
          </cell>
          <cell r="K1131" t="str">
            <v>立白 超浓缩洗衣粉(桶装) 1800g</v>
          </cell>
          <cell r="L1131" t="str">
            <v>1800g</v>
          </cell>
          <cell r="M1131" t="str">
            <v>盒</v>
          </cell>
          <cell r="N1131">
            <v>34.43</v>
          </cell>
          <cell r="O1131">
            <v>44</v>
          </cell>
          <cell r="P1131">
            <v>0.209772727272727</v>
          </cell>
        </row>
        <row r="1132">
          <cell r="F1132" t="str">
            <v>70184552</v>
          </cell>
          <cell r="G1132" t="str">
            <v>立白</v>
          </cell>
          <cell r="H1132" t="str">
            <v>立白</v>
          </cell>
          <cell r="I1132" t="str">
            <v>清洁用品</v>
          </cell>
          <cell r="J1132" t="str">
            <v>厨房清洁</v>
          </cell>
          <cell r="K1132" t="str">
            <v>立白 新金桔洗洁精 1290g</v>
          </cell>
          <cell r="L1132" t="str">
            <v>1290g</v>
          </cell>
          <cell r="M1132" t="str">
            <v>瓶</v>
          </cell>
          <cell r="N1132">
            <v>10.1</v>
          </cell>
          <cell r="O1132">
            <v>14</v>
          </cell>
          <cell r="P1132">
            <v>0.27142857142857102</v>
          </cell>
        </row>
        <row r="1133">
          <cell r="F1133" t="str">
            <v>70299583</v>
          </cell>
          <cell r="G1133" t="str">
            <v>立白</v>
          </cell>
          <cell r="H1133" t="str">
            <v>立白</v>
          </cell>
          <cell r="I1133" t="str">
            <v>清洁用品</v>
          </cell>
          <cell r="J1133" t="str">
            <v>厨房清洁</v>
          </cell>
          <cell r="K1133" t="str">
            <v>立白 生姜洗洁精 1000g</v>
          </cell>
          <cell r="L1133" t="str">
            <v>1000g</v>
          </cell>
          <cell r="M1133" t="str">
            <v>瓶</v>
          </cell>
          <cell r="N1133">
            <v>9.49</v>
          </cell>
          <cell r="O1133">
            <v>13</v>
          </cell>
          <cell r="P1133">
            <v>0.26230769230769202</v>
          </cell>
        </row>
        <row r="1134">
          <cell r="F1134" t="str">
            <v>70271320</v>
          </cell>
          <cell r="G1134" t="str">
            <v>立白</v>
          </cell>
          <cell r="H1134" t="str">
            <v>立白</v>
          </cell>
          <cell r="I1134" t="str">
            <v>清洁用品</v>
          </cell>
          <cell r="J1134" t="str">
            <v>衣物清洁</v>
          </cell>
          <cell r="K1134" t="str">
            <v>立白 内衣专用除菌皂 101g*2</v>
          </cell>
          <cell r="L1134" t="str">
            <v>101g*2</v>
          </cell>
          <cell r="M1134" t="str">
            <v>包</v>
          </cell>
          <cell r="N1134">
            <v>4.92</v>
          </cell>
          <cell r="O1134">
            <v>6.5</v>
          </cell>
          <cell r="P1134">
            <v>0.235384615384615</v>
          </cell>
        </row>
        <row r="1135">
          <cell r="F1135" t="str">
            <v>70234577</v>
          </cell>
          <cell r="G1135" t="str">
            <v>立白</v>
          </cell>
          <cell r="H1135" t="str">
            <v>立白</v>
          </cell>
          <cell r="I1135" t="str">
            <v>清洁用品</v>
          </cell>
          <cell r="J1135" t="str">
            <v>衣物清洁</v>
          </cell>
          <cell r="K1135" t="str">
            <v>立白 好爸爸天然亲肤洗衣液 2680g</v>
          </cell>
          <cell r="L1135" t="str">
            <v>2680g</v>
          </cell>
          <cell r="M1135" t="str">
            <v>瓶</v>
          </cell>
          <cell r="N1135">
            <v>42.42</v>
          </cell>
          <cell r="O1135">
            <v>56</v>
          </cell>
          <cell r="P1135">
            <v>0.23499999999999999</v>
          </cell>
        </row>
        <row r="1136">
          <cell r="F1136" t="str">
            <v>70049561</v>
          </cell>
          <cell r="G1136" t="str">
            <v>立白</v>
          </cell>
          <cell r="H1136" t="str">
            <v>立白</v>
          </cell>
          <cell r="I1136" t="str">
            <v>清洁用品</v>
          </cell>
          <cell r="J1136" t="str">
            <v>衣物清洁</v>
          </cell>
          <cell r="K1136" t="str">
            <v>立白 彩漂液 600g</v>
          </cell>
          <cell r="L1136" t="str">
            <v>600g</v>
          </cell>
          <cell r="M1136" t="str">
            <v>瓶</v>
          </cell>
          <cell r="N1136">
            <v>10.199999999999999</v>
          </cell>
          <cell r="O1136">
            <v>14</v>
          </cell>
          <cell r="P1136">
            <v>0.26428571428571401</v>
          </cell>
        </row>
        <row r="1137">
          <cell r="F1137" t="str">
            <v>70305529</v>
          </cell>
          <cell r="G1137" t="str">
            <v>立白</v>
          </cell>
          <cell r="H1137" t="str">
            <v>立白</v>
          </cell>
          <cell r="I1137" t="str">
            <v>清洁用品</v>
          </cell>
          <cell r="J1137" t="str">
            <v>衣物清洁</v>
          </cell>
          <cell r="K1137" t="str">
            <v>立白 润肤除菌植物香皂 100g</v>
          </cell>
          <cell r="L1137" t="str">
            <v>100g</v>
          </cell>
          <cell r="M1137" t="str">
            <v>个</v>
          </cell>
          <cell r="N1137">
            <v>3.34</v>
          </cell>
          <cell r="O1137">
            <v>4.5</v>
          </cell>
          <cell r="P1137">
            <v>0.24888888888888899</v>
          </cell>
        </row>
        <row r="1138">
          <cell r="F1138" t="str">
            <v>70307262</v>
          </cell>
          <cell r="G1138" t="str">
            <v>立白</v>
          </cell>
          <cell r="H1138" t="str">
            <v>立白</v>
          </cell>
          <cell r="I1138" t="str">
            <v>清洁用品</v>
          </cell>
          <cell r="J1138" t="str">
            <v>家居清洁</v>
          </cell>
          <cell r="K1138" t="str">
            <v>立白 威王84家居除菌液 600g</v>
          </cell>
          <cell r="L1138" t="str">
            <v>600g</v>
          </cell>
          <cell r="M1138" t="str">
            <v>个</v>
          </cell>
          <cell r="N1138">
            <v>7.07</v>
          </cell>
          <cell r="O1138">
            <v>10</v>
          </cell>
          <cell r="P1138">
            <v>0.28599999999999998</v>
          </cell>
        </row>
        <row r="1139">
          <cell r="F1139" t="str">
            <v>70305532</v>
          </cell>
          <cell r="G1139" t="str">
            <v>立白</v>
          </cell>
          <cell r="H1139" t="str">
            <v>立白</v>
          </cell>
          <cell r="I1139" t="str">
            <v>清洁用品</v>
          </cell>
          <cell r="J1139" t="str">
            <v>衣物清洁</v>
          </cell>
          <cell r="K1139" t="str">
            <v>立白 超洁薰衣香粉洗衣粉 2005g</v>
          </cell>
          <cell r="L1139" t="str">
            <v>2005g</v>
          </cell>
          <cell r="M1139" t="str">
            <v>瓶</v>
          </cell>
          <cell r="N1139">
            <v>19.7</v>
          </cell>
          <cell r="O1139">
            <v>26</v>
          </cell>
          <cell r="P1139">
            <v>0.23499999999999999</v>
          </cell>
        </row>
        <row r="1140">
          <cell r="F1140" t="str">
            <v>70266737</v>
          </cell>
          <cell r="G1140" t="str">
            <v>立白</v>
          </cell>
          <cell r="H1140" t="str">
            <v>立白</v>
          </cell>
          <cell r="I1140" t="str">
            <v>清洁用品</v>
          </cell>
          <cell r="J1140" t="str">
            <v>衣物清洁</v>
          </cell>
          <cell r="K1140" t="str">
            <v>立白 全效馨香洗衣液（加量装） 3.018kg</v>
          </cell>
          <cell r="L1140" t="str">
            <v>3.018kg</v>
          </cell>
          <cell r="M1140" t="str">
            <v>瓶</v>
          </cell>
          <cell r="N1140">
            <v>43.43</v>
          </cell>
          <cell r="O1140">
            <v>57</v>
          </cell>
          <cell r="P1140">
            <v>0.230526315789474</v>
          </cell>
        </row>
        <row r="1141">
          <cell r="F1141" t="str">
            <v>70305653</v>
          </cell>
          <cell r="G1141" t="str">
            <v>立白</v>
          </cell>
          <cell r="H1141" t="str">
            <v>立白</v>
          </cell>
          <cell r="I1141" t="str">
            <v>个人护理用品</v>
          </cell>
          <cell r="J1141" t="str">
            <v>洗手液</v>
          </cell>
          <cell r="K1141" t="str">
            <v>立白 润之素健康净护洗手液(芦荟)1+1促销装 500g*2</v>
          </cell>
          <cell r="L1141" t="str">
            <v>500g*2</v>
          </cell>
          <cell r="M1141" t="str">
            <v>瓶</v>
          </cell>
          <cell r="N1141">
            <v>14.69</v>
          </cell>
          <cell r="O1141">
            <v>20</v>
          </cell>
          <cell r="P1141">
            <v>0.25850000000000001</v>
          </cell>
        </row>
        <row r="1142">
          <cell r="F1142" t="str">
            <v>70094398</v>
          </cell>
          <cell r="G1142" t="str">
            <v>立白</v>
          </cell>
          <cell r="H1142" t="str">
            <v>立白</v>
          </cell>
          <cell r="I1142" t="str">
            <v>清洁用品</v>
          </cell>
          <cell r="J1142" t="str">
            <v>家居清洁</v>
          </cell>
          <cell r="K1142" t="str">
            <v>超威 强效洁厕净（沁香净味） 505g*2</v>
          </cell>
          <cell r="L1142" t="str">
            <v>505g*2</v>
          </cell>
          <cell r="M1142" t="str">
            <v>瓶</v>
          </cell>
          <cell r="N1142">
            <v>10</v>
          </cell>
          <cell r="O1142">
            <v>12.9</v>
          </cell>
          <cell r="P1142">
            <v>0.217054263565892</v>
          </cell>
        </row>
        <row r="1143">
          <cell r="F1143" t="str">
            <v>70473235</v>
          </cell>
          <cell r="G1143" t="str">
            <v>立白</v>
          </cell>
          <cell r="H1143" t="str">
            <v>立白</v>
          </cell>
          <cell r="I1143" t="str">
            <v>清洁用品</v>
          </cell>
          <cell r="J1143" t="str">
            <v>衣物清洁</v>
          </cell>
          <cell r="K1143" t="str">
            <v>立白 大师香氛洗衣液 2kg</v>
          </cell>
          <cell r="L1143" t="str">
            <v>2kg</v>
          </cell>
          <cell r="M1143" t="str">
            <v>瓶</v>
          </cell>
          <cell r="N1143">
            <v>33.590000000000003</v>
          </cell>
          <cell r="O1143">
            <v>48</v>
          </cell>
          <cell r="P1143">
            <v>0.29312500000000002</v>
          </cell>
        </row>
        <row r="1144">
          <cell r="F1144" t="str">
            <v>70486038</v>
          </cell>
          <cell r="G1144" t="str">
            <v>立白</v>
          </cell>
          <cell r="H1144" t="str">
            <v>立白</v>
          </cell>
          <cell r="I1144" t="str">
            <v>清洁用品</v>
          </cell>
          <cell r="J1144" t="str">
            <v>衣物清洁</v>
          </cell>
          <cell r="K1144" t="str">
            <v>立白 御品海洋精华至彩炫白洗衣液 80g</v>
          </cell>
          <cell r="L1144" t="str">
            <v>80g</v>
          </cell>
          <cell r="M1144" t="str">
            <v>瓶</v>
          </cell>
          <cell r="N1144">
            <v>4.49</v>
          </cell>
          <cell r="O1144">
            <v>6.9</v>
          </cell>
          <cell r="P1144">
            <v>0.34202898550724598</v>
          </cell>
        </row>
        <row r="1145">
          <cell r="F1145" t="str">
            <v>70486042</v>
          </cell>
          <cell r="G1145" t="str">
            <v>立白</v>
          </cell>
          <cell r="H1145" t="str">
            <v>立白</v>
          </cell>
          <cell r="I1145" t="str">
            <v>清洁用品</v>
          </cell>
          <cell r="J1145" t="str">
            <v>衣物清洁</v>
          </cell>
          <cell r="K1145" t="str">
            <v>立白 除菌去渍洗衣皂 232g*2</v>
          </cell>
          <cell r="L1145" t="str">
            <v>232g*2</v>
          </cell>
          <cell r="M1145" t="str">
            <v>包</v>
          </cell>
          <cell r="N1145">
            <v>8.89</v>
          </cell>
          <cell r="O1145">
            <v>11.9</v>
          </cell>
          <cell r="P1145">
            <v>0.245378151260504</v>
          </cell>
        </row>
        <row r="1146">
          <cell r="F1146" t="str">
            <v>70486043</v>
          </cell>
          <cell r="G1146" t="str">
            <v>立白</v>
          </cell>
          <cell r="H1146" t="str">
            <v>立白</v>
          </cell>
          <cell r="I1146" t="str">
            <v>清洁用品</v>
          </cell>
          <cell r="J1146" t="str">
            <v>衣物清洁</v>
          </cell>
          <cell r="K1146" t="str">
            <v>立白 御品海洋精华至彩炫白洗衣液 1kg</v>
          </cell>
          <cell r="L1146" t="str">
            <v>1kg</v>
          </cell>
          <cell r="M1146" t="str">
            <v>桶</v>
          </cell>
          <cell r="N1146">
            <v>21.51</v>
          </cell>
          <cell r="O1146">
            <v>29</v>
          </cell>
          <cell r="P1146">
            <v>0.25068965517241398</v>
          </cell>
        </row>
        <row r="1147">
          <cell r="F1147" t="str">
            <v>70486044</v>
          </cell>
          <cell r="G1147" t="str">
            <v>立白</v>
          </cell>
          <cell r="H1147" t="str">
            <v>立白</v>
          </cell>
          <cell r="I1147" t="str">
            <v>清洁用品</v>
          </cell>
          <cell r="J1147" t="str">
            <v>衣物清洁</v>
          </cell>
          <cell r="K1147" t="str">
            <v>立白 御品海洋精华智净护衣洗衣液 2kg</v>
          </cell>
          <cell r="L1147" t="str">
            <v>2kg</v>
          </cell>
          <cell r="M1147" t="str">
            <v>桶</v>
          </cell>
          <cell r="N1147">
            <v>39.19</v>
          </cell>
          <cell r="O1147">
            <v>55</v>
          </cell>
          <cell r="P1147">
            <v>0.28036363636363598</v>
          </cell>
        </row>
        <row r="1148">
          <cell r="F1148" t="str">
            <v>70486039</v>
          </cell>
          <cell r="G1148" t="str">
            <v>立白</v>
          </cell>
          <cell r="H1148" t="str">
            <v>立白</v>
          </cell>
          <cell r="I1148" t="str">
            <v>清洁用品</v>
          </cell>
          <cell r="J1148" t="str">
            <v>衣物清洁</v>
          </cell>
          <cell r="K1148" t="str">
            <v>立白 浓缩除菌洗衣凝珠（日晒清新） 40颗</v>
          </cell>
          <cell r="L1148" t="str">
            <v>40颗</v>
          </cell>
          <cell r="M1148" t="str">
            <v>盒</v>
          </cell>
          <cell r="N1148">
            <v>34.64</v>
          </cell>
          <cell r="O1148">
            <v>49</v>
          </cell>
          <cell r="P1148">
            <v>0.28591836734693898</v>
          </cell>
        </row>
        <row r="1149">
          <cell r="F1149" t="str">
            <v>70009750</v>
          </cell>
          <cell r="G1149" t="str">
            <v>立白</v>
          </cell>
          <cell r="H1149" t="str">
            <v>立白</v>
          </cell>
          <cell r="I1149" t="str">
            <v>清洁用品</v>
          </cell>
          <cell r="J1149" t="str">
            <v>衣物清洁</v>
          </cell>
          <cell r="K1149" t="str">
            <v>西兰 固体清香剂(清新果园柠檬香) 70g</v>
          </cell>
          <cell r="L1149" t="str">
            <v>70g</v>
          </cell>
          <cell r="M1149" t="str">
            <v>盒</v>
          </cell>
          <cell r="N1149">
            <v>4.25</v>
          </cell>
          <cell r="O1149">
            <v>6</v>
          </cell>
          <cell r="P1149">
            <v>0.28499999999999998</v>
          </cell>
        </row>
        <row r="1150">
          <cell r="F1150" t="str">
            <v>70192522</v>
          </cell>
          <cell r="G1150" t="str">
            <v>立白</v>
          </cell>
          <cell r="H1150" t="str">
            <v>立白</v>
          </cell>
          <cell r="I1150" t="str">
            <v>清洁用品</v>
          </cell>
          <cell r="J1150" t="str">
            <v>厨房清洁</v>
          </cell>
          <cell r="K1150" t="str">
            <v>立白 威王油烟机重油污净清洁剂 500g+420g</v>
          </cell>
          <cell r="L1150" t="str">
            <v>500g+420g</v>
          </cell>
          <cell r="M1150" t="str">
            <v>瓶</v>
          </cell>
          <cell r="N1150">
            <v>17.88</v>
          </cell>
          <cell r="O1150">
            <v>23.8</v>
          </cell>
          <cell r="P1150">
            <v>0.24159663865546199</v>
          </cell>
        </row>
        <row r="1151">
          <cell r="F1151" t="str">
            <v>70524267</v>
          </cell>
          <cell r="G1151" t="str">
            <v>立白</v>
          </cell>
          <cell r="H1151" t="str">
            <v>立白</v>
          </cell>
          <cell r="I1151" t="str">
            <v>个人护理用品</v>
          </cell>
          <cell r="J1151" t="str">
            <v>牙膏牙刷</v>
          </cell>
          <cell r="K1151" t="str">
            <v>立白蓝天六必治 小苏打盐白牙膏（清新海盐） 120g</v>
          </cell>
          <cell r="L1151" t="str">
            <v>120g</v>
          </cell>
          <cell r="M1151" t="str">
            <v>个</v>
          </cell>
          <cell r="N1151">
            <v>6.3</v>
          </cell>
          <cell r="O1151">
            <v>9.9</v>
          </cell>
          <cell r="P1151">
            <v>0.35757575757575799</v>
          </cell>
        </row>
        <row r="1152">
          <cell r="F1152" t="str">
            <v>70010882</v>
          </cell>
          <cell r="G1152" t="str">
            <v>立白</v>
          </cell>
          <cell r="H1152" t="str">
            <v>立白</v>
          </cell>
          <cell r="I1152" t="str">
            <v>个人护理用品</v>
          </cell>
          <cell r="J1152" t="str">
            <v>牙膏牙刷</v>
          </cell>
          <cell r="K1152" t="str">
            <v>立白蓝天六必治 多效护理牙膏（酷爽冬青薄荷）无氟版 120g</v>
          </cell>
          <cell r="L1152" t="str">
            <v>120g</v>
          </cell>
          <cell r="M1152" t="str">
            <v>个</v>
          </cell>
          <cell r="N1152">
            <v>6.3</v>
          </cell>
          <cell r="O1152">
            <v>9.9</v>
          </cell>
          <cell r="P1152">
            <v>0.35757575757575799</v>
          </cell>
        </row>
        <row r="1153">
          <cell r="F1153" t="str">
            <v>70524374</v>
          </cell>
          <cell r="G1153" t="str">
            <v>立白</v>
          </cell>
          <cell r="H1153" t="str">
            <v>立白</v>
          </cell>
          <cell r="I1153" t="str">
            <v>个人护理用品</v>
          </cell>
          <cell r="J1153" t="str">
            <v>牙膏牙刷</v>
          </cell>
          <cell r="K1153" t="str">
            <v>立白蓝天六必治 抗敏清火牙膏 180g</v>
          </cell>
          <cell r="L1153" t="str">
            <v>180g</v>
          </cell>
          <cell r="M1153" t="str">
            <v>个</v>
          </cell>
          <cell r="N1153">
            <v>9</v>
          </cell>
          <cell r="O1153">
            <v>13.9</v>
          </cell>
          <cell r="P1153">
            <v>0.34604316546762598</v>
          </cell>
        </row>
        <row r="1154">
          <cell r="F1154" t="str">
            <v>70524371</v>
          </cell>
          <cell r="G1154" t="str">
            <v>立白</v>
          </cell>
          <cell r="H1154" t="str">
            <v>立白</v>
          </cell>
          <cell r="I1154" t="str">
            <v>个人护理用品</v>
          </cell>
          <cell r="J1154" t="str">
            <v>牙膏牙刷</v>
          </cell>
          <cell r="K1154" t="str">
            <v>立白蓝天六必治 炭丝能量牙刷 1支装</v>
          </cell>
          <cell r="L1154" t="str">
            <v>1*1</v>
          </cell>
          <cell r="M1154" t="str">
            <v>个</v>
          </cell>
          <cell r="N1154">
            <v>4.49</v>
          </cell>
          <cell r="O1154">
            <v>6.9</v>
          </cell>
          <cell r="P1154">
            <v>0.34202898550724598</v>
          </cell>
        </row>
        <row r="1155">
          <cell r="F1155" t="str">
            <v>70524264</v>
          </cell>
          <cell r="G1155" t="str">
            <v>立白</v>
          </cell>
          <cell r="H1155" t="str">
            <v>立白</v>
          </cell>
          <cell r="I1155" t="str">
            <v>个人护理用品</v>
          </cell>
          <cell r="J1155" t="str">
            <v>牙膏牙刷</v>
          </cell>
          <cell r="K1155" t="str">
            <v>立白蓝天六必治 11号亮洁护龈牙刷 3支装</v>
          </cell>
          <cell r="L1155" t="str">
            <v>1*3</v>
          </cell>
          <cell r="M1155" t="str">
            <v>个</v>
          </cell>
          <cell r="N1155">
            <v>10.35</v>
          </cell>
          <cell r="O1155">
            <v>15.9</v>
          </cell>
          <cell r="P1155">
            <v>0.34213836477987403</v>
          </cell>
        </row>
        <row r="1156">
          <cell r="F1156" t="str">
            <v>70524449</v>
          </cell>
          <cell r="G1156" t="str">
            <v>立白</v>
          </cell>
          <cell r="H1156" t="str">
            <v>立白</v>
          </cell>
          <cell r="I1156" t="str">
            <v>个人护理用品</v>
          </cell>
          <cell r="J1156" t="str">
            <v>洗发液</v>
          </cell>
          <cell r="K1156" t="str">
            <v>立白清怡 清爽控油洗发露 800g</v>
          </cell>
          <cell r="L1156" t="str">
            <v>800g</v>
          </cell>
          <cell r="M1156" t="str">
            <v>瓶</v>
          </cell>
          <cell r="N1156">
            <v>34.19</v>
          </cell>
          <cell r="O1156">
            <v>52</v>
          </cell>
          <cell r="P1156">
            <v>0.33596153846153798</v>
          </cell>
        </row>
        <row r="1157">
          <cell r="F1157" t="str">
            <v>70524451</v>
          </cell>
          <cell r="G1157" t="str">
            <v>立白</v>
          </cell>
          <cell r="H1157" t="str">
            <v>立白</v>
          </cell>
          <cell r="I1157" t="str">
            <v>个人护理用品</v>
          </cell>
          <cell r="J1157" t="str">
            <v>沐浴用品</v>
          </cell>
          <cell r="K1157" t="str">
            <v>立白清怡 香氛沐浴露（梦幻薰衣草香调） 400g</v>
          </cell>
          <cell r="L1157" t="str">
            <v>400g</v>
          </cell>
          <cell r="M1157" t="str">
            <v>瓶</v>
          </cell>
          <cell r="N1157">
            <v>16.16</v>
          </cell>
          <cell r="O1157">
            <v>25</v>
          </cell>
          <cell r="P1157">
            <v>0.34720000000000001</v>
          </cell>
        </row>
        <row r="1158">
          <cell r="F1158" t="str">
            <v>70524269</v>
          </cell>
          <cell r="G1158" t="str">
            <v>立白</v>
          </cell>
          <cell r="H1158" t="str">
            <v>立白</v>
          </cell>
          <cell r="I1158" t="str">
            <v>清洁用品</v>
          </cell>
          <cell r="J1158" t="str">
            <v>蚊香</v>
          </cell>
          <cell r="K1158" t="str">
            <v>立白超威 直插式加热器+舒睡电热蚊香液鼠尾草香 40mL*2</v>
          </cell>
          <cell r="L1158" t="str">
            <v>40mL*2</v>
          </cell>
          <cell r="M1158" t="str">
            <v>盒</v>
          </cell>
          <cell r="N1158">
            <v>24.75</v>
          </cell>
          <cell r="O1158">
            <v>38</v>
          </cell>
          <cell r="P1158">
            <v>0.34236842105263199</v>
          </cell>
        </row>
        <row r="1159">
          <cell r="F1159" t="str">
            <v>70021298</v>
          </cell>
          <cell r="G1159" t="str">
            <v>立白</v>
          </cell>
          <cell r="H1159" t="str">
            <v>立白</v>
          </cell>
          <cell r="I1159" t="str">
            <v>清洁用品</v>
          </cell>
          <cell r="J1159" t="str">
            <v>蚊香</v>
          </cell>
          <cell r="K1159" t="str">
            <v>立白超威 无烟蚊香艾草清香加大圈10圈 180g</v>
          </cell>
          <cell r="L1159" t="str">
            <v>180g</v>
          </cell>
          <cell r="M1159" t="str">
            <v>盒</v>
          </cell>
          <cell r="N1159">
            <v>3.33</v>
          </cell>
          <cell r="O1159">
            <v>5</v>
          </cell>
          <cell r="P1159">
            <v>0.32600000000000001</v>
          </cell>
        </row>
        <row r="1160">
          <cell r="F1160" t="str">
            <v>70524352</v>
          </cell>
          <cell r="G1160" t="str">
            <v>立白</v>
          </cell>
          <cell r="H1160" t="str">
            <v>立白</v>
          </cell>
          <cell r="I1160" t="str">
            <v>个人护理用品</v>
          </cell>
          <cell r="J1160" t="str">
            <v>洗发沐浴</v>
          </cell>
          <cell r="K1160" t="str">
            <v>立白超威 经典艾草驱蚊花露水 195mL</v>
          </cell>
          <cell r="L1160" t="str">
            <v>195mL</v>
          </cell>
          <cell r="M1160" t="str">
            <v>瓶</v>
          </cell>
          <cell r="N1160">
            <v>19.8</v>
          </cell>
          <cell r="O1160">
            <v>29.9</v>
          </cell>
          <cell r="P1160">
            <v>0.33143812709030102</v>
          </cell>
        </row>
        <row r="1161">
          <cell r="F1161" t="str">
            <v>70524452</v>
          </cell>
          <cell r="G1161" t="str">
            <v>立白</v>
          </cell>
          <cell r="H1161" t="str">
            <v>立白</v>
          </cell>
          <cell r="I1161" t="str">
            <v>清洁用品</v>
          </cell>
          <cell r="J1161" t="str">
            <v>衣物清洁</v>
          </cell>
          <cell r="K1161" t="str">
            <v>立白 大师香氛天然洗衣凝珠 300g</v>
          </cell>
          <cell r="L1161" t="str">
            <v>300g</v>
          </cell>
          <cell r="M1161" t="str">
            <v>盒</v>
          </cell>
          <cell r="N1161">
            <v>41.39</v>
          </cell>
          <cell r="O1161">
            <v>64.900000000000006</v>
          </cell>
          <cell r="P1161">
            <v>0.355932203389831</v>
          </cell>
        </row>
        <row r="1162">
          <cell r="F1162" t="str">
            <v>70524275</v>
          </cell>
          <cell r="G1162" t="str">
            <v>立白</v>
          </cell>
          <cell r="H1162" t="str">
            <v>立白</v>
          </cell>
          <cell r="I1162" t="str">
            <v>清洁用品</v>
          </cell>
          <cell r="J1162" t="str">
            <v>厨房清洁</v>
          </cell>
          <cell r="K1162" t="str">
            <v>立白好爸爸 果蔬餐具净（除油除味） 1kg</v>
          </cell>
          <cell r="L1162" t="str">
            <v>1kg</v>
          </cell>
          <cell r="M1162" t="str">
            <v>瓶</v>
          </cell>
          <cell r="N1162">
            <v>14.14</v>
          </cell>
          <cell r="O1162">
            <v>19.899999999999999</v>
          </cell>
          <cell r="P1162">
            <v>0.28241206030150801</v>
          </cell>
        </row>
        <row r="1163">
          <cell r="F1163" t="str">
            <v>70524471</v>
          </cell>
          <cell r="G1163" t="str">
            <v>立白</v>
          </cell>
          <cell r="H1163" t="str">
            <v>立白</v>
          </cell>
          <cell r="I1163" t="str">
            <v>清洁用品</v>
          </cell>
          <cell r="J1163" t="str">
            <v>衣物清洁</v>
          </cell>
          <cell r="K1163" t="str">
            <v>立白 卫仕衣物除菌液 1.5L</v>
          </cell>
          <cell r="L1163" t="str">
            <v>1.5L</v>
          </cell>
          <cell r="M1163" t="str">
            <v>桶</v>
          </cell>
          <cell r="N1163">
            <v>35.1</v>
          </cell>
          <cell r="O1163">
            <v>53.9</v>
          </cell>
          <cell r="P1163">
            <v>0.34230055658627101</v>
          </cell>
        </row>
        <row r="1164">
          <cell r="F1164" t="str">
            <v>70524262</v>
          </cell>
          <cell r="G1164" t="str">
            <v>立白</v>
          </cell>
          <cell r="H1164" t="str">
            <v>立白</v>
          </cell>
          <cell r="I1164" t="str">
            <v>清洁用品</v>
          </cell>
          <cell r="J1164" t="str">
            <v>厨房清洁</v>
          </cell>
          <cell r="K1164" t="str">
            <v>立白 去油王餐具净 20kg</v>
          </cell>
          <cell r="L1164" t="str">
            <v>20kg</v>
          </cell>
          <cell r="M1164" t="str">
            <v>桶</v>
          </cell>
          <cell r="N1164">
            <v>116.44</v>
          </cell>
          <cell r="O1164">
            <v>160</v>
          </cell>
          <cell r="P1164">
            <v>0.26500000000000001</v>
          </cell>
        </row>
        <row r="1165">
          <cell r="F1165" t="str">
            <v>70120668</v>
          </cell>
          <cell r="G1165" t="str">
            <v>立白</v>
          </cell>
          <cell r="H1165" t="str">
            <v>立白</v>
          </cell>
          <cell r="I1165" t="str">
            <v>清洁用品</v>
          </cell>
          <cell r="J1165" t="str">
            <v>厨房清洁</v>
          </cell>
          <cell r="K1165" t="str">
            <v>立白 茶洁洗洁精 1.1kg</v>
          </cell>
          <cell r="L1165" t="str">
            <v>1.1kg</v>
          </cell>
          <cell r="M1165" t="str">
            <v>瓶</v>
          </cell>
          <cell r="N1165">
            <v>12.12</v>
          </cell>
          <cell r="O1165">
            <v>17.899999999999999</v>
          </cell>
          <cell r="P1165">
            <v>0.31620111731843598</v>
          </cell>
        </row>
        <row r="1166">
          <cell r="F1166" t="str">
            <v>70543473</v>
          </cell>
          <cell r="G1166" t="str">
            <v>立白</v>
          </cell>
          <cell r="H1166" t="str">
            <v>立白</v>
          </cell>
          <cell r="I1166" t="str">
            <v>清洁用品</v>
          </cell>
          <cell r="J1166" t="str">
            <v>衣物清洁</v>
          </cell>
          <cell r="K1166" t="str">
            <v>立白 全自动浓缩无磷型洗衣粉 2.38kg</v>
          </cell>
          <cell r="L1166" t="str">
            <v>2.38kg</v>
          </cell>
          <cell r="M1166" t="str">
            <v>袋</v>
          </cell>
          <cell r="N1166">
            <v>30.3</v>
          </cell>
          <cell r="O1166">
            <v>46</v>
          </cell>
          <cell r="P1166">
            <v>0.33478260869565202</v>
          </cell>
        </row>
        <row r="1167">
          <cell r="F1167" t="str">
            <v>70288952</v>
          </cell>
          <cell r="G1167" t="str">
            <v>立白</v>
          </cell>
          <cell r="H1167" t="str">
            <v>立白</v>
          </cell>
          <cell r="I1167" t="str">
            <v>个人护理用品</v>
          </cell>
          <cell r="J1167" t="str">
            <v>洗手液</v>
          </cell>
          <cell r="K1167" t="str">
            <v>立白 润之素抑菌洗手液（柠檬） 500g</v>
          </cell>
          <cell r="L1167" t="str">
            <v>500g</v>
          </cell>
          <cell r="M1167" t="str">
            <v>瓶</v>
          </cell>
          <cell r="N1167">
            <v>8.59</v>
          </cell>
          <cell r="O1167">
            <v>13</v>
          </cell>
          <cell r="P1167">
            <v>0.33307692307692299</v>
          </cell>
        </row>
        <row r="1168">
          <cell r="F1168" t="str">
            <v>70543446</v>
          </cell>
          <cell r="G1168" t="str">
            <v>立白</v>
          </cell>
          <cell r="H1168" t="str">
            <v>立白</v>
          </cell>
          <cell r="I1168" t="str">
            <v>清洁用品</v>
          </cell>
          <cell r="J1168" t="str">
            <v>衣物清洁</v>
          </cell>
          <cell r="K1168" t="str">
            <v>立白 超洁清新无磷型洗衣粉 408g</v>
          </cell>
          <cell r="L1168" t="str">
            <v>408g</v>
          </cell>
          <cell r="M1168" t="str">
            <v>袋</v>
          </cell>
          <cell r="N1168">
            <v>4.75</v>
          </cell>
          <cell r="O1168">
            <v>7</v>
          </cell>
          <cell r="P1168">
            <v>0.315714285714286</v>
          </cell>
        </row>
        <row r="1169">
          <cell r="F1169" t="str">
            <v>70543411</v>
          </cell>
          <cell r="G1169" t="str">
            <v>立白</v>
          </cell>
          <cell r="H1169" t="str">
            <v>立白</v>
          </cell>
          <cell r="I1169" t="str">
            <v>清洁用品</v>
          </cell>
          <cell r="J1169" t="str">
            <v>家居清洁</v>
          </cell>
          <cell r="K1169" t="str">
            <v>立白 小白鞋清洁剂 100g</v>
          </cell>
          <cell r="L1169" t="str">
            <v>100g</v>
          </cell>
          <cell r="M1169" t="str">
            <v>瓶</v>
          </cell>
          <cell r="N1169">
            <v>10.1</v>
          </cell>
          <cell r="O1169">
            <v>14.9</v>
          </cell>
          <cell r="P1169">
            <v>0.31543624161073802</v>
          </cell>
        </row>
        <row r="1170">
          <cell r="F1170" t="str">
            <v>70521772</v>
          </cell>
          <cell r="G1170" t="str">
            <v>立白</v>
          </cell>
          <cell r="H1170" t="str">
            <v>立白</v>
          </cell>
          <cell r="I1170" t="str">
            <v>清洁用品</v>
          </cell>
          <cell r="J1170" t="str">
            <v>衣物清洁</v>
          </cell>
          <cell r="K1170" t="str">
            <v>立白 大师香氛无磷型洗衣粉 1.65kg</v>
          </cell>
          <cell r="L1170" t="str">
            <v>1.65kg</v>
          </cell>
          <cell r="M1170" t="str">
            <v>袋</v>
          </cell>
          <cell r="N1170">
            <v>20.2</v>
          </cell>
          <cell r="O1170">
            <v>29.9</v>
          </cell>
          <cell r="P1170">
            <v>0.31772575250836099</v>
          </cell>
        </row>
        <row r="1171">
          <cell r="F1171" t="str">
            <v>70543513</v>
          </cell>
          <cell r="G1171" t="str">
            <v>立白</v>
          </cell>
          <cell r="H1171" t="str">
            <v>立白</v>
          </cell>
          <cell r="I1171" t="str">
            <v>清洁用品</v>
          </cell>
          <cell r="J1171" t="str">
            <v>洗衣皂</v>
          </cell>
          <cell r="K1171" t="str">
            <v>立白 大师香氛天然洗衣皂 208g</v>
          </cell>
          <cell r="L1171" t="str">
            <v>208g</v>
          </cell>
          <cell r="M1171" t="str">
            <v>个</v>
          </cell>
          <cell r="N1171">
            <v>5.05</v>
          </cell>
          <cell r="O1171">
            <v>6.9</v>
          </cell>
          <cell r="P1171">
            <v>0.26086956521739102</v>
          </cell>
        </row>
        <row r="1172">
          <cell r="F1172" t="str">
            <v>70543475</v>
          </cell>
          <cell r="G1172" t="str">
            <v>立白</v>
          </cell>
          <cell r="H1172" t="str">
            <v>立白</v>
          </cell>
          <cell r="I1172" t="str">
            <v>清洁用品</v>
          </cell>
          <cell r="J1172" t="str">
            <v>衣物清洁</v>
          </cell>
          <cell r="K1172" t="str">
            <v>立白 小白白爆炸盐 300g</v>
          </cell>
          <cell r="L1172" t="str">
            <v>300g</v>
          </cell>
          <cell r="M1172" t="str">
            <v>瓶</v>
          </cell>
          <cell r="N1172">
            <v>22.73</v>
          </cell>
          <cell r="O1172">
            <v>34.9</v>
          </cell>
          <cell r="P1172">
            <v>0.34240687679083098</v>
          </cell>
        </row>
        <row r="1173">
          <cell r="F1173" t="str">
            <v>70532586</v>
          </cell>
          <cell r="G1173" t="str">
            <v>立白</v>
          </cell>
          <cell r="H1173" t="str">
            <v>立白</v>
          </cell>
          <cell r="I1173" t="str">
            <v>清洁用品</v>
          </cell>
          <cell r="J1173" t="str">
            <v>衣物清洁</v>
          </cell>
          <cell r="K1173" t="str">
            <v>立白 大师香氛天然洗衣液 2.88kg</v>
          </cell>
          <cell r="L1173" t="str">
            <v>2.88kg</v>
          </cell>
          <cell r="M1173" t="str">
            <v>桶</v>
          </cell>
          <cell r="N1173">
            <v>50</v>
          </cell>
          <cell r="O1173">
            <v>79.900000000000006</v>
          </cell>
          <cell r="P1173">
            <v>0.36808510638297898</v>
          </cell>
        </row>
        <row r="1174">
          <cell r="F1174" t="str">
            <v>70501092</v>
          </cell>
          <cell r="G1174" t="str">
            <v>立白</v>
          </cell>
          <cell r="H1174" t="str">
            <v>立白</v>
          </cell>
          <cell r="I1174" t="str">
            <v>清洁用品</v>
          </cell>
          <cell r="J1174" t="str">
            <v>衣物清洁</v>
          </cell>
          <cell r="K1174" t="str">
            <v>立白 大师香氛天然洗衣液 1kg</v>
          </cell>
          <cell r="L1174" t="str">
            <v>1kg</v>
          </cell>
          <cell r="M1174" t="str">
            <v>瓶</v>
          </cell>
          <cell r="N1174">
            <v>18.079999999999998</v>
          </cell>
          <cell r="O1174">
            <v>29.9</v>
          </cell>
          <cell r="P1174">
            <v>0.38929765886287598</v>
          </cell>
        </row>
        <row r="1175">
          <cell r="F1175" t="str">
            <v>70543414</v>
          </cell>
          <cell r="G1175" t="str">
            <v>立白</v>
          </cell>
          <cell r="H1175" t="str">
            <v>立白</v>
          </cell>
          <cell r="I1175" t="str">
            <v>清洁用品</v>
          </cell>
          <cell r="J1175" t="str">
            <v>家居清洁</v>
          </cell>
          <cell r="K1175" t="str">
            <v>威王消毒液（清爽松木） 1.25L</v>
          </cell>
          <cell r="L1175" t="str">
            <v>1.25L</v>
          </cell>
          <cell r="M1175" t="str">
            <v>瓶</v>
          </cell>
          <cell r="N1175">
            <v>27.27</v>
          </cell>
          <cell r="O1175">
            <v>39.9</v>
          </cell>
          <cell r="P1175">
            <v>0.30977443609022598</v>
          </cell>
        </row>
        <row r="1176">
          <cell r="F1176" t="str">
            <v>70543472</v>
          </cell>
          <cell r="G1176" t="str">
            <v>立白</v>
          </cell>
          <cell r="H1176" t="str">
            <v>立白</v>
          </cell>
          <cell r="I1176" t="str">
            <v>清洁用品</v>
          </cell>
          <cell r="J1176" t="str">
            <v>衣物清洁</v>
          </cell>
          <cell r="K1176" t="str">
            <v>立白 婴元素金盏花酵素洗衣液 2kg</v>
          </cell>
          <cell r="L1176" t="str">
            <v>2kg</v>
          </cell>
          <cell r="M1176" t="str">
            <v>桶</v>
          </cell>
          <cell r="N1176">
            <v>25.25</v>
          </cell>
          <cell r="O1176">
            <v>38</v>
          </cell>
          <cell r="P1176">
            <v>0.32894736842105299</v>
          </cell>
        </row>
        <row r="1177">
          <cell r="F1177" t="str">
            <v>70543514</v>
          </cell>
          <cell r="G1177" t="str">
            <v>立白</v>
          </cell>
          <cell r="H1177" t="str">
            <v>立白</v>
          </cell>
          <cell r="I1177" t="str">
            <v>个人护理用品</v>
          </cell>
          <cell r="J1177" t="str">
            <v>洗手液</v>
          </cell>
          <cell r="K1177" t="str">
            <v>立白 润之素健康净护柔泡洗手液 400mL</v>
          </cell>
          <cell r="L1177" t="str">
            <v>400mL</v>
          </cell>
          <cell r="M1177" t="str">
            <v>瓶</v>
          </cell>
          <cell r="N1177">
            <v>16.670000000000002</v>
          </cell>
          <cell r="O1177">
            <v>25</v>
          </cell>
          <cell r="P1177">
            <v>0.32679999999999998</v>
          </cell>
        </row>
        <row r="1178">
          <cell r="F1178" t="str">
            <v>70574877</v>
          </cell>
          <cell r="G1178" t="str">
            <v>立白</v>
          </cell>
          <cell r="H1178" t="str">
            <v>立白</v>
          </cell>
          <cell r="I1178" t="str">
            <v>个人护理用品</v>
          </cell>
          <cell r="J1178" t="str">
            <v>洗发水</v>
          </cell>
          <cell r="K1178" t="str">
            <v>立白 清怡滋养顺滑洗发露 800g</v>
          </cell>
          <cell r="L1178" t="str">
            <v>800g</v>
          </cell>
          <cell r="M1178" t="str">
            <v>瓶</v>
          </cell>
          <cell r="N1178">
            <v>36.46</v>
          </cell>
          <cell r="O1178">
            <v>52</v>
          </cell>
          <cell r="P1178">
            <v>0.29192307692307701</v>
          </cell>
        </row>
        <row r="1179">
          <cell r="F1179" t="str">
            <v>70574856</v>
          </cell>
          <cell r="G1179" t="str">
            <v>立白</v>
          </cell>
          <cell r="H1179" t="str">
            <v>立白</v>
          </cell>
          <cell r="I1179" t="str">
            <v>个人护理用品</v>
          </cell>
          <cell r="J1179" t="str">
            <v>洗发水</v>
          </cell>
          <cell r="K1179" t="str">
            <v>立白 清怡去屑盈韧洗发露 800g</v>
          </cell>
          <cell r="L1179" t="str">
            <v>800g</v>
          </cell>
          <cell r="M1179" t="str">
            <v>瓶</v>
          </cell>
          <cell r="N1179">
            <v>36.46</v>
          </cell>
          <cell r="O1179">
            <v>52</v>
          </cell>
          <cell r="P1179">
            <v>0.29192307692307701</v>
          </cell>
        </row>
        <row r="1180">
          <cell r="F1180" t="str">
            <v>70574867</v>
          </cell>
          <cell r="G1180" t="str">
            <v>立白</v>
          </cell>
          <cell r="H1180" t="str">
            <v>立白</v>
          </cell>
          <cell r="I1180" t="str">
            <v>个人护理用品</v>
          </cell>
          <cell r="J1180" t="str">
            <v>洗发水</v>
          </cell>
          <cell r="K1180" t="str">
            <v>奥妮 植物柔亮顺滑洗发露 480mL</v>
          </cell>
          <cell r="L1180" t="str">
            <v>480mL</v>
          </cell>
          <cell r="M1180" t="str">
            <v>瓶</v>
          </cell>
          <cell r="N1180">
            <v>66.16</v>
          </cell>
          <cell r="O1180">
            <v>99</v>
          </cell>
          <cell r="P1180">
            <v>0.32515151515151502</v>
          </cell>
        </row>
        <row r="1181">
          <cell r="F1181" t="str">
            <v>70574889</v>
          </cell>
          <cell r="G1181" t="str">
            <v>立白</v>
          </cell>
          <cell r="H1181" t="str">
            <v>立白</v>
          </cell>
          <cell r="I1181" t="str">
            <v>个人护理用品</v>
          </cell>
          <cell r="J1181" t="str">
            <v>护发素</v>
          </cell>
          <cell r="K1181" t="str">
            <v>奥妮 植物顺滑奢护润发乳 480mL</v>
          </cell>
          <cell r="L1181" t="str">
            <v>480mL</v>
          </cell>
          <cell r="M1181" t="str">
            <v>瓶</v>
          </cell>
          <cell r="N1181">
            <v>66.16</v>
          </cell>
          <cell r="O1181">
            <v>99</v>
          </cell>
          <cell r="P1181">
            <v>0.32515151515151502</v>
          </cell>
        </row>
        <row r="1182">
          <cell r="F1182" t="str">
            <v>70574263</v>
          </cell>
          <cell r="G1182" t="str">
            <v>立白</v>
          </cell>
          <cell r="H1182" t="str">
            <v>立白</v>
          </cell>
          <cell r="I1182" t="str">
            <v>个人护理用品</v>
          </cell>
          <cell r="J1182" t="str">
            <v>洗发水</v>
          </cell>
          <cell r="K1182" t="str">
            <v>奥妮 植物净屑止痒洗发露 750mL</v>
          </cell>
          <cell r="L1182" t="str">
            <v>750mL</v>
          </cell>
          <cell r="M1182" t="str">
            <v>瓶</v>
          </cell>
          <cell r="N1182">
            <v>111.3</v>
          </cell>
          <cell r="O1182">
            <v>169</v>
          </cell>
          <cell r="P1182">
            <v>0.33491124260354999</v>
          </cell>
        </row>
        <row r="1183">
          <cell r="F1183" t="str">
            <v>70574265</v>
          </cell>
          <cell r="G1183" t="str">
            <v>立白</v>
          </cell>
          <cell r="H1183" t="str">
            <v>立白</v>
          </cell>
          <cell r="I1183" t="str">
            <v>个人护理用品</v>
          </cell>
          <cell r="J1183" t="str">
            <v>沐浴液</v>
          </cell>
          <cell r="K1183" t="str">
            <v>立白 清怡香氛沐浴露（梦幻薰衣草香调） 1kg</v>
          </cell>
          <cell r="L1183" t="str">
            <v>1kg</v>
          </cell>
          <cell r="M1183" t="str">
            <v>瓶</v>
          </cell>
          <cell r="N1183">
            <v>33.58</v>
          </cell>
          <cell r="O1183">
            <v>48</v>
          </cell>
          <cell r="P1183">
            <v>0.293333333333333</v>
          </cell>
        </row>
        <row r="1184">
          <cell r="F1184" t="str">
            <v>70089313</v>
          </cell>
          <cell r="G1184" t="str">
            <v>立白</v>
          </cell>
          <cell r="H1184" t="str">
            <v>立白</v>
          </cell>
          <cell r="I1184" t="str">
            <v>个人护理用品</v>
          </cell>
          <cell r="J1184" t="str">
            <v>牙膏</v>
          </cell>
          <cell r="K1184" t="str">
            <v>立白 蓝天六必治百年护理牙膏 150g</v>
          </cell>
          <cell r="L1184" t="str">
            <v>150g</v>
          </cell>
          <cell r="M1184" t="str">
            <v>个</v>
          </cell>
          <cell r="N1184">
            <v>13.24</v>
          </cell>
          <cell r="O1184">
            <v>18.899999999999999</v>
          </cell>
          <cell r="P1184">
            <v>0.29259259259259301</v>
          </cell>
        </row>
        <row r="1185">
          <cell r="F1185" t="str">
            <v>70574887</v>
          </cell>
          <cell r="G1185" t="str">
            <v>立白</v>
          </cell>
          <cell r="H1185" t="str">
            <v>立白</v>
          </cell>
          <cell r="I1185" t="str">
            <v>个人护理用品</v>
          </cell>
          <cell r="J1185" t="str">
            <v>牙膏</v>
          </cell>
          <cell r="K1185" t="str">
            <v>NVR上扬 泡感白牙膏（清萃龙井香型） 120g</v>
          </cell>
          <cell r="L1185" t="str">
            <v>120g</v>
          </cell>
          <cell r="M1185" t="str">
            <v>个</v>
          </cell>
          <cell r="N1185">
            <v>19.47</v>
          </cell>
          <cell r="O1185">
            <v>28</v>
          </cell>
          <cell r="P1185">
            <v>0.29749999999999999</v>
          </cell>
        </row>
        <row r="1186">
          <cell r="F1186" t="str">
            <v>70574881</v>
          </cell>
          <cell r="G1186" t="str">
            <v>立白</v>
          </cell>
          <cell r="H1186" t="str">
            <v>立白</v>
          </cell>
          <cell r="I1186" t="str">
            <v>个人护理用品</v>
          </cell>
          <cell r="J1186" t="str">
            <v>牙膏</v>
          </cell>
          <cell r="K1186" t="str">
            <v>NVR上扬 泡感白牙膏（冷萃冰柠香型） 120g</v>
          </cell>
          <cell r="L1186" t="str">
            <v>120g</v>
          </cell>
          <cell r="M1186" t="str">
            <v>个</v>
          </cell>
          <cell r="N1186">
            <v>19.47</v>
          </cell>
          <cell r="O1186">
            <v>28</v>
          </cell>
          <cell r="P1186">
            <v>0.29749999999999999</v>
          </cell>
        </row>
        <row r="1187">
          <cell r="F1187" t="str">
            <v>70574264</v>
          </cell>
          <cell r="G1187" t="str">
            <v>立白</v>
          </cell>
          <cell r="H1187" t="str">
            <v>立白</v>
          </cell>
          <cell r="I1187" t="str">
            <v>个人护理用品</v>
          </cell>
          <cell r="J1187" t="str">
            <v>牙膏</v>
          </cell>
          <cell r="K1187" t="str">
            <v>NVR上扬 泡感白牙膏（花润留兰香型） 120g</v>
          </cell>
          <cell r="L1187" t="str">
            <v>120g</v>
          </cell>
          <cell r="M1187" t="str">
            <v>个</v>
          </cell>
          <cell r="N1187">
            <v>19.47</v>
          </cell>
          <cell r="O1187">
            <v>28</v>
          </cell>
          <cell r="P1187">
            <v>0.29749999999999999</v>
          </cell>
        </row>
        <row r="1188">
          <cell r="F1188" t="str">
            <v>70490509</v>
          </cell>
          <cell r="G1188" t="str">
            <v>立白</v>
          </cell>
          <cell r="H1188" t="str">
            <v>立白</v>
          </cell>
          <cell r="I1188" t="str">
            <v>个人护理用品</v>
          </cell>
          <cell r="J1188" t="str">
            <v>厨房清洁</v>
          </cell>
          <cell r="K1188" t="str">
            <v>立白 果醋洗洁精红石榴 1kg</v>
          </cell>
          <cell r="L1188" t="str">
            <v>1kg</v>
          </cell>
          <cell r="M1188" t="str">
            <v>瓶</v>
          </cell>
          <cell r="N1188">
            <v>20.6</v>
          </cell>
          <cell r="O1188">
            <v>29.9</v>
          </cell>
          <cell r="P1188">
            <v>0.30401337792642102</v>
          </cell>
        </row>
        <row r="1189">
          <cell r="F1189" t="str">
            <v>70574855</v>
          </cell>
          <cell r="G1189" t="str">
            <v>立白</v>
          </cell>
          <cell r="H1189" t="str">
            <v>立白</v>
          </cell>
          <cell r="I1189" t="str">
            <v>个人护理用品</v>
          </cell>
          <cell r="J1189" t="str">
            <v>洗手液</v>
          </cell>
          <cell r="K1189" t="str">
            <v>立白 润之素健康净护洗手液晨露清茶 500g</v>
          </cell>
          <cell r="L1189" t="str">
            <v>500g</v>
          </cell>
          <cell r="M1189" t="str">
            <v>瓶</v>
          </cell>
          <cell r="N1189">
            <v>9.09</v>
          </cell>
          <cell r="O1189">
            <v>13</v>
          </cell>
          <cell r="P1189">
            <v>0.29384615384615398</v>
          </cell>
        </row>
        <row r="1190">
          <cell r="F1190" t="str">
            <v>70574874</v>
          </cell>
          <cell r="G1190" t="str">
            <v>立白</v>
          </cell>
          <cell r="H1190" t="str">
            <v>立白</v>
          </cell>
          <cell r="I1190" t="str">
            <v>个人护理用品</v>
          </cell>
          <cell r="J1190" t="str">
            <v>蚊虫叮咬治疗产品</v>
          </cell>
          <cell r="K1190" t="str">
            <v>立白 润之素驱蚊花露水 195mL</v>
          </cell>
          <cell r="L1190" t="str">
            <v>195mL</v>
          </cell>
          <cell r="M1190" t="str">
            <v>瓶</v>
          </cell>
          <cell r="N1190">
            <v>13.43</v>
          </cell>
          <cell r="O1190">
            <v>19</v>
          </cell>
          <cell r="P1190">
            <v>0.28578947368421098</v>
          </cell>
        </row>
        <row r="1191">
          <cell r="F1191" t="str">
            <v>70574259</v>
          </cell>
          <cell r="G1191" t="str">
            <v>立白</v>
          </cell>
          <cell r="H1191" t="str">
            <v>立白</v>
          </cell>
          <cell r="I1191" t="str">
            <v>个人护理用品</v>
          </cell>
          <cell r="J1191" t="str">
            <v>蚊虫叮咬治疗产品</v>
          </cell>
          <cell r="K1191" t="str">
            <v>立白 润之素艾草舒爽花露水 188mL</v>
          </cell>
          <cell r="L1191" t="str">
            <v>188mL</v>
          </cell>
          <cell r="M1191" t="str">
            <v>瓶</v>
          </cell>
          <cell r="N1191">
            <v>12.73</v>
          </cell>
          <cell r="O1191">
            <v>18</v>
          </cell>
          <cell r="P1191">
            <v>0.28611111111111098</v>
          </cell>
        </row>
        <row r="1192">
          <cell r="F1192" t="str">
            <v>70532027</v>
          </cell>
          <cell r="G1192" t="str">
            <v>立白</v>
          </cell>
          <cell r="H1192" t="str">
            <v>立白</v>
          </cell>
          <cell r="I1192" t="str">
            <v>清洁用品</v>
          </cell>
          <cell r="J1192" t="str">
            <v>衣物清洁</v>
          </cell>
          <cell r="K1192" t="str">
            <v>立白 卫仕天然除菌洗衣液 2kg</v>
          </cell>
          <cell r="L1192" t="str">
            <v>1*6</v>
          </cell>
          <cell r="M1192" t="str">
            <v>桶</v>
          </cell>
          <cell r="N1192">
            <v>52.72</v>
          </cell>
          <cell r="O1192">
            <v>79.900000000000006</v>
          </cell>
          <cell r="P1192">
            <v>0.33366708385481902</v>
          </cell>
        </row>
        <row r="1193">
          <cell r="F1193" t="str">
            <v>70574865</v>
          </cell>
          <cell r="G1193" t="str">
            <v>立白</v>
          </cell>
          <cell r="H1193" t="str">
            <v>立白</v>
          </cell>
          <cell r="I1193" t="str">
            <v>个人护理用品</v>
          </cell>
          <cell r="J1193" t="str">
            <v>蚊虫叮咬治疗产品</v>
          </cell>
          <cell r="K1193" t="str">
            <v>立白 超威驱蚊液喷雾（知橘茶也香型） 60mL</v>
          </cell>
          <cell r="L1193" t="str">
            <v>60mL</v>
          </cell>
          <cell r="M1193" t="str">
            <v>瓶</v>
          </cell>
          <cell r="N1193">
            <v>35.35</v>
          </cell>
          <cell r="O1193">
            <v>49.9</v>
          </cell>
          <cell r="P1193">
            <v>0.284569138276553</v>
          </cell>
        </row>
        <row r="1194">
          <cell r="F1194" t="str">
            <v>70574262</v>
          </cell>
          <cell r="G1194" t="str">
            <v>立白</v>
          </cell>
          <cell r="H1194" t="str">
            <v>立白</v>
          </cell>
          <cell r="I1194" t="str">
            <v>清洁用品</v>
          </cell>
          <cell r="J1194" t="str">
            <v>厨房清洁</v>
          </cell>
          <cell r="K1194" t="str">
            <v>立白 清新柠檬洗洁精 5.62千克*3桶</v>
          </cell>
          <cell r="L1194" t="str">
            <v>5.62千克</v>
          </cell>
          <cell r="M1194" t="str">
            <v>瓶</v>
          </cell>
          <cell r="N1194">
            <v>40.770000000000003</v>
          </cell>
          <cell r="O1194">
            <v>56.9</v>
          </cell>
          <cell r="P1194">
            <v>0.27627416520210901</v>
          </cell>
        </row>
        <row r="1195">
          <cell r="F1195" t="str">
            <v>70574885</v>
          </cell>
          <cell r="G1195" t="str">
            <v>立白</v>
          </cell>
          <cell r="H1195" t="str">
            <v>立白</v>
          </cell>
          <cell r="I1195" t="str">
            <v>清洁用品</v>
          </cell>
          <cell r="J1195" t="str">
            <v>厨房清洁</v>
          </cell>
          <cell r="K1195" t="str">
            <v>立白 清新柠檬洗洁精 4.028千克*4桶</v>
          </cell>
          <cell r="L1195" t="str">
            <v>4.028kg</v>
          </cell>
          <cell r="M1195" t="str">
            <v>瓶</v>
          </cell>
          <cell r="N1195">
            <v>31.56</v>
          </cell>
          <cell r="O1195">
            <v>43.9</v>
          </cell>
          <cell r="P1195">
            <v>0.27380410022779</v>
          </cell>
        </row>
        <row r="1196">
          <cell r="F1196" t="str">
            <v>70574864</v>
          </cell>
          <cell r="G1196" t="str">
            <v>立白</v>
          </cell>
          <cell r="H1196" t="str">
            <v>立白</v>
          </cell>
          <cell r="I1196" t="str">
            <v>清洁用品</v>
          </cell>
          <cell r="J1196" t="str">
            <v>衣物清洁</v>
          </cell>
          <cell r="K1196" t="str">
            <v>立白 洁多芬香氛去渍无磷型洗衣粉 （4公斤+500克）*2</v>
          </cell>
          <cell r="L1196" t="str">
            <v>4kg</v>
          </cell>
          <cell r="M1196" t="str">
            <v>袋</v>
          </cell>
          <cell r="N1196">
            <v>35.020000000000003</v>
          </cell>
          <cell r="O1196">
            <v>49.9</v>
          </cell>
          <cell r="P1196">
            <v>0.29138276553106202</v>
          </cell>
        </row>
        <row r="1197">
          <cell r="F1197" t="str">
            <v>70574853</v>
          </cell>
          <cell r="G1197" t="str">
            <v>立白</v>
          </cell>
          <cell r="H1197" t="str">
            <v>立白</v>
          </cell>
          <cell r="I1197" t="str">
            <v>清洁用品</v>
          </cell>
          <cell r="J1197" t="str">
            <v>衣物清洁</v>
          </cell>
          <cell r="K1197" t="str">
            <v>立白 洁多芬香氛去渍无磷型洗衣粉 5千克*2</v>
          </cell>
          <cell r="L1197" t="str">
            <v>5kg</v>
          </cell>
          <cell r="M1197" t="str">
            <v>袋</v>
          </cell>
          <cell r="N1197">
            <v>36.94</v>
          </cell>
          <cell r="O1197">
            <v>53.9</v>
          </cell>
          <cell r="P1197">
            <v>0.30797773654916499</v>
          </cell>
        </row>
        <row r="1198">
          <cell r="F1198" t="str">
            <v>70574882</v>
          </cell>
          <cell r="G1198" t="str">
            <v>立白</v>
          </cell>
          <cell r="H1198" t="str">
            <v>立白</v>
          </cell>
          <cell r="I1198" t="str">
            <v>清洁用品</v>
          </cell>
          <cell r="J1198" t="str">
            <v>衣物清洁</v>
          </cell>
          <cell r="K1198" t="str">
            <v>立白 洁多芬香氛洗衣液 2kg</v>
          </cell>
          <cell r="L1198" t="str">
            <v>2kg</v>
          </cell>
          <cell r="M1198" t="str">
            <v>袋</v>
          </cell>
          <cell r="N1198">
            <v>19.09</v>
          </cell>
          <cell r="O1198">
            <v>29.9</v>
          </cell>
          <cell r="P1198">
            <v>0.35518394648829399</v>
          </cell>
        </row>
        <row r="1199">
          <cell r="F1199" t="str">
            <v>70162321</v>
          </cell>
          <cell r="G1199" t="str">
            <v>纳爱斯</v>
          </cell>
          <cell r="H1199" t="str">
            <v>雕牌</v>
          </cell>
          <cell r="I1199" t="str">
            <v>清洁用品</v>
          </cell>
          <cell r="J1199" t="str">
            <v>洗涤类</v>
          </cell>
          <cell r="K1199" t="str">
            <v>雕牌 透明皂N5 202g</v>
          </cell>
          <cell r="L1199" t="str">
            <v>202g</v>
          </cell>
          <cell r="M1199" t="str">
            <v>袋</v>
          </cell>
          <cell r="N1199">
            <v>3.54</v>
          </cell>
          <cell r="O1199">
            <v>5</v>
          </cell>
          <cell r="P1199">
            <v>0.28599999999999998</v>
          </cell>
        </row>
        <row r="1200">
          <cell r="F1200" t="str">
            <v>70150751</v>
          </cell>
          <cell r="G1200" t="str">
            <v>纳爱斯</v>
          </cell>
          <cell r="H1200" t="str">
            <v>雕牌</v>
          </cell>
          <cell r="I1200" t="str">
            <v>清洁用品</v>
          </cell>
          <cell r="J1200" t="str">
            <v>洗涤类</v>
          </cell>
          <cell r="K1200" t="str">
            <v>雕牌 透明皂N5 176g*3</v>
          </cell>
          <cell r="L1200" t="str">
            <v>176g*3</v>
          </cell>
          <cell r="M1200" t="str">
            <v>包</v>
          </cell>
          <cell r="N1200">
            <v>8.66</v>
          </cell>
          <cell r="O1200">
            <v>14.5</v>
          </cell>
          <cell r="P1200">
            <v>0.39724137931034498</v>
          </cell>
        </row>
        <row r="1201">
          <cell r="F1201" t="str">
            <v>70288425</v>
          </cell>
          <cell r="G1201" t="str">
            <v>纳爱斯</v>
          </cell>
          <cell r="H1201" t="str">
            <v>超能</v>
          </cell>
          <cell r="I1201" t="str">
            <v>清洁用品</v>
          </cell>
          <cell r="J1201" t="str">
            <v>洗涤类</v>
          </cell>
          <cell r="K1201" t="str">
            <v>超能 女士内衣专用皂N1 101g*2</v>
          </cell>
          <cell r="L1201" t="str">
            <v>101g*2</v>
          </cell>
          <cell r="M1201" t="str">
            <v>包</v>
          </cell>
          <cell r="N1201">
            <v>6.46</v>
          </cell>
          <cell r="O1201">
            <v>8.9</v>
          </cell>
          <cell r="P1201">
            <v>0.26629213483146102</v>
          </cell>
        </row>
        <row r="1202">
          <cell r="F1202" t="str">
            <v>70151316</v>
          </cell>
          <cell r="G1202" t="str">
            <v>纳爱斯</v>
          </cell>
          <cell r="H1202" t="str">
            <v>超能</v>
          </cell>
          <cell r="I1202" t="str">
            <v>清洁用品</v>
          </cell>
          <cell r="J1202" t="str">
            <v>洗涤类</v>
          </cell>
          <cell r="K1202" t="str">
            <v>超能 内衣专用皂N1 222g</v>
          </cell>
          <cell r="L1202" t="str">
            <v>222g</v>
          </cell>
          <cell r="M1202" t="str">
            <v>袋</v>
          </cell>
          <cell r="N1202">
            <v>4.17</v>
          </cell>
          <cell r="O1202">
            <v>6.5</v>
          </cell>
          <cell r="P1202">
            <v>0.35230769230769199</v>
          </cell>
        </row>
        <row r="1203">
          <cell r="F1203" t="str">
            <v>70179312</v>
          </cell>
          <cell r="G1203" t="str">
            <v>纳爱斯</v>
          </cell>
          <cell r="H1203" t="str">
            <v>雕牌</v>
          </cell>
          <cell r="I1203" t="str">
            <v>清洁用品</v>
          </cell>
          <cell r="J1203" t="str">
            <v>洗涤类</v>
          </cell>
          <cell r="K1203" t="str">
            <v>纳爱斯 雕牌超效加酶洗衣粉N4 252g</v>
          </cell>
          <cell r="L1203" t="str">
            <v>252g</v>
          </cell>
          <cell r="M1203" t="str">
            <v>个</v>
          </cell>
          <cell r="N1203">
            <v>2.02</v>
          </cell>
          <cell r="O1203">
            <v>2.5</v>
          </cell>
          <cell r="P1203">
            <v>0.184</v>
          </cell>
        </row>
        <row r="1204">
          <cell r="F1204" t="str">
            <v>70178902</v>
          </cell>
          <cell r="G1204" t="str">
            <v>纳爱斯</v>
          </cell>
          <cell r="H1204" t="str">
            <v>雕牌</v>
          </cell>
          <cell r="I1204" t="str">
            <v>清洁用品</v>
          </cell>
          <cell r="J1204" t="str">
            <v>洗涤类</v>
          </cell>
          <cell r="K1204" t="str">
            <v>纳爱斯 雕牌超效加酶洗衣粉N4 1280g</v>
          </cell>
          <cell r="L1204" t="str">
            <v>1.28kg</v>
          </cell>
          <cell r="M1204" t="str">
            <v>袋</v>
          </cell>
          <cell r="N1204">
            <v>9.69</v>
          </cell>
          <cell r="O1204">
            <v>12</v>
          </cell>
          <cell r="P1204">
            <v>0.185</v>
          </cell>
        </row>
        <row r="1205">
          <cell r="F1205" t="str">
            <v>70077833</v>
          </cell>
          <cell r="G1205" t="str">
            <v>纳爱斯</v>
          </cell>
          <cell r="H1205" t="str">
            <v>雕牌</v>
          </cell>
          <cell r="I1205" t="str">
            <v>清洁用品</v>
          </cell>
          <cell r="J1205" t="str">
            <v>洗涤类</v>
          </cell>
          <cell r="K1205" t="str">
            <v>纳爱斯 雕牌速溶快洁无磷洗衣粉N5 3000g</v>
          </cell>
          <cell r="L1205" t="str">
            <v>3kg</v>
          </cell>
          <cell r="M1205" t="str">
            <v>个</v>
          </cell>
          <cell r="N1205">
            <v>22.65</v>
          </cell>
          <cell r="O1205">
            <v>32.5</v>
          </cell>
          <cell r="P1205">
            <v>0.29599999999999999</v>
          </cell>
        </row>
        <row r="1206">
          <cell r="F1206" t="str">
            <v>70485832</v>
          </cell>
          <cell r="G1206" t="str">
            <v>纳爱斯</v>
          </cell>
          <cell r="H1206" t="str">
            <v>雕牌</v>
          </cell>
          <cell r="I1206" t="str">
            <v>清洁用品</v>
          </cell>
          <cell r="J1206" t="str">
            <v>洗涤类</v>
          </cell>
          <cell r="K1206" t="str">
            <v>雕牌 百花凝萃洗衣粉 2.1kg</v>
          </cell>
          <cell r="L1206" t="str">
            <v>2.1kg</v>
          </cell>
          <cell r="M1206" t="str">
            <v>袋</v>
          </cell>
          <cell r="N1206">
            <v>15.35</v>
          </cell>
          <cell r="O1206">
            <v>20</v>
          </cell>
          <cell r="P1206">
            <v>0.22500000000000001</v>
          </cell>
        </row>
        <row r="1207">
          <cell r="F1207" t="str">
            <v>70081833</v>
          </cell>
          <cell r="G1207" t="str">
            <v>纳爱斯</v>
          </cell>
          <cell r="H1207" t="str">
            <v>超能</v>
          </cell>
          <cell r="I1207" t="str">
            <v>清洁用品</v>
          </cell>
          <cell r="J1207" t="str">
            <v>洗涤类</v>
          </cell>
          <cell r="K1207" t="str">
            <v>纳爱斯 超能植愈香氛洗衣粉(去渍365)(带嘴) 1.8kg</v>
          </cell>
          <cell r="L1207" t="str">
            <v>1.8kg</v>
          </cell>
          <cell r="M1207" t="str">
            <v>袋</v>
          </cell>
          <cell r="N1207">
            <v>21.08</v>
          </cell>
          <cell r="O1207">
            <v>25.81</v>
          </cell>
          <cell r="P1207">
            <v>0.175125920185974</v>
          </cell>
        </row>
        <row r="1208">
          <cell r="F1208" t="str">
            <v>70009570</v>
          </cell>
          <cell r="G1208" t="str">
            <v>纳爱斯</v>
          </cell>
          <cell r="H1208" t="str">
            <v>超能</v>
          </cell>
          <cell r="I1208" t="str">
            <v>清洁用品</v>
          </cell>
          <cell r="J1208" t="str">
            <v>洗涤类</v>
          </cell>
          <cell r="K1208" t="str">
            <v>纳爱斯 超能天然皂粉(馨香柔软)N1 680g</v>
          </cell>
          <cell r="L1208" t="str">
            <v>680g</v>
          </cell>
          <cell r="M1208" t="str">
            <v>包</v>
          </cell>
          <cell r="N1208">
            <v>9.19</v>
          </cell>
          <cell r="O1208">
            <v>12</v>
          </cell>
          <cell r="P1208">
            <v>0.22666666666666699</v>
          </cell>
        </row>
        <row r="1209">
          <cell r="F1209" t="str">
            <v>70022199</v>
          </cell>
          <cell r="G1209" t="str">
            <v>纳爱斯</v>
          </cell>
          <cell r="H1209" t="str">
            <v>超能</v>
          </cell>
          <cell r="I1209" t="str">
            <v>清洁用品</v>
          </cell>
          <cell r="J1209" t="str">
            <v>洗涤类</v>
          </cell>
          <cell r="K1209" t="str">
            <v>纳爱斯 超能天然皂粉(馨香柔软)N1 1600g</v>
          </cell>
          <cell r="L1209" t="str">
            <v>1.6kg</v>
          </cell>
          <cell r="M1209" t="str">
            <v>袋</v>
          </cell>
          <cell r="N1209">
            <v>22.29</v>
          </cell>
          <cell r="O1209">
            <v>27.8</v>
          </cell>
          <cell r="P1209">
            <v>0.190287769784173</v>
          </cell>
        </row>
        <row r="1210">
          <cell r="F1210" t="str">
            <v>70293142</v>
          </cell>
          <cell r="G1210" t="str">
            <v>纳爱斯</v>
          </cell>
          <cell r="H1210" t="str">
            <v>超能</v>
          </cell>
          <cell r="I1210" t="str">
            <v>清洁用品</v>
          </cell>
          <cell r="J1210" t="str">
            <v>洗涤类</v>
          </cell>
          <cell r="K1210" t="str">
            <v>纳爱斯 超能天然皂粉(馨香柔软)N1 2258g</v>
          </cell>
          <cell r="L1210" t="str">
            <v>2.258kg</v>
          </cell>
          <cell r="M1210" t="str">
            <v>袋</v>
          </cell>
          <cell r="N1210">
            <v>29.57</v>
          </cell>
          <cell r="O1210">
            <v>38.75</v>
          </cell>
          <cell r="P1210">
            <v>0.22916129032258101</v>
          </cell>
        </row>
        <row r="1211">
          <cell r="F1211" t="str">
            <v>70170584</v>
          </cell>
          <cell r="G1211" t="str">
            <v>纳爱斯</v>
          </cell>
          <cell r="H1211" t="str">
            <v>超能</v>
          </cell>
          <cell r="I1211" t="str">
            <v>清洁用品</v>
          </cell>
          <cell r="J1211" t="str">
            <v>洗涤类</v>
          </cell>
          <cell r="K1211" t="str">
            <v>纳爱斯 超能浓缩天然皂粉 1500g</v>
          </cell>
          <cell r="L1211" t="str">
            <v>1.5kg</v>
          </cell>
          <cell r="M1211" t="str">
            <v>袋</v>
          </cell>
          <cell r="N1211">
            <v>27.83</v>
          </cell>
          <cell r="O1211">
            <v>36.5</v>
          </cell>
          <cell r="P1211">
            <v>0.23013698630137</v>
          </cell>
        </row>
        <row r="1212">
          <cell r="F1212" t="str">
            <v>70009687</v>
          </cell>
          <cell r="G1212" t="str">
            <v>纳爱斯</v>
          </cell>
          <cell r="H1212" t="str">
            <v>雕牌</v>
          </cell>
          <cell r="I1212" t="str">
            <v>清洁用品</v>
          </cell>
          <cell r="J1212" t="str">
            <v>洗涤类</v>
          </cell>
          <cell r="K1212" t="str">
            <v>纳爱斯 雕牌高效洗洁精(除菌)N3 2000g</v>
          </cell>
          <cell r="L1212" t="str">
            <v>2kg</v>
          </cell>
          <cell r="M1212" t="str">
            <v>瓶</v>
          </cell>
          <cell r="N1212">
            <v>14.56</v>
          </cell>
          <cell r="O1212">
            <v>19.8</v>
          </cell>
          <cell r="P1212">
            <v>0.25707070707070701</v>
          </cell>
        </row>
        <row r="1213">
          <cell r="F1213" t="str">
            <v>70457314</v>
          </cell>
          <cell r="G1213" t="str">
            <v>纳爱斯</v>
          </cell>
          <cell r="H1213" t="str">
            <v>雕牌</v>
          </cell>
          <cell r="I1213" t="str">
            <v>清洁用品</v>
          </cell>
          <cell r="J1213" t="str">
            <v>洗涤类</v>
          </cell>
          <cell r="K1213" t="str">
            <v>雕牌 红柚薄荷洗洁精 1.5kg</v>
          </cell>
          <cell r="L1213" t="str">
            <v>1.5kg</v>
          </cell>
          <cell r="M1213" t="str">
            <v>瓶</v>
          </cell>
          <cell r="N1213">
            <v>11.79</v>
          </cell>
          <cell r="O1213">
            <v>15.2</v>
          </cell>
          <cell r="P1213">
            <v>0.217105263157895</v>
          </cell>
        </row>
        <row r="1214">
          <cell r="F1214" t="str">
            <v>70044812</v>
          </cell>
          <cell r="G1214" t="str">
            <v>纳爱斯</v>
          </cell>
          <cell r="H1214" t="str">
            <v>雕牌</v>
          </cell>
          <cell r="I1214" t="str">
            <v>清洁用品</v>
          </cell>
          <cell r="J1214" t="str">
            <v>洗涤类</v>
          </cell>
          <cell r="K1214" t="str">
            <v>纳爱斯 雕牌全效加浓洗洁精N3 1500g</v>
          </cell>
          <cell r="L1214" t="str">
            <v>1.5kg</v>
          </cell>
          <cell r="M1214" t="str">
            <v>瓶</v>
          </cell>
          <cell r="N1214">
            <v>12.47</v>
          </cell>
          <cell r="O1214">
            <v>15.8</v>
          </cell>
          <cell r="P1214">
            <v>0.20253164556962</v>
          </cell>
        </row>
        <row r="1215">
          <cell r="F1215" t="str">
            <v>70230791</v>
          </cell>
          <cell r="G1215" t="str">
            <v>纳爱斯</v>
          </cell>
          <cell r="H1215" t="str">
            <v>雕牌</v>
          </cell>
          <cell r="I1215" t="str">
            <v>清洁用品</v>
          </cell>
          <cell r="J1215" t="str">
            <v>厨房清洁</v>
          </cell>
          <cell r="K1215" t="str">
            <v>纳爱斯 雕牌清新柠檬洗洁精N2 1228g</v>
          </cell>
          <cell r="L1215" t="str">
            <v>1.228kg</v>
          </cell>
          <cell r="M1215" t="str">
            <v>桶</v>
          </cell>
          <cell r="N1215">
            <v>7.88</v>
          </cell>
          <cell r="O1215">
            <v>12</v>
          </cell>
          <cell r="P1215">
            <v>0.336666666666667</v>
          </cell>
        </row>
        <row r="1216">
          <cell r="F1216" t="str">
            <v>70312871</v>
          </cell>
          <cell r="G1216" t="str">
            <v>纳爱斯</v>
          </cell>
          <cell r="H1216" t="str">
            <v>雕牌</v>
          </cell>
          <cell r="I1216" t="str">
            <v>清洁用品</v>
          </cell>
          <cell r="J1216" t="str">
            <v>洗涤类</v>
          </cell>
          <cell r="K1216" t="str">
            <v>纳爱斯 雕牌清新柠檬洗洁精N3 408g</v>
          </cell>
          <cell r="L1216" t="str">
            <v>408g</v>
          </cell>
          <cell r="M1216" t="str">
            <v>个</v>
          </cell>
          <cell r="N1216">
            <v>3.24</v>
          </cell>
          <cell r="O1216">
            <v>3.8</v>
          </cell>
          <cell r="P1216">
            <v>0.139473684210526</v>
          </cell>
        </row>
        <row r="1217">
          <cell r="F1217" t="str">
            <v>70366799</v>
          </cell>
          <cell r="G1217" t="str">
            <v>纳爱斯</v>
          </cell>
          <cell r="H1217" t="str">
            <v>雕牌</v>
          </cell>
          <cell r="I1217" t="str">
            <v>清洁用品</v>
          </cell>
          <cell r="J1217" t="str">
            <v>厨房清洁</v>
          </cell>
          <cell r="K1217" t="str">
            <v>雕牌 强去油洗洁精 2kg+180g</v>
          </cell>
          <cell r="L1217" t="str">
            <v>2kg+180g</v>
          </cell>
          <cell r="M1217" t="str">
            <v>瓶</v>
          </cell>
          <cell r="N1217">
            <v>13.43</v>
          </cell>
          <cell r="O1217">
            <v>16.5</v>
          </cell>
          <cell r="P1217">
            <v>0.177575757575758</v>
          </cell>
        </row>
        <row r="1218">
          <cell r="F1218" t="str">
            <v>70485836</v>
          </cell>
          <cell r="G1218" t="str">
            <v>纳爱斯</v>
          </cell>
          <cell r="H1218" t="str">
            <v>雕牌</v>
          </cell>
          <cell r="I1218" t="str">
            <v>清洁用品</v>
          </cell>
          <cell r="J1218" t="str">
            <v>厨房清洁</v>
          </cell>
          <cell r="K1218" t="str">
            <v>雕牌 水蜜桃洗洁精(方瓶) 1kg</v>
          </cell>
          <cell r="L1218" t="str">
            <v>1kg</v>
          </cell>
          <cell r="M1218" t="str">
            <v>瓶</v>
          </cell>
          <cell r="N1218">
            <v>7.68</v>
          </cell>
          <cell r="O1218">
            <v>10</v>
          </cell>
          <cell r="P1218">
            <v>0.22500000000000001</v>
          </cell>
        </row>
        <row r="1219">
          <cell r="F1219" t="str">
            <v>70090390</v>
          </cell>
          <cell r="G1219" t="str">
            <v>纳爱斯</v>
          </cell>
          <cell r="H1219" t="str">
            <v>超能</v>
          </cell>
          <cell r="I1219" t="str">
            <v>清洁用品</v>
          </cell>
          <cell r="J1219" t="str">
            <v>洗涤类</v>
          </cell>
          <cell r="K1219" t="str">
            <v>超能离子洗洁精(西柚祛腥)N2 1500g</v>
          </cell>
          <cell r="L1219" t="str">
            <v>1500g</v>
          </cell>
          <cell r="M1219" t="str">
            <v>瓶</v>
          </cell>
          <cell r="N1219">
            <v>13.91</v>
          </cell>
          <cell r="O1219">
            <v>19.8</v>
          </cell>
          <cell r="P1219">
            <v>0.29040404040404</v>
          </cell>
        </row>
        <row r="1220">
          <cell r="F1220" t="str">
            <v>70283850</v>
          </cell>
          <cell r="G1220" t="str">
            <v>纳爱斯</v>
          </cell>
          <cell r="H1220" t="str">
            <v>雕牌</v>
          </cell>
          <cell r="I1220" t="str">
            <v>清洁用品</v>
          </cell>
          <cell r="J1220" t="str">
            <v>洗涤类</v>
          </cell>
          <cell r="K1220" t="str">
            <v>雕牌 薰衣草香氛洗衣液 3.6kg</v>
          </cell>
          <cell r="L1220" t="str">
            <v>3.6kg</v>
          </cell>
          <cell r="M1220" t="str">
            <v>瓶</v>
          </cell>
          <cell r="N1220">
            <v>31.86</v>
          </cell>
          <cell r="O1220">
            <v>39.9</v>
          </cell>
          <cell r="P1220">
            <v>0.19373433583959901</v>
          </cell>
        </row>
        <row r="1221">
          <cell r="F1221" t="str">
            <v>70486062</v>
          </cell>
          <cell r="G1221" t="str">
            <v>纳爱斯</v>
          </cell>
          <cell r="H1221" t="str">
            <v>雕牌</v>
          </cell>
          <cell r="I1221" t="str">
            <v>清洁用品</v>
          </cell>
          <cell r="J1221" t="str">
            <v>洗涤类</v>
          </cell>
          <cell r="K1221" t="str">
            <v>雕牌 高奢香水香氛洗衣液(五月玫瑰) 3kg</v>
          </cell>
          <cell r="L1221" t="str">
            <v>3kg</v>
          </cell>
          <cell r="M1221" t="str">
            <v>桶</v>
          </cell>
          <cell r="N1221">
            <v>33.659999999999997</v>
          </cell>
          <cell r="O1221">
            <v>49.8</v>
          </cell>
          <cell r="P1221">
            <v>0.317269076305221</v>
          </cell>
        </row>
        <row r="1222">
          <cell r="F1222" t="str">
            <v>70485838</v>
          </cell>
          <cell r="G1222" t="str">
            <v>纳爱斯</v>
          </cell>
          <cell r="H1222" t="str">
            <v>雕牌</v>
          </cell>
          <cell r="I1222" t="str">
            <v>清洁用品</v>
          </cell>
          <cell r="J1222" t="str">
            <v>洗涤类</v>
          </cell>
          <cell r="K1222" t="str">
            <v>雕牌 强去渍洗衣液 1.86kg</v>
          </cell>
          <cell r="L1222" t="str">
            <v>1.86kg</v>
          </cell>
          <cell r="M1222" t="str">
            <v>袋</v>
          </cell>
          <cell r="N1222">
            <v>21.42</v>
          </cell>
          <cell r="O1222">
            <v>29.9</v>
          </cell>
          <cell r="P1222">
            <v>0.27658862876254198</v>
          </cell>
        </row>
        <row r="1223">
          <cell r="F1223" t="str">
            <v>70449550</v>
          </cell>
          <cell r="G1223" t="str">
            <v>纳爱斯</v>
          </cell>
          <cell r="H1223" t="str">
            <v>雕牌</v>
          </cell>
          <cell r="I1223" t="str">
            <v>清洁用品</v>
          </cell>
          <cell r="J1223" t="str">
            <v>洗涤类</v>
          </cell>
          <cell r="K1223" t="str">
            <v>雕牌 阳光馨香洗衣凝珠(红)(单腔)N3(25颗) 200g</v>
          </cell>
          <cell r="L1223" t="str">
            <v>200g</v>
          </cell>
          <cell r="M1223" t="str">
            <v>包</v>
          </cell>
          <cell r="N1223">
            <v>19.440000000000001</v>
          </cell>
          <cell r="O1223">
            <v>29.9</v>
          </cell>
          <cell r="P1223">
            <v>0.34314381270902999</v>
          </cell>
        </row>
        <row r="1224">
          <cell r="F1224" t="str">
            <v>70358908</v>
          </cell>
          <cell r="G1224" t="str">
            <v>纳爱斯</v>
          </cell>
          <cell r="H1224" t="str">
            <v>超能</v>
          </cell>
          <cell r="I1224" t="str">
            <v>清洁用品</v>
          </cell>
          <cell r="J1224" t="str">
            <v>衣物清洁</v>
          </cell>
          <cell r="K1224" t="str">
            <v>超能 香氛洗衣液 3kg</v>
          </cell>
          <cell r="L1224" t="str">
            <v>3kg</v>
          </cell>
          <cell r="M1224" t="str">
            <v>瓶</v>
          </cell>
          <cell r="N1224">
            <v>30.2</v>
          </cell>
          <cell r="O1224">
            <v>40</v>
          </cell>
          <cell r="P1224">
            <v>0.23749999999999999</v>
          </cell>
        </row>
        <row r="1225">
          <cell r="F1225" t="str">
            <v>70418563</v>
          </cell>
          <cell r="G1225" t="str">
            <v>纳爱斯</v>
          </cell>
          <cell r="H1225" t="str">
            <v>超能</v>
          </cell>
          <cell r="I1225" t="str">
            <v>清洁用品</v>
          </cell>
          <cell r="J1225" t="str">
            <v>洗涤类</v>
          </cell>
          <cell r="K1225" t="str">
            <v>超能 内衣洗衣液 860g</v>
          </cell>
          <cell r="L1225" t="str">
            <v>860g</v>
          </cell>
          <cell r="M1225" t="str">
            <v>桶</v>
          </cell>
          <cell r="N1225">
            <v>22.94</v>
          </cell>
          <cell r="O1225">
            <v>29.9</v>
          </cell>
          <cell r="P1225">
            <v>0.22541806020066901</v>
          </cell>
        </row>
        <row r="1226">
          <cell r="F1226" t="str">
            <v>70485829</v>
          </cell>
          <cell r="G1226" t="str">
            <v>纳爱斯</v>
          </cell>
          <cell r="H1226" t="str">
            <v>超能</v>
          </cell>
          <cell r="I1226" t="str">
            <v>清洁用品</v>
          </cell>
          <cell r="J1226" t="str">
            <v>洗涤类</v>
          </cell>
          <cell r="K1226" t="str">
            <v>超能 植沐悦色洗衣液 2.38kg</v>
          </cell>
          <cell r="L1226" t="str">
            <v>2.38kg</v>
          </cell>
          <cell r="M1226" t="str">
            <v>桶</v>
          </cell>
          <cell r="N1226">
            <v>36.75</v>
          </cell>
          <cell r="O1226">
            <v>49.8</v>
          </cell>
          <cell r="P1226">
            <v>0.25461847389558201</v>
          </cell>
        </row>
        <row r="1227">
          <cell r="F1227" t="str">
            <v>70471028</v>
          </cell>
          <cell r="G1227" t="str">
            <v>纳爱斯</v>
          </cell>
          <cell r="H1227" t="str">
            <v>妙管家</v>
          </cell>
          <cell r="I1227" t="str">
            <v>清洁用品</v>
          </cell>
          <cell r="J1227" t="str">
            <v>厨房清洁</v>
          </cell>
          <cell r="K1227" t="str">
            <v>妙管家 厨房重油污清洁剂(元气西柚) 480g*2</v>
          </cell>
          <cell r="L1227" t="str">
            <v>480g*2</v>
          </cell>
          <cell r="M1227" t="str">
            <v>瓶</v>
          </cell>
          <cell r="N1227">
            <v>22.07</v>
          </cell>
          <cell r="O1227">
            <v>29.9</v>
          </cell>
          <cell r="P1227">
            <v>0.25451505016722398</v>
          </cell>
        </row>
        <row r="1228">
          <cell r="F1228" t="str">
            <v>70574873</v>
          </cell>
          <cell r="G1228" t="str">
            <v>纳爱斯</v>
          </cell>
          <cell r="H1228" t="str">
            <v>妙管家</v>
          </cell>
          <cell r="I1228" t="str">
            <v>清洁用品</v>
          </cell>
          <cell r="J1228" t="str">
            <v>家居清洁</v>
          </cell>
          <cell r="K1228" t="str">
            <v>纳爱斯 妙管家香氛洁厕液 600g</v>
          </cell>
          <cell r="L1228" t="str">
            <v>600g*12</v>
          </cell>
          <cell r="M1228" t="str">
            <v>瓶</v>
          </cell>
          <cell r="N1228">
            <v>11.07</v>
          </cell>
          <cell r="O1228">
            <v>14.8</v>
          </cell>
          <cell r="P1228">
            <v>0.24459459459459501</v>
          </cell>
        </row>
        <row r="1229">
          <cell r="F1229" t="str">
            <v>70488789</v>
          </cell>
          <cell r="G1229" t="str">
            <v>洁丽雅</v>
          </cell>
          <cell r="H1229" t="str">
            <v>洁丽雅</v>
          </cell>
          <cell r="I1229" t="str">
            <v>日用品</v>
          </cell>
          <cell r="J1229" t="str">
            <v>纺织品</v>
          </cell>
          <cell r="K1229" t="str">
            <v>洁丽雅 素雅系列格纹毛巾W2879 69*33cm</v>
          </cell>
          <cell r="L1229" t="str">
            <v>69*33cm</v>
          </cell>
          <cell r="M1229" t="str">
            <v>条</v>
          </cell>
          <cell r="N1229">
            <v>7.88</v>
          </cell>
          <cell r="O1229">
            <v>11.6</v>
          </cell>
          <cell r="P1229">
            <v>0.31379310344827599</v>
          </cell>
        </row>
        <row r="1230">
          <cell r="F1230" t="str">
            <v>70488670</v>
          </cell>
          <cell r="G1230" t="str">
            <v>洁丽雅</v>
          </cell>
          <cell r="H1230" t="str">
            <v>洁丽雅</v>
          </cell>
          <cell r="I1230" t="str">
            <v>日用品</v>
          </cell>
          <cell r="J1230" t="str">
            <v>纺织品</v>
          </cell>
          <cell r="K1230" t="str">
            <v>洁丽雅 提花方格毛巾W2657 74*35cm</v>
          </cell>
          <cell r="L1230" t="str">
            <v>74*35cm</v>
          </cell>
          <cell r="M1230" t="str">
            <v>条</v>
          </cell>
          <cell r="N1230">
            <v>15.15</v>
          </cell>
          <cell r="O1230">
            <v>22.4</v>
          </cell>
          <cell r="P1230">
            <v>0.31696428571428598</v>
          </cell>
        </row>
        <row r="1231">
          <cell r="F1231" t="str">
            <v>70488664</v>
          </cell>
          <cell r="G1231" t="str">
            <v>洁丽雅</v>
          </cell>
          <cell r="H1231" t="str">
            <v>洁丽雅</v>
          </cell>
          <cell r="I1231" t="str">
            <v>日用品</v>
          </cell>
          <cell r="J1231" t="str">
            <v>纺织品</v>
          </cell>
          <cell r="K1231" t="str">
            <v>洁丽雅 提花菱形毛巾W2639 72*34cm</v>
          </cell>
          <cell r="L1231" t="str">
            <v>72*34cm</v>
          </cell>
          <cell r="M1231" t="str">
            <v>个</v>
          </cell>
          <cell r="N1231">
            <v>13.53</v>
          </cell>
          <cell r="O1231">
            <v>26.9</v>
          </cell>
          <cell r="P1231">
            <v>0.49182156133829003</v>
          </cell>
        </row>
        <row r="1232">
          <cell r="F1232" t="str">
            <v>70488755</v>
          </cell>
          <cell r="G1232" t="str">
            <v>洁丽雅</v>
          </cell>
          <cell r="H1232" t="str">
            <v>洁丽雅</v>
          </cell>
          <cell r="I1232" t="str">
            <v>日用品</v>
          </cell>
          <cell r="J1232" t="str">
            <v>纺织品</v>
          </cell>
          <cell r="K1232" t="str">
            <v>洁丽雅 彩条缎档毛巾W2880 73*34cm</v>
          </cell>
          <cell r="L1232" t="str">
            <v>73*34cm</v>
          </cell>
          <cell r="M1232" t="str">
            <v>条</v>
          </cell>
          <cell r="N1232">
            <v>12.32</v>
          </cell>
          <cell r="O1232">
            <v>17.600000000000001</v>
          </cell>
          <cell r="P1232">
            <v>0.29318181818181799</v>
          </cell>
        </row>
        <row r="1233">
          <cell r="F1233" t="str">
            <v>70488642</v>
          </cell>
          <cell r="G1233" t="str">
            <v>洁丽雅</v>
          </cell>
          <cell r="H1233" t="str">
            <v>洁丽雅</v>
          </cell>
          <cell r="I1233" t="str">
            <v>日用品</v>
          </cell>
          <cell r="J1233" t="str">
            <v>纺织品</v>
          </cell>
          <cell r="K1233" t="str">
            <v>洁丽雅 素色缎边毛巾W2881 72*34cm</v>
          </cell>
          <cell r="L1233" t="str">
            <v>72*34cm</v>
          </cell>
          <cell r="M1233" t="str">
            <v>条</v>
          </cell>
          <cell r="N1233">
            <v>14.65</v>
          </cell>
          <cell r="O1233">
            <v>20.8</v>
          </cell>
          <cell r="P1233">
            <v>0.288942307692308</v>
          </cell>
        </row>
        <row r="1234">
          <cell r="F1234" t="str">
            <v>70488652</v>
          </cell>
          <cell r="G1234" t="str">
            <v>洁丽雅</v>
          </cell>
          <cell r="H1234" t="str">
            <v>洁丽雅</v>
          </cell>
          <cell r="I1234" t="str">
            <v>日用品</v>
          </cell>
          <cell r="J1234" t="str">
            <v>纺织品</v>
          </cell>
          <cell r="K1234" t="str">
            <v>洁丽雅 素色缎档毛巾W2884 72*34cm</v>
          </cell>
          <cell r="L1234" t="str">
            <v>72*34cm</v>
          </cell>
          <cell r="M1234" t="str">
            <v>个</v>
          </cell>
          <cell r="N1234">
            <v>9.6</v>
          </cell>
          <cell r="O1234">
            <v>18.899999999999999</v>
          </cell>
          <cell r="P1234">
            <v>0.48730158730158701</v>
          </cell>
        </row>
        <row r="1235">
          <cell r="F1235" t="str">
            <v>70488657</v>
          </cell>
          <cell r="G1235" t="str">
            <v>洁丽雅</v>
          </cell>
          <cell r="H1235" t="str">
            <v>洁丽雅</v>
          </cell>
          <cell r="I1235" t="str">
            <v>日用品</v>
          </cell>
          <cell r="J1235" t="str">
            <v>纺织品</v>
          </cell>
          <cell r="K1235" t="str">
            <v>洁丽雅 提花动物图案毛巾W2885 72*34cm</v>
          </cell>
          <cell r="L1235" t="str">
            <v>72*34cm</v>
          </cell>
          <cell r="M1235" t="str">
            <v>条</v>
          </cell>
          <cell r="N1235">
            <v>9.6999999999999993</v>
          </cell>
          <cell r="O1235">
            <v>14.2</v>
          </cell>
          <cell r="P1235">
            <v>0.31056338028169</v>
          </cell>
        </row>
        <row r="1236">
          <cell r="F1236" t="str">
            <v>70488805</v>
          </cell>
          <cell r="G1236" t="str">
            <v>罗莱家纺</v>
          </cell>
          <cell r="H1236" t="str">
            <v>罗莱</v>
          </cell>
          <cell r="I1236" t="str">
            <v>日用品</v>
          </cell>
          <cell r="J1236" t="str">
            <v>纺织品</v>
          </cell>
          <cell r="K1236" t="str">
            <v>罗莱 Tg全棉空调被</v>
          </cell>
          <cell r="L1236" t="str">
            <v>150*200</v>
          </cell>
          <cell r="M1236" t="str">
            <v>个</v>
          </cell>
          <cell r="N1236">
            <v>109.08</v>
          </cell>
          <cell r="O1236">
            <v>599</v>
          </cell>
          <cell r="P1236">
            <v>0.81609348914858104</v>
          </cell>
        </row>
        <row r="1237">
          <cell r="F1237" t="str">
            <v>70488639</v>
          </cell>
          <cell r="G1237" t="str">
            <v>罗莱家纺</v>
          </cell>
          <cell r="H1237" t="str">
            <v>罗莱</v>
          </cell>
          <cell r="I1237" t="str">
            <v>日用品</v>
          </cell>
          <cell r="J1237" t="str">
            <v>纺织品</v>
          </cell>
          <cell r="K1237" t="str">
            <v>罗莱 Tg全棉雅致 四件套</v>
          </cell>
          <cell r="L1237" t="str">
            <v>200*230*1 230*240*1 48*74*2</v>
          </cell>
          <cell r="M1237" t="str">
            <v>个</v>
          </cell>
          <cell r="N1237">
            <v>247.45</v>
          </cell>
          <cell r="O1237">
            <v>1480</v>
          </cell>
          <cell r="P1237">
            <v>0.83114864864864901</v>
          </cell>
        </row>
        <row r="1238">
          <cell r="F1238" t="str">
            <v>70488797</v>
          </cell>
          <cell r="G1238" t="str">
            <v>罗莱家纺</v>
          </cell>
          <cell r="H1238" t="str">
            <v>罗莱</v>
          </cell>
          <cell r="I1238" t="str">
            <v>日用品</v>
          </cell>
          <cell r="J1238" t="str">
            <v>纺织品</v>
          </cell>
          <cell r="K1238" t="str">
            <v>罗莱 雅致夏被</v>
          </cell>
          <cell r="L1238" t="str">
            <v>150*200</v>
          </cell>
          <cell r="M1238" t="str">
            <v>个</v>
          </cell>
          <cell r="N1238">
            <v>65.650000000000006</v>
          </cell>
          <cell r="O1238">
            <v>499</v>
          </cell>
          <cell r="P1238">
            <v>0.86713426853707398</v>
          </cell>
        </row>
        <row r="1239">
          <cell r="F1239" t="str">
            <v>70488792</v>
          </cell>
          <cell r="G1239" t="str">
            <v>罗莱家纺</v>
          </cell>
          <cell r="H1239" t="str">
            <v>罗莱</v>
          </cell>
          <cell r="I1239" t="str">
            <v>日用品</v>
          </cell>
          <cell r="J1239" t="str">
            <v>纺织品</v>
          </cell>
          <cell r="K1239" t="str">
            <v>罗莱 春天畅想云绒毯</v>
          </cell>
          <cell r="L1239" t="str">
            <v>180*200</v>
          </cell>
          <cell r="M1239" t="str">
            <v>个</v>
          </cell>
          <cell r="N1239">
            <v>80.8</v>
          </cell>
          <cell r="O1239">
            <v>699</v>
          </cell>
          <cell r="P1239">
            <v>0.883261802575107</v>
          </cell>
        </row>
        <row r="1240">
          <cell r="F1240" t="str">
            <v>70488794</v>
          </cell>
          <cell r="G1240" t="str">
            <v>罗莱家纺</v>
          </cell>
          <cell r="H1240" t="str">
            <v>罗莱</v>
          </cell>
          <cell r="I1240" t="str">
            <v>日用品</v>
          </cell>
          <cell r="J1240" t="str">
            <v>纺织品</v>
          </cell>
          <cell r="K1240" t="str">
            <v>罗莱 别吹牛U型枕</v>
          </cell>
          <cell r="L1240" t="str">
            <v>29*30CM</v>
          </cell>
          <cell r="M1240" t="str">
            <v>个</v>
          </cell>
          <cell r="N1240">
            <v>48.48</v>
          </cell>
          <cell r="O1240">
            <v>199</v>
          </cell>
          <cell r="P1240">
            <v>0.75396984924623101</v>
          </cell>
        </row>
        <row r="1241">
          <cell r="F1241" t="str">
            <v>70488798</v>
          </cell>
          <cell r="G1241" t="str">
            <v>罗莱家纺</v>
          </cell>
          <cell r="H1241" t="str">
            <v>罗莱</v>
          </cell>
          <cell r="I1241" t="str">
            <v>日用品</v>
          </cell>
          <cell r="J1241" t="str">
            <v>纺织品</v>
          </cell>
          <cell r="K1241" t="str">
            <v>罗莱 多用抱枕</v>
          </cell>
          <cell r="L1241" t="str">
            <v>45*45</v>
          </cell>
          <cell r="M1241" t="str">
            <v>个</v>
          </cell>
          <cell r="N1241">
            <v>15.15</v>
          </cell>
          <cell r="O1241">
            <v>199</v>
          </cell>
          <cell r="P1241">
            <v>0.92311557788944698</v>
          </cell>
        </row>
        <row r="1242">
          <cell r="F1242" t="str">
            <v>70488796</v>
          </cell>
          <cell r="G1242" t="str">
            <v>罗莱家纺</v>
          </cell>
          <cell r="H1242" t="str">
            <v>罗莱</v>
          </cell>
          <cell r="I1242" t="str">
            <v>日用品</v>
          </cell>
          <cell r="J1242" t="str">
            <v>纺织品</v>
          </cell>
          <cell r="K1242" t="str">
            <v>罗莱 舒享车椅靠垫</v>
          </cell>
          <cell r="L1242" t="str">
            <v>32*35</v>
          </cell>
          <cell r="M1242" t="str">
            <v>个</v>
          </cell>
          <cell r="N1242">
            <v>88.88</v>
          </cell>
          <cell r="O1242">
            <v>398</v>
          </cell>
          <cell r="P1242">
            <v>0.774472361809045</v>
          </cell>
        </row>
        <row r="1243">
          <cell r="F1243" t="str">
            <v>70574290</v>
          </cell>
          <cell r="G1243" t="str">
            <v>罗莱家纺</v>
          </cell>
          <cell r="H1243" t="str">
            <v>罗莱</v>
          </cell>
          <cell r="I1243" t="str">
            <v>日用品</v>
          </cell>
          <cell r="J1243" t="str">
            <v>纺织品</v>
          </cell>
          <cell r="K1243" t="str">
            <v>罗莱 格韵柔丝四季被</v>
          </cell>
          <cell r="L1243" t="str">
            <v>200*230cm</v>
          </cell>
          <cell r="M1243" t="str">
            <v>个</v>
          </cell>
          <cell r="N1243">
            <v>161.6</v>
          </cell>
          <cell r="O1243">
            <v>999</v>
          </cell>
          <cell r="P1243">
            <v>0.83663663663663701</v>
          </cell>
        </row>
        <row r="1244">
          <cell r="F1244" t="str">
            <v>70574289</v>
          </cell>
          <cell r="G1244" t="str">
            <v>罗莱家纺</v>
          </cell>
          <cell r="H1244" t="str">
            <v>罗莱</v>
          </cell>
          <cell r="I1244" t="str">
            <v>日用品</v>
          </cell>
          <cell r="J1244" t="str">
            <v>纺织品</v>
          </cell>
          <cell r="K1244" t="str">
            <v>罗莱 只此天青A类抗菌可水洗凉席三件套</v>
          </cell>
          <cell r="L1244" t="str">
            <v>180*200cm</v>
          </cell>
          <cell r="M1244" t="str">
            <v>个</v>
          </cell>
          <cell r="N1244">
            <v>232.3</v>
          </cell>
          <cell r="O1244">
            <v>1299</v>
          </cell>
          <cell r="P1244">
            <v>0.819399538106236</v>
          </cell>
        </row>
        <row r="1245">
          <cell r="F1245" t="str">
            <v>70488616</v>
          </cell>
          <cell r="G1245" t="str">
            <v>孚日</v>
          </cell>
          <cell r="H1245" t="str">
            <v>孚日洁玉</v>
          </cell>
          <cell r="I1245" t="str">
            <v>日用品</v>
          </cell>
          <cell r="J1245" t="str">
            <v>纺织品</v>
          </cell>
          <cell r="K1245" t="str">
            <v>舒畅浴巾（车家两用）</v>
          </cell>
          <cell r="L1245" t="str">
            <v>70cm*140cm 274g</v>
          </cell>
          <cell r="M1245" t="str">
            <v>个</v>
          </cell>
          <cell r="N1245">
            <v>19.8</v>
          </cell>
          <cell r="O1245">
            <v>33.9</v>
          </cell>
          <cell r="P1245">
            <v>0.41032448377581099</v>
          </cell>
        </row>
        <row r="1246">
          <cell r="F1246" t="str">
            <v>70488656</v>
          </cell>
          <cell r="G1246" t="str">
            <v>孚日</v>
          </cell>
          <cell r="H1246" t="str">
            <v>孚日洁玉</v>
          </cell>
          <cell r="I1246" t="str">
            <v>日用品</v>
          </cell>
          <cell r="J1246" t="str">
            <v>纺织品</v>
          </cell>
          <cell r="K1246" t="str">
            <v>弗雷斯毛巾</v>
          </cell>
          <cell r="L1246" t="str">
            <v>35cm*76cm 135g</v>
          </cell>
          <cell r="M1246" t="str">
            <v>个</v>
          </cell>
          <cell r="N1246">
            <v>15.76</v>
          </cell>
          <cell r="O1246">
            <v>29.9</v>
          </cell>
          <cell r="P1246">
            <v>0.46789297658862899</v>
          </cell>
        </row>
        <row r="1247">
          <cell r="F1247" t="str">
            <v>70488609</v>
          </cell>
          <cell r="G1247" t="str">
            <v>孚日</v>
          </cell>
          <cell r="H1247" t="str">
            <v>孚日洁玉</v>
          </cell>
          <cell r="I1247" t="str">
            <v>日用品</v>
          </cell>
          <cell r="J1247" t="str">
            <v>纺织品</v>
          </cell>
          <cell r="K1247" t="str">
            <v>舒畅毛巾（车家两用）</v>
          </cell>
          <cell r="L1247" t="str">
            <v>33cm*75cm 73g</v>
          </cell>
          <cell r="M1247" t="str">
            <v>个</v>
          </cell>
          <cell r="N1247">
            <v>6.3</v>
          </cell>
          <cell r="O1247">
            <v>10.9</v>
          </cell>
          <cell r="P1247">
            <v>0.41651376146788999</v>
          </cell>
        </row>
        <row r="1248">
          <cell r="F1248" t="str">
            <v>70488675</v>
          </cell>
          <cell r="G1248" t="str">
            <v>孚日</v>
          </cell>
          <cell r="H1248" t="str">
            <v>孚日洁玉</v>
          </cell>
          <cell r="I1248" t="str">
            <v>日用品</v>
          </cell>
          <cell r="J1248" t="str">
            <v>纺织品</v>
          </cell>
          <cell r="K1248" t="str">
            <v>长绒棉国民毛巾</v>
          </cell>
          <cell r="L1248" t="str">
            <v>32cm*70cm 90g</v>
          </cell>
          <cell r="M1248" t="str">
            <v>个</v>
          </cell>
          <cell r="N1248">
            <v>14.87</v>
          </cell>
          <cell r="O1248">
            <v>25.5</v>
          </cell>
          <cell r="P1248">
            <v>0.41137254901960801</v>
          </cell>
        </row>
        <row r="1249">
          <cell r="F1249" t="str">
            <v>70370719</v>
          </cell>
          <cell r="G1249" t="str">
            <v>孚日</v>
          </cell>
          <cell r="H1249" t="str">
            <v>孚日洁玉</v>
          </cell>
          <cell r="I1249" t="str">
            <v>日用品</v>
          </cell>
          <cell r="J1249" t="str">
            <v>纺织品</v>
          </cell>
          <cell r="K1249" t="str">
            <v>莫兰迪毛巾</v>
          </cell>
          <cell r="L1249" t="str">
            <v>34cm*70cm 80g</v>
          </cell>
          <cell r="M1249" t="str">
            <v>个</v>
          </cell>
          <cell r="N1249">
            <v>7.15</v>
          </cell>
          <cell r="O1249">
            <v>15.9</v>
          </cell>
          <cell r="P1249">
            <v>0.54591194968553503</v>
          </cell>
        </row>
        <row r="1250">
          <cell r="F1250" t="str">
            <v>70488806</v>
          </cell>
          <cell r="G1250" t="str">
            <v>孚日</v>
          </cell>
          <cell r="H1250" t="str">
            <v>孚日洁玉</v>
          </cell>
          <cell r="I1250" t="str">
            <v>日用品</v>
          </cell>
          <cell r="J1250" t="str">
            <v>纺织品</v>
          </cell>
          <cell r="K1250" t="str">
            <v>瑞曼之城四件套</v>
          </cell>
          <cell r="L1250" t="str">
            <v>被套200cm*230cm    床单250cm*245cm    枕套48cm*74cm（2）</v>
          </cell>
          <cell r="M1250" t="str">
            <v>包</v>
          </cell>
          <cell r="N1250">
            <v>488.84</v>
          </cell>
          <cell r="O1250">
            <v>799</v>
          </cell>
          <cell r="P1250">
            <v>0.38212765957446798</v>
          </cell>
        </row>
        <row r="1251">
          <cell r="F1251" t="str">
            <v>70574286</v>
          </cell>
          <cell r="G1251" t="str">
            <v>孚日</v>
          </cell>
          <cell r="H1251" t="str">
            <v>孚日洁玉</v>
          </cell>
          <cell r="I1251" t="str">
            <v>日用品</v>
          </cell>
          <cell r="J1251" t="str">
            <v>纺织品</v>
          </cell>
          <cell r="K1251" t="str">
            <v>洁玉 时光旅人毛巾34cm*70cm 85g</v>
          </cell>
          <cell r="L1251" t="str">
            <v>34cm*70cm 85g</v>
          </cell>
          <cell r="M1251" t="str">
            <v>个</v>
          </cell>
          <cell r="N1251">
            <v>11.11</v>
          </cell>
          <cell r="O1251">
            <v>17.899999999999999</v>
          </cell>
          <cell r="P1251">
            <v>0.37318435754189899</v>
          </cell>
        </row>
        <row r="1252">
          <cell r="F1252" t="str">
            <v>70574288</v>
          </cell>
          <cell r="G1252" t="str">
            <v>孚日</v>
          </cell>
          <cell r="H1252" t="str">
            <v>孚日洁玉</v>
          </cell>
          <cell r="I1252" t="str">
            <v>日用品</v>
          </cell>
          <cell r="J1252" t="str">
            <v>纺织品</v>
          </cell>
          <cell r="K1252" t="str">
            <v>洁玉 时光旅人浴巾70cm*140cm 340g</v>
          </cell>
          <cell r="L1252" t="str">
            <v>70cm*140cm 340g</v>
          </cell>
          <cell r="M1252" t="str">
            <v>个</v>
          </cell>
          <cell r="N1252">
            <v>44.44</v>
          </cell>
          <cell r="O1252">
            <v>68.900000000000006</v>
          </cell>
          <cell r="P1252">
            <v>0.34862119013062398</v>
          </cell>
        </row>
        <row r="1253">
          <cell r="F1253" t="str">
            <v>70574284</v>
          </cell>
          <cell r="G1253" t="str">
            <v>孚日</v>
          </cell>
          <cell r="H1253" t="str">
            <v>孚日洁玉</v>
          </cell>
          <cell r="I1253" t="str">
            <v>日用品</v>
          </cell>
          <cell r="J1253" t="str">
            <v>纺织品</v>
          </cell>
          <cell r="K1253" t="str">
            <v>洁玉 流年毛巾34cm*74cm 100g</v>
          </cell>
          <cell r="L1253" t="str">
            <v>34cm*74cm 100g</v>
          </cell>
          <cell r="M1253" t="str">
            <v>个</v>
          </cell>
          <cell r="N1253">
            <v>17.27</v>
          </cell>
          <cell r="O1253">
            <v>26.9</v>
          </cell>
          <cell r="P1253">
            <v>0.35167286245353202</v>
          </cell>
        </row>
        <row r="1254">
          <cell r="F1254" t="str">
            <v>70574283</v>
          </cell>
          <cell r="G1254" t="str">
            <v>孚日</v>
          </cell>
          <cell r="H1254" t="str">
            <v>孚日洁玉</v>
          </cell>
          <cell r="I1254" t="str">
            <v>日用品</v>
          </cell>
          <cell r="J1254" t="str">
            <v>纺织品</v>
          </cell>
          <cell r="K1254" t="str">
            <v>洁玉 清爽毛巾33cm*62cm 75g</v>
          </cell>
          <cell r="L1254" t="str">
            <v>33cm*62cm 75g</v>
          </cell>
          <cell r="M1254" t="str">
            <v>个</v>
          </cell>
          <cell r="N1254">
            <v>11.51</v>
          </cell>
          <cell r="O1254">
            <v>19.899999999999999</v>
          </cell>
          <cell r="P1254">
            <v>0.415577889447236</v>
          </cell>
        </row>
        <row r="1255">
          <cell r="F1255" t="str">
            <v>70574282</v>
          </cell>
          <cell r="G1255" t="str">
            <v>孚日</v>
          </cell>
          <cell r="H1255" t="str">
            <v>孚日洁玉</v>
          </cell>
          <cell r="I1255" t="str">
            <v>日用品</v>
          </cell>
          <cell r="J1255" t="str">
            <v>纺织品</v>
          </cell>
          <cell r="K1255" t="str">
            <v>洁玉 都市漫想柔软亲肤 四件套</v>
          </cell>
          <cell r="L1255" t="str">
            <v>被套：200cm*230cm*1  枕套：48cm*74cm*2  床单：250cm*245cm*1</v>
          </cell>
          <cell r="M1255" t="str">
            <v>个</v>
          </cell>
          <cell r="N1255">
            <v>228.26</v>
          </cell>
          <cell r="O1255">
            <v>399</v>
          </cell>
          <cell r="P1255">
            <v>0.422255639097744</v>
          </cell>
        </row>
        <row r="1256">
          <cell r="F1256" t="str">
            <v>70489002</v>
          </cell>
          <cell r="G1256" t="str">
            <v>三利</v>
          </cell>
          <cell r="H1256" t="str">
            <v>三利</v>
          </cell>
          <cell r="I1256" t="str">
            <v>日用品</v>
          </cell>
          <cell r="J1256" t="str">
            <v>纺织品</v>
          </cell>
          <cell r="K1256" t="str">
            <v>三利 夕颜毛巾 34*74cm</v>
          </cell>
          <cell r="L1256" t="str">
            <v>34*74cm</v>
          </cell>
          <cell r="M1256" t="str">
            <v>个</v>
          </cell>
          <cell r="N1256">
            <v>7.58</v>
          </cell>
          <cell r="O1256">
            <v>16.7</v>
          </cell>
          <cell r="P1256">
            <v>0.54191616766467099</v>
          </cell>
        </row>
        <row r="1257">
          <cell r="F1257" t="str">
            <v>70488984</v>
          </cell>
          <cell r="G1257" t="str">
            <v>三利</v>
          </cell>
          <cell r="H1257" t="str">
            <v>三利</v>
          </cell>
          <cell r="I1257" t="str">
            <v>日用品</v>
          </cell>
          <cell r="J1257" t="str">
            <v>纺织品</v>
          </cell>
          <cell r="K1257" t="str">
            <v>三利 三利菱格毛巾被 155*200cm</v>
          </cell>
          <cell r="L1257" t="str">
            <v>155*200cm</v>
          </cell>
          <cell r="M1257" t="str">
            <v>个</v>
          </cell>
          <cell r="N1257">
            <v>71.31</v>
          </cell>
          <cell r="O1257">
            <v>115</v>
          </cell>
          <cell r="P1257">
            <v>0.37382608695652197</v>
          </cell>
        </row>
        <row r="1258">
          <cell r="F1258" t="str">
            <v>70488593</v>
          </cell>
          <cell r="G1258" t="str">
            <v>三利</v>
          </cell>
          <cell r="H1258" t="str">
            <v>三利</v>
          </cell>
          <cell r="I1258" t="str">
            <v>日用品</v>
          </cell>
          <cell r="J1258" t="str">
            <v>纺织品</v>
          </cell>
          <cell r="K1258" t="str">
            <v>三利 雅格毛巾 33*72cm</v>
          </cell>
          <cell r="L1258" t="str">
            <v>33*72cm</v>
          </cell>
          <cell r="M1258" t="str">
            <v>个</v>
          </cell>
          <cell r="N1258">
            <v>5.5</v>
          </cell>
          <cell r="O1258">
            <v>9.9</v>
          </cell>
          <cell r="P1258">
            <v>0.43838383838383799</v>
          </cell>
        </row>
        <row r="1259">
          <cell r="F1259" t="str">
            <v>70488623</v>
          </cell>
          <cell r="G1259" t="str">
            <v>三利</v>
          </cell>
          <cell r="H1259" t="str">
            <v>三利</v>
          </cell>
          <cell r="I1259" t="str">
            <v>日用品</v>
          </cell>
          <cell r="J1259" t="str">
            <v>纺织品</v>
          </cell>
          <cell r="K1259" t="str">
            <v>三利 酒店毛巾 35*78cm</v>
          </cell>
          <cell r="L1259" t="str">
            <v>35*78cm</v>
          </cell>
          <cell r="M1259" t="str">
            <v>个</v>
          </cell>
          <cell r="N1259">
            <v>12.02</v>
          </cell>
          <cell r="O1259">
            <v>19.899999999999999</v>
          </cell>
          <cell r="P1259">
            <v>0.38994974874371902</v>
          </cell>
        </row>
        <row r="1260">
          <cell r="F1260" t="str">
            <v>70488988</v>
          </cell>
          <cell r="G1260" t="str">
            <v>三利</v>
          </cell>
          <cell r="H1260" t="str">
            <v>三利</v>
          </cell>
          <cell r="I1260" t="str">
            <v>日用品</v>
          </cell>
          <cell r="J1260" t="str">
            <v>纺织品</v>
          </cell>
          <cell r="K1260" t="str">
            <v>三利 臻柔面巾 34*74cm</v>
          </cell>
          <cell r="L1260" t="str">
            <v>34*74cm</v>
          </cell>
          <cell r="M1260" t="str">
            <v>个</v>
          </cell>
          <cell r="N1260">
            <v>7.78</v>
          </cell>
          <cell r="O1260">
            <v>29.9</v>
          </cell>
          <cell r="P1260">
            <v>0.73745819397993295</v>
          </cell>
        </row>
        <row r="1261">
          <cell r="F1261" t="str">
            <v>70488603</v>
          </cell>
          <cell r="G1261" t="str">
            <v>三利</v>
          </cell>
          <cell r="H1261" t="str">
            <v>三利</v>
          </cell>
          <cell r="I1261" t="str">
            <v>日用品</v>
          </cell>
          <cell r="J1261" t="str">
            <v>纺织品</v>
          </cell>
          <cell r="K1261" t="str">
            <v>三利 三利长绒棉浴巾 70*150cm</v>
          </cell>
          <cell r="L1261" t="str">
            <v>70*150cm</v>
          </cell>
          <cell r="M1261" t="str">
            <v>个</v>
          </cell>
          <cell r="N1261">
            <v>38.89</v>
          </cell>
          <cell r="O1261">
            <v>62</v>
          </cell>
          <cell r="P1261">
            <v>0.36661290322580598</v>
          </cell>
        </row>
        <row r="1262">
          <cell r="F1262" t="str">
            <v>70334714</v>
          </cell>
          <cell r="G1262" t="str">
            <v>三利</v>
          </cell>
          <cell r="H1262" t="str">
            <v>三利</v>
          </cell>
          <cell r="I1262" t="str">
            <v>日用品</v>
          </cell>
          <cell r="J1262" t="str">
            <v>纺织品</v>
          </cell>
          <cell r="K1262" t="str">
            <v>三利 素格单人盖毯 150*200cm</v>
          </cell>
          <cell r="L1262" t="str">
            <v>150*200cm</v>
          </cell>
          <cell r="M1262" t="str">
            <v>个</v>
          </cell>
          <cell r="N1262">
            <v>58.58</v>
          </cell>
          <cell r="O1262">
            <v>109</v>
          </cell>
          <cell r="P1262">
            <v>0.45724770642201801</v>
          </cell>
        </row>
        <row r="1263">
          <cell r="F1263" t="str">
            <v>70488592</v>
          </cell>
          <cell r="G1263" t="str">
            <v>三利</v>
          </cell>
          <cell r="H1263" t="str">
            <v>三利</v>
          </cell>
          <cell r="I1263" t="str">
            <v>日用品</v>
          </cell>
          <cell r="J1263" t="str">
            <v>纺织品</v>
          </cell>
          <cell r="K1263" t="str">
            <v>三利 海绵宝宝形象授权浅滩冒险印花干发帽 25*65cm</v>
          </cell>
          <cell r="L1263" t="str">
            <v>25*65cm</v>
          </cell>
          <cell r="M1263" t="str">
            <v>个</v>
          </cell>
          <cell r="N1263">
            <v>7.98</v>
          </cell>
          <cell r="O1263">
            <v>14.9</v>
          </cell>
          <cell r="P1263">
            <v>0.459060402684564</v>
          </cell>
        </row>
        <row r="1264">
          <cell r="F1264" t="str">
            <v>70488979</v>
          </cell>
          <cell r="G1264" t="str">
            <v>三利</v>
          </cell>
          <cell r="H1264" t="str">
            <v>三利</v>
          </cell>
          <cell r="I1264" t="str">
            <v>日用品</v>
          </cell>
          <cell r="J1264" t="str">
            <v>纺织品</v>
          </cell>
          <cell r="K1264" t="str">
            <v>三利 有机棉九色鹿浴巾 75*140cm</v>
          </cell>
          <cell r="L1264" t="str">
            <v>75*140cm</v>
          </cell>
          <cell r="M1264" t="str">
            <v>个</v>
          </cell>
          <cell r="N1264">
            <v>43.43</v>
          </cell>
          <cell r="O1264">
            <v>129</v>
          </cell>
          <cell r="P1264">
            <v>0.66</v>
          </cell>
        </row>
        <row r="1265">
          <cell r="F1265" t="str">
            <v>70488982</v>
          </cell>
          <cell r="G1265" t="str">
            <v>三利</v>
          </cell>
          <cell r="H1265" t="str">
            <v>三利</v>
          </cell>
          <cell r="I1265" t="str">
            <v>日用品</v>
          </cell>
          <cell r="J1265" t="str">
            <v>纺织品</v>
          </cell>
          <cell r="K1265" t="str">
            <v>三利 卡通擦手巾 35*35cm</v>
          </cell>
          <cell r="L1265" t="str">
            <v>35*35cm</v>
          </cell>
          <cell r="M1265" t="str">
            <v>个</v>
          </cell>
          <cell r="N1265">
            <v>6.46</v>
          </cell>
          <cell r="O1265">
            <v>29.8</v>
          </cell>
          <cell r="P1265">
            <v>0.78087248322147695</v>
          </cell>
        </row>
        <row r="1266">
          <cell r="F1266" t="str">
            <v>70488985</v>
          </cell>
          <cell r="G1266" t="str">
            <v>三利</v>
          </cell>
          <cell r="H1266" t="str">
            <v>三利</v>
          </cell>
          <cell r="I1266" t="str">
            <v>日用品</v>
          </cell>
          <cell r="J1266" t="str">
            <v>纺织品</v>
          </cell>
          <cell r="K1266" t="str">
            <v>三利 菠萝格毛巾 35*75cm</v>
          </cell>
          <cell r="L1266" t="str">
            <v>35*75cm</v>
          </cell>
          <cell r="M1266" t="str">
            <v>个</v>
          </cell>
          <cell r="N1266">
            <v>4.4400000000000004</v>
          </cell>
          <cell r="O1266">
            <v>9.9</v>
          </cell>
          <cell r="P1266">
            <v>0.54646464646464599</v>
          </cell>
        </row>
        <row r="1267">
          <cell r="F1267" t="str">
            <v>70488980</v>
          </cell>
          <cell r="G1267" t="str">
            <v>三利</v>
          </cell>
          <cell r="H1267" t="str">
            <v>三利</v>
          </cell>
          <cell r="I1267" t="str">
            <v>日用品</v>
          </cell>
          <cell r="J1267" t="str">
            <v>纺织品</v>
          </cell>
          <cell r="K1267" t="str">
            <v>三利 海绵宝宝形象授权表情印花面巾 35*75cm</v>
          </cell>
          <cell r="L1267" t="str">
            <v>35*75cm</v>
          </cell>
          <cell r="M1267" t="str">
            <v>个</v>
          </cell>
          <cell r="N1267">
            <v>7.07</v>
          </cell>
          <cell r="O1267">
            <v>13.9</v>
          </cell>
          <cell r="P1267">
            <v>0.48633093525179899</v>
          </cell>
        </row>
        <row r="1268">
          <cell r="F1268" t="str">
            <v>70488977</v>
          </cell>
          <cell r="G1268" t="str">
            <v>三利</v>
          </cell>
          <cell r="H1268" t="str">
            <v>三利</v>
          </cell>
          <cell r="I1268" t="str">
            <v>日用品</v>
          </cell>
          <cell r="J1268" t="str">
            <v>纺织品</v>
          </cell>
          <cell r="K1268" t="str">
            <v>三利 有机棉九色鹿方巾 35*36cm</v>
          </cell>
          <cell r="L1268" t="str">
            <v>35*36cm</v>
          </cell>
          <cell r="M1268" t="str">
            <v>个</v>
          </cell>
          <cell r="N1268">
            <v>6.77</v>
          </cell>
          <cell r="O1268">
            <v>29.9</v>
          </cell>
          <cell r="P1268">
            <v>0.771571906354515</v>
          </cell>
        </row>
        <row r="1269">
          <cell r="F1269" t="str">
            <v>70488975</v>
          </cell>
          <cell r="G1269" t="str">
            <v>三利</v>
          </cell>
          <cell r="H1269" t="str">
            <v>三利</v>
          </cell>
          <cell r="I1269" t="str">
            <v>日用品</v>
          </cell>
          <cell r="J1269" t="str">
            <v>纺织品</v>
          </cell>
          <cell r="K1269" t="str">
            <v>三利 爽颜浴巾 70*140cm</v>
          </cell>
          <cell r="L1269" t="str">
            <v>70*140cm</v>
          </cell>
          <cell r="M1269" t="str">
            <v>个</v>
          </cell>
          <cell r="N1269">
            <v>14.8</v>
          </cell>
          <cell r="O1269">
            <v>29.9</v>
          </cell>
          <cell r="P1269">
            <v>0.50033444816053496</v>
          </cell>
        </row>
        <row r="1270">
          <cell r="F1270" t="str">
            <v>70489000</v>
          </cell>
          <cell r="G1270" t="str">
            <v>三利</v>
          </cell>
          <cell r="H1270" t="str">
            <v>三利</v>
          </cell>
          <cell r="I1270" t="str">
            <v>日用品</v>
          </cell>
          <cell r="J1270" t="str">
            <v>纺织品</v>
          </cell>
          <cell r="K1270" t="str">
            <v>三利 毛绒家族童巾 25*50cm</v>
          </cell>
          <cell r="L1270" t="str">
            <v>25*50cm</v>
          </cell>
          <cell r="M1270" t="str">
            <v>个</v>
          </cell>
          <cell r="N1270">
            <v>4.46</v>
          </cell>
          <cell r="O1270">
            <v>6.9</v>
          </cell>
          <cell r="P1270">
            <v>0.34637681159420303</v>
          </cell>
        </row>
        <row r="1271">
          <cell r="F1271" t="str">
            <v>70488983</v>
          </cell>
          <cell r="G1271" t="str">
            <v>三利</v>
          </cell>
          <cell r="H1271" t="str">
            <v>三利</v>
          </cell>
          <cell r="I1271" t="str">
            <v>日用品</v>
          </cell>
          <cell r="J1271" t="str">
            <v>纺织品</v>
          </cell>
          <cell r="K1271" t="str">
            <v>三利 侘寂枕巾(一对） 52*78cm</v>
          </cell>
          <cell r="L1271" t="str">
            <v>52*78cm</v>
          </cell>
          <cell r="M1271" t="str">
            <v>个</v>
          </cell>
          <cell r="N1271">
            <v>24.75</v>
          </cell>
          <cell r="O1271">
            <v>39.9</v>
          </cell>
          <cell r="P1271">
            <v>0.37368421052631601</v>
          </cell>
        </row>
        <row r="1272">
          <cell r="F1272" t="str">
            <v>70488631</v>
          </cell>
          <cell r="G1272" t="str">
            <v>三利</v>
          </cell>
          <cell r="H1272" t="str">
            <v>三利</v>
          </cell>
          <cell r="I1272" t="str">
            <v>日用品</v>
          </cell>
          <cell r="J1272" t="str">
            <v>纺织品</v>
          </cell>
          <cell r="K1272" t="str">
            <v>三利 颜蕴竖条面巾 35*72cm</v>
          </cell>
          <cell r="L1272" t="str">
            <v>35*72cm</v>
          </cell>
          <cell r="M1272" t="str">
            <v>个</v>
          </cell>
          <cell r="N1272">
            <v>4.04</v>
          </cell>
          <cell r="O1272">
            <v>9.9</v>
          </cell>
          <cell r="P1272">
            <v>0.587878787878788</v>
          </cell>
        </row>
        <row r="1273">
          <cell r="F1273" t="str">
            <v>70488978</v>
          </cell>
          <cell r="G1273" t="str">
            <v>三利</v>
          </cell>
          <cell r="H1273" t="str">
            <v>三利</v>
          </cell>
          <cell r="I1273" t="str">
            <v>日用品</v>
          </cell>
          <cell r="J1273" t="str">
            <v>纺织品</v>
          </cell>
          <cell r="K1273" t="str">
            <v>三利 有机棉九色鹿面巾 36*72cm</v>
          </cell>
          <cell r="L1273" t="str">
            <v>36*72cm</v>
          </cell>
          <cell r="M1273" t="str">
            <v>个</v>
          </cell>
          <cell r="N1273">
            <v>12.32</v>
          </cell>
          <cell r="O1273">
            <v>79.900000000000006</v>
          </cell>
          <cell r="P1273">
            <v>0.84430538172715897</v>
          </cell>
        </row>
        <row r="1274">
          <cell r="F1274" t="str">
            <v>70334708</v>
          </cell>
          <cell r="G1274" t="str">
            <v>三利</v>
          </cell>
          <cell r="H1274" t="str">
            <v>三利</v>
          </cell>
          <cell r="I1274" t="str">
            <v>日用品</v>
          </cell>
          <cell r="J1274" t="str">
            <v>纺织品</v>
          </cell>
          <cell r="K1274" t="str">
            <v>三利 鲁道夫抗菌净颜面巾 34*76cm</v>
          </cell>
          <cell r="L1274" t="str">
            <v>34*76cm</v>
          </cell>
          <cell r="M1274" t="str">
            <v>个</v>
          </cell>
          <cell r="N1274">
            <v>10</v>
          </cell>
          <cell r="O1274">
            <v>19.899999999999999</v>
          </cell>
          <cell r="P1274">
            <v>0.49246231155778902</v>
          </cell>
        </row>
        <row r="1275">
          <cell r="F1275" t="str">
            <v>70543507</v>
          </cell>
          <cell r="G1275" t="str">
            <v>三利</v>
          </cell>
          <cell r="H1275" t="str">
            <v>三利</v>
          </cell>
          <cell r="I1275" t="str">
            <v>日用品</v>
          </cell>
          <cell r="J1275" t="str">
            <v>家用纺织品</v>
          </cell>
          <cell r="K1275" t="str">
            <v>三利 裙缎面巾8604 规格34*74*95g*1条</v>
          </cell>
          <cell r="L1275" t="str">
            <v>34*74*95g*1条</v>
          </cell>
          <cell r="M1275" t="str">
            <v>个</v>
          </cell>
          <cell r="N1275">
            <v>6.16</v>
          </cell>
          <cell r="O1275">
            <v>12.9</v>
          </cell>
          <cell r="P1275">
            <v>0.51782945736434105</v>
          </cell>
        </row>
        <row r="1276">
          <cell r="F1276" t="str">
            <v>70334978</v>
          </cell>
          <cell r="G1276" t="str">
            <v>三利</v>
          </cell>
          <cell r="H1276" t="str">
            <v>三利</v>
          </cell>
          <cell r="I1276" t="str">
            <v>日用品</v>
          </cell>
          <cell r="J1276" t="str">
            <v>家用纺织品</v>
          </cell>
          <cell r="K1276" t="str">
            <v>三利 素雅面巾9154-1 规格32*74cm*95g*1条</v>
          </cell>
          <cell r="L1276" t="str">
            <v>32*74cm*95g*1条</v>
          </cell>
          <cell r="M1276" t="str">
            <v>个</v>
          </cell>
          <cell r="N1276">
            <v>6.06</v>
          </cell>
          <cell r="O1276">
            <v>9.9</v>
          </cell>
          <cell r="P1276">
            <v>0.381818181818182</v>
          </cell>
        </row>
        <row r="1277">
          <cell r="F1277" t="str">
            <v>70543488</v>
          </cell>
          <cell r="G1277" t="str">
            <v>三利</v>
          </cell>
          <cell r="H1277" t="str">
            <v>三利</v>
          </cell>
          <cell r="I1277" t="str">
            <v>日用品</v>
          </cell>
          <cell r="J1277" t="str">
            <v>床品</v>
          </cell>
          <cell r="K1277" t="str">
            <v>三利 蓝色纯色款一次性单人床品套装 SLCP23  1条枕套50*80cm，1条床单180*230cm，1条被罩150*220cm</v>
          </cell>
          <cell r="L1277" t="str">
            <v>1条枕套50*80cm，1条床单180*230cm，1条被罩150*220cm</v>
          </cell>
          <cell r="M1277" t="str">
            <v>个</v>
          </cell>
          <cell r="N1277">
            <v>8.18</v>
          </cell>
          <cell r="O1277">
            <v>13.8</v>
          </cell>
          <cell r="P1277">
            <v>0.401449275362319</v>
          </cell>
        </row>
        <row r="1278">
          <cell r="F1278" t="str">
            <v>70543425</v>
          </cell>
          <cell r="G1278" t="str">
            <v>三利</v>
          </cell>
          <cell r="H1278" t="str">
            <v>三利</v>
          </cell>
          <cell r="I1278" t="str">
            <v>日用品</v>
          </cell>
          <cell r="J1278" t="str">
            <v>床品</v>
          </cell>
          <cell r="K1278" t="str">
            <v>三利 蓝色纯色款一次性双人床品套装SLCP24 2条枕套50*80cm，1条床单220*240cm，1条被罩220*240cm</v>
          </cell>
          <cell r="L1278" t="str">
            <v>2条枕套50*80cm，1条床单220*240cm，1条被罩220*240cm</v>
          </cell>
          <cell r="M1278" t="str">
            <v>个</v>
          </cell>
          <cell r="N1278">
            <v>8.7899999999999991</v>
          </cell>
          <cell r="O1278">
            <v>16.8</v>
          </cell>
          <cell r="P1278">
            <v>0.47202380952381001</v>
          </cell>
        </row>
        <row r="1279">
          <cell r="F1279" t="str">
            <v>70543515</v>
          </cell>
          <cell r="G1279" t="str">
            <v>三利</v>
          </cell>
          <cell r="H1279" t="str">
            <v>三利</v>
          </cell>
          <cell r="I1279" t="str">
            <v>日用品</v>
          </cell>
          <cell r="J1279" t="str">
            <v>床品</v>
          </cell>
          <cell r="K1279" t="str">
            <v>三利 Hello，Puppy印花款一次性单人床品套装SLCP15  枕套1个50*80，床单180*230，被套150*220</v>
          </cell>
          <cell r="L1279" t="str">
            <v>枕套1个50*80，床单180*230，被套150*220</v>
          </cell>
          <cell r="M1279" t="str">
            <v>个</v>
          </cell>
          <cell r="N1279">
            <v>8.0299999999999994</v>
          </cell>
          <cell r="O1279">
            <v>29.9</v>
          </cell>
          <cell r="P1279">
            <v>0.72876254180601996</v>
          </cell>
        </row>
        <row r="1280">
          <cell r="F1280" t="str">
            <v>70543490</v>
          </cell>
          <cell r="G1280" t="str">
            <v>三利</v>
          </cell>
          <cell r="H1280" t="str">
            <v>三利</v>
          </cell>
          <cell r="I1280" t="str">
            <v>日用品</v>
          </cell>
          <cell r="J1280" t="str">
            <v>床品</v>
          </cell>
          <cell r="K1280" t="str">
            <v>三利 Hello，Puppy印花款一次性双人床品套装SLCP16 枕套2个50*80，床单220*240，被套220*240</v>
          </cell>
          <cell r="L1280" t="str">
            <v>枕套2个50*80，床单220*240，被套220*240</v>
          </cell>
          <cell r="M1280" t="str">
            <v>个</v>
          </cell>
          <cell r="N1280">
            <v>10.1</v>
          </cell>
          <cell r="O1280">
            <v>32.9</v>
          </cell>
          <cell r="P1280">
            <v>0.68996960486322201</v>
          </cell>
        </row>
        <row r="1281">
          <cell r="F1281" t="str">
            <v>70049153</v>
          </cell>
          <cell r="G1281" t="str">
            <v>三利</v>
          </cell>
          <cell r="H1281" t="str">
            <v>三利</v>
          </cell>
          <cell r="I1281" t="str">
            <v>日用品</v>
          </cell>
          <cell r="J1281" t="str">
            <v>家用纺织品</v>
          </cell>
          <cell r="K1281" t="str">
            <v>三利 枫叶毛巾 34*76cm*100g</v>
          </cell>
          <cell r="L1281" t="str">
            <v>34*76cm*100g</v>
          </cell>
          <cell r="M1281" t="str">
            <v>个</v>
          </cell>
          <cell r="N1281">
            <v>5.66</v>
          </cell>
          <cell r="O1281">
            <v>15</v>
          </cell>
          <cell r="P1281">
            <v>0.61933333333333296</v>
          </cell>
        </row>
        <row r="1282">
          <cell r="F1282" t="str">
            <v>70543436</v>
          </cell>
          <cell r="G1282" t="str">
            <v>三利</v>
          </cell>
          <cell r="H1282" t="str">
            <v>三利</v>
          </cell>
          <cell r="I1282" t="str">
            <v>日用品</v>
          </cell>
          <cell r="J1282" t="str">
            <v>家用纺织品</v>
          </cell>
          <cell r="K1282" t="str">
            <v>三利 双层绣花干发帽VH072 25*65cm*130g</v>
          </cell>
          <cell r="L1282" t="str">
            <v>25*65cm*130g</v>
          </cell>
          <cell r="M1282" t="str">
            <v>个</v>
          </cell>
          <cell r="N1282">
            <v>10</v>
          </cell>
          <cell r="O1282">
            <v>25.9</v>
          </cell>
          <cell r="P1282">
            <v>0.61003861003861004</v>
          </cell>
        </row>
        <row r="1283">
          <cell r="F1283" t="str">
            <v>70543480</v>
          </cell>
          <cell r="G1283" t="str">
            <v>三利</v>
          </cell>
          <cell r="H1283" t="str">
            <v>三利</v>
          </cell>
          <cell r="I1283" t="str">
            <v>日用品</v>
          </cell>
          <cell r="J1283" t="str">
            <v>家用纺织品</v>
          </cell>
          <cell r="K1283" t="str">
            <v>三利 Merbau浴巾PLUSV3061 90*180cm*460g</v>
          </cell>
          <cell r="L1283" t="str">
            <v>90*180cm*460g</v>
          </cell>
          <cell r="M1283" t="str">
            <v>个</v>
          </cell>
          <cell r="N1283">
            <v>19.190000000000001</v>
          </cell>
          <cell r="O1283">
            <v>39.9</v>
          </cell>
          <cell r="P1283">
            <v>0.51428571428571401</v>
          </cell>
        </row>
        <row r="1284">
          <cell r="F1284" t="str">
            <v>70543481</v>
          </cell>
          <cell r="G1284" t="str">
            <v>三利</v>
          </cell>
          <cell r="H1284" t="str">
            <v>三利</v>
          </cell>
          <cell r="I1284" t="str">
            <v>日用品</v>
          </cell>
          <cell r="J1284" t="str">
            <v>家用纺织品</v>
          </cell>
          <cell r="K1284" t="str">
            <v>三利 明丽面巾9937 34*72cm*100g</v>
          </cell>
          <cell r="L1284" t="str">
            <v>34*72cm*100g</v>
          </cell>
          <cell r="M1284" t="str">
            <v>个</v>
          </cell>
          <cell r="N1284">
            <v>6.06</v>
          </cell>
          <cell r="O1284">
            <v>10</v>
          </cell>
          <cell r="P1284">
            <v>0.38800000000000001</v>
          </cell>
        </row>
        <row r="1285">
          <cell r="F1285" t="str">
            <v>70543503</v>
          </cell>
          <cell r="G1285" t="str">
            <v>三利</v>
          </cell>
          <cell r="H1285" t="str">
            <v>三利</v>
          </cell>
          <cell r="I1285" t="str">
            <v>日用品</v>
          </cell>
          <cell r="J1285" t="str">
            <v>家用纺织品</v>
          </cell>
          <cell r="K1285" t="str">
            <v>三利 欧申纳浴巾3105 70*140cm*370g</v>
          </cell>
          <cell r="L1285" t="str">
            <v>70*140cm*370g</v>
          </cell>
          <cell r="M1285" t="str">
            <v>个</v>
          </cell>
          <cell r="N1285">
            <v>24.95</v>
          </cell>
          <cell r="O1285">
            <v>49.9</v>
          </cell>
          <cell r="P1285">
            <v>0.495190380761523</v>
          </cell>
        </row>
        <row r="1286">
          <cell r="F1286" t="str">
            <v>70488615</v>
          </cell>
          <cell r="G1286" t="str">
            <v>亚光</v>
          </cell>
          <cell r="H1286" t="str">
            <v>亚光</v>
          </cell>
          <cell r="I1286" t="str">
            <v>日用品</v>
          </cell>
          <cell r="J1286" t="str">
            <v>纺织品</v>
          </cell>
          <cell r="K1286" t="str">
            <v>亚光 梦蓝方面浴 礼盒</v>
          </cell>
          <cell r="L1286" t="str">
            <v>方巾34cm*34cm/47g      面巾34cm*76cm/100g     浴巾70cm*140cm/398g</v>
          </cell>
          <cell r="M1286" t="str">
            <v>盒</v>
          </cell>
          <cell r="N1286">
            <v>58.58</v>
          </cell>
          <cell r="O1286">
            <v>129</v>
          </cell>
          <cell r="P1286">
            <v>0.54139534883720897</v>
          </cell>
        </row>
        <row r="1287">
          <cell r="F1287" t="str">
            <v>70488601</v>
          </cell>
          <cell r="G1287" t="str">
            <v>亚光</v>
          </cell>
          <cell r="H1287" t="str">
            <v>亚光</v>
          </cell>
          <cell r="I1287" t="str">
            <v>日用品</v>
          </cell>
          <cell r="J1287" t="str">
            <v>纺织品</v>
          </cell>
          <cell r="K1287" t="str">
            <v>亚光 LOFTEX梦面巾2条装礼盒 34cm*76cm/115g*2条</v>
          </cell>
          <cell r="L1287" t="str">
            <v>34cm*76cm/115g*2条</v>
          </cell>
          <cell r="M1287" t="str">
            <v>盒</v>
          </cell>
          <cell r="N1287">
            <v>20.81</v>
          </cell>
          <cell r="O1287">
            <v>39</v>
          </cell>
          <cell r="P1287">
            <v>0.46128205128205102</v>
          </cell>
        </row>
        <row r="1288">
          <cell r="F1288" t="str">
            <v>70489006</v>
          </cell>
          <cell r="G1288" t="str">
            <v>亚光</v>
          </cell>
          <cell r="H1288" t="str">
            <v>亚光</v>
          </cell>
          <cell r="I1288" t="str">
            <v>日用品</v>
          </cell>
          <cell r="J1288" t="str">
            <v>纺织品</v>
          </cell>
          <cell r="K1288" t="str">
            <v>亚光 LOFTEX SPORT 5A抗菌运动巾-热血橙 25cm*110cm/120g</v>
          </cell>
          <cell r="L1288" t="str">
            <v>25cm*110cm/120g</v>
          </cell>
          <cell r="M1288" t="str">
            <v>个</v>
          </cell>
          <cell r="N1288">
            <v>12.12</v>
          </cell>
          <cell r="O1288">
            <v>32.9</v>
          </cell>
          <cell r="P1288">
            <v>0.62796352583586601</v>
          </cell>
        </row>
        <row r="1289">
          <cell r="F1289" t="str">
            <v>70488654</v>
          </cell>
          <cell r="G1289" t="str">
            <v>亚光</v>
          </cell>
          <cell r="H1289" t="str">
            <v>亚光</v>
          </cell>
          <cell r="I1289" t="str">
            <v>日用品</v>
          </cell>
          <cell r="J1289" t="str">
            <v>纺织品</v>
          </cell>
          <cell r="K1289" t="str">
            <v>亚光 LOFTEX SPORT 5A抗菌运动巾-活力蓝 25cm*110cm/120g</v>
          </cell>
          <cell r="L1289" t="str">
            <v>25cm*110cm/120g</v>
          </cell>
          <cell r="M1289" t="str">
            <v>个</v>
          </cell>
          <cell r="N1289">
            <v>12.12</v>
          </cell>
          <cell r="O1289">
            <v>32.9</v>
          </cell>
          <cell r="P1289">
            <v>0.62796352583586601</v>
          </cell>
        </row>
        <row r="1290">
          <cell r="F1290" t="str">
            <v>70489007</v>
          </cell>
          <cell r="G1290" t="str">
            <v>亚光</v>
          </cell>
          <cell r="H1290" t="str">
            <v>亚光</v>
          </cell>
          <cell r="I1290" t="str">
            <v>日用品</v>
          </cell>
          <cell r="J1290" t="str">
            <v>纺织品</v>
          </cell>
          <cell r="K1290" t="str">
            <v>亚光 LOFTEX素色浴袍男士 L号*120*1631.3g</v>
          </cell>
          <cell r="L1290" t="str">
            <v>L号*120*1631.3g</v>
          </cell>
          <cell r="M1290" t="str">
            <v>个</v>
          </cell>
          <cell r="N1290">
            <v>191.9</v>
          </cell>
          <cell r="O1290">
            <v>349</v>
          </cell>
          <cell r="P1290">
            <v>0.444699140401146</v>
          </cell>
        </row>
        <row r="1291">
          <cell r="F1291" t="str">
            <v>70488599</v>
          </cell>
          <cell r="G1291" t="str">
            <v>亚光</v>
          </cell>
          <cell r="H1291" t="str">
            <v>亚光</v>
          </cell>
          <cell r="I1291" t="str">
            <v>日用品</v>
          </cell>
          <cell r="J1291" t="str">
            <v>纺织品</v>
          </cell>
          <cell r="K1291" t="str">
            <v>亚光 LOFTEX素色浴袍女士 M号*110*1402.9g</v>
          </cell>
          <cell r="L1291" t="str">
            <v>M号*110*1402.9g</v>
          </cell>
          <cell r="M1291" t="str">
            <v>个</v>
          </cell>
          <cell r="N1291">
            <v>191.9</v>
          </cell>
          <cell r="O1291">
            <v>349</v>
          </cell>
          <cell r="P1291">
            <v>0.444699140401146</v>
          </cell>
        </row>
        <row r="1292">
          <cell r="F1292" t="str">
            <v>70488648</v>
          </cell>
          <cell r="G1292" t="str">
            <v>亚光</v>
          </cell>
          <cell r="H1292" t="str">
            <v>亚光</v>
          </cell>
          <cell r="I1292" t="str">
            <v>日用品</v>
          </cell>
          <cell r="J1292" t="str">
            <v>纺织品</v>
          </cell>
          <cell r="K1292" t="str">
            <v>亚光 LOFTEX雅致面巾-灰色 34cm*76cm/120g</v>
          </cell>
          <cell r="L1292" t="str">
            <v>34cm*76cm/120g</v>
          </cell>
          <cell r="M1292" t="str">
            <v>个</v>
          </cell>
          <cell r="N1292">
            <v>8.59</v>
          </cell>
          <cell r="O1292">
            <v>16.899999999999999</v>
          </cell>
          <cell r="P1292">
            <v>0.48698224852070998</v>
          </cell>
        </row>
        <row r="1293">
          <cell r="F1293" t="str">
            <v>70488638</v>
          </cell>
          <cell r="G1293" t="str">
            <v>亚光</v>
          </cell>
          <cell r="H1293" t="str">
            <v>亚光</v>
          </cell>
          <cell r="I1293" t="str">
            <v>日用品</v>
          </cell>
          <cell r="J1293" t="str">
            <v>纺织品</v>
          </cell>
          <cell r="K1293" t="str">
            <v>亚光 LOFTEX雅致面巾-粉色 34cm*76cm/120g</v>
          </cell>
          <cell r="L1293" t="str">
            <v>34cm*76cm/120g</v>
          </cell>
          <cell r="M1293" t="str">
            <v>个</v>
          </cell>
          <cell r="N1293">
            <v>8.59</v>
          </cell>
          <cell r="O1293">
            <v>16.899999999999999</v>
          </cell>
          <cell r="P1293">
            <v>0.48698224852070998</v>
          </cell>
        </row>
        <row r="1294">
          <cell r="F1294" t="str">
            <v>70488627</v>
          </cell>
          <cell r="G1294" t="str">
            <v>亚光</v>
          </cell>
          <cell r="H1294" t="str">
            <v>亚光</v>
          </cell>
          <cell r="I1294" t="str">
            <v>日用品</v>
          </cell>
          <cell r="J1294" t="str">
            <v>纺织品</v>
          </cell>
          <cell r="K1294" t="str">
            <v>亚光 LOFTEX雍福面巾 34cm*76cm/150g</v>
          </cell>
          <cell r="L1294" t="str">
            <v>34cm*76cm/150g</v>
          </cell>
          <cell r="M1294" t="str">
            <v>个</v>
          </cell>
          <cell r="N1294">
            <v>12.63</v>
          </cell>
          <cell r="O1294">
            <v>29.9</v>
          </cell>
          <cell r="P1294">
            <v>0.57357859531772604</v>
          </cell>
        </row>
        <row r="1295">
          <cell r="F1295" t="str">
            <v>70488633</v>
          </cell>
          <cell r="G1295" t="str">
            <v>亚光</v>
          </cell>
          <cell r="H1295" t="str">
            <v>亚光</v>
          </cell>
          <cell r="I1295" t="str">
            <v>日用品</v>
          </cell>
          <cell r="J1295" t="str">
            <v>纺织品</v>
          </cell>
          <cell r="K1295" t="str">
            <v>亚光 LOFTEX良品抗菌枕巾 50cm*80cm/150g</v>
          </cell>
          <cell r="L1295" t="str">
            <v>50cm*80cm/150g</v>
          </cell>
          <cell r="M1295" t="str">
            <v>个</v>
          </cell>
          <cell r="N1295">
            <v>13.03</v>
          </cell>
          <cell r="O1295">
            <v>25.9</v>
          </cell>
          <cell r="P1295">
            <v>0.49189189189189197</v>
          </cell>
        </row>
        <row r="1296">
          <cell r="F1296" t="str">
            <v>70574281</v>
          </cell>
          <cell r="G1296" t="str">
            <v>亚光</v>
          </cell>
          <cell r="H1296" t="str">
            <v>亚光</v>
          </cell>
          <cell r="I1296" t="str">
            <v>日用品</v>
          </cell>
          <cell r="J1296" t="str">
            <v>纺织品</v>
          </cell>
          <cell r="K1296" t="str">
            <v>亚光 简柔五件套 礼盒</v>
          </cell>
          <cell r="L1296" t="str">
            <v>面巾32cm*70cm/90g*4条  浴巾60cm*135cm/350g</v>
          </cell>
          <cell r="M1296" t="str">
            <v>盒</v>
          </cell>
          <cell r="N1296">
            <v>79.790000000000006</v>
          </cell>
          <cell r="O1296">
            <v>198</v>
          </cell>
          <cell r="P1296">
            <v>0.59303030303030302</v>
          </cell>
        </row>
        <row r="1297">
          <cell r="F1297" t="str">
            <v>70574280</v>
          </cell>
          <cell r="G1297" t="str">
            <v>亚光</v>
          </cell>
          <cell r="H1297" t="str">
            <v>亚光</v>
          </cell>
          <cell r="I1297" t="str">
            <v>日用品</v>
          </cell>
          <cell r="J1297" t="str">
            <v>纺织品</v>
          </cell>
          <cell r="K1297" t="str">
            <v>亚光 喀纳斯六件套金色 礼盒</v>
          </cell>
          <cell r="L1297" t="str">
            <v>方巾34cm*34cm/50g*2条 面巾34cm*76cm/120g*2条浴巾75cm*150cm/480g*2条</v>
          </cell>
          <cell r="M1297" t="str">
            <v>盒</v>
          </cell>
          <cell r="N1297">
            <v>159.58000000000001</v>
          </cell>
          <cell r="O1297">
            <v>398</v>
          </cell>
          <cell r="P1297">
            <v>0.59507537688442202</v>
          </cell>
        </row>
        <row r="1298">
          <cell r="F1298" t="str">
            <v>70574279</v>
          </cell>
          <cell r="G1298" t="str">
            <v>亚光</v>
          </cell>
          <cell r="H1298" t="str">
            <v>亚光</v>
          </cell>
          <cell r="I1298" t="str">
            <v>日用品</v>
          </cell>
          <cell r="J1298" t="str">
            <v>纺织品</v>
          </cell>
          <cell r="K1298" t="str">
            <v>亚光 知晓面巾两条装 礼盒</v>
          </cell>
          <cell r="L1298" t="str">
            <v>32cm*74cm/90g*2条</v>
          </cell>
          <cell r="M1298" t="str">
            <v>盒</v>
          </cell>
          <cell r="N1298">
            <v>16.97</v>
          </cell>
          <cell r="O1298">
            <v>39</v>
          </cell>
          <cell r="P1298">
            <v>0.56051282051282003</v>
          </cell>
        </row>
        <row r="1299">
          <cell r="F1299" t="str">
            <v>70574278</v>
          </cell>
          <cell r="G1299" t="str">
            <v>亚光</v>
          </cell>
          <cell r="H1299" t="str">
            <v>亚光</v>
          </cell>
          <cell r="I1299" t="str">
            <v>日用品</v>
          </cell>
          <cell r="J1299" t="str">
            <v>纺织品</v>
          </cell>
          <cell r="K1299" t="str">
            <v>亚光 LOFTEX丝绦面巾单条装红色 34cm*76cm/120g</v>
          </cell>
          <cell r="L1299" t="str">
            <v>34cm*76cm/120g</v>
          </cell>
          <cell r="M1299" t="str">
            <v>盒</v>
          </cell>
          <cell r="N1299">
            <v>10.61</v>
          </cell>
          <cell r="O1299">
            <v>29</v>
          </cell>
          <cell r="P1299">
            <v>0.63068965517241404</v>
          </cell>
        </row>
        <row r="1300">
          <cell r="F1300" t="str">
            <v>70574277</v>
          </cell>
          <cell r="G1300" t="str">
            <v>亚光</v>
          </cell>
          <cell r="H1300" t="str">
            <v>亚光</v>
          </cell>
          <cell r="I1300" t="str">
            <v>日用品</v>
          </cell>
          <cell r="J1300" t="str">
            <v>纺织品</v>
          </cell>
          <cell r="K1300" t="str">
            <v>亚光 LOFTEX丝绦面巾单条装绿色 34cm*76cm/120g</v>
          </cell>
          <cell r="L1300" t="str">
            <v>34cm*76cm/120g</v>
          </cell>
          <cell r="M1300" t="str">
            <v>盒</v>
          </cell>
          <cell r="N1300">
            <v>10.61</v>
          </cell>
          <cell r="O1300">
            <v>29</v>
          </cell>
          <cell r="P1300">
            <v>0.63068965517241404</v>
          </cell>
        </row>
        <row r="1301">
          <cell r="F1301" t="str">
            <v>70574287</v>
          </cell>
          <cell r="G1301" t="str">
            <v>亚光</v>
          </cell>
          <cell r="H1301" t="str">
            <v>亚光</v>
          </cell>
          <cell r="I1301" t="str">
            <v>日用品</v>
          </cell>
          <cell r="J1301" t="str">
            <v>纺织品</v>
          </cell>
          <cell r="K1301" t="str">
            <v>亚光 梵馨面巾10条装 40cm*80cm/150g*10条</v>
          </cell>
          <cell r="L1301" t="str">
            <v>40cm*80cm/150g*10条</v>
          </cell>
          <cell r="M1301" t="str">
            <v>盒</v>
          </cell>
          <cell r="N1301">
            <v>131.30000000000001</v>
          </cell>
          <cell r="O1301">
            <v>299</v>
          </cell>
          <cell r="P1301">
            <v>0.55652173913043501</v>
          </cell>
        </row>
        <row r="1302">
          <cell r="F1302" t="str">
            <v>70546099</v>
          </cell>
          <cell r="G1302" t="str">
            <v>四川港投</v>
          </cell>
          <cell r="H1302" t="str">
            <v>恩蔻缇(the graces beatuty)</v>
          </cell>
          <cell r="I1302" t="str">
            <v>个人护理用品</v>
          </cell>
          <cell r="J1302" t="str">
            <v>护发用品</v>
          </cell>
          <cell r="K1302" t="str">
            <v>恩蔻缇 摩洛哥发油
Moroccan Hair Serum 50mL</v>
          </cell>
          <cell r="L1302" t="str">
            <v>50mL</v>
          </cell>
          <cell r="M1302" t="str">
            <v>瓶</v>
          </cell>
          <cell r="N1302">
            <v>65.349999999999994</v>
          </cell>
          <cell r="O1302">
            <v>119</v>
          </cell>
          <cell r="P1302">
            <v>0.44546218487395001</v>
          </cell>
        </row>
        <row r="1303">
          <cell r="F1303" t="str">
            <v>70546100</v>
          </cell>
          <cell r="G1303" t="str">
            <v>四川港投</v>
          </cell>
          <cell r="H1303" t="str">
            <v>恩蔻缇(the graces beatuty)</v>
          </cell>
          <cell r="I1303" t="str">
            <v>个人护理用品</v>
          </cell>
          <cell r="J1303" t="str">
            <v>护肤/化妆品</v>
          </cell>
          <cell r="K1303" t="str">
            <v>恩蔻缇 多萃保湿霜 （羊奶）
goat Milk Multi active cream 50mL</v>
          </cell>
          <cell r="L1303" t="str">
            <v>50mL</v>
          </cell>
          <cell r="M1303" t="str">
            <v>瓶</v>
          </cell>
          <cell r="N1303">
            <v>38.81</v>
          </cell>
          <cell r="O1303">
            <v>108</v>
          </cell>
          <cell r="P1303">
            <v>0.63703703703703696</v>
          </cell>
        </row>
        <row r="1304">
          <cell r="F1304" t="str">
            <v>70546101</v>
          </cell>
          <cell r="G1304" t="str">
            <v>四川港投</v>
          </cell>
          <cell r="H1304" t="str">
            <v>恩蔻缇
(the graces beatuty)</v>
          </cell>
          <cell r="I1304" t="str">
            <v>个人护理用品</v>
          </cell>
          <cell r="J1304" t="str">
            <v>护肤/化妆品</v>
          </cell>
          <cell r="K1304" t="str">
            <v>恩蔻缇 臻萃舒润霜 （羊奶）
goat Milk Ultra facial cream 50mL</v>
          </cell>
          <cell r="L1304" t="str">
            <v>50mL</v>
          </cell>
          <cell r="M1304" t="str">
            <v>瓶</v>
          </cell>
          <cell r="N1304">
            <v>40.270000000000003</v>
          </cell>
          <cell r="O1304">
            <v>108</v>
          </cell>
          <cell r="P1304">
            <v>0.62342592592592605</v>
          </cell>
        </row>
        <row r="1305">
          <cell r="F1305" t="str">
            <v>70574781</v>
          </cell>
          <cell r="G1305" t="str">
            <v>四川港投</v>
          </cell>
          <cell r="H1305" t="str">
            <v>恩蔻缇
(the graces beatuty)</v>
          </cell>
          <cell r="I1305" t="str">
            <v>个人护理用品</v>
          </cell>
          <cell r="J1305" t="str">
            <v>洗发水</v>
          </cell>
          <cell r="K1305" t="str">
            <v>恩蔻缇 活力焕发洗发水
Up and go Shampoo 250mL</v>
          </cell>
          <cell r="L1305" t="str">
            <v>250mL</v>
          </cell>
          <cell r="M1305" t="str">
            <v>瓶</v>
          </cell>
          <cell r="N1305">
            <v>53.34</v>
          </cell>
          <cell r="O1305">
            <v>129</v>
          </cell>
          <cell r="P1305">
            <v>0.58240310077519397</v>
          </cell>
        </row>
        <row r="1306">
          <cell r="F1306" t="str">
            <v>70546102</v>
          </cell>
          <cell r="G1306" t="str">
            <v>四川港投</v>
          </cell>
          <cell r="H1306" t="str">
            <v>恩蔻缇
(the graces beatuty)</v>
          </cell>
          <cell r="I1306" t="str">
            <v>个人护理用品</v>
          </cell>
          <cell r="J1306" t="str">
            <v>护肤/化妆品</v>
          </cell>
          <cell r="K1306" t="str">
            <v>恩蔻缇 经典木瓜膏
Pure Pawpaw Original Ointment 12mL</v>
          </cell>
          <cell r="L1306" t="str">
            <v>12mL</v>
          </cell>
          <cell r="M1306" t="str">
            <v>瓶</v>
          </cell>
          <cell r="N1306">
            <v>22.54</v>
          </cell>
          <cell r="O1306">
            <v>39</v>
          </cell>
          <cell r="P1306">
            <v>0.41615384615384599</v>
          </cell>
        </row>
        <row r="1307">
          <cell r="F1307" t="str">
            <v>70574780</v>
          </cell>
          <cell r="G1307" t="str">
            <v>四川港投</v>
          </cell>
          <cell r="H1307" t="str">
            <v>恩蔻缇
(the graces beatuty)</v>
          </cell>
          <cell r="I1307" t="str">
            <v>个人护理用品</v>
          </cell>
          <cell r="J1307" t="str">
            <v>护肤/化妆品</v>
          </cell>
          <cell r="K1307" t="str">
            <v>恩蔻缇 净颜洁面泡泡
Purifying Wash 150mL</v>
          </cell>
          <cell r="L1307" t="str">
            <v>150mL</v>
          </cell>
          <cell r="M1307" t="str">
            <v>瓶</v>
          </cell>
          <cell r="N1307">
            <v>43.5</v>
          </cell>
          <cell r="O1307">
            <v>108</v>
          </cell>
          <cell r="P1307">
            <v>0.59324074074074096</v>
          </cell>
        </row>
        <row r="1308">
          <cell r="F1308" t="str">
            <v>70574774</v>
          </cell>
          <cell r="G1308" t="str">
            <v>四川港投</v>
          </cell>
          <cell r="H1308" t="str">
            <v>恩蔻缇
(the graces beatuty)</v>
          </cell>
          <cell r="I1308" t="str">
            <v>个人护理用品</v>
          </cell>
          <cell r="J1308" t="str">
            <v>护肤/化妆品</v>
          </cell>
          <cell r="K1308" t="str">
            <v>恩蔻缇 润透保湿面膜
Hydrating and Aqua Replenishing Mask 25mL*5</v>
          </cell>
          <cell r="L1308" t="str">
            <v>25mL*5</v>
          </cell>
          <cell r="M1308" t="str">
            <v>盒</v>
          </cell>
          <cell r="N1308">
            <v>54.9</v>
          </cell>
          <cell r="O1308">
            <v>128</v>
          </cell>
          <cell r="P1308">
            <v>0.56679687499999998</v>
          </cell>
        </row>
        <row r="1309">
          <cell r="F1309" t="str">
            <v>70574777</v>
          </cell>
          <cell r="G1309" t="str">
            <v>四川港投</v>
          </cell>
          <cell r="H1309" t="str">
            <v>恩蔻缇
(the graces beatuty)</v>
          </cell>
          <cell r="I1309" t="str">
            <v>个人护理用品</v>
          </cell>
          <cell r="J1309" t="str">
            <v>护肤/化妆品</v>
          </cell>
          <cell r="K1309" t="str">
            <v>恩蔻缇 棉羊脂多效乳霜
Lanolin Everywhere Cream 100mL</v>
          </cell>
          <cell r="L1309" t="str">
            <v>100mL</v>
          </cell>
          <cell r="M1309" t="str">
            <v>罐</v>
          </cell>
          <cell r="N1309">
            <v>46.52</v>
          </cell>
          <cell r="O1309">
            <v>108</v>
          </cell>
          <cell r="P1309">
            <v>0.56499999999999995</v>
          </cell>
        </row>
        <row r="1310">
          <cell r="F1310" t="str">
            <v>70574771</v>
          </cell>
          <cell r="G1310" t="str">
            <v>四川港投</v>
          </cell>
          <cell r="H1310" t="str">
            <v>恩蔻缇
(the graces beatuty)</v>
          </cell>
          <cell r="I1310" t="str">
            <v>个人护理用品</v>
          </cell>
          <cell r="J1310" t="str">
            <v>沐浴液</v>
          </cell>
          <cell r="K1310" t="str">
            <v>恩蔻缇 男性护理沐浴液
Lanolin Everywhere Cream 200mL</v>
          </cell>
          <cell r="L1310" t="str">
            <v>200mL</v>
          </cell>
          <cell r="M1310" t="str">
            <v>瓶</v>
          </cell>
          <cell r="N1310">
            <v>48.47</v>
          </cell>
          <cell r="O1310">
            <v>129</v>
          </cell>
          <cell r="P1310">
            <v>0.62054263565891499</v>
          </cell>
        </row>
        <row r="1311">
          <cell r="F1311" t="str">
            <v>70574769</v>
          </cell>
          <cell r="G1311" t="str">
            <v>四川港投</v>
          </cell>
          <cell r="H1311" t="str">
            <v>恩蔻缇
(the graces beatuty)</v>
          </cell>
          <cell r="I1311" t="str">
            <v>个人护理用品</v>
          </cell>
          <cell r="J1311" t="str">
            <v>沐浴液</v>
          </cell>
          <cell r="K1311" t="str">
            <v>恩蔻缇 女性护理沐浴液
intimate fembody wash 200mL</v>
          </cell>
          <cell r="L1311" t="str">
            <v>200mL</v>
          </cell>
          <cell r="M1311" t="str">
            <v>瓶</v>
          </cell>
          <cell r="N1311">
            <v>48.47</v>
          </cell>
          <cell r="O1311">
            <v>129</v>
          </cell>
          <cell r="P1311">
            <v>0.62054263565891499</v>
          </cell>
        </row>
        <row r="1312">
          <cell r="F1312" t="str">
            <v>70574767</v>
          </cell>
          <cell r="G1312" t="str">
            <v>四川港投</v>
          </cell>
          <cell r="H1312" t="str">
            <v>恩蔻缇
(the graces beatuty)</v>
          </cell>
          <cell r="I1312" t="str">
            <v>个人护理用品</v>
          </cell>
          <cell r="J1312" t="str">
            <v>护肤/化妆品</v>
          </cell>
          <cell r="K1312" t="str">
            <v>恩蔻缇 恩蔻缇净透洁面乳
Manuka Silky Soft Facial cleansing milk 50mL</v>
          </cell>
          <cell r="L1312" t="str">
            <v>50mL</v>
          </cell>
          <cell r="M1312" t="str">
            <v>瓶</v>
          </cell>
          <cell r="N1312">
            <v>46.42</v>
          </cell>
          <cell r="O1312">
            <v>108</v>
          </cell>
          <cell r="P1312">
            <v>0.56592592592592605</v>
          </cell>
        </row>
        <row r="1313">
          <cell r="F1313" t="str">
            <v>70574759</v>
          </cell>
          <cell r="G1313" t="str">
            <v>四川港投</v>
          </cell>
          <cell r="H1313" t="str">
            <v>恩蔻缇
(the graces beatuty)</v>
          </cell>
          <cell r="I1313" t="str">
            <v>个人护理用品</v>
          </cell>
          <cell r="J1313" t="str">
            <v>护肤/化妆品</v>
          </cell>
          <cell r="K1313" t="str">
            <v>恩蔻缇 水油保湿喷雾
Manuka Balancing Hydration Mist 50mL</v>
          </cell>
          <cell r="L1313" t="str">
            <v>50mL</v>
          </cell>
          <cell r="M1313" t="str">
            <v>瓶</v>
          </cell>
          <cell r="N1313">
            <v>42.62</v>
          </cell>
          <cell r="O1313">
            <v>108</v>
          </cell>
          <cell r="P1313">
            <v>0.60148148148148195</v>
          </cell>
        </row>
        <row r="1314">
          <cell r="F1314" t="str">
            <v>70524475</v>
          </cell>
          <cell r="G1314" t="str">
            <v>四川港投</v>
          </cell>
          <cell r="H1314" t="str">
            <v>恩蔻缇
(the graces beatuty)</v>
          </cell>
          <cell r="I1314" t="str">
            <v>个人护理用品</v>
          </cell>
          <cell r="J1314" t="str">
            <v>护肤/化妆品</v>
          </cell>
          <cell r="K1314" t="str">
            <v>恩蔻缇 Graces Beauty护肤套装 50ml*3</v>
          </cell>
          <cell r="L1314" t="str">
            <v>50mL*3</v>
          </cell>
          <cell r="M1314" t="str">
            <v>罐</v>
          </cell>
          <cell r="N1314">
            <v>118.95</v>
          </cell>
          <cell r="O1314">
            <v>198</v>
          </cell>
          <cell r="P1314">
            <v>0.48481481481481498</v>
          </cell>
        </row>
        <row r="1315">
          <cell r="F1315" t="str">
            <v>70519117</v>
          </cell>
          <cell r="G1315" t="str">
            <v>四川港投</v>
          </cell>
          <cell r="H1315" t="str">
            <v>红色夏日</v>
          </cell>
          <cell r="I1315" t="str">
            <v>家庭食品</v>
          </cell>
          <cell r="J1315" t="str">
            <v>油</v>
          </cell>
          <cell r="K1315" t="str">
            <v>红色夏日 一级葵花籽油 4.8L</v>
          </cell>
          <cell r="L1315" t="str">
            <v>4.8L</v>
          </cell>
          <cell r="M1315" t="str">
            <v>桶</v>
          </cell>
          <cell r="N1315">
            <v>59.39</v>
          </cell>
          <cell r="O1315">
            <v>128</v>
          </cell>
          <cell r="P1315">
            <v>0.53140624999999997</v>
          </cell>
        </row>
        <row r="1316">
          <cell r="F1316" t="str">
            <v>70574765</v>
          </cell>
          <cell r="G1316" t="str">
            <v>四川港投</v>
          </cell>
          <cell r="H1316" t="str">
            <v>gilbert</v>
          </cell>
          <cell r="I1316" t="str">
            <v>酒类</v>
          </cell>
          <cell r="J1316" t="str">
            <v>进口葡萄酒</v>
          </cell>
          <cell r="K1316" t="str">
            <v>2023  gilbert Shiraz 金卓</v>
          </cell>
          <cell r="L1316" t="str">
            <v>750mL</v>
          </cell>
          <cell r="M1316" t="str">
            <v>瓶</v>
          </cell>
          <cell r="N1316">
            <v>97.21</v>
          </cell>
          <cell r="O1316">
            <v>398</v>
          </cell>
          <cell r="P1316">
            <v>0.75331658291457304</v>
          </cell>
        </row>
        <row r="1317">
          <cell r="F1317" t="str">
            <v>70574763</v>
          </cell>
          <cell r="G1317" t="str">
            <v>四川港投</v>
          </cell>
          <cell r="H1317" t="str">
            <v>gilbert</v>
          </cell>
          <cell r="I1317" t="str">
            <v>酒类</v>
          </cell>
          <cell r="J1317" t="str">
            <v>进口葡萄酒</v>
          </cell>
          <cell r="K1317" t="str">
            <v>2017  gilbert Shiraz Barossa 奥兰治</v>
          </cell>
          <cell r="L1317" t="str">
            <v>750mL</v>
          </cell>
          <cell r="M1317" t="str">
            <v>瓶</v>
          </cell>
          <cell r="N1317">
            <v>146.44999999999999</v>
          </cell>
          <cell r="O1317">
            <v>598</v>
          </cell>
          <cell r="P1317">
            <v>0.75267558528428102</v>
          </cell>
        </row>
        <row r="1318">
          <cell r="F1318" t="str">
            <v>70574758</v>
          </cell>
          <cell r="G1318" t="str">
            <v>四川港投</v>
          </cell>
          <cell r="H1318" t="str">
            <v>gilbert</v>
          </cell>
          <cell r="I1318" t="str">
            <v>酒类</v>
          </cell>
          <cell r="J1318" t="str">
            <v>进口葡萄酒</v>
          </cell>
          <cell r="K1318" t="str">
            <v>2022 gilbert Riesling RS 11 Orange 雷司令</v>
          </cell>
          <cell r="L1318" t="str">
            <v>750mL</v>
          </cell>
          <cell r="M1318" t="str">
            <v>瓶</v>
          </cell>
          <cell r="N1318">
            <v>164.13</v>
          </cell>
          <cell r="O1318">
            <v>648</v>
          </cell>
          <cell r="P1318">
            <v>0.74421296296296302</v>
          </cell>
        </row>
        <row r="1319">
          <cell r="F1319" t="str">
            <v>70574757</v>
          </cell>
          <cell r="G1319" t="str">
            <v>四川港投</v>
          </cell>
          <cell r="H1319" t="str">
            <v>gilbert</v>
          </cell>
          <cell r="I1319" t="str">
            <v>酒类</v>
          </cell>
          <cell r="J1319" t="str">
            <v>进口葡萄酒</v>
          </cell>
          <cell r="K1319" t="str">
            <v>2015 gilbert Shiraz Barossa reserve 巴罗莎</v>
          </cell>
          <cell r="L1319" t="str">
            <v>750mL</v>
          </cell>
          <cell r="M1319" t="str">
            <v>瓶</v>
          </cell>
          <cell r="N1319">
            <v>265.13</v>
          </cell>
          <cell r="O1319">
            <v>899</v>
          </cell>
          <cell r="P1319">
            <v>0.70216907675194695</v>
          </cell>
        </row>
        <row r="1320">
          <cell r="F1320" t="str">
            <v>70574782</v>
          </cell>
          <cell r="G1320" t="str">
            <v>四川港投</v>
          </cell>
          <cell r="H1320" t="str">
            <v>gilbert</v>
          </cell>
          <cell r="I1320" t="str">
            <v>酒类</v>
          </cell>
          <cell r="J1320" t="str">
            <v>进口葡萄酒</v>
          </cell>
          <cell r="K1320" t="str">
            <v>2018 gilbert Cabernet’s Merlot Petit  Verdot Orange 传奇</v>
          </cell>
          <cell r="L1320" t="str">
            <v>750mL</v>
          </cell>
          <cell r="M1320" t="str">
            <v>瓶</v>
          </cell>
          <cell r="N1320">
            <v>684.78</v>
          </cell>
          <cell r="O1320">
            <v>2598</v>
          </cell>
          <cell r="P1320">
            <v>0.733810623556582</v>
          </cell>
        </row>
        <row r="1321">
          <cell r="F1321" t="str">
            <v>70574775</v>
          </cell>
          <cell r="G1321" t="str">
            <v>四川港投</v>
          </cell>
          <cell r="H1321" t="str">
            <v>AUCOKO</v>
          </cell>
          <cell r="I1321" t="str">
            <v>药品/计生/保健</v>
          </cell>
          <cell r="J1321" t="str">
            <v>保健品</v>
          </cell>
          <cell r="K1321" t="str">
            <v>Aucoko 乳铁蛋白 2g*60</v>
          </cell>
          <cell r="L1321" t="str">
            <v>2g*60</v>
          </cell>
          <cell r="M1321" t="str">
            <v>罐</v>
          </cell>
          <cell r="N1321">
            <v>136.35</v>
          </cell>
          <cell r="O1321">
            <v>488</v>
          </cell>
          <cell r="P1321">
            <v>0.71782786885245897</v>
          </cell>
        </row>
        <row r="1322">
          <cell r="F1322" t="str">
            <v>70574779</v>
          </cell>
          <cell r="G1322" t="str">
            <v>四川港投</v>
          </cell>
          <cell r="H1322" t="str">
            <v>AUCOKO</v>
          </cell>
          <cell r="I1322" t="str">
            <v>药品/计生/保健</v>
          </cell>
          <cell r="J1322" t="str">
            <v>保健品</v>
          </cell>
          <cell r="K1322" t="str">
            <v>Aucoko 免疫力复合粉 2g*60</v>
          </cell>
          <cell r="L1322" t="str">
            <v>2g*60包</v>
          </cell>
          <cell r="M1322" t="str">
            <v>罐</v>
          </cell>
          <cell r="N1322">
            <v>147.71</v>
          </cell>
          <cell r="O1322">
            <v>528</v>
          </cell>
          <cell r="P1322">
            <v>0.71746212121212105</v>
          </cell>
        </row>
        <row r="1323">
          <cell r="F1323" t="str">
            <v>70574773</v>
          </cell>
          <cell r="G1323" t="str">
            <v>四川港投</v>
          </cell>
          <cell r="H1323" t="str">
            <v>AUCOKO</v>
          </cell>
          <cell r="I1323" t="str">
            <v>药品/计生/保健</v>
          </cell>
          <cell r="J1323" t="str">
            <v>保健品</v>
          </cell>
          <cell r="K1323" t="str">
            <v>Aucoko 免疫力复合果汁饮 25mL*8</v>
          </cell>
          <cell r="L1323" t="str">
            <v>25mL*8支</v>
          </cell>
          <cell r="M1323" t="str">
            <v>瓶</v>
          </cell>
          <cell r="N1323">
            <v>102.26</v>
          </cell>
          <cell r="O1323">
            <v>298</v>
          </cell>
          <cell r="P1323">
            <v>0.65342281879194597</v>
          </cell>
        </row>
        <row r="1324">
          <cell r="F1324" t="str">
            <v>70574772</v>
          </cell>
          <cell r="G1324" t="str">
            <v>四川港投</v>
          </cell>
          <cell r="H1324" t="str">
            <v>AUCOKO</v>
          </cell>
          <cell r="I1324" t="str">
            <v>奶类</v>
          </cell>
          <cell r="J1324" t="str">
            <v>奶粉</v>
          </cell>
          <cell r="K1324" t="str">
            <v>Aucoko 骆驼奶粉 400g</v>
          </cell>
          <cell r="L1324" t="str">
            <v>400g</v>
          </cell>
          <cell r="M1324" t="str">
            <v>罐</v>
          </cell>
          <cell r="N1324">
            <v>136.35</v>
          </cell>
          <cell r="O1324">
            <v>308</v>
          </cell>
          <cell r="P1324">
            <v>0.55292207792207804</v>
          </cell>
        </row>
        <row r="1325">
          <cell r="F1325" t="str">
            <v>70574770</v>
          </cell>
          <cell r="G1325" t="str">
            <v>四川港投</v>
          </cell>
          <cell r="H1325" t="str">
            <v>AUCOKO</v>
          </cell>
          <cell r="I1325" t="str">
            <v>糖果</v>
          </cell>
          <cell r="J1325" t="str">
            <v>糖果</v>
          </cell>
          <cell r="K1325" t="str">
            <v>Aucoko 尤乐钙凝胶糖果 30粒</v>
          </cell>
          <cell r="L1325" t="str">
            <v>30粒</v>
          </cell>
          <cell r="M1325" t="str">
            <v>瓶</v>
          </cell>
          <cell r="N1325">
            <v>90.9</v>
          </cell>
          <cell r="O1325">
            <v>228</v>
          </cell>
          <cell r="P1325">
            <v>0.59736842105263199</v>
          </cell>
        </row>
        <row r="1326">
          <cell r="F1326" t="str">
            <v>70574768</v>
          </cell>
          <cell r="G1326" t="str">
            <v>四川港投</v>
          </cell>
          <cell r="H1326" t="str">
            <v>AUCOKO</v>
          </cell>
          <cell r="I1326" t="str">
            <v>糖果</v>
          </cell>
          <cell r="J1326" t="str">
            <v>糖果</v>
          </cell>
          <cell r="K1326" t="str">
            <v>Aucoko 尤乐铁凝胶糖果 30粒</v>
          </cell>
          <cell r="L1326" t="str">
            <v>30粒</v>
          </cell>
          <cell r="M1326" t="str">
            <v>瓶</v>
          </cell>
          <cell r="N1326">
            <v>90.9</v>
          </cell>
          <cell r="O1326">
            <v>228</v>
          </cell>
          <cell r="P1326">
            <v>0.59736842105263199</v>
          </cell>
        </row>
        <row r="1327">
          <cell r="F1327" t="str">
            <v>70574766</v>
          </cell>
          <cell r="G1327" t="str">
            <v>四川港投</v>
          </cell>
          <cell r="H1327" t="str">
            <v>AUCOKO</v>
          </cell>
          <cell r="I1327" t="str">
            <v>糖果</v>
          </cell>
          <cell r="J1327" t="str">
            <v>糖果</v>
          </cell>
          <cell r="K1327" t="str">
            <v>Aucoko®尤乐锌凝胶糖果</v>
          </cell>
          <cell r="L1327" t="str">
            <v>30粒</v>
          </cell>
          <cell r="M1327" t="str">
            <v>瓶</v>
          </cell>
          <cell r="N1327">
            <v>90.9</v>
          </cell>
          <cell r="O1327">
            <v>228</v>
          </cell>
          <cell r="P1327">
            <v>0.59736842105263199</v>
          </cell>
        </row>
        <row r="1328">
          <cell r="F1328" t="str">
            <v>70574760</v>
          </cell>
          <cell r="G1328" t="str">
            <v>四川港投</v>
          </cell>
          <cell r="H1328" t="str">
            <v>AUCOKO</v>
          </cell>
          <cell r="I1328" t="str">
            <v>药品/计生/保健</v>
          </cell>
          <cell r="J1328" t="str">
            <v>保健品</v>
          </cell>
          <cell r="K1328" t="str">
            <v>Aucoko高纯度护肝胶囊</v>
          </cell>
          <cell r="L1328" t="str">
            <v>60粒</v>
          </cell>
          <cell r="M1328" t="str">
            <v>瓶</v>
          </cell>
          <cell r="N1328">
            <v>65.900000000000006</v>
          </cell>
          <cell r="O1328">
            <v>210</v>
          </cell>
          <cell r="P1328">
            <v>0.68304761904761901</v>
          </cell>
        </row>
        <row r="1329">
          <cell r="F1329" t="str">
            <v>70574764</v>
          </cell>
          <cell r="G1329" t="str">
            <v>四川港投</v>
          </cell>
          <cell r="H1329" t="str">
            <v>AUCOKO</v>
          </cell>
          <cell r="I1329" t="str">
            <v>药品/计生/保健</v>
          </cell>
          <cell r="J1329" t="str">
            <v>保健品</v>
          </cell>
          <cell r="K1329" t="str">
            <v>Aucoko还原性型辅酶 CO-Q10</v>
          </cell>
          <cell r="L1329" t="str">
            <v>60粒</v>
          </cell>
          <cell r="M1329" t="str">
            <v>瓶</v>
          </cell>
          <cell r="N1329">
            <v>65.900000000000006</v>
          </cell>
          <cell r="O1329">
            <v>210</v>
          </cell>
          <cell r="P1329">
            <v>0.68304761904761901</v>
          </cell>
        </row>
        <row r="1330">
          <cell r="F1330" t="str">
            <v>70574762</v>
          </cell>
          <cell r="G1330" t="str">
            <v>四川港投</v>
          </cell>
          <cell r="H1330" t="str">
            <v>AUCOKO</v>
          </cell>
          <cell r="I1330" t="str">
            <v>药品/计生/保健</v>
          </cell>
          <cell r="J1330" t="str">
            <v>保健品</v>
          </cell>
          <cell r="K1330" t="str">
            <v>Aucoko槲皮素胶囊</v>
          </cell>
          <cell r="L1330" t="str">
            <v>60粒</v>
          </cell>
          <cell r="M1330" t="str">
            <v>瓶</v>
          </cell>
          <cell r="N1330">
            <v>65.900000000000006</v>
          </cell>
          <cell r="O1330">
            <v>210</v>
          </cell>
          <cell r="P1330">
            <v>0.68304761904761901</v>
          </cell>
        </row>
        <row r="1331">
          <cell r="F1331" t="str">
            <v>70574761</v>
          </cell>
          <cell r="G1331" t="str">
            <v>四川港投</v>
          </cell>
          <cell r="H1331" t="str">
            <v>AUCOKO</v>
          </cell>
          <cell r="I1331" t="str">
            <v>药品/计生/保健</v>
          </cell>
          <cell r="J1331" t="str">
            <v>功能饮料</v>
          </cell>
          <cell r="K1331" t="str">
            <v>Aucoko能量固体饮料</v>
          </cell>
          <cell r="L1331" t="str">
            <v>60粒</v>
          </cell>
          <cell r="M1331" t="str">
            <v>瓶</v>
          </cell>
          <cell r="N1331">
            <v>65.900000000000006</v>
          </cell>
          <cell r="O1331">
            <v>210</v>
          </cell>
          <cell r="P1331">
            <v>0.68304761904761901</v>
          </cell>
        </row>
        <row r="1332">
          <cell r="F1332" t="str">
            <v>70574756</v>
          </cell>
          <cell r="G1332" t="str">
            <v>四川港投</v>
          </cell>
          <cell r="H1332" t="str">
            <v>AUCOKO</v>
          </cell>
          <cell r="I1332" t="str">
            <v>药品/计生/保健</v>
          </cell>
          <cell r="J1332" t="str">
            <v>功能饮料</v>
          </cell>
          <cell r="K1332" t="str">
            <v>Aucoko劲能能量饮料</v>
          </cell>
          <cell r="L1332" t="str">
            <v>500mL</v>
          </cell>
          <cell r="M1332" t="str">
            <v>瓶</v>
          </cell>
          <cell r="N1332">
            <v>4.43</v>
          </cell>
          <cell r="O1332">
            <v>9.5</v>
          </cell>
          <cell r="P1332">
            <v>0.52842105263157901</v>
          </cell>
        </row>
        <row r="1333">
          <cell r="F1333" t="str">
            <v>70574783</v>
          </cell>
          <cell r="G1333" t="str">
            <v>四川港投</v>
          </cell>
          <cell r="H1333" t="str">
            <v>AUCOKO</v>
          </cell>
          <cell r="I1333" t="str">
            <v>药品/计生/保健</v>
          </cell>
          <cell r="J1333" t="str">
            <v>功能饮料</v>
          </cell>
          <cell r="K1333" t="str">
            <v>Aucoko劲能能量饮料</v>
          </cell>
          <cell r="L1333" t="str">
            <v>250mL</v>
          </cell>
          <cell r="M1333" t="str">
            <v>瓶</v>
          </cell>
          <cell r="N1333">
            <v>2.5</v>
          </cell>
          <cell r="O1333">
            <v>5</v>
          </cell>
          <cell r="P1333">
            <v>0.49399999999999999</v>
          </cell>
        </row>
        <row r="1334">
          <cell r="F1334" t="str">
            <v>70574776</v>
          </cell>
          <cell r="G1334" t="str">
            <v>四川港投</v>
          </cell>
          <cell r="H1334" t="str">
            <v>AUCOKO</v>
          </cell>
          <cell r="I1334" t="str">
            <v>药品/计生/保健</v>
          </cell>
          <cell r="J1334" t="str">
            <v>功能饮料</v>
          </cell>
          <cell r="K1334" t="str">
            <v>Aucoko解酒护肝饮料</v>
          </cell>
          <cell r="L1334" t="str">
            <v>120mL</v>
          </cell>
          <cell r="M1334" t="str">
            <v>瓶</v>
          </cell>
          <cell r="N1334">
            <v>4.43</v>
          </cell>
          <cell r="O1334">
            <v>9.5</v>
          </cell>
          <cell r="P1334">
            <v>0.52842105263157901</v>
          </cell>
        </row>
        <row r="1335">
          <cell r="F1335" t="str">
            <v>70574778</v>
          </cell>
          <cell r="G1335" t="str">
            <v>四川港投</v>
          </cell>
          <cell r="H1335" t="str">
            <v>AUCOKO</v>
          </cell>
          <cell r="I1335" t="str">
            <v>药品/计生/保健</v>
          </cell>
          <cell r="J1335" t="str">
            <v>保健品</v>
          </cell>
          <cell r="K1335" t="str">
            <v>Aucoko解酒护肝片</v>
          </cell>
          <cell r="L1335" t="str">
            <v>90粒</v>
          </cell>
          <cell r="M1335" t="str">
            <v>瓶</v>
          </cell>
          <cell r="N1335">
            <v>56.81</v>
          </cell>
          <cell r="O1335">
            <v>188</v>
          </cell>
          <cell r="P1335">
            <v>0.69478723404255305</v>
          </cell>
        </row>
        <row r="1336">
          <cell r="F1336" t="str">
            <v>70574975</v>
          </cell>
          <cell r="G1336" t="str">
            <v>四川港投</v>
          </cell>
          <cell r="H1336" t="str">
            <v>名仕</v>
          </cell>
          <cell r="I1336" t="str">
            <v>家庭食品</v>
          </cell>
          <cell r="J1336" t="str">
            <v>大豆油</v>
          </cell>
          <cell r="K1336" t="str">
            <v>MSSFA 名仕一级大豆油 4.8L</v>
          </cell>
          <cell r="L1336" t="str">
            <v>4.8L</v>
          </cell>
          <cell r="M1336" t="str">
            <v>桶</v>
          </cell>
          <cell r="N1336">
            <v>56.56</v>
          </cell>
          <cell r="O1336">
            <v>109.9</v>
          </cell>
          <cell r="P1336">
            <v>0.48025477707006398</v>
          </cell>
        </row>
        <row r="1337">
          <cell r="F1337" t="str">
            <v>70364484</v>
          </cell>
          <cell r="G1337" t="str">
            <v>四川港投</v>
          </cell>
          <cell r="H1337" t="str">
            <v>三麟</v>
          </cell>
          <cell r="I1337" t="str">
            <v>包装饮料</v>
          </cell>
          <cell r="J1337" t="str">
            <v>果汁饮料</v>
          </cell>
          <cell r="K1337" t="str">
            <v>三麟椰子水</v>
          </cell>
          <cell r="L1337" t="str">
            <v>330mL</v>
          </cell>
          <cell r="M1337" t="str">
            <v>瓶</v>
          </cell>
          <cell r="N1337">
            <v>3.92</v>
          </cell>
          <cell r="O1337">
            <v>7.9</v>
          </cell>
          <cell r="P1337">
            <v>0.49873417721518998</v>
          </cell>
        </row>
        <row r="1338">
          <cell r="F1338" t="str">
            <v>70530954</v>
          </cell>
          <cell r="G1338" t="str">
            <v>四川港投</v>
          </cell>
          <cell r="H1338" t="str">
            <v>三麟</v>
          </cell>
          <cell r="I1338" t="str">
            <v>包装饮料</v>
          </cell>
          <cell r="J1338" t="str">
            <v>果汁饮料</v>
          </cell>
          <cell r="K1338" t="str">
            <v>三麟椰子水</v>
          </cell>
          <cell r="L1338" t="str">
            <v>1L</v>
          </cell>
          <cell r="M1338" t="str">
            <v>瓶</v>
          </cell>
          <cell r="N1338">
            <v>8.84</v>
          </cell>
          <cell r="O1338">
            <v>16.899999999999999</v>
          </cell>
          <cell r="P1338">
            <v>0.47159763313609498</v>
          </cell>
        </row>
        <row r="1339">
          <cell r="F1339" t="str">
            <v>70574804</v>
          </cell>
          <cell r="G1339" t="str">
            <v>澳葡国际</v>
          </cell>
          <cell r="H1339" t="str">
            <v>逅夫人</v>
          </cell>
          <cell r="I1339" t="str">
            <v>糖果</v>
          </cell>
          <cell r="J1339" t="str">
            <v>太妃糖</v>
          </cell>
          <cell r="K1339" t="str">
            <v>逅夫人 葡式太妃糖 120g</v>
          </cell>
          <cell r="L1339" t="str">
            <v>120g/袋</v>
          </cell>
          <cell r="M1339" t="str">
            <v>袋</v>
          </cell>
          <cell r="N1339">
            <v>17.07</v>
          </cell>
          <cell r="O1339">
            <v>26</v>
          </cell>
          <cell r="P1339">
            <v>0.33692307692307699</v>
          </cell>
        </row>
        <row r="1340">
          <cell r="F1340" t="str">
            <v>70574787</v>
          </cell>
          <cell r="G1340" t="str">
            <v>澳葡国际</v>
          </cell>
          <cell r="H1340" t="str">
            <v>逅夫人</v>
          </cell>
          <cell r="I1340" t="str">
            <v>糖果</v>
          </cell>
          <cell r="J1340" t="str">
            <v>软糖</v>
          </cell>
          <cell r="K1340" t="str">
            <v>逅夫人 葡式牛軋糖 120g</v>
          </cell>
          <cell r="L1340" t="str">
            <v>120g/袋</v>
          </cell>
          <cell r="M1340" t="str">
            <v>袋</v>
          </cell>
          <cell r="N1340">
            <v>17.07</v>
          </cell>
          <cell r="O1340">
            <v>26</v>
          </cell>
          <cell r="P1340">
            <v>0.33692307692307699</v>
          </cell>
        </row>
        <row r="1341">
          <cell r="F1341" t="str">
            <v>70574825</v>
          </cell>
          <cell r="G1341" t="str">
            <v>澳葡国际</v>
          </cell>
          <cell r="H1341" t="str">
            <v>逅夫人</v>
          </cell>
          <cell r="I1341" t="str">
            <v>饼干/糕点</v>
          </cell>
          <cell r="J1341" t="str">
            <v>饼干/糕点</v>
          </cell>
          <cell r="K1341" t="str">
            <v>逅夫人 蔓越莓酥餅 120g</v>
          </cell>
          <cell r="L1341" t="str">
            <v>120g/袋</v>
          </cell>
          <cell r="M1341" t="str">
            <v>袋</v>
          </cell>
          <cell r="N1341">
            <v>11.82</v>
          </cell>
          <cell r="O1341">
            <v>18</v>
          </cell>
          <cell r="P1341">
            <v>0.33722222222222198</v>
          </cell>
        </row>
        <row r="1342">
          <cell r="F1342" t="str">
            <v>70574824</v>
          </cell>
          <cell r="G1342" t="str">
            <v>澳葡国际</v>
          </cell>
          <cell r="H1342" t="str">
            <v>逅夫人</v>
          </cell>
          <cell r="I1342" t="str">
            <v>饼干/糕点</v>
          </cell>
          <cell r="J1342" t="str">
            <v>饼干/糕点</v>
          </cell>
          <cell r="K1342" t="str">
            <v>逅夫人 手工鬆塔酥 160g</v>
          </cell>
          <cell r="L1342" t="str">
            <v>160g/罐</v>
          </cell>
          <cell r="M1342" t="str">
            <v>罐</v>
          </cell>
          <cell r="N1342">
            <v>38.08</v>
          </cell>
          <cell r="O1342">
            <v>58</v>
          </cell>
          <cell r="P1342">
            <v>0.33706896551724103</v>
          </cell>
        </row>
        <row r="1343">
          <cell r="F1343" t="str">
            <v>70574815</v>
          </cell>
          <cell r="G1343" t="str">
            <v>澳葡国际</v>
          </cell>
          <cell r="H1343" t="str">
            <v>逅夫人</v>
          </cell>
          <cell r="I1343" t="str">
            <v>饼干/糕点</v>
          </cell>
          <cell r="J1343" t="str">
            <v>饼干/糕点</v>
          </cell>
          <cell r="K1343" t="str">
            <v>逅夫人 堅果核桃酥 160g</v>
          </cell>
          <cell r="L1343" t="str">
            <v>160g/罐</v>
          </cell>
          <cell r="M1343" t="str">
            <v>罐</v>
          </cell>
          <cell r="N1343">
            <v>38.08</v>
          </cell>
          <cell r="O1343">
            <v>58</v>
          </cell>
          <cell r="P1343">
            <v>0.33706896551724103</v>
          </cell>
        </row>
        <row r="1344">
          <cell r="F1344" t="str">
            <v>70574821</v>
          </cell>
          <cell r="G1344" t="str">
            <v>澳葡国际</v>
          </cell>
          <cell r="H1344" t="str">
            <v>逅夫人</v>
          </cell>
          <cell r="I1344" t="str">
            <v>饼干/糕点</v>
          </cell>
          <cell r="J1344" t="str">
            <v>饼干/糕点</v>
          </cell>
          <cell r="K1344" t="str">
            <v>逅夫人 燕麥酥餅 160g</v>
          </cell>
          <cell r="L1344" t="str">
            <v>160g/罐</v>
          </cell>
          <cell r="M1344" t="str">
            <v>罐</v>
          </cell>
          <cell r="N1344">
            <v>38.08</v>
          </cell>
          <cell r="O1344">
            <v>58</v>
          </cell>
          <cell r="P1344">
            <v>0.33706896551724103</v>
          </cell>
        </row>
        <row r="1345">
          <cell r="F1345" t="str">
            <v>70574838</v>
          </cell>
          <cell r="G1345" t="str">
            <v>澳葡国际</v>
          </cell>
          <cell r="H1345" t="str">
            <v>逅夫人</v>
          </cell>
          <cell r="I1345" t="str">
            <v>饼干/糕点</v>
          </cell>
          <cell r="J1345" t="str">
            <v>饼干/糕点</v>
          </cell>
          <cell r="K1345" t="str">
            <v>逅夫人 澳門原味老桃酥 400g</v>
          </cell>
          <cell r="L1345" t="str">
            <v>400g/包</v>
          </cell>
          <cell r="M1345" t="str">
            <v>包</v>
          </cell>
          <cell r="N1345">
            <v>24.95</v>
          </cell>
          <cell r="O1345">
            <v>38</v>
          </cell>
          <cell r="P1345">
            <v>0.33710526315789502</v>
          </cell>
        </row>
        <row r="1346">
          <cell r="F1346" t="str">
            <v>70574832</v>
          </cell>
          <cell r="G1346" t="str">
            <v>澳葡国际</v>
          </cell>
          <cell r="H1346" t="str">
            <v>逅夫人</v>
          </cell>
          <cell r="I1346" t="str">
            <v>饼干/糕点</v>
          </cell>
          <cell r="J1346" t="str">
            <v>饼干/糕点</v>
          </cell>
          <cell r="K1346" t="str">
            <v>逅夫人 澳門巧克力老桃酥 400g</v>
          </cell>
          <cell r="L1346" t="str">
            <v>400g/包</v>
          </cell>
          <cell r="M1346" t="str">
            <v>包</v>
          </cell>
          <cell r="N1346">
            <v>24.95</v>
          </cell>
          <cell r="O1346">
            <v>38</v>
          </cell>
          <cell r="P1346">
            <v>0.33710526315789502</v>
          </cell>
        </row>
        <row r="1347">
          <cell r="F1347" t="str">
            <v>70574830</v>
          </cell>
          <cell r="G1347" t="str">
            <v>澳葡国际</v>
          </cell>
          <cell r="H1347" t="str">
            <v>逅夫人</v>
          </cell>
          <cell r="I1347" t="str">
            <v>饼干/糕点</v>
          </cell>
          <cell r="J1347" t="str">
            <v>饼干/糕点</v>
          </cell>
          <cell r="K1347" t="str">
            <v>逅夫人 澳門蔥花老桃酥 400g</v>
          </cell>
          <cell r="L1347" t="str">
            <v>400g/包</v>
          </cell>
          <cell r="M1347" t="str">
            <v>包</v>
          </cell>
          <cell r="N1347">
            <v>24.95</v>
          </cell>
          <cell r="O1347">
            <v>38</v>
          </cell>
          <cell r="P1347">
            <v>0.33710526315789502</v>
          </cell>
        </row>
        <row r="1348">
          <cell r="F1348" t="str">
            <v>70574823</v>
          </cell>
          <cell r="G1348" t="str">
            <v>澳葡国际</v>
          </cell>
          <cell r="H1348" t="str">
            <v>逅夫人</v>
          </cell>
          <cell r="I1348" t="str">
            <v>饼干/糕点</v>
          </cell>
          <cell r="J1348" t="str">
            <v>饼干/糕点</v>
          </cell>
          <cell r="K1348" t="str">
            <v>逅夫人 澳門紅糖老桃酥 400g</v>
          </cell>
          <cell r="L1348" t="str">
            <v>400g/包</v>
          </cell>
          <cell r="M1348" t="str">
            <v>包</v>
          </cell>
          <cell r="N1348">
            <v>24.95</v>
          </cell>
          <cell r="O1348">
            <v>38</v>
          </cell>
          <cell r="P1348">
            <v>0.33710526315789502</v>
          </cell>
        </row>
        <row r="1349">
          <cell r="F1349" t="str">
            <v>70574817</v>
          </cell>
          <cell r="G1349" t="str">
            <v>澳葡国际</v>
          </cell>
          <cell r="H1349" t="str">
            <v>逅夫人</v>
          </cell>
          <cell r="I1349" t="str">
            <v>饼干/糕点</v>
          </cell>
          <cell r="J1349" t="str">
            <v>饼干/糕点</v>
          </cell>
          <cell r="K1349" t="str">
            <v>逅夫人 黑蒜薯脆薄餅幹 150g</v>
          </cell>
          <cell r="L1349" t="str">
            <v>150g/盒</v>
          </cell>
          <cell r="M1349" t="str">
            <v>盒</v>
          </cell>
          <cell r="N1349">
            <v>8.4</v>
          </cell>
          <cell r="O1349">
            <v>12.8</v>
          </cell>
          <cell r="P1349">
            <v>0.33671875000000001</v>
          </cell>
        </row>
        <row r="1350">
          <cell r="F1350" t="str">
            <v>70574791</v>
          </cell>
          <cell r="G1350" t="str">
            <v>澳葡国际</v>
          </cell>
          <cell r="H1350" t="str">
            <v>逅夫人</v>
          </cell>
          <cell r="I1350" t="str">
            <v>饼干/糕点</v>
          </cell>
          <cell r="J1350" t="str">
            <v>饼干/糕点</v>
          </cell>
          <cell r="K1350" t="str">
            <v>逅夫人 黑松露薯脆薄餅幹 150g</v>
          </cell>
          <cell r="L1350" t="str">
            <v>150g/盒</v>
          </cell>
          <cell r="M1350" t="str">
            <v>盒</v>
          </cell>
          <cell r="N1350">
            <v>8.4</v>
          </cell>
          <cell r="O1350">
            <v>12.8</v>
          </cell>
          <cell r="P1350">
            <v>0.33671875000000001</v>
          </cell>
        </row>
        <row r="1351">
          <cell r="F1351" t="str">
            <v>70032351</v>
          </cell>
          <cell r="G1351" t="str">
            <v>澳葡国际</v>
          </cell>
          <cell r="H1351" t="str">
            <v>美國藍帶啤酒</v>
          </cell>
          <cell r="I1351" t="str">
            <v>酒类</v>
          </cell>
          <cell r="J1351" t="str">
            <v>进口啤酒</v>
          </cell>
          <cell r="K1351" t="str">
            <v>美國藍帶啤酒 藍帶罐裝啤酒 500mL</v>
          </cell>
          <cell r="L1351" t="str">
            <v>500mL</v>
          </cell>
          <cell r="M1351" t="str">
            <v>瓶</v>
          </cell>
          <cell r="N1351">
            <v>3.54</v>
          </cell>
          <cell r="O1351">
            <v>6</v>
          </cell>
          <cell r="P1351">
            <v>0.40500000000000003</v>
          </cell>
        </row>
        <row r="1352">
          <cell r="F1352" t="str">
            <v>70063273</v>
          </cell>
          <cell r="G1352" t="str">
            <v>澳葡国际</v>
          </cell>
          <cell r="H1352" t="str">
            <v>金門高粱酒</v>
          </cell>
          <cell r="I1352" t="str">
            <v>酒类</v>
          </cell>
          <cell r="J1352" t="str">
            <v>白酒</v>
          </cell>
          <cell r="K1352" t="str">
            <v>金門高粱酒 台灣金門高粱酒（823紀念酒）600mL</v>
          </cell>
          <cell r="L1352" t="str">
            <v>600mL</v>
          </cell>
          <cell r="M1352" t="str">
            <v>瓶</v>
          </cell>
          <cell r="N1352">
            <v>329.26</v>
          </cell>
          <cell r="O1352">
            <v>469</v>
          </cell>
          <cell r="P1352">
            <v>0.291002132196162</v>
          </cell>
        </row>
        <row r="1353">
          <cell r="F1353" t="str">
            <v>70302988</v>
          </cell>
          <cell r="G1353" t="str">
            <v>澳葡国际</v>
          </cell>
          <cell r="H1353" t="str">
            <v>金門高粱酒</v>
          </cell>
          <cell r="I1353" t="str">
            <v>酒类</v>
          </cell>
          <cell r="J1353" t="str">
            <v>白酒</v>
          </cell>
          <cell r="K1353" t="str">
            <v>金門高粱酒 0.5L金門高粱酒白金龍 500mL</v>
          </cell>
          <cell r="L1353" t="str">
            <v>500mL</v>
          </cell>
          <cell r="M1353" t="str">
            <v>瓶</v>
          </cell>
          <cell r="N1353">
            <v>176.75</v>
          </cell>
          <cell r="O1353">
            <v>258</v>
          </cell>
          <cell r="P1353">
            <v>0.30813953488372098</v>
          </cell>
        </row>
        <row r="1354">
          <cell r="F1354" t="str">
            <v>70499494</v>
          </cell>
          <cell r="G1354" t="str">
            <v>澳葡国际</v>
          </cell>
          <cell r="H1354" t="str">
            <v>逅夫人</v>
          </cell>
          <cell r="I1354" t="str">
            <v>饼干/糕点</v>
          </cell>
          <cell r="J1354" t="str">
            <v>饼干/糕点</v>
          </cell>
          <cell r="K1354" t="str">
            <v>逅夫人 牛油曲奇(原味) 120g</v>
          </cell>
          <cell r="L1354" t="str">
            <v>120g</v>
          </cell>
          <cell r="M1354" t="str">
            <v>盒</v>
          </cell>
          <cell r="N1354">
            <v>31.51</v>
          </cell>
          <cell r="O1354">
            <v>48</v>
          </cell>
          <cell r="P1354">
            <v>0.33708333333333301</v>
          </cell>
        </row>
        <row r="1355">
          <cell r="F1355" t="str">
            <v>70499495</v>
          </cell>
          <cell r="G1355" t="str">
            <v>澳葡国际</v>
          </cell>
          <cell r="H1355" t="str">
            <v>逅夫人</v>
          </cell>
          <cell r="I1355" t="str">
            <v>饼干/糕点</v>
          </cell>
          <cell r="J1355" t="str">
            <v>饼干/糕点</v>
          </cell>
          <cell r="K1355" t="str">
            <v>逅夫人 牛油曲奇(抹茶味) 120g</v>
          </cell>
          <cell r="L1355" t="str">
            <v>120g</v>
          </cell>
          <cell r="M1355" t="str">
            <v>盒</v>
          </cell>
          <cell r="N1355">
            <v>31.51</v>
          </cell>
          <cell r="O1355">
            <v>48</v>
          </cell>
          <cell r="P1355">
            <v>0.33708333333333301</v>
          </cell>
        </row>
        <row r="1356">
          <cell r="F1356" t="str">
            <v>70499496</v>
          </cell>
          <cell r="G1356" t="str">
            <v>澳葡国际</v>
          </cell>
          <cell r="H1356" t="str">
            <v>逅夫人</v>
          </cell>
          <cell r="I1356" t="str">
            <v>饼干/糕点</v>
          </cell>
          <cell r="J1356" t="str">
            <v>饼干/糕点</v>
          </cell>
          <cell r="K1356" t="str">
            <v>逅夫人 牛油曲奇(可可味) 120g</v>
          </cell>
          <cell r="L1356" t="str">
            <v>120g</v>
          </cell>
          <cell r="M1356" t="str">
            <v>盒</v>
          </cell>
          <cell r="N1356">
            <v>31.51</v>
          </cell>
          <cell r="O1356">
            <v>48</v>
          </cell>
          <cell r="P1356">
            <v>0.33708333333333301</v>
          </cell>
        </row>
        <row r="1357">
          <cell r="F1357" t="str">
            <v>70499497</v>
          </cell>
          <cell r="G1357" t="str">
            <v>澳葡国际</v>
          </cell>
          <cell r="H1357" t="str">
            <v>逅夫人</v>
          </cell>
          <cell r="I1357" t="str">
            <v>饼干/糕点</v>
          </cell>
          <cell r="J1357" t="str">
            <v>饼干/糕点</v>
          </cell>
          <cell r="K1357" t="str">
            <v>逅夫人 牛油曲奇(辣味) 120g</v>
          </cell>
          <cell r="L1357" t="str">
            <v>120g</v>
          </cell>
          <cell r="M1357" t="str">
            <v>盒</v>
          </cell>
          <cell r="N1357">
            <v>31.51</v>
          </cell>
          <cell r="O1357">
            <v>48</v>
          </cell>
          <cell r="P1357">
            <v>0.33708333333333301</v>
          </cell>
        </row>
        <row r="1358">
          <cell r="F1358" t="str">
            <v>70524431</v>
          </cell>
          <cell r="G1358" t="str">
            <v>澳葡国际</v>
          </cell>
          <cell r="H1358" t="str">
            <v>DALI Tech</v>
          </cell>
          <cell r="I1358" t="str">
            <v>日用品</v>
          </cell>
          <cell r="J1358" t="str">
            <v>日用品</v>
          </cell>
          <cell r="K1358" t="str">
            <v>澳門DALI Tech達立 7号石墨烯电池(LR03AAA alkaline battery)澳門製造 4粒/板*12板/盒</v>
          </cell>
          <cell r="L1358" t="str">
            <v>4粒/板*12板/盒</v>
          </cell>
          <cell r="M1358" t="str">
            <v>盒</v>
          </cell>
          <cell r="N1358">
            <v>5.56</v>
          </cell>
          <cell r="O1358">
            <v>8</v>
          </cell>
          <cell r="P1358">
            <v>0.29875000000000002</v>
          </cell>
        </row>
        <row r="1359">
          <cell r="F1359" t="str">
            <v>70524432</v>
          </cell>
          <cell r="G1359" t="str">
            <v>澳葡国际</v>
          </cell>
          <cell r="H1359" t="str">
            <v>DALI Tech</v>
          </cell>
          <cell r="I1359" t="str">
            <v>日用品</v>
          </cell>
          <cell r="J1359" t="str">
            <v>日用品</v>
          </cell>
          <cell r="K1359" t="str">
            <v>澳門DALI Tech達立 5号石墨烯电池(LR6AA alkaline battery)澳門製造 4粒/板*12板/盒</v>
          </cell>
          <cell r="L1359" t="str">
            <v>4粒/板*12板/盒</v>
          </cell>
          <cell r="M1359" t="str">
            <v>盒</v>
          </cell>
          <cell r="N1359">
            <v>5.56</v>
          </cell>
          <cell r="O1359">
            <v>8</v>
          </cell>
          <cell r="P1359">
            <v>0.29875000000000002</v>
          </cell>
        </row>
        <row r="1360">
          <cell r="F1360" t="str">
            <v>70524488</v>
          </cell>
          <cell r="G1360" t="str">
            <v>澳葡国际</v>
          </cell>
          <cell r="H1360" t="str">
            <v>DALI Tech</v>
          </cell>
          <cell r="I1360" t="str">
            <v>日用品</v>
          </cell>
          <cell r="J1360" t="str">
            <v>日用品</v>
          </cell>
          <cell r="K1360" t="str">
            <v>澳門DALI Tech達立 1号石墨烯电池(LR20D alkaline battery)澳門製造 2粒/板*12板/盒</v>
          </cell>
          <cell r="L1360" t="str">
            <v>2粒/板*12板/盒</v>
          </cell>
          <cell r="M1360" t="str">
            <v>盒</v>
          </cell>
          <cell r="N1360">
            <v>22.22</v>
          </cell>
          <cell r="O1360">
            <v>33</v>
          </cell>
          <cell r="P1360">
            <v>0.32</v>
          </cell>
        </row>
        <row r="1361">
          <cell r="F1361" t="str">
            <v>70524402</v>
          </cell>
          <cell r="G1361" t="str">
            <v>澳葡国际</v>
          </cell>
          <cell r="H1361" t="str">
            <v>DALI Tech</v>
          </cell>
          <cell r="I1361" t="str">
            <v>日用品</v>
          </cell>
          <cell r="J1361" t="str">
            <v>日用品</v>
          </cell>
          <cell r="K1361" t="str">
            <v>澳門DALI Tech達立 CR2032纽扣型 石墨烯电池(CR2032 button cell)澳門製造 1粒/板*20板/盒</v>
          </cell>
          <cell r="L1361" t="str">
            <v>1粒/板*20板/盒</v>
          </cell>
          <cell r="M1361" t="str">
            <v>盒</v>
          </cell>
          <cell r="N1361">
            <v>2.3199999999999998</v>
          </cell>
          <cell r="O1361">
            <v>3.5</v>
          </cell>
          <cell r="P1361">
            <v>0.32857142857142901</v>
          </cell>
        </row>
        <row r="1362">
          <cell r="F1362" t="str">
            <v>70524248</v>
          </cell>
          <cell r="G1362" t="str">
            <v>澳葡国际</v>
          </cell>
          <cell r="H1362" t="str">
            <v>MIROI蜜露伊</v>
          </cell>
          <cell r="I1362" t="str">
            <v>个人护理用品</v>
          </cell>
          <cell r="J1362" t="str">
            <v>洗发液</v>
          </cell>
          <cell r="K1362" t="str">
            <v>MIROI蜜露伊 博特赛娜 清爽蓬松洗发水 500mL</v>
          </cell>
          <cell r="L1362" t="str">
            <v>500mL</v>
          </cell>
          <cell r="M1362" t="str">
            <v>瓶</v>
          </cell>
          <cell r="N1362">
            <v>75.75</v>
          </cell>
          <cell r="O1362">
            <v>108</v>
          </cell>
          <cell r="P1362">
            <v>0.29166666666666702</v>
          </cell>
        </row>
        <row r="1363">
          <cell r="F1363" t="str">
            <v>70524251</v>
          </cell>
          <cell r="G1363" t="str">
            <v>澳葡国际</v>
          </cell>
          <cell r="H1363" t="str">
            <v>MIROI蜜露伊</v>
          </cell>
          <cell r="I1363" t="str">
            <v>个人护理用品</v>
          </cell>
          <cell r="J1363" t="str">
            <v>洗发液</v>
          </cell>
          <cell r="K1363" t="str">
            <v>MIROI蜜露伊 博特赛娜 润泽保湿洗发水 500mL</v>
          </cell>
          <cell r="L1363" t="str">
            <v>500mL</v>
          </cell>
          <cell r="M1363" t="str">
            <v>瓶</v>
          </cell>
          <cell r="N1363">
            <v>75.75</v>
          </cell>
          <cell r="O1363">
            <v>108</v>
          </cell>
          <cell r="P1363">
            <v>0.29166666666666702</v>
          </cell>
        </row>
        <row r="1364">
          <cell r="F1364" t="str">
            <v>70524250</v>
          </cell>
          <cell r="G1364" t="str">
            <v>澳葡国际</v>
          </cell>
          <cell r="H1364" t="str">
            <v>MIROI蜜露伊</v>
          </cell>
          <cell r="I1364" t="str">
            <v>个人护理用品</v>
          </cell>
          <cell r="J1364" t="str">
            <v>洗发液</v>
          </cell>
          <cell r="K1364" t="str">
            <v>MIROI蜜露伊 博特赛娜洗发水 受损发质 500mL</v>
          </cell>
          <cell r="L1364" t="str">
            <v>500mL</v>
          </cell>
          <cell r="M1364" t="str">
            <v>瓶</v>
          </cell>
          <cell r="N1364">
            <v>75.75</v>
          </cell>
          <cell r="O1364">
            <v>108</v>
          </cell>
          <cell r="P1364">
            <v>0.29166666666666702</v>
          </cell>
        </row>
        <row r="1365">
          <cell r="F1365" t="str">
            <v>70524253</v>
          </cell>
          <cell r="G1365" t="str">
            <v>澳葡国际</v>
          </cell>
          <cell r="H1365" t="str">
            <v>MIROI蜜露伊</v>
          </cell>
          <cell r="I1365" t="str">
            <v>个人护理用品</v>
          </cell>
          <cell r="J1365" t="str">
            <v>护发用品</v>
          </cell>
          <cell r="K1365" t="str">
            <v>MIROI蜜露伊 博特赛娜 柔顺保湿护发素 500mL</v>
          </cell>
          <cell r="L1365" t="str">
            <v>500mL</v>
          </cell>
          <cell r="M1365" t="str">
            <v>瓶</v>
          </cell>
          <cell r="N1365">
            <v>75.75</v>
          </cell>
          <cell r="O1365">
            <v>108</v>
          </cell>
          <cell r="P1365">
            <v>0.29166666666666702</v>
          </cell>
        </row>
        <row r="1366">
          <cell r="F1366" t="str">
            <v>70524255</v>
          </cell>
          <cell r="G1366" t="str">
            <v>澳葡国际</v>
          </cell>
          <cell r="H1366" t="str">
            <v>MIROI蜜露伊</v>
          </cell>
          <cell r="I1366" t="str">
            <v>个人护理用品</v>
          </cell>
          <cell r="J1366" t="str">
            <v>沐浴用品</v>
          </cell>
          <cell r="K1366" t="str">
            <v>MIROI蜜露伊 博特赛娜 轻盈保湿沐浴露 500mL</v>
          </cell>
          <cell r="L1366" t="str">
            <v>500mL</v>
          </cell>
          <cell r="M1366" t="str">
            <v>瓶</v>
          </cell>
          <cell r="N1366">
            <v>75.75</v>
          </cell>
          <cell r="O1366">
            <v>108</v>
          </cell>
          <cell r="P1366">
            <v>0.29166666666666702</v>
          </cell>
        </row>
        <row r="1367">
          <cell r="F1367" t="str">
            <v>70574831</v>
          </cell>
          <cell r="G1367" t="str">
            <v>澳葡国际</v>
          </cell>
          <cell r="H1367" t="str">
            <v>COLOSSUS</v>
          </cell>
          <cell r="I1367" t="str">
            <v>家庭食品</v>
          </cell>
          <cell r="J1367" t="str">
            <v>油</v>
          </cell>
          <cell r="K1367" t="str">
            <v>colossus 低芥酸芥花籽油（黃標塑料瓶） 1L</v>
          </cell>
          <cell r="L1367" t="str">
            <v>1L/瓶</v>
          </cell>
          <cell r="M1367" t="str">
            <v>瓶</v>
          </cell>
          <cell r="N1367">
            <v>48.48</v>
          </cell>
          <cell r="O1367">
            <v>68</v>
          </cell>
          <cell r="P1367">
            <v>0.28000000000000003</v>
          </cell>
        </row>
        <row r="1368">
          <cell r="F1368" t="str">
            <v>70574828</v>
          </cell>
          <cell r="G1368" t="str">
            <v>澳葡国际</v>
          </cell>
          <cell r="H1368" t="str">
            <v>Peet’s Coffee</v>
          </cell>
          <cell r="I1368" t="str">
            <v>糖果</v>
          </cell>
          <cell r="J1368" t="str">
            <v>太妃糖</v>
          </cell>
          <cell r="K1368" t="str">
            <v>Peet’s Coffee 皮爺咖啡海鹽太妃糖 84g</v>
          </cell>
          <cell r="L1368" t="str">
            <v>84g/罐</v>
          </cell>
          <cell r="M1368" t="str">
            <v>罐</v>
          </cell>
          <cell r="N1368">
            <v>25.76</v>
          </cell>
          <cell r="O1368">
            <v>38</v>
          </cell>
          <cell r="P1368">
            <v>0.31552631578947399</v>
          </cell>
        </row>
        <row r="1369">
          <cell r="F1369" t="str">
            <v>70499419</v>
          </cell>
          <cell r="G1369" t="str">
            <v>澳葡国际</v>
          </cell>
          <cell r="H1369" t="str">
            <v>HerdadedoPerdigao</v>
          </cell>
          <cell r="I1369" t="str">
            <v>酒类</v>
          </cell>
          <cell r="J1369" t="str">
            <v>葡萄酒</v>
          </cell>
          <cell r="K1369" t="str">
            <v>VinhadoAlmoEscolhaRed 阿尔莫葡萄园珍选红葡萄酒 750mL</v>
          </cell>
          <cell r="L1369" t="str">
            <v>750mL</v>
          </cell>
          <cell r="M1369" t="str">
            <v>瓶</v>
          </cell>
          <cell r="N1369">
            <v>163.62</v>
          </cell>
          <cell r="O1369">
            <v>580</v>
          </cell>
          <cell r="P1369">
            <v>0.71510344827586203</v>
          </cell>
        </row>
        <row r="1370">
          <cell r="F1370" t="str">
            <v>70499421</v>
          </cell>
          <cell r="G1370" t="str">
            <v>澳葡国际</v>
          </cell>
          <cell r="H1370" t="str">
            <v>HerdadedoPerdigao百力高</v>
          </cell>
          <cell r="I1370" t="str">
            <v>酒类</v>
          </cell>
          <cell r="J1370" t="str">
            <v>葡萄酒</v>
          </cell>
          <cell r="K1370" t="str">
            <v>TerrasdeMonforteCSRed 蒙福特之壤精选红葡萄酒 750mL</v>
          </cell>
          <cell r="L1370" t="str">
            <v>750mL</v>
          </cell>
          <cell r="M1370" t="str">
            <v>瓶</v>
          </cell>
          <cell r="N1370">
            <v>96.35</v>
          </cell>
          <cell r="O1370">
            <v>280</v>
          </cell>
          <cell r="P1370">
            <v>0.65246428571428605</v>
          </cell>
        </row>
        <row r="1371">
          <cell r="F1371" t="str">
            <v>70499417</v>
          </cell>
          <cell r="G1371" t="str">
            <v>澳葡国际</v>
          </cell>
          <cell r="H1371" t="str">
            <v>HerdadedoPerdigao百力高</v>
          </cell>
          <cell r="I1371" t="str">
            <v>酒类</v>
          </cell>
          <cell r="J1371" t="str">
            <v>葡萄酒</v>
          </cell>
          <cell r="K1371" t="str">
            <v>AlterRed 阿尔特红葡萄酒 750mL</v>
          </cell>
          <cell r="L1371" t="str">
            <v>750mL</v>
          </cell>
          <cell r="M1371" t="str">
            <v>瓶</v>
          </cell>
          <cell r="N1371">
            <v>44.54</v>
          </cell>
          <cell r="O1371">
            <v>99</v>
          </cell>
          <cell r="P1371">
            <v>0.54565656565656595</v>
          </cell>
        </row>
        <row r="1372">
          <cell r="F1372" t="str">
            <v>70524405</v>
          </cell>
          <cell r="G1372" t="str">
            <v>澳葡国际</v>
          </cell>
          <cell r="H1372" t="str">
            <v>DALI Tech</v>
          </cell>
          <cell r="I1372" t="str">
            <v>日用品</v>
          </cell>
          <cell r="J1372" t="str">
            <v>日用品</v>
          </cell>
          <cell r="K1372" t="str">
            <v>澳門DALI Tech達立 12英寸粉色丁腈手套(12-inch pink nitrile gloves)澳門製造100只/盒</v>
          </cell>
          <cell r="L1372" t="str">
            <v>100只/盒</v>
          </cell>
          <cell r="M1372" t="str">
            <v>盒</v>
          </cell>
          <cell r="N1372">
            <v>56.56</v>
          </cell>
          <cell r="O1372">
            <v>85</v>
          </cell>
          <cell r="P1372">
            <v>0.32800000000000001</v>
          </cell>
        </row>
        <row r="1373">
          <cell r="F1373" t="str">
            <v>70524409</v>
          </cell>
          <cell r="G1373" t="str">
            <v>澳葡国际</v>
          </cell>
          <cell r="H1373" t="str">
            <v>DALI Tech</v>
          </cell>
          <cell r="I1373" t="str">
            <v>日用品</v>
          </cell>
          <cell r="J1373" t="str">
            <v>日用品</v>
          </cell>
          <cell r="K1373" t="str">
            <v>澳門DALI Tech達立 12英寸白色丁腈手套(12-inch white nitrile gloves)澳門製造 100只/盒</v>
          </cell>
          <cell r="L1373" t="str">
            <v>100只/盒</v>
          </cell>
          <cell r="M1373" t="str">
            <v>盒</v>
          </cell>
          <cell r="N1373">
            <v>56.56</v>
          </cell>
          <cell r="O1373">
            <v>85</v>
          </cell>
          <cell r="P1373">
            <v>0.32800000000000001</v>
          </cell>
        </row>
        <row r="1374">
          <cell r="F1374" t="str">
            <v>70524412</v>
          </cell>
          <cell r="G1374" t="str">
            <v>澳葡国际</v>
          </cell>
          <cell r="H1374" t="str">
            <v>DALI Tech</v>
          </cell>
          <cell r="I1374" t="str">
            <v>日用品</v>
          </cell>
          <cell r="J1374" t="str">
            <v>日用品</v>
          </cell>
          <cell r="K1374" t="str">
            <v>澳門DALI Tech達立 9英寸钻石纹丁腈手套(9-inch Diamond grain nitrile gloves)澳門製造 50只/盒</v>
          </cell>
          <cell r="L1374" t="str">
            <v>50只/盒</v>
          </cell>
          <cell r="M1374" t="str">
            <v>盒</v>
          </cell>
          <cell r="N1374">
            <v>33.33</v>
          </cell>
          <cell r="O1374">
            <v>50</v>
          </cell>
          <cell r="P1374">
            <v>0.32679999999999998</v>
          </cell>
        </row>
        <row r="1375">
          <cell r="F1375" t="str">
            <v>70574819</v>
          </cell>
          <cell r="G1375" t="str">
            <v>澳葡国际</v>
          </cell>
          <cell r="H1375" t="str">
            <v>COLOSSUS</v>
          </cell>
          <cell r="I1375" t="str">
            <v>家庭食品</v>
          </cell>
          <cell r="J1375" t="str">
            <v>油</v>
          </cell>
          <cell r="K1375" t="str">
            <v>colossus 初榨橄欖油（深綠 鐵罐） 1L</v>
          </cell>
          <cell r="L1375" t="str">
            <v>1L/瓶</v>
          </cell>
          <cell r="M1375" t="str">
            <v>罐</v>
          </cell>
          <cell r="N1375">
            <v>247.45</v>
          </cell>
          <cell r="O1375">
            <v>356</v>
          </cell>
          <cell r="P1375">
            <v>0.29803370786516897</v>
          </cell>
        </row>
        <row r="1376">
          <cell r="F1376" t="str">
            <v>70574818</v>
          </cell>
          <cell r="G1376" t="str">
            <v>澳葡国际</v>
          </cell>
          <cell r="H1376" t="str">
            <v>COLOSSUS</v>
          </cell>
          <cell r="I1376" t="str">
            <v>家庭食品</v>
          </cell>
          <cell r="J1376" t="str">
            <v>油</v>
          </cell>
          <cell r="K1376" t="str">
            <v>colossus 初榨橄欖油（深綠 鐵罐） 2.5L</v>
          </cell>
          <cell r="L1376" t="str">
            <v>2.5L</v>
          </cell>
          <cell r="M1376" t="str">
            <v>罐</v>
          </cell>
          <cell r="N1376">
            <v>562.57000000000005</v>
          </cell>
          <cell r="O1376">
            <v>796</v>
          </cell>
          <cell r="P1376">
            <v>0.28625628140703502</v>
          </cell>
        </row>
        <row r="1377">
          <cell r="F1377" t="str">
            <v>70574813</v>
          </cell>
          <cell r="G1377" t="str">
            <v>澳葡国际</v>
          </cell>
          <cell r="H1377" t="str">
            <v>COLOSSUS</v>
          </cell>
          <cell r="I1377" t="str">
            <v>家庭食品</v>
          </cell>
          <cell r="J1377" t="str">
            <v>油</v>
          </cell>
          <cell r="K1377" t="str">
            <v>colossus 非轉基因芥花籽油（黑色 鐵罐） 2L</v>
          </cell>
          <cell r="L1377" t="str">
            <v>2L</v>
          </cell>
          <cell r="M1377" t="str">
            <v>罐</v>
          </cell>
          <cell r="N1377">
            <v>90.9</v>
          </cell>
          <cell r="O1377">
            <v>130</v>
          </cell>
          <cell r="P1377">
            <v>0.29384615384615398</v>
          </cell>
        </row>
        <row r="1378">
          <cell r="F1378" t="str">
            <v>70574816</v>
          </cell>
          <cell r="G1378" t="str">
            <v>澳葡国际</v>
          </cell>
          <cell r="H1378" t="str">
            <v>COLOSSUS</v>
          </cell>
          <cell r="I1378" t="str">
            <v>家庭食品</v>
          </cell>
          <cell r="J1378" t="str">
            <v>油</v>
          </cell>
          <cell r="K1378" t="str">
            <v>colossus 非轉基因芥花籽油（黑標塑料瓶） 2L</v>
          </cell>
          <cell r="L1378" t="str">
            <v>2L</v>
          </cell>
          <cell r="M1378" t="str">
            <v>瓶</v>
          </cell>
          <cell r="N1378">
            <v>82.82</v>
          </cell>
          <cell r="O1378">
            <v>118</v>
          </cell>
          <cell r="P1378">
            <v>0.29118644067796601</v>
          </cell>
        </row>
        <row r="1379">
          <cell r="F1379" t="str">
            <v>70574812</v>
          </cell>
          <cell r="G1379" t="str">
            <v>澳葡国际</v>
          </cell>
          <cell r="H1379" t="str">
            <v>COLOSSUS</v>
          </cell>
          <cell r="I1379" t="str">
            <v>家庭食品</v>
          </cell>
          <cell r="J1379" t="str">
            <v>油</v>
          </cell>
          <cell r="K1379" t="str">
            <v>colossus 低芥酸芥花籽油（黄标塑料瓶） 2L</v>
          </cell>
          <cell r="L1379" t="str">
            <v>2L</v>
          </cell>
          <cell r="M1379" t="str">
            <v>瓶</v>
          </cell>
          <cell r="N1379">
            <v>82.82</v>
          </cell>
          <cell r="O1379">
            <v>118</v>
          </cell>
          <cell r="P1379">
            <v>0.29118644067796601</v>
          </cell>
        </row>
        <row r="1380">
          <cell r="F1380" t="str">
            <v>70574806</v>
          </cell>
          <cell r="G1380" t="str">
            <v>澳葡国际</v>
          </cell>
          <cell r="H1380" t="str">
            <v>COLOSSUS</v>
          </cell>
          <cell r="I1380" t="str">
            <v>家庭食品</v>
          </cell>
          <cell r="J1380" t="str">
            <v>油</v>
          </cell>
          <cell r="K1380" t="str">
            <v>colossus 非轉基因芥花籽油（黑標塑料瓶 把手） 4L</v>
          </cell>
          <cell r="L1380" t="str">
            <v>4L</v>
          </cell>
          <cell r="M1380" t="str">
            <v>瓶</v>
          </cell>
          <cell r="N1380">
            <v>157.56</v>
          </cell>
          <cell r="O1380">
            <v>224</v>
          </cell>
          <cell r="P1380">
            <v>0.28964285714285698</v>
          </cell>
        </row>
        <row r="1381">
          <cell r="F1381" t="str">
            <v>70574799</v>
          </cell>
          <cell r="G1381" t="str">
            <v>澳葡国际</v>
          </cell>
          <cell r="H1381" t="str">
            <v>COLOSSUS</v>
          </cell>
          <cell r="I1381" t="str">
            <v>家庭食品</v>
          </cell>
          <cell r="J1381" t="str">
            <v>油</v>
          </cell>
          <cell r="K1381" t="str">
            <v>colossus 橄欖油調和油（藍色 鐵罐） 4L</v>
          </cell>
          <cell r="L1381" t="str">
            <v>4L</v>
          </cell>
          <cell r="M1381" t="str">
            <v>罐</v>
          </cell>
          <cell r="N1381">
            <v>254.52</v>
          </cell>
          <cell r="O1381">
            <v>364</v>
          </cell>
          <cell r="P1381">
            <v>0.29384615384615398</v>
          </cell>
        </row>
        <row r="1382">
          <cell r="F1382" t="str">
            <v>70574798</v>
          </cell>
          <cell r="G1382" t="str">
            <v>澳葡国际</v>
          </cell>
          <cell r="H1382" t="str">
            <v>COLOSSUS</v>
          </cell>
          <cell r="I1382" t="str">
            <v>家庭食品</v>
          </cell>
          <cell r="J1382" t="str">
            <v>油</v>
          </cell>
          <cell r="K1382" t="str">
            <v>colossus 非轉基因芥花籽油（黑色 鐵罐） 4L</v>
          </cell>
          <cell r="L1382" t="str">
            <v>4L</v>
          </cell>
          <cell r="M1382" t="str">
            <v>罐</v>
          </cell>
          <cell r="N1382">
            <v>166.65</v>
          </cell>
          <cell r="O1382">
            <v>236</v>
          </cell>
          <cell r="P1382">
            <v>0.28686440677966102</v>
          </cell>
        </row>
        <row r="1383">
          <cell r="F1383" t="str">
            <v>70574796</v>
          </cell>
          <cell r="G1383" t="str">
            <v>澳葡国际</v>
          </cell>
          <cell r="H1383" t="str">
            <v>澳門贏酒</v>
          </cell>
          <cell r="I1383" t="str">
            <v>酒类</v>
          </cell>
          <cell r="J1383" t="str">
            <v>白酒</v>
          </cell>
          <cell r="K1383" t="str">
            <v>澳門贏酒 澳門回歸祖國紀念酒 500mL</v>
          </cell>
          <cell r="L1383" t="str">
            <v>500mL/瓶</v>
          </cell>
          <cell r="M1383" t="str">
            <v>瓶</v>
          </cell>
          <cell r="N1383">
            <v>631.25</v>
          </cell>
          <cell r="O1383">
            <v>1380</v>
          </cell>
          <cell r="P1383">
            <v>0.53804347826086996</v>
          </cell>
        </row>
        <row r="1384">
          <cell r="F1384" t="str">
            <v>70574784</v>
          </cell>
          <cell r="G1384" t="str">
            <v>澳葡国际</v>
          </cell>
          <cell r="H1384" t="str">
            <v>澳門贏酒</v>
          </cell>
          <cell r="I1384" t="str">
            <v>酒类</v>
          </cell>
          <cell r="J1384" t="str">
            <v>白酒</v>
          </cell>
          <cell r="K1384" t="str">
            <v>澳門贏酒 藍15 500mL</v>
          </cell>
          <cell r="L1384" t="str">
            <v>500mL/瓶</v>
          </cell>
          <cell r="M1384" t="str">
            <v>瓶</v>
          </cell>
          <cell r="N1384">
            <v>262.60000000000002</v>
          </cell>
          <cell r="O1384">
            <v>398</v>
          </cell>
          <cell r="P1384">
            <v>0.33366834170854298</v>
          </cell>
        </row>
        <row r="1385">
          <cell r="F1385" t="str">
            <v>70574836</v>
          </cell>
          <cell r="G1385" t="str">
            <v>澳葡国际</v>
          </cell>
          <cell r="H1385" t="str">
            <v>澳門贏酒</v>
          </cell>
          <cell r="I1385" t="str">
            <v>酒类</v>
          </cell>
          <cell r="J1385" t="str">
            <v>白酒</v>
          </cell>
          <cell r="K1385" t="str">
            <v>澳門贏酒 紅6 500mL</v>
          </cell>
          <cell r="L1385" t="str">
            <v>500mL/瓶</v>
          </cell>
          <cell r="M1385" t="str">
            <v>瓶</v>
          </cell>
          <cell r="N1385">
            <v>82.82</v>
          </cell>
          <cell r="O1385">
            <v>119</v>
          </cell>
          <cell r="P1385">
            <v>0.29714285714285699</v>
          </cell>
        </row>
        <row r="1386">
          <cell r="F1386" t="str">
            <v>70574826</v>
          </cell>
          <cell r="G1386" t="str">
            <v>澳葡国际</v>
          </cell>
          <cell r="H1386" t="str">
            <v>澳門贏酒</v>
          </cell>
          <cell r="I1386" t="str">
            <v>酒类</v>
          </cell>
          <cell r="J1386" t="str">
            <v>白酒</v>
          </cell>
          <cell r="K1386" t="str">
            <v>澳門贏酒 16景 100mL</v>
          </cell>
          <cell r="L1386" t="str">
            <v>100mL/瓶</v>
          </cell>
          <cell r="M1386" t="str">
            <v>瓶</v>
          </cell>
          <cell r="N1386">
            <v>18.18</v>
          </cell>
          <cell r="O1386">
            <v>26</v>
          </cell>
          <cell r="P1386">
            <v>0.29384615384615398</v>
          </cell>
        </row>
        <row r="1387">
          <cell r="F1387" t="str">
            <v>70471190</v>
          </cell>
          <cell r="G1387" t="str">
            <v>舍得</v>
          </cell>
          <cell r="H1387" t="str">
            <v>沱牌</v>
          </cell>
          <cell r="I1387" t="str">
            <v>酒类</v>
          </cell>
          <cell r="J1387" t="str">
            <v>白酒</v>
          </cell>
          <cell r="K1387" t="str">
            <v>沱牌 沱牌特曲（30生态窖龄） 500mL</v>
          </cell>
          <cell r="L1387" t="str">
            <v>500mL</v>
          </cell>
          <cell r="M1387" t="str">
            <v>瓶</v>
          </cell>
          <cell r="N1387">
            <v>121.2</v>
          </cell>
          <cell r="O1387">
            <v>168</v>
          </cell>
          <cell r="P1387">
            <v>0.27142857142857102</v>
          </cell>
        </row>
        <row r="1388">
          <cell r="F1388" t="str">
            <v>70471189</v>
          </cell>
          <cell r="G1388" t="str">
            <v>舍得</v>
          </cell>
          <cell r="H1388" t="str">
            <v>舍得</v>
          </cell>
          <cell r="I1388" t="str">
            <v>酒类</v>
          </cell>
          <cell r="J1388" t="str">
            <v>白酒</v>
          </cell>
          <cell r="K1388" t="str">
            <v>沱牌 智慧·舍得酒（好运祝福款） 500mL</v>
          </cell>
          <cell r="L1388" t="str">
            <v>52度 500mL</v>
          </cell>
          <cell r="M1388" t="str">
            <v>瓶</v>
          </cell>
          <cell r="N1388">
            <v>686.8</v>
          </cell>
          <cell r="O1388">
            <v>888</v>
          </cell>
          <cell r="P1388">
            <v>0.21891891891891899</v>
          </cell>
        </row>
        <row r="1389">
          <cell r="F1389" t="str">
            <v>70574794</v>
          </cell>
          <cell r="G1389" t="str">
            <v>舍得</v>
          </cell>
          <cell r="H1389" t="str">
            <v>舍得</v>
          </cell>
          <cell r="I1389" t="str">
            <v>酒类</v>
          </cell>
          <cell r="J1389" t="str">
            <v>白酒</v>
          </cell>
          <cell r="K1389" t="str">
            <v>舍得 舍之道·地道38度 500mL</v>
          </cell>
          <cell r="L1389" t="str">
            <v>38度 500mL</v>
          </cell>
          <cell r="M1389" t="str">
            <v>瓶</v>
          </cell>
          <cell r="N1389">
            <v>172.71</v>
          </cell>
          <cell r="O1389">
            <v>268</v>
          </cell>
          <cell r="P1389">
            <v>0.34917910447761202</v>
          </cell>
        </row>
        <row r="1390">
          <cell r="F1390" t="str">
            <v>70574793</v>
          </cell>
          <cell r="G1390" t="str">
            <v>舍得</v>
          </cell>
          <cell r="H1390" t="str">
            <v>舍得</v>
          </cell>
          <cell r="I1390" t="str">
            <v>酒类</v>
          </cell>
          <cell r="J1390" t="str">
            <v>白酒</v>
          </cell>
          <cell r="K1390" t="str">
            <v>舍得 舍之道·地道50度 500mL</v>
          </cell>
          <cell r="L1390" t="str">
            <v>50度 500mL</v>
          </cell>
          <cell r="M1390" t="str">
            <v>瓶</v>
          </cell>
          <cell r="N1390">
            <v>189.88</v>
          </cell>
          <cell r="O1390">
            <v>288</v>
          </cell>
          <cell r="P1390">
            <v>0.334166666666667</v>
          </cell>
        </row>
        <row r="1391">
          <cell r="F1391" t="str">
            <v>70471187</v>
          </cell>
          <cell r="G1391" t="str">
            <v>舍得</v>
          </cell>
          <cell r="H1391" t="str">
            <v>舍得</v>
          </cell>
          <cell r="I1391" t="str">
            <v>酒类</v>
          </cell>
          <cell r="J1391" t="str">
            <v>白酒</v>
          </cell>
          <cell r="K1391" t="str">
            <v>舍得 酒（真年份）500mL</v>
          </cell>
          <cell r="L1391" t="str">
            <v>52度 500mL</v>
          </cell>
          <cell r="M1391" t="str">
            <v>瓶</v>
          </cell>
          <cell r="N1391">
            <v>492.88</v>
          </cell>
          <cell r="O1391">
            <v>738</v>
          </cell>
          <cell r="P1391">
            <v>0.32552845528455299</v>
          </cell>
        </row>
        <row r="1392">
          <cell r="F1392" t="str">
            <v>70471188</v>
          </cell>
          <cell r="G1392" t="str">
            <v>舍得</v>
          </cell>
          <cell r="H1392" t="str">
            <v>沱牌</v>
          </cell>
          <cell r="I1392" t="str">
            <v>酒类</v>
          </cell>
          <cell r="J1392" t="str">
            <v>白酒</v>
          </cell>
          <cell r="K1392" t="str">
            <v>沱牌 九零年代·沱牌曲酒  480mL</v>
          </cell>
          <cell r="L1392" t="str">
            <v>46度 480mL</v>
          </cell>
          <cell r="M1392" t="str">
            <v>瓶</v>
          </cell>
          <cell r="N1392">
            <v>179.78</v>
          </cell>
          <cell r="O1392">
            <v>298</v>
          </cell>
          <cell r="P1392">
            <v>0.39073825503355702</v>
          </cell>
        </row>
        <row r="1393">
          <cell r="F1393" t="str">
            <v>70424719</v>
          </cell>
          <cell r="G1393" t="str">
            <v>舍得</v>
          </cell>
          <cell r="H1393" t="str">
            <v>沱牌</v>
          </cell>
          <cell r="I1393" t="str">
            <v>酒类</v>
          </cell>
          <cell r="J1393" t="str">
            <v>白酒</v>
          </cell>
          <cell r="K1393" t="str">
            <v>沱牌 特级T68 480mL</v>
          </cell>
          <cell r="L1393" t="str">
            <v>45度 480mL</v>
          </cell>
          <cell r="M1393" t="str">
            <v>瓶</v>
          </cell>
          <cell r="N1393">
            <v>54.54</v>
          </cell>
          <cell r="O1393">
            <v>68</v>
          </cell>
          <cell r="P1393">
            <v>0.19</v>
          </cell>
        </row>
        <row r="1394">
          <cell r="F1394" t="str">
            <v>70543461</v>
          </cell>
          <cell r="G1394" t="str">
            <v>舍得</v>
          </cell>
          <cell r="H1394" t="str">
            <v>沱牌</v>
          </cell>
          <cell r="I1394" t="str">
            <v>酒类</v>
          </cell>
          <cell r="J1394" t="str">
            <v>白酒</v>
          </cell>
          <cell r="K1394" t="str">
            <v>沱牌 特级T68 250mL</v>
          </cell>
          <cell r="L1394" t="str">
            <v>45度 250mL</v>
          </cell>
          <cell r="M1394" t="str">
            <v>瓶</v>
          </cell>
          <cell r="N1394">
            <v>27.27</v>
          </cell>
          <cell r="O1394">
            <v>35</v>
          </cell>
          <cell r="P1394">
            <v>0.213142857142857</v>
          </cell>
        </row>
        <row r="1395">
          <cell r="F1395" t="str">
            <v>70543412</v>
          </cell>
          <cell r="G1395" t="str">
            <v>舍得</v>
          </cell>
          <cell r="H1395" t="str">
            <v>沱牌</v>
          </cell>
          <cell r="I1395" t="str">
            <v>酒类</v>
          </cell>
          <cell r="J1395" t="str">
            <v>白酒</v>
          </cell>
          <cell r="K1395" t="str">
            <v>沱牌 特级T68 100mL</v>
          </cell>
          <cell r="L1395" t="str">
            <v>45度 100mL</v>
          </cell>
          <cell r="M1395" t="str">
            <v>瓶</v>
          </cell>
          <cell r="N1395">
            <v>15.15</v>
          </cell>
          <cell r="O1395">
            <v>19</v>
          </cell>
          <cell r="P1395">
            <v>0.19473684210526301</v>
          </cell>
        </row>
        <row r="1396">
          <cell r="F1396" t="str">
            <v>70524446</v>
          </cell>
          <cell r="G1396" t="str">
            <v>舍得</v>
          </cell>
          <cell r="H1396" t="str">
            <v>沱牌</v>
          </cell>
          <cell r="I1396" t="str">
            <v>酒类</v>
          </cell>
          <cell r="J1396" t="str">
            <v>白酒</v>
          </cell>
          <cell r="K1396" t="str">
            <v>沱牌 盛世沱牌（珍藏） 500mL</v>
          </cell>
          <cell r="L1396" t="str">
            <v>500mL</v>
          </cell>
          <cell r="M1396" t="str">
            <v>瓶</v>
          </cell>
          <cell r="N1396">
            <v>171.7</v>
          </cell>
          <cell r="O1396">
            <v>368</v>
          </cell>
          <cell r="P1396">
            <v>0.52880434782608698</v>
          </cell>
        </row>
        <row r="1397">
          <cell r="F1397" t="str">
            <v>70524447</v>
          </cell>
          <cell r="G1397" t="str">
            <v>舍得</v>
          </cell>
          <cell r="H1397" t="str">
            <v>沱牌</v>
          </cell>
          <cell r="I1397" t="str">
            <v>酒类</v>
          </cell>
          <cell r="J1397" t="str">
            <v>白酒</v>
          </cell>
          <cell r="K1397" t="str">
            <v>沱牌 盛世沱牌（封藏）500mL</v>
          </cell>
          <cell r="L1397" t="str">
            <v>500mL</v>
          </cell>
          <cell r="M1397" t="str">
            <v>瓶</v>
          </cell>
          <cell r="N1397">
            <v>270.68</v>
          </cell>
          <cell r="O1397">
            <v>598</v>
          </cell>
          <cell r="P1397">
            <v>0.54287625418060204</v>
          </cell>
        </row>
        <row r="1398">
          <cell r="F1398" t="str">
            <v>70543495</v>
          </cell>
          <cell r="G1398" t="str">
            <v>舍得</v>
          </cell>
          <cell r="H1398" t="str">
            <v>沱牌</v>
          </cell>
          <cell r="I1398" t="str">
            <v>酒类</v>
          </cell>
          <cell r="J1398" t="str">
            <v>白酒</v>
          </cell>
          <cell r="K1398" t="str">
            <v>沱牌 盛世沱牌（品藏）500mL</v>
          </cell>
          <cell r="L1398" t="str">
            <v>52度 500mL</v>
          </cell>
          <cell r="M1398" t="str">
            <v>瓶</v>
          </cell>
          <cell r="N1398">
            <v>129.28</v>
          </cell>
          <cell r="O1398">
            <v>208</v>
          </cell>
          <cell r="P1398">
            <v>0.37230769230769201</v>
          </cell>
        </row>
        <row r="1399">
          <cell r="F1399" t="str">
            <v>70469095</v>
          </cell>
          <cell r="G1399" t="str">
            <v>舍得</v>
          </cell>
          <cell r="H1399" t="str">
            <v>沱牌</v>
          </cell>
          <cell r="I1399" t="str">
            <v>酒类</v>
          </cell>
          <cell r="J1399" t="str">
            <v>白酒</v>
          </cell>
          <cell r="K1399" t="str">
            <v>沱牌 吉祥如意 500mL×4</v>
          </cell>
          <cell r="L1399" t="str">
            <v>52度 500mL×4</v>
          </cell>
          <cell r="M1399" t="str">
            <v>瓶</v>
          </cell>
          <cell r="N1399">
            <v>454.5</v>
          </cell>
          <cell r="O1399">
            <v>898</v>
          </cell>
          <cell r="P1399">
            <v>0.48886414253897498</v>
          </cell>
        </row>
        <row r="1400">
          <cell r="F1400" t="str">
            <v>70514606</v>
          </cell>
          <cell r="G1400" t="str">
            <v>舍得</v>
          </cell>
          <cell r="H1400" t="str">
            <v>沱牌</v>
          </cell>
          <cell r="I1400" t="str">
            <v>酒类</v>
          </cell>
          <cell r="J1400" t="str">
            <v>白酒</v>
          </cell>
          <cell r="K1400" t="str">
            <v>沱牌 特曲(窖龄20) 500mL</v>
          </cell>
          <cell r="L1400" t="str">
            <v>500mL</v>
          </cell>
          <cell r="M1400" t="str">
            <v>瓶</v>
          </cell>
          <cell r="N1400">
            <v>117.16</v>
          </cell>
          <cell r="O1400">
            <v>198</v>
          </cell>
          <cell r="P1400">
            <v>0.40242424242424202</v>
          </cell>
        </row>
        <row r="1401">
          <cell r="F1401" t="str">
            <v>70514607</v>
          </cell>
          <cell r="G1401" t="str">
            <v>舍得</v>
          </cell>
          <cell r="H1401" t="str">
            <v>沱牌</v>
          </cell>
          <cell r="I1401" t="str">
            <v>酒类</v>
          </cell>
          <cell r="J1401" t="str">
            <v>白酒</v>
          </cell>
          <cell r="K1401" t="str">
            <v>沱牌 特曲(窖龄30) 500mL</v>
          </cell>
          <cell r="L1401" t="str">
            <v>500mL</v>
          </cell>
          <cell r="M1401" t="str">
            <v>瓶</v>
          </cell>
          <cell r="N1401">
            <v>169.68</v>
          </cell>
          <cell r="O1401">
            <v>268</v>
          </cell>
          <cell r="P1401">
            <v>0.36059701492537299</v>
          </cell>
        </row>
        <row r="1402">
          <cell r="F1402" t="str">
            <v>70400691</v>
          </cell>
          <cell r="G1402" t="str">
            <v>舍得</v>
          </cell>
          <cell r="H1402" t="str">
            <v>沱牌</v>
          </cell>
          <cell r="I1402" t="str">
            <v>酒类</v>
          </cell>
          <cell r="J1402" t="str">
            <v>白酒</v>
          </cell>
          <cell r="K1402" t="str">
            <v>沱牌曲酒（名酒复刻89版） 500mL</v>
          </cell>
          <cell r="L1402" t="str">
            <v>500mL</v>
          </cell>
          <cell r="M1402" t="str">
            <v>瓶</v>
          </cell>
          <cell r="N1402">
            <v>157.56</v>
          </cell>
          <cell r="O1402">
            <v>218</v>
          </cell>
          <cell r="P1402">
            <v>0.27009174311926598</v>
          </cell>
        </row>
        <row r="1403">
          <cell r="F1403" t="str">
            <v>70031932</v>
          </cell>
          <cell r="G1403" t="str">
            <v>中粮油脂</v>
          </cell>
          <cell r="H1403" t="str">
            <v>福临门</v>
          </cell>
          <cell r="I1403" t="str">
            <v>家庭食品</v>
          </cell>
          <cell r="J1403" t="str">
            <v>油</v>
          </cell>
          <cell r="K1403" t="str">
            <v>福临门 黄金产地玉米油 5L</v>
          </cell>
          <cell r="L1403" t="str">
            <v>5L</v>
          </cell>
          <cell r="M1403" t="str">
            <v>桶</v>
          </cell>
          <cell r="N1403">
            <v>77.67</v>
          </cell>
          <cell r="O1403">
            <v>99.9</v>
          </cell>
          <cell r="P1403">
            <v>0.21481481481481501</v>
          </cell>
        </row>
        <row r="1404">
          <cell r="F1404" t="str">
            <v>70247856</v>
          </cell>
          <cell r="G1404" t="str">
            <v>中粮油脂</v>
          </cell>
          <cell r="H1404" t="str">
            <v>福临门</v>
          </cell>
          <cell r="I1404" t="str">
            <v>家庭食品</v>
          </cell>
          <cell r="J1404" t="str">
            <v>油</v>
          </cell>
          <cell r="K1404" t="str">
            <v>福临门 浓香花生油 5L</v>
          </cell>
          <cell r="L1404" t="str">
            <v>5L</v>
          </cell>
          <cell r="M1404" t="str">
            <v>桶</v>
          </cell>
          <cell r="N1404">
            <v>98.98</v>
          </cell>
          <cell r="O1404">
            <v>129.9</v>
          </cell>
          <cell r="P1404">
            <v>0.230484988452656</v>
          </cell>
        </row>
        <row r="1405">
          <cell r="F1405" t="str">
            <v>70259684</v>
          </cell>
          <cell r="G1405" t="str">
            <v>中粮油脂</v>
          </cell>
          <cell r="H1405" t="str">
            <v>福临门</v>
          </cell>
          <cell r="I1405" t="str">
            <v>家庭食品</v>
          </cell>
          <cell r="J1405" t="str">
            <v>油</v>
          </cell>
          <cell r="K1405" t="str">
            <v>福临门 非转基因纯正菜籽油 5L（压榨）</v>
          </cell>
          <cell r="L1405" t="str">
            <v>5L</v>
          </cell>
          <cell r="M1405" t="str">
            <v>桶</v>
          </cell>
          <cell r="N1405">
            <v>72.92</v>
          </cell>
          <cell r="O1405">
            <v>89.9</v>
          </cell>
          <cell r="P1405">
            <v>0.18086763070077899</v>
          </cell>
        </row>
        <row r="1406">
          <cell r="F1406" t="str">
            <v>70006215</v>
          </cell>
          <cell r="G1406" t="str">
            <v>中粮油脂</v>
          </cell>
          <cell r="H1406" t="str">
            <v>福临门</v>
          </cell>
          <cell r="I1406" t="str">
            <v>家庭食品</v>
          </cell>
          <cell r="J1406" t="str">
            <v>油</v>
          </cell>
          <cell r="K1406" t="str">
            <v>福临门 一级大豆油 5L</v>
          </cell>
          <cell r="L1406" t="str">
            <v>5L</v>
          </cell>
          <cell r="M1406" t="str">
            <v>桶</v>
          </cell>
          <cell r="N1406">
            <v>53.53</v>
          </cell>
          <cell r="O1406">
            <v>72.900000000000006</v>
          </cell>
          <cell r="P1406">
            <v>0.25843621399177003</v>
          </cell>
        </row>
        <row r="1407">
          <cell r="F1407" t="str">
            <v>70254446</v>
          </cell>
          <cell r="G1407" t="str">
            <v>中粮油脂</v>
          </cell>
          <cell r="H1407" t="str">
            <v>福临门</v>
          </cell>
          <cell r="I1407" t="str">
            <v>家庭食品</v>
          </cell>
          <cell r="J1407" t="str">
            <v>油</v>
          </cell>
          <cell r="K1407" t="str">
            <v>福临门 纯香菜籽油 5L</v>
          </cell>
          <cell r="L1407" t="str">
            <v>5L</v>
          </cell>
          <cell r="M1407" t="str">
            <v>桶</v>
          </cell>
          <cell r="N1407">
            <v>71.510000000000005</v>
          </cell>
          <cell r="O1407">
            <v>84.9</v>
          </cell>
          <cell r="P1407">
            <v>0.14935217903415801</v>
          </cell>
        </row>
        <row r="1408">
          <cell r="F1408" t="str">
            <v>70098611</v>
          </cell>
          <cell r="G1408" t="str">
            <v>中粮油脂</v>
          </cell>
          <cell r="H1408" t="str">
            <v>福临门</v>
          </cell>
          <cell r="I1408" t="str">
            <v>家庭食品</v>
          </cell>
          <cell r="J1408" t="str">
            <v>油</v>
          </cell>
          <cell r="K1408" t="str">
            <v>福临门 AE非转基因菜籽油（低芥酸） 5L</v>
          </cell>
          <cell r="L1408" t="str">
            <v>5L</v>
          </cell>
          <cell r="M1408" t="str">
            <v>桶</v>
          </cell>
          <cell r="N1408">
            <v>73.930000000000007</v>
          </cell>
          <cell r="O1408">
            <v>92.9</v>
          </cell>
          <cell r="P1408">
            <v>0.196340150699677</v>
          </cell>
        </row>
        <row r="1409">
          <cell r="F1409" t="str">
            <v>70055866</v>
          </cell>
          <cell r="G1409" t="str">
            <v>中粮油脂</v>
          </cell>
          <cell r="H1409" t="str">
            <v>福临门</v>
          </cell>
          <cell r="I1409" t="str">
            <v>家庭食品</v>
          </cell>
          <cell r="J1409" t="str">
            <v>油</v>
          </cell>
          <cell r="K1409" t="str">
            <v>福临门 花生原香食用植物调和油 5L</v>
          </cell>
          <cell r="L1409" t="str">
            <v>5L</v>
          </cell>
          <cell r="M1409" t="str">
            <v>桶</v>
          </cell>
          <cell r="N1409">
            <v>59.19</v>
          </cell>
          <cell r="O1409">
            <v>76.900000000000006</v>
          </cell>
          <cell r="P1409">
            <v>0.222756827048114</v>
          </cell>
        </row>
        <row r="1410">
          <cell r="F1410" t="str">
            <v>70013897</v>
          </cell>
          <cell r="G1410" t="str">
            <v>中粮油脂</v>
          </cell>
          <cell r="H1410" t="str">
            <v>福临门</v>
          </cell>
          <cell r="I1410" t="str">
            <v>家庭食品</v>
          </cell>
          <cell r="J1410" t="str">
            <v>油</v>
          </cell>
          <cell r="K1410" t="str">
            <v>福临门 天天五谷食用植物调和油 5L</v>
          </cell>
          <cell r="L1410" t="str">
            <v>5L</v>
          </cell>
          <cell r="M1410" t="str">
            <v>桶</v>
          </cell>
          <cell r="N1410">
            <v>66.66</v>
          </cell>
          <cell r="O1410">
            <v>79.900000000000006</v>
          </cell>
          <cell r="P1410">
            <v>0.157446808510638</v>
          </cell>
        </row>
        <row r="1411">
          <cell r="F1411" t="str">
            <v>70277939</v>
          </cell>
          <cell r="G1411" t="str">
            <v>中粮油脂</v>
          </cell>
          <cell r="H1411" t="str">
            <v>福临门</v>
          </cell>
          <cell r="I1411" t="str">
            <v>家庭食品</v>
          </cell>
          <cell r="J1411" t="str">
            <v>油</v>
          </cell>
          <cell r="K1411" t="str">
            <v>福临门 家香味老家土榨菜籽油 5L</v>
          </cell>
          <cell r="L1411" t="str">
            <v>5L</v>
          </cell>
          <cell r="M1411" t="str">
            <v>桶</v>
          </cell>
          <cell r="N1411">
            <v>91.91</v>
          </cell>
          <cell r="O1411">
            <v>109.9</v>
          </cell>
          <cell r="P1411">
            <v>0.155414012738854</v>
          </cell>
        </row>
        <row r="1412">
          <cell r="F1412" t="str">
            <v>70360371</v>
          </cell>
          <cell r="G1412" t="str">
            <v>中粮油脂</v>
          </cell>
          <cell r="H1412" t="str">
            <v>福临门</v>
          </cell>
          <cell r="I1412" t="str">
            <v>家庭食品</v>
          </cell>
          <cell r="J1412" t="str">
            <v>油</v>
          </cell>
          <cell r="K1412" t="str">
            <v>福临门 营养家黄金小黑葵葵花仁油 5L</v>
          </cell>
          <cell r="L1412" t="str">
            <v>5L</v>
          </cell>
          <cell r="M1412" t="str">
            <v>桶</v>
          </cell>
          <cell r="N1412">
            <v>89.39</v>
          </cell>
          <cell r="O1412">
            <v>109.9</v>
          </cell>
          <cell r="P1412">
            <v>0.178616924476797</v>
          </cell>
        </row>
        <row r="1413">
          <cell r="F1413" t="str">
            <v>70362171</v>
          </cell>
          <cell r="G1413" t="str">
            <v>中粮油脂</v>
          </cell>
          <cell r="H1413" t="str">
            <v>福临门</v>
          </cell>
          <cell r="I1413" t="str">
            <v>家庭食品</v>
          </cell>
          <cell r="J1413" t="str">
            <v>油</v>
          </cell>
          <cell r="K1413" t="str">
            <v>福临门 营养家活粒鲜胚玉米胚芽油 1.8L</v>
          </cell>
          <cell r="L1413" t="str">
            <v>1.8L</v>
          </cell>
          <cell r="M1413" t="str">
            <v>桶</v>
          </cell>
          <cell r="N1413">
            <v>36.36</v>
          </cell>
          <cell r="O1413">
            <v>49.9</v>
          </cell>
          <cell r="P1413">
            <v>0.26412825651302602</v>
          </cell>
        </row>
        <row r="1414">
          <cell r="F1414" t="str">
            <v>70360372</v>
          </cell>
          <cell r="G1414" t="str">
            <v>中粮油脂</v>
          </cell>
          <cell r="H1414" t="str">
            <v>福临门</v>
          </cell>
          <cell r="I1414" t="str">
            <v>家庭食品</v>
          </cell>
          <cell r="J1414" t="str">
            <v>油</v>
          </cell>
          <cell r="K1414" t="str">
            <v>福临门 营养家活粒鲜胚玉米胚芽油 5L</v>
          </cell>
          <cell r="L1414" t="str">
            <v>5L</v>
          </cell>
          <cell r="M1414" t="str">
            <v>桶</v>
          </cell>
          <cell r="N1414">
            <v>95.95</v>
          </cell>
          <cell r="O1414">
            <v>119.9</v>
          </cell>
          <cell r="P1414">
            <v>0.191826522101751</v>
          </cell>
        </row>
        <row r="1415">
          <cell r="F1415" t="str">
            <v>70360370</v>
          </cell>
          <cell r="G1415" t="str">
            <v>中粮油脂</v>
          </cell>
          <cell r="H1415" t="str">
            <v>福临门</v>
          </cell>
          <cell r="I1415" t="str">
            <v>家庭食品</v>
          </cell>
          <cell r="J1415" t="str">
            <v>油</v>
          </cell>
          <cell r="K1415" t="str">
            <v>福临门 家香味沂蒙土榨花生仁油 5L</v>
          </cell>
          <cell r="L1415" t="str">
            <v>5L</v>
          </cell>
          <cell r="M1415" t="str">
            <v>桶</v>
          </cell>
          <cell r="N1415">
            <v>156.55000000000001</v>
          </cell>
          <cell r="O1415">
            <v>179.9</v>
          </cell>
          <cell r="P1415">
            <v>0.121178432462479</v>
          </cell>
        </row>
        <row r="1416">
          <cell r="F1416" t="str">
            <v>70395513</v>
          </cell>
          <cell r="G1416" t="str">
            <v>中粮油脂</v>
          </cell>
          <cell r="H1416" t="str">
            <v>福临门</v>
          </cell>
          <cell r="I1416" t="str">
            <v>家庭食品</v>
          </cell>
          <cell r="J1416" t="str">
            <v>油</v>
          </cell>
          <cell r="K1416" t="str">
            <v>福临门 营养家活粒鲜胚玉米胚芽油 700mL</v>
          </cell>
          <cell r="L1416" t="str">
            <v>700mL</v>
          </cell>
          <cell r="M1416" t="str">
            <v>瓶</v>
          </cell>
          <cell r="N1416">
            <v>14.65</v>
          </cell>
          <cell r="O1416">
            <v>20.9</v>
          </cell>
          <cell r="P1416">
            <v>0.29234449760765602</v>
          </cell>
        </row>
        <row r="1417">
          <cell r="F1417" t="str">
            <v>70224315</v>
          </cell>
          <cell r="G1417" t="str">
            <v>中粮油脂</v>
          </cell>
          <cell r="H1417" t="str">
            <v>福临门</v>
          </cell>
          <cell r="I1417" t="str">
            <v>家庭食品</v>
          </cell>
          <cell r="J1417" t="str">
            <v>油</v>
          </cell>
          <cell r="K1417" t="str">
            <v>福临门 一级小磨香油 250mL</v>
          </cell>
          <cell r="L1417" t="str">
            <v>250mL</v>
          </cell>
          <cell r="M1417" t="str">
            <v>瓶</v>
          </cell>
          <cell r="N1417">
            <v>17.170000000000002</v>
          </cell>
          <cell r="O1417">
            <v>23</v>
          </cell>
          <cell r="P1417">
            <v>0.24608695652173901</v>
          </cell>
        </row>
        <row r="1418">
          <cell r="F1418" t="str">
            <v>70396004</v>
          </cell>
          <cell r="G1418" t="str">
            <v>中粮油脂</v>
          </cell>
          <cell r="H1418" t="str">
            <v>福临门</v>
          </cell>
          <cell r="I1418" t="str">
            <v>家庭食品</v>
          </cell>
          <cell r="J1418" t="str">
            <v>油</v>
          </cell>
          <cell r="K1418" t="str">
            <v>福临门 营养家稻米油 5L</v>
          </cell>
          <cell r="L1418" t="str">
            <v>5L</v>
          </cell>
          <cell r="M1418" t="str">
            <v>桶</v>
          </cell>
          <cell r="N1418">
            <v>99.99</v>
          </cell>
          <cell r="O1418">
            <v>119.9</v>
          </cell>
          <cell r="P1418">
            <v>0.15779816513761499</v>
          </cell>
        </row>
        <row r="1419">
          <cell r="F1419" t="str">
            <v>70395509</v>
          </cell>
          <cell r="G1419" t="str">
            <v>中粮油脂</v>
          </cell>
          <cell r="H1419" t="str">
            <v>福临门</v>
          </cell>
          <cell r="I1419" t="str">
            <v>家庭食品</v>
          </cell>
          <cell r="J1419" t="str">
            <v>油</v>
          </cell>
          <cell r="K1419" t="str">
            <v>福临门 家香味传承土榨花生油 1.8L*2</v>
          </cell>
          <cell r="L1419" t="str">
            <v>1.8L*2</v>
          </cell>
          <cell r="M1419" t="str">
            <v>桶</v>
          </cell>
          <cell r="N1419">
            <v>105.04</v>
          </cell>
          <cell r="O1419">
            <v>119.9</v>
          </cell>
          <cell r="P1419">
            <v>0.115262718932444</v>
          </cell>
        </row>
        <row r="1420">
          <cell r="F1420" t="str">
            <v>70442704</v>
          </cell>
          <cell r="G1420" t="str">
            <v>中粮油脂</v>
          </cell>
          <cell r="H1420" t="str">
            <v>福临门</v>
          </cell>
          <cell r="I1420" t="str">
            <v>家庭食品</v>
          </cell>
          <cell r="J1420" t="str">
            <v>油</v>
          </cell>
          <cell r="K1420" t="str">
            <v>福临门 营养家黄金小黑葵葵花仁油 1.5L</v>
          </cell>
          <cell r="L1420" t="str">
            <v>1.5L</v>
          </cell>
          <cell r="M1420" t="str">
            <v>桶</v>
          </cell>
          <cell r="N1420">
            <v>31.31</v>
          </cell>
          <cell r="O1420">
            <v>41.9</v>
          </cell>
          <cell r="P1420">
            <v>0.245346062052506</v>
          </cell>
        </row>
        <row r="1421">
          <cell r="F1421" t="str">
            <v>70259460</v>
          </cell>
          <cell r="G1421" t="str">
            <v>中粮油脂</v>
          </cell>
          <cell r="H1421" t="str">
            <v>福临门</v>
          </cell>
          <cell r="I1421" t="str">
            <v>家庭食品</v>
          </cell>
          <cell r="J1421" t="str">
            <v>油</v>
          </cell>
          <cell r="K1421" t="str">
            <v>福临门 压榨芝麻香油 220mL</v>
          </cell>
          <cell r="L1421" t="str">
            <v>220mL</v>
          </cell>
          <cell r="M1421" t="str">
            <v>瓶</v>
          </cell>
          <cell r="N1421">
            <v>12.63</v>
          </cell>
          <cell r="O1421">
            <v>18</v>
          </cell>
          <cell r="P1421">
            <v>0.29166666666666702</v>
          </cell>
        </row>
        <row r="1422">
          <cell r="F1422" t="str">
            <v>70241723</v>
          </cell>
          <cell r="G1422" t="str">
            <v>中粮油脂</v>
          </cell>
          <cell r="H1422" t="str">
            <v>福临门</v>
          </cell>
          <cell r="I1422" t="str">
            <v>家庭食品</v>
          </cell>
          <cell r="J1422" t="str">
            <v>油</v>
          </cell>
          <cell r="K1422" t="str">
            <v>福临门 一级小磨香油 400mL</v>
          </cell>
          <cell r="L1422" t="str">
            <v>400mL</v>
          </cell>
          <cell r="M1422" t="str">
            <v>瓶</v>
          </cell>
          <cell r="N1422">
            <v>21.72</v>
          </cell>
          <cell r="O1422">
            <v>29.9</v>
          </cell>
          <cell r="P1422">
            <v>0.26655518394648797</v>
          </cell>
        </row>
        <row r="1423">
          <cell r="F1423" t="str">
            <v>70381840</v>
          </cell>
          <cell r="G1423" t="str">
            <v>中粮油脂</v>
          </cell>
          <cell r="H1423" t="str">
            <v>福临门</v>
          </cell>
          <cell r="I1423" t="str">
            <v>家庭食品</v>
          </cell>
          <cell r="J1423" t="str">
            <v>油</v>
          </cell>
          <cell r="K1423" t="str">
            <v>福临门 家香味传承土榨花生油 4L</v>
          </cell>
          <cell r="L1423" t="str">
            <v>4L</v>
          </cell>
          <cell r="M1423" t="str">
            <v>桶</v>
          </cell>
          <cell r="N1423">
            <v>98.98</v>
          </cell>
          <cell r="O1423">
            <v>119.9</v>
          </cell>
          <cell r="P1423">
            <v>0.16630525437864899</v>
          </cell>
        </row>
        <row r="1424">
          <cell r="F1424" t="str">
            <v>70198569</v>
          </cell>
          <cell r="G1424" t="str">
            <v>中粮油脂</v>
          </cell>
          <cell r="H1424" t="str">
            <v>福临门</v>
          </cell>
          <cell r="I1424" t="str">
            <v>家庭食品</v>
          </cell>
          <cell r="J1424" t="str">
            <v>糖</v>
          </cell>
          <cell r="K1424" t="str">
            <v>福临门 优选单晶体冰糖 350g</v>
          </cell>
          <cell r="L1424" t="str">
            <v>350g</v>
          </cell>
          <cell r="M1424" t="str">
            <v>袋</v>
          </cell>
          <cell r="N1424">
            <v>7.07</v>
          </cell>
          <cell r="O1424">
            <v>9.9</v>
          </cell>
          <cell r="P1424">
            <v>0.27878787878787897</v>
          </cell>
        </row>
        <row r="1425">
          <cell r="F1425" t="str">
            <v>70267459</v>
          </cell>
          <cell r="G1425" t="str">
            <v>中粮油脂</v>
          </cell>
          <cell r="H1425" t="str">
            <v>福临门</v>
          </cell>
          <cell r="I1425" t="str">
            <v>家庭食品</v>
          </cell>
          <cell r="J1425" t="str">
            <v>糖</v>
          </cell>
          <cell r="K1425" t="str">
            <v>福临门 优质绵白糖 360g</v>
          </cell>
          <cell r="L1425" t="str">
            <v>360g</v>
          </cell>
          <cell r="M1425" t="str">
            <v>袋</v>
          </cell>
          <cell r="N1425">
            <v>6.06</v>
          </cell>
          <cell r="O1425">
            <v>9.9</v>
          </cell>
          <cell r="P1425">
            <v>0.381818181818182</v>
          </cell>
        </row>
        <row r="1426">
          <cell r="F1426" t="str">
            <v>70064721</v>
          </cell>
          <cell r="G1426" t="str">
            <v>中粮油脂</v>
          </cell>
          <cell r="H1426" t="str">
            <v>福临门</v>
          </cell>
          <cell r="I1426" t="str">
            <v>家庭食品</v>
          </cell>
          <cell r="J1426" t="str">
            <v>油</v>
          </cell>
          <cell r="K1426" t="str">
            <v>福临门 家香味传承土榨花生油 900mL</v>
          </cell>
          <cell r="L1426" t="str">
            <v>900mL</v>
          </cell>
          <cell r="M1426" t="str">
            <v>瓶</v>
          </cell>
          <cell r="N1426">
            <v>22.52</v>
          </cell>
          <cell r="O1426">
            <v>29.9</v>
          </cell>
          <cell r="P1426">
            <v>0.23913043478260901</v>
          </cell>
        </row>
        <row r="1427">
          <cell r="F1427" t="str">
            <v>70044768</v>
          </cell>
          <cell r="G1427" t="str">
            <v>中粮油脂</v>
          </cell>
          <cell r="H1427" t="str">
            <v>福临门</v>
          </cell>
          <cell r="I1427" t="str">
            <v>家庭食品</v>
          </cell>
          <cell r="J1427" t="str">
            <v>油</v>
          </cell>
          <cell r="K1427" t="str">
            <v>福临门 花生原香食用植物调和油 4L</v>
          </cell>
          <cell r="L1427" t="str">
            <v>4L</v>
          </cell>
          <cell r="M1427" t="str">
            <v>桶</v>
          </cell>
          <cell r="N1427">
            <v>50.5</v>
          </cell>
          <cell r="O1427">
            <v>63.9</v>
          </cell>
          <cell r="P1427">
            <v>0.2018779342723</v>
          </cell>
        </row>
        <row r="1428">
          <cell r="F1428" t="str">
            <v>70180686</v>
          </cell>
          <cell r="G1428" t="str">
            <v>中粮油脂</v>
          </cell>
          <cell r="H1428" t="str">
            <v>福临门</v>
          </cell>
          <cell r="I1428" t="str">
            <v>家庭食品</v>
          </cell>
          <cell r="J1428" t="str">
            <v>糖</v>
          </cell>
          <cell r="K1428" t="str">
            <v>福临门 纯正红糖 300g</v>
          </cell>
          <cell r="L1428" t="str">
            <v>300g</v>
          </cell>
          <cell r="M1428" t="str">
            <v>袋</v>
          </cell>
          <cell r="N1428">
            <v>6.06</v>
          </cell>
          <cell r="O1428">
            <v>9.9</v>
          </cell>
          <cell r="P1428">
            <v>0.381818181818182</v>
          </cell>
        </row>
        <row r="1429">
          <cell r="F1429" t="str">
            <v>70285329</v>
          </cell>
          <cell r="G1429" t="str">
            <v>中粮油脂</v>
          </cell>
          <cell r="H1429" t="str">
            <v>福临门</v>
          </cell>
          <cell r="I1429" t="str">
            <v>家庭食品</v>
          </cell>
          <cell r="J1429" t="str">
            <v>油</v>
          </cell>
          <cell r="K1429" t="str">
            <v>福临门 营养家食用植物调和油 1.8L</v>
          </cell>
          <cell r="L1429" t="str">
            <v>1.8L</v>
          </cell>
          <cell r="M1429" t="str">
            <v>桶</v>
          </cell>
          <cell r="N1429">
            <v>34.340000000000003</v>
          </cell>
          <cell r="O1429">
            <v>39.9</v>
          </cell>
          <cell r="P1429">
            <v>0.13082706766917299</v>
          </cell>
        </row>
        <row r="1430">
          <cell r="F1430" t="str">
            <v>70362166</v>
          </cell>
          <cell r="G1430" t="str">
            <v>中粮油脂</v>
          </cell>
          <cell r="H1430" t="str">
            <v>福临门</v>
          </cell>
          <cell r="I1430" t="str">
            <v>家庭食品</v>
          </cell>
          <cell r="J1430" t="str">
            <v>油</v>
          </cell>
          <cell r="K1430" t="str">
            <v>福临门 营养家亚麻籽油 248mL</v>
          </cell>
          <cell r="L1430" t="str">
            <v>248mL</v>
          </cell>
          <cell r="M1430" t="str">
            <v>瓶</v>
          </cell>
          <cell r="N1430">
            <v>20.2</v>
          </cell>
          <cell r="O1430">
            <v>31</v>
          </cell>
          <cell r="P1430">
            <v>0.341935483870968</v>
          </cell>
        </row>
        <row r="1431">
          <cell r="F1431" t="str">
            <v>70362168</v>
          </cell>
          <cell r="G1431" t="str">
            <v>中粮油脂</v>
          </cell>
          <cell r="H1431" t="str">
            <v>福临门</v>
          </cell>
          <cell r="I1431" t="str">
            <v>家庭食品</v>
          </cell>
          <cell r="J1431" t="str">
            <v>油</v>
          </cell>
          <cell r="K1431" t="str">
            <v>福临门 营养家亚麻籽油 750mL*2</v>
          </cell>
          <cell r="L1431" t="str">
            <v>750mL*2</v>
          </cell>
          <cell r="M1431" t="str">
            <v>箱</v>
          </cell>
          <cell r="N1431">
            <v>121.2</v>
          </cell>
          <cell r="O1431">
            <v>179</v>
          </cell>
          <cell r="P1431">
            <v>0.31620111731843598</v>
          </cell>
        </row>
        <row r="1432">
          <cell r="F1432" t="str">
            <v>70362167</v>
          </cell>
          <cell r="G1432" t="str">
            <v>中粮油脂</v>
          </cell>
          <cell r="H1432" t="str">
            <v>福临门</v>
          </cell>
          <cell r="I1432" t="str">
            <v>家庭食品</v>
          </cell>
          <cell r="J1432" t="str">
            <v>油</v>
          </cell>
          <cell r="K1432" t="str">
            <v>福临门 营养家亚麻籽油 750mL</v>
          </cell>
          <cell r="L1432" t="str">
            <v>750mL</v>
          </cell>
          <cell r="M1432" t="str">
            <v>瓶</v>
          </cell>
          <cell r="N1432">
            <v>50.5</v>
          </cell>
          <cell r="O1432">
            <v>81.8</v>
          </cell>
          <cell r="P1432">
            <v>0.37652811735941299</v>
          </cell>
        </row>
        <row r="1433">
          <cell r="F1433" t="str">
            <v>70031807</v>
          </cell>
          <cell r="G1433" t="str">
            <v>中粮油脂</v>
          </cell>
          <cell r="H1433" t="str">
            <v>福临门</v>
          </cell>
          <cell r="I1433" t="str">
            <v>家庭食品</v>
          </cell>
          <cell r="J1433" t="str">
            <v>油</v>
          </cell>
          <cell r="K1433" t="str">
            <v>福临门 压榨芝麻香油 400mL</v>
          </cell>
          <cell r="L1433" t="str">
            <v>400mL</v>
          </cell>
          <cell r="M1433" t="str">
            <v>瓶</v>
          </cell>
          <cell r="N1433">
            <v>19.190000000000001</v>
          </cell>
          <cell r="O1433">
            <v>26.9</v>
          </cell>
          <cell r="P1433">
            <v>0.279553903345725</v>
          </cell>
        </row>
        <row r="1434">
          <cell r="F1434" t="str">
            <v>70267458</v>
          </cell>
          <cell r="G1434" t="str">
            <v>中粮油脂</v>
          </cell>
          <cell r="H1434" t="str">
            <v>福临门</v>
          </cell>
          <cell r="I1434" t="str">
            <v>家庭食品</v>
          </cell>
          <cell r="J1434" t="str">
            <v>糖</v>
          </cell>
          <cell r="K1434" t="str">
            <v>福临门 优质白砂糖 360g</v>
          </cell>
          <cell r="L1434" t="str">
            <v>360g</v>
          </cell>
          <cell r="M1434" t="str">
            <v>袋</v>
          </cell>
          <cell r="N1434">
            <v>6.06</v>
          </cell>
          <cell r="O1434">
            <v>9.9</v>
          </cell>
          <cell r="P1434">
            <v>0.381818181818182</v>
          </cell>
        </row>
        <row r="1435">
          <cell r="F1435" t="str">
            <v>70442703</v>
          </cell>
          <cell r="G1435" t="str">
            <v>中粮油脂</v>
          </cell>
          <cell r="H1435" t="str">
            <v>福临门</v>
          </cell>
          <cell r="I1435" t="str">
            <v>家庭食品</v>
          </cell>
          <cell r="J1435" t="str">
            <v>油</v>
          </cell>
          <cell r="K1435" t="str">
            <v>福临门 营养家黄金小黑葵葵花仁油 4L</v>
          </cell>
          <cell r="L1435" t="str">
            <v>4L</v>
          </cell>
          <cell r="M1435" t="str">
            <v>桶</v>
          </cell>
          <cell r="N1435">
            <v>81.81</v>
          </cell>
          <cell r="O1435">
            <v>99.9</v>
          </cell>
          <cell r="P1435">
            <v>0.17297297297297301</v>
          </cell>
        </row>
        <row r="1436">
          <cell r="F1436" t="str">
            <v>70241724</v>
          </cell>
          <cell r="G1436" t="str">
            <v>中粮油脂</v>
          </cell>
          <cell r="H1436" t="str">
            <v>福临门</v>
          </cell>
          <cell r="I1436" t="str">
            <v>家庭食品</v>
          </cell>
          <cell r="J1436" t="str">
            <v>油</v>
          </cell>
          <cell r="K1436" t="str">
            <v>福临门 非转基因一级大豆油 5L</v>
          </cell>
          <cell r="L1436" t="str">
            <v>5L</v>
          </cell>
          <cell r="M1436" t="str">
            <v>桶</v>
          </cell>
          <cell r="N1436">
            <v>62.62</v>
          </cell>
          <cell r="O1436">
            <v>79.900000000000006</v>
          </cell>
          <cell r="P1436">
            <v>0.208510638297872</v>
          </cell>
        </row>
        <row r="1437">
          <cell r="F1437" t="str">
            <v>70006540</v>
          </cell>
          <cell r="G1437" t="str">
            <v>中粮油脂</v>
          </cell>
          <cell r="H1437" t="str">
            <v>福临门</v>
          </cell>
          <cell r="I1437" t="str">
            <v>家庭食品</v>
          </cell>
          <cell r="J1437" t="str">
            <v>油</v>
          </cell>
          <cell r="K1437" t="str">
            <v>福临门 家香味非转基因纯香大豆油 5L</v>
          </cell>
          <cell r="L1437" t="str">
            <v>5L</v>
          </cell>
          <cell r="M1437" t="str">
            <v>桶</v>
          </cell>
          <cell r="N1437">
            <v>65.150000000000006</v>
          </cell>
          <cell r="O1437">
            <v>79.900000000000006</v>
          </cell>
          <cell r="P1437">
            <v>0.17659574468085101</v>
          </cell>
        </row>
        <row r="1438">
          <cell r="F1438" t="str">
            <v>70231913</v>
          </cell>
          <cell r="G1438" t="str">
            <v>中粮油脂</v>
          </cell>
          <cell r="H1438" t="str">
            <v>福临门</v>
          </cell>
          <cell r="I1438" t="str">
            <v>家庭食品</v>
          </cell>
          <cell r="J1438" t="str">
            <v>油</v>
          </cell>
          <cell r="K1438" t="str">
            <v>福临门 非转基因压榨一级菜籽油 5L</v>
          </cell>
          <cell r="L1438" t="str">
            <v>5L</v>
          </cell>
          <cell r="M1438" t="str">
            <v>桶</v>
          </cell>
          <cell r="N1438">
            <v>73.73</v>
          </cell>
          <cell r="O1438">
            <v>92.9</v>
          </cell>
          <cell r="P1438">
            <v>0.19849300322927901</v>
          </cell>
        </row>
        <row r="1439">
          <cell r="F1439" t="str">
            <v>70061099</v>
          </cell>
          <cell r="G1439" t="str">
            <v>中粮油脂</v>
          </cell>
          <cell r="H1439" t="str">
            <v>福临门</v>
          </cell>
          <cell r="I1439" t="str">
            <v>家庭食品</v>
          </cell>
          <cell r="J1439" t="str">
            <v>油</v>
          </cell>
          <cell r="K1439" t="str">
            <v>福临门 非转基因AE一级大豆油 5L</v>
          </cell>
          <cell r="L1439" t="str">
            <v>5L</v>
          </cell>
          <cell r="M1439" t="str">
            <v>桶</v>
          </cell>
          <cell r="N1439">
            <v>63.13</v>
          </cell>
          <cell r="O1439">
            <v>79.900000000000006</v>
          </cell>
          <cell r="P1439">
            <v>0.20212765957446799</v>
          </cell>
        </row>
        <row r="1440">
          <cell r="F1440" t="str">
            <v>70061098</v>
          </cell>
          <cell r="G1440" t="str">
            <v>中粮油脂</v>
          </cell>
          <cell r="H1440" t="str">
            <v>福临门</v>
          </cell>
          <cell r="I1440" t="str">
            <v>家庭食品</v>
          </cell>
          <cell r="J1440" t="str">
            <v>油</v>
          </cell>
          <cell r="K1440" t="str">
            <v>福临门 家香味非转基因AE纯香大豆油 5L</v>
          </cell>
          <cell r="L1440" t="str">
            <v>5L</v>
          </cell>
          <cell r="M1440" t="str">
            <v>桶</v>
          </cell>
          <cell r="N1440">
            <v>63.13</v>
          </cell>
          <cell r="O1440">
            <v>82.9</v>
          </cell>
          <cell r="P1440">
            <v>0.231001206272618</v>
          </cell>
        </row>
        <row r="1441">
          <cell r="F1441" t="str">
            <v>70365842</v>
          </cell>
          <cell r="G1441" t="str">
            <v>中粮油脂</v>
          </cell>
          <cell r="H1441" t="str">
            <v>福临门</v>
          </cell>
          <cell r="I1441" t="str">
            <v>家庭食品</v>
          </cell>
          <cell r="J1441" t="str">
            <v>油</v>
          </cell>
          <cell r="K1441" t="str">
            <v>福临门 非转基因色香味食用植物调和油 5L</v>
          </cell>
          <cell r="L1441" t="str">
            <v>5L</v>
          </cell>
          <cell r="M1441" t="str">
            <v>桶</v>
          </cell>
          <cell r="N1441">
            <v>72.72</v>
          </cell>
          <cell r="O1441">
            <v>89.9</v>
          </cell>
          <cell r="P1441">
            <v>0.18309232480533899</v>
          </cell>
        </row>
        <row r="1442">
          <cell r="F1442" t="str">
            <v>70039933</v>
          </cell>
          <cell r="G1442" t="str">
            <v>中粮油脂</v>
          </cell>
          <cell r="H1442" t="str">
            <v>福临门</v>
          </cell>
          <cell r="I1442" t="str">
            <v>家庭食品</v>
          </cell>
          <cell r="J1442" t="str">
            <v>油</v>
          </cell>
          <cell r="K1442" t="str">
            <v>福临门 压榨一级葵花籽油 1.8L</v>
          </cell>
          <cell r="L1442" t="str">
            <v>1.8L</v>
          </cell>
          <cell r="M1442" t="str">
            <v>桶</v>
          </cell>
          <cell r="N1442">
            <v>31.82</v>
          </cell>
          <cell r="O1442">
            <v>45.9</v>
          </cell>
          <cell r="P1442">
            <v>0.3</v>
          </cell>
        </row>
        <row r="1443">
          <cell r="F1443" t="str">
            <v>70006162</v>
          </cell>
          <cell r="G1443" t="str">
            <v>中粮油脂</v>
          </cell>
          <cell r="H1443" t="str">
            <v>福临门</v>
          </cell>
          <cell r="I1443" t="str">
            <v>家庭食品</v>
          </cell>
          <cell r="J1443" t="str">
            <v>油</v>
          </cell>
          <cell r="K1443" t="str">
            <v>福临门 家香味传承土榨花生油 5L</v>
          </cell>
          <cell r="L1443" t="str">
            <v>5L</v>
          </cell>
          <cell r="M1443" t="str">
            <v>桶</v>
          </cell>
          <cell r="N1443">
            <v>130.29</v>
          </cell>
          <cell r="O1443">
            <v>159.9</v>
          </cell>
          <cell r="P1443">
            <v>0.17711069418386499</v>
          </cell>
        </row>
        <row r="1444">
          <cell r="F1444" t="str">
            <v>70039932</v>
          </cell>
          <cell r="G1444" t="str">
            <v>中粮油脂</v>
          </cell>
          <cell r="H1444" t="str">
            <v>福临门</v>
          </cell>
          <cell r="I1444" t="str">
            <v>家庭食品</v>
          </cell>
          <cell r="J1444" t="str">
            <v>油</v>
          </cell>
          <cell r="K1444" t="str">
            <v>福临门 黄金产地玉米油 900mL</v>
          </cell>
          <cell r="L1444" t="str">
            <v>900mL</v>
          </cell>
          <cell r="M1444" t="str">
            <v>瓶</v>
          </cell>
          <cell r="N1444">
            <v>16.670000000000002</v>
          </cell>
          <cell r="O1444">
            <v>25.9</v>
          </cell>
          <cell r="P1444">
            <v>0.35019305019305003</v>
          </cell>
        </row>
        <row r="1445">
          <cell r="F1445" t="str">
            <v>70268447</v>
          </cell>
          <cell r="G1445" t="str">
            <v>中粮油脂</v>
          </cell>
          <cell r="H1445" t="str">
            <v>福临门</v>
          </cell>
          <cell r="I1445" t="str">
            <v>家庭食品</v>
          </cell>
          <cell r="J1445" t="str">
            <v>油</v>
          </cell>
          <cell r="K1445" t="str">
            <v>福临门 黄金产地玉米油 4L</v>
          </cell>
          <cell r="L1445" t="str">
            <v>4L</v>
          </cell>
          <cell r="M1445" t="str">
            <v>桶</v>
          </cell>
          <cell r="N1445">
            <v>62.62</v>
          </cell>
          <cell r="O1445">
            <v>86.9</v>
          </cell>
          <cell r="P1445">
            <v>0.272266973532796</v>
          </cell>
        </row>
        <row r="1446">
          <cell r="F1446" t="str">
            <v>70259685</v>
          </cell>
          <cell r="G1446" t="str">
            <v>中粮油脂</v>
          </cell>
          <cell r="H1446" t="str">
            <v>福临门</v>
          </cell>
          <cell r="I1446" t="str">
            <v>家庭食品</v>
          </cell>
          <cell r="J1446" t="str">
            <v>油</v>
          </cell>
          <cell r="K1446" t="str">
            <v>福临门 非转基因一级菜籽油（浸出） 5L</v>
          </cell>
          <cell r="L1446" t="str">
            <v>5L</v>
          </cell>
          <cell r="M1446" t="str">
            <v>桶</v>
          </cell>
          <cell r="N1446">
            <v>74.739999999999995</v>
          </cell>
          <cell r="O1446">
            <v>89.9</v>
          </cell>
          <cell r="P1446">
            <v>0.160400444938821</v>
          </cell>
        </row>
        <row r="1447">
          <cell r="F1447" t="str">
            <v>70260836</v>
          </cell>
          <cell r="G1447" t="str">
            <v>中粮油脂</v>
          </cell>
          <cell r="H1447" t="str">
            <v>福临门</v>
          </cell>
          <cell r="I1447" t="str">
            <v>家庭食品</v>
          </cell>
          <cell r="J1447" t="str">
            <v>油</v>
          </cell>
          <cell r="K1447" t="str">
            <v>福临门 非转基因一级大豆油 900mL</v>
          </cell>
          <cell r="L1447" t="str">
            <v>900mL</v>
          </cell>
          <cell r="M1447" t="str">
            <v>瓶</v>
          </cell>
          <cell r="N1447">
            <v>12.63</v>
          </cell>
          <cell r="O1447">
            <v>19.899999999999999</v>
          </cell>
          <cell r="P1447">
            <v>0.35929648241206003</v>
          </cell>
        </row>
        <row r="1448">
          <cell r="F1448" t="str">
            <v>70185589</v>
          </cell>
          <cell r="G1448" t="str">
            <v>中粮油脂</v>
          </cell>
          <cell r="H1448" t="str">
            <v>福临门</v>
          </cell>
          <cell r="I1448" t="str">
            <v>家庭食品</v>
          </cell>
          <cell r="J1448" t="str">
            <v>油</v>
          </cell>
          <cell r="K1448" t="str">
            <v>福临门 压榨一级葵花籽油 4L</v>
          </cell>
          <cell r="L1448" t="str">
            <v>4L</v>
          </cell>
          <cell r="M1448" t="str">
            <v>桶</v>
          </cell>
          <cell r="N1448">
            <v>64.64</v>
          </cell>
          <cell r="O1448">
            <v>86.9</v>
          </cell>
          <cell r="P1448">
            <v>0.248791714614499</v>
          </cell>
        </row>
        <row r="1449">
          <cell r="F1449" t="str">
            <v>70186763</v>
          </cell>
          <cell r="G1449" t="str">
            <v>中粮油脂</v>
          </cell>
          <cell r="H1449" t="str">
            <v>福临门</v>
          </cell>
          <cell r="I1449" t="str">
            <v>家庭食品</v>
          </cell>
          <cell r="J1449" t="str">
            <v>油</v>
          </cell>
          <cell r="K1449" t="str">
            <v>福临门 家香味低芥酸浓香压榨菜籽油 1.5L</v>
          </cell>
          <cell r="L1449" t="str">
            <v>1.5L</v>
          </cell>
          <cell r="M1449" t="str">
            <v>桶</v>
          </cell>
          <cell r="N1449">
            <v>28.28</v>
          </cell>
          <cell r="O1449">
            <v>39.9</v>
          </cell>
          <cell r="P1449">
            <v>0.28421052631578902</v>
          </cell>
        </row>
        <row r="1450">
          <cell r="F1450" t="str">
            <v>70362170</v>
          </cell>
          <cell r="G1450" t="str">
            <v>中粮油脂</v>
          </cell>
          <cell r="H1450" t="str">
            <v>福临门</v>
          </cell>
          <cell r="I1450" t="str">
            <v>家庭食品</v>
          </cell>
          <cell r="J1450" t="str">
            <v>油</v>
          </cell>
          <cell r="K1450" t="str">
            <v>福临门 营养家黄金小黑葵葵花仁油 1.8L</v>
          </cell>
          <cell r="L1450" t="str">
            <v>1.8L</v>
          </cell>
          <cell r="M1450" t="str">
            <v>桶</v>
          </cell>
          <cell r="N1450">
            <v>35.86</v>
          </cell>
          <cell r="O1450">
            <v>49.9</v>
          </cell>
          <cell r="P1450">
            <v>0.27434869739479001</v>
          </cell>
        </row>
        <row r="1451">
          <cell r="F1451" t="str">
            <v>70283109</v>
          </cell>
          <cell r="G1451" t="str">
            <v>中粮油脂</v>
          </cell>
          <cell r="H1451" t="str">
            <v>福临门</v>
          </cell>
          <cell r="I1451" t="str">
            <v>家庭食品</v>
          </cell>
          <cell r="J1451" t="str">
            <v>油</v>
          </cell>
          <cell r="K1451" t="str">
            <v>福临门 家香味老豆油（非转） 5L</v>
          </cell>
          <cell r="L1451" t="str">
            <v>5L</v>
          </cell>
          <cell r="M1451" t="str">
            <v>桶</v>
          </cell>
          <cell r="N1451">
            <v>79.290000000000006</v>
          </cell>
          <cell r="O1451">
            <v>99.9</v>
          </cell>
          <cell r="P1451">
            <v>0.19849849849849899</v>
          </cell>
        </row>
        <row r="1452">
          <cell r="F1452" t="str">
            <v>70259683</v>
          </cell>
          <cell r="G1452" t="str">
            <v>中粮油脂</v>
          </cell>
          <cell r="H1452" t="str">
            <v>福临门</v>
          </cell>
          <cell r="I1452" t="str">
            <v>家庭食品</v>
          </cell>
          <cell r="J1452" t="str">
            <v>油</v>
          </cell>
          <cell r="K1452" t="str">
            <v>福临门 家香味低芥酸浓香压榨菜籽油 1.8L</v>
          </cell>
          <cell r="L1452" t="str">
            <v>1.8l</v>
          </cell>
          <cell r="M1452" t="str">
            <v>桶</v>
          </cell>
          <cell r="N1452">
            <v>31.31</v>
          </cell>
          <cell r="O1452">
            <v>45.9</v>
          </cell>
          <cell r="P1452">
            <v>0.31111111111111101</v>
          </cell>
        </row>
        <row r="1453">
          <cell r="F1453" t="str">
            <v>70259682</v>
          </cell>
          <cell r="G1453" t="str">
            <v>中粮油脂</v>
          </cell>
          <cell r="H1453" t="str">
            <v>福临门</v>
          </cell>
          <cell r="I1453" t="str">
            <v>家庭食品</v>
          </cell>
          <cell r="J1453" t="str">
            <v>油</v>
          </cell>
          <cell r="K1453" t="str">
            <v>福临门 家香味低芥酸浓香压榨菜籽油 900mL</v>
          </cell>
          <cell r="L1453" t="str">
            <v>900mL</v>
          </cell>
          <cell r="M1453" t="str">
            <v>瓶</v>
          </cell>
          <cell r="N1453">
            <v>16.670000000000002</v>
          </cell>
          <cell r="O1453">
            <v>22.9</v>
          </cell>
          <cell r="P1453">
            <v>0.26506550218340602</v>
          </cell>
        </row>
        <row r="1454">
          <cell r="F1454" t="str">
            <v>70362169</v>
          </cell>
          <cell r="G1454" t="str">
            <v>中粮油脂</v>
          </cell>
          <cell r="H1454" t="str">
            <v>福临门</v>
          </cell>
          <cell r="I1454" t="str">
            <v>家庭食品</v>
          </cell>
          <cell r="J1454" t="str">
            <v>油</v>
          </cell>
          <cell r="K1454" t="str">
            <v>福临门 家香味沂蒙土榨花生仁油 1.8L</v>
          </cell>
          <cell r="L1454" t="str">
            <v>1.8L</v>
          </cell>
          <cell r="M1454" t="str">
            <v>桶</v>
          </cell>
          <cell r="N1454">
            <v>58.58</v>
          </cell>
          <cell r="O1454">
            <v>75.900000000000006</v>
          </cell>
          <cell r="P1454">
            <v>0.220553359683795</v>
          </cell>
        </row>
        <row r="1455">
          <cell r="F1455" t="str">
            <v>70061166</v>
          </cell>
          <cell r="G1455" t="str">
            <v>中粮油脂</v>
          </cell>
          <cell r="H1455" t="str">
            <v>福临门</v>
          </cell>
          <cell r="I1455" t="str">
            <v>家庭食品</v>
          </cell>
          <cell r="J1455" t="str">
            <v>油</v>
          </cell>
          <cell r="K1455" t="str">
            <v>福临门 一级大豆油 4L</v>
          </cell>
          <cell r="L1455" t="str">
            <v>4L</v>
          </cell>
          <cell r="M1455" t="str">
            <v>桶</v>
          </cell>
          <cell r="N1455">
            <v>41.41</v>
          </cell>
          <cell r="O1455">
            <v>62.9</v>
          </cell>
          <cell r="P1455">
            <v>0.33513513513513499</v>
          </cell>
        </row>
        <row r="1456">
          <cell r="F1456" t="str">
            <v>70522093</v>
          </cell>
          <cell r="G1456" t="str">
            <v>中粮油脂</v>
          </cell>
          <cell r="H1456" t="str">
            <v>福临门</v>
          </cell>
          <cell r="I1456" t="str">
            <v>家庭食品</v>
          </cell>
          <cell r="J1456" t="str">
            <v>油</v>
          </cell>
          <cell r="K1456" t="str">
            <v>福临门 亚麻籽油 5L</v>
          </cell>
          <cell r="L1456" t="str">
            <v>5L</v>
          </cell>
          <cell r="M1456" t="str">
            <v>桶</v>
          </cell>
          <cell r="N1456">
            <v>111.1</v>
          </cell>
          <cell r="O1456">
            <v>168</v>
          </cell>
          <cell r="P1456">
            <v>0.33214285714285702</v>
          </cell>
        </row>
        <row r="1457">
          <cell r="F1457" t="str">
            <v>70522089</v>
          </cell>
          <cell r="G1457" t="str">
            <v>中粮油脂</v>
          </cell>
          <cell r="H1457" t="str">
            <v>福临门</v>
          </cell>
          <cell r="I1457" t="str">
            <v>家庭食品</v>
          </cell>
          <cell r="J1457" t="str">
            <v>油</v>
          </cell>
          <cell r="K1457" t="str">
            <v>福临门 营养家亚麻籽油 1.5L</v>
          </cell>
          <cell r="L1457" t="str">
            <v>1.5L</v>
          </cell>
          <cell r="M1457" t="str">
            <v>桶</v>
          </cell>
          <cell r="N1457">
            <v>58.58</v>
          </cell>
          <cell r="O1457">
            <v>96</v>
          </cell>
          <cell r="P1457">
            <v>0.38374999999999998</v>
          </cell>
        </row>
        <row r="1458">
          <cell r="F1458" t="str">
            <v>70259774</v>
          </cell>
          <cell r="G1458" t="str">
            <v>中粮油脂</v>
          </cell>
          <cell r="H1458" t="str">
            <v>福临门</v>
          </cell>
          <cell r="I1458" t="str">
            <v>家庭食品</v>
          </cell>
          <cell r="J1458" t="str">
            <v>油</v>
          </cell>
          <cell r="K1458" t="str">
            <v>安达露西 橄榄油 750mL*2（简装礼盒）</v>
          </cell>
          <cell r="L1458" t="str">
            <v>750mL*2</v>
          </cell>
          <cell r="M1458" t="str">
            <v>箱</v>
          </cell>
          <cell r="N1458">
            <v>109.08</v>
          </cell>
          <cell r="O1458">
            <v>168</v>
          </cell>
          <cell r="P1458">
            <v>0.34428571428571397</v>
          </cell>
        </row>
        <row r="1459">
          <cell r="F1459" t="str">
            <v>70326787</v>
          </cell>
          <cell r="G1459" t="str">
            <v>中粮油脂</v>
          </cell>
          <cell r="H1459" t="str">
            <v>福临门</v>
          </cell>
          <cell r="I1459" t="str">
            <v>家庭食品</v>
          </cell>
          <cell r="J1459" t="str">
            <v>油</v>
          </cell>
          <cell r="K1459" t="str">
            <v>安达露西 纯正橄榄油 1.8L</v>
          </cell>
          <cell r="L1459" t="str">
            <v>1.8L</v>
          </cell>
          <cell r="M1459" t="str">
            <v>桶</v>
          </cell>
          <cell r="N1459">
            <v>96.96</v>
          </cell>
          <cell r="O1459">
            <v>168</v>
          </cell>
          <cell r="P1459">
            <v>0.41714285714285698</v>
          </cell>
        </row>
        <row r="1460">
          <cell r="F1460" t="str">
            <v>70326822</v>
          </cell>
          <cell r="G1460" t="str">
            <v>中粮油脂</v>
          </cell>
          <cell r="H1460" t="str">
            <v>福临门</v>
          </cell>
          <cell r="I1460" t="str">
            <v>家庭食品</v>
          </cell>
          <cell r="J1460" t="str">
            <v>油</v>
          </cell>
          <cell r="K1460" t="str">
            <v>安达露西 特级初榨橄榄油 235mL</v>
          </cell>
          <cell r="L1460" t="str">
            <v>235mL</v>
          </cell>
          <cell r="M1460" t="str">
            <v>瓶</v>
          </cell>
          <cell r="N1460">
            <v>23.23</v>
          </cell>
          <cell r="O1460">
            <v>49</v>
          </cell>
          <cell r="P1460">
            <v>0.52122448979591796</v>
          </cell>
        </row>
        <row r="1461">
          <cell r="F1461" t="str">
            <v>70395485</v>
          </cell>
          <cell r="G1461" t="str">
            <v>中粮油脂</v>
          </cell>
          <cell r="H1461" t="str">
            <v>福临门</v>
          </cell>
          <cell r="I1461" t="str">
            <v>家庭食品</v>
          </cell>
          <cell r="J1461" t="str">
            <v>糖</v>
          </cell>
          <cell r="K1461" t="str">
            <v>福临门 优级白砂糖 405g</v>
          </cell>
          <cell r="L1461" t="str">
            <v>405g</v>
          </cell>
          <cell r="M1461" t="str">
            <v>袋</v>
          </cell>
          <cell r="N1461">
            <v>7.58</v>
          </cell>
          <cell r="O1461">
            <v>11</v>
          </cell>
          <cell r="P1461">
            <v>0.30454545454545501</v>
          </cell>
        </row>
        <row r="1462">
          <cell r="F1462" t="str">
            <v>70574892</v>
          </cell>
          <cell r="G1462" t="str">
            <v>中粮油脂</v>
          </cell>
          <cell r="H1462" t="str">
            <v>福临门</v>
          </cell>
          <cell r="I1462" t="str">
            <v>家庭食品</v>
          </cell>
          <cell r="J1462" t="str">
            <v>油</v>
          </cell>
          <cell r="K1462" t="str">
            <v>福临门 压榨一级花生油 5.28L</v>
          </cell>
          <cell r="L1462" t="str">
            <v>5.28L</v>
          </cell>
          <cell r="M1462" t="str">
            <v>桶</v>
          </cell>
          <cell r="N1462">
            <v>111.1</v>
          </cell>
          <cell r="O1462">
            <v>139.9</v>
          </cell>
          <cell r="P1462">
            <v>0.19799857040743399</v>
          </cell>
        </row>
        <row r="1463">
          <cell r="F1463" t="str">
            <v>70247855</v>
          </cell>
          <cell r="G1463" t="str">
            <v>中粮油脂</v>
          </cell>
          <cell r="H1463" t="str">
            <v>福临门</v>
          </cell>
          <cell r="I1463" t="str">
            <v>家庭食品</v>
          </cell>
          <cell r="J1463" t="str">
            <v>油</v>
          </cell>
          <cell r="K1463" t="str">
            <v>福临门 葵花籽清香食用植物调和油 5L</v>
          </cell>
          <cell r="L1463" t="str">
            <v>5L</v>
          </cell>
          <cell r="M1463" t="str">
            <v>桶</v>
          </cell>
          <cell r="N1463">
            <v>52.52</v>
          </cell>
          <cell r="O1463">
            <v>76.900000000000006</v>
          </cell>
          <cell r="P1463">
            <v>0.31027308192457698</v>
          </cell>
        </row>
        <row r="1464">
          <cell r="F1464" t="str">
            <v>70018748</v>
          </cell>
          <cell r="G1464" t="str">
            <v>中粮油脂</v>
          </cell>
          <cell r="H1464" t="str">
            <v>福临门</v>
          </cell>
          <cell r="I1464" t="str">
            <v>家庭食品</v>
          </cell>
          <cell r="J1464" t="str">
            <v>油</v>
          </cell>
          <cell r="K1464" t="str">
            <v>福临门 家香味传承土榨花生油 1.8L</v>
          </cell>
          <cell r="L1464" t="str">
            <v>1.8L</v>
          </cell>
          <cell r="M1464" t="str">
            <v>桶</v>
          </cell>
          <cell r="N1464">
            <v>44.44</v>
          </cell>
          <cell r="O1464">
            <v>59.9</v>
          </cell>
          <cell r="P1464">
            <v>0.25075125208681098</v>
          </cell>
        </row>
        <row r="1465">
          <cell r="F1465" t="str">
            <v>70395511</v>
          </cell>
          <cell r="G1465" t="str">
            <v>中粮油脂</v>
          </cell>
          <cell r="H1465" t="str">
            <v>福临门</v>
          </cell>
          <cell r="I1465" t="str">
            <v>家庭食品</v>
          </cell>
          <cell r="J1465" t="str">
            <v>油</v>
          </cell>
          <cell r="K1465" t="str">
            <v>福临门 家香味老家土榨菜籽油 400mL</v>
          </cell>
          <cell r="L1465" t="str">
            <v>400mL</v>
          </cell>
          <cell r="M1465" t="str">
            <v>瓶</v>
          </cell>
          <cell r="N1465">
            <v>8.89</v>
          </cell>
          <cell r="O1465">
            <v>15.9</v>
          </cell>
          <cell r="P1465">
            <v>0.43522012578616298</v>
          </cell>
        </row>
        <row r="1466">
          <cell r="F1466" t="str">
            <v>70395512</v>
          </cell>
          <cell r="G1466" t="str">
            <v>中粮油脂</v>
          </cell>
          <cell r="H1466" t="str">
            <v>福临门</v>
          </cell>
          <cell r="I1466" t="str">
            <v>家庭食品</v>
          </cell>
          <cell r="J1466" t="str">
            <v>油</v>
          </cell>
          <cell r="K1466" t="str">
            <v>福临门 营养家黄金小黑葵葵花仁油 700mL</v>
          </cell>
          <cell r="L1466" t="str">
            <v>700mL</v>
          </cell>
          <cell r="M1466" t="str">
            <v>瓶</v>
          </cell>
          <cell r="N1466">
            <v>13.13</v>
          </cell>
          <cell r="O1466">
            <v>22.9</v>
          </cell>
          <cell r="P1466">
            <v>0.420960698689956</v>
          </cell>
        </row>
        <row r="1467">
          <cell r="F1467" t="str">
            <v>70395489</v>
          </cell>
          <cell r="G1467" t="str">
            <v>中粮油脂</v>
          </cell>
          <cell r="H1467" t="str">
            <v>福临门</v>
          </cell>
          <cell r="I1467" t="str">
            <v>家庭食品</v>
          </cell>
          <cell r="J1467" t="str">
            <v>油</v>
          </cell>
          <cell r="K1467" t="str">
            <v>福临门 家香味沂蒙土榨花生仁油 900mL</v>
          </cell>
          <cell r="L1467" t="str">
            <v>900mL</v>
          </cell>
          <cell r="M1467" t="str">
            <v>瓶</v>
          </cell>
          <cell r="N1467">
            <v>23.23</v>
          </cell>
          <cell r="O1467">
            <v>35.9</v>
          </cell>
          <cell r="P1467">
            <v>0.34651810584958198</v>
          </cell>
        </row>
        <row r="1468">
          <cell r="F1468" t="str">
            <v>70381839</v>
          </cell>
          <cell r="G1468" t="str">
            <v>中粮油脂</v>
          </cell>
          <cell r="H1468" t="str">
            <v>福临门</v>
          </cell>
          <cell r="I1468" t="str">
            <v>家庭食品</v>
          </cell>
          <cell r="J1468" t="str">
            <v>油</v>
          </cell>
          <cell r="K1468" t="str">
            <v>福临门 营养家活粒鲜胚玉米胚芽油 400mL</v>
          </cell>
          <cell r="L1468" t="str">
            <v>400mL</v>
          </cell>
          <cell r="M1468" t="str">
            <v>瓶</v>
          </cell>
          <cell r="N1468">
            <v>8.59</v>
          </cell>
          <cell r="O1468">
            <v>12.9</v>
          </cell>
          <cell r="P1468">
            <v>0.32790697674418601</v>
          </cell>
        </row>
        <row r="1469">
          <cell r="F1469" t="str">
            <v>70574707</v>
          </cell>
          <cell r="G1469" t="str">
            <v>老爷岭</v>
          </cell>
          <cell r="H1469" t="str">
            <v>老爷岭</v>
          </cell>
          <cell r="I1469" t="str">
            <v>家庭食品</v>
          </cell>
          <cell r="J1469" t="str">
            <v>杂粮</v>
          </cell>
          <cell r="K1469" t="str">
            <v>老爷岭 大话东北杂粮黄小米 1kg</v>
          </cell>
          <cell r="L1469" t="str">
            <v>1kg</v>
          </cell>
          <cell r="M1469" t="str">
            <v>袋</v>
          </cell>
          <cell r="N1469">
            <v>12.93</v>
          </cell>
          <cell r="O1469">
            <v>18.899999999999999</v>
          </cell>
          <cell r="P1469">
            <v>0.30899470899470899</v>
          </cell>
        </row>
        <row r="1470">
          <cell r="F1470" t="str">
            <v>70574708</v>
          </cell>
          <cell r="G1470" t="str">
            <v>老爷岭</v>
          </cell>
          <cell r="H1470" t="str">
            <v>老爷岭</v>
          </cell>
          <cell r="I1470" t="str">
            <v>家庭食品</v>
          </cell>
          <cell r="J1470" t="str">
            <v>杂粮</v>
          </cell>
          <cell r="K1470" t="str">
            <v>老爷岭 大话东北玉米碴 1kg</v>
          </cell>
          <cell r="L1470" t="str">
            <v>1kg</v>
          </cell>
          <cell r="M1470" t="str">
            <v>袋</v>
          </cell>
          <cell r="N1470">
            <v>7.27</v>
          </cell>
          <cell r="O1470">
            <v>10.8</v>
          </cell>
          <cell r="P1470">
            <v>0.32037037037036997</v>
          </cell>
        </row>
        <row r="1471">
          <cell r="F1471" t="str">
            <v>70574709</v>
          </cell>
          <cell r="G1471" t="str">
            <v>老爷岭</v>
          </cell>
          <cell r="H1471" t="str">
            <v>老爷岭</v>
          </cell>
          <cell r="I1471" t="str">
            <v>家庭食品</v>
          </cell>
          <cell r="J1471" t="str">
            <v>杂粮</v>
          </cell>
          <cell r="K1471" t="str">
            <v>老爷岭 大话东北黄豆 1kg</v>
          </cell>
          <cell r="L1471" t="str">
            <v>1kg</v>
          </cell>
          <cell r="M1471" t="str">
            <v>袋</v>
          </cell>
          <cell r="N1471">
            <v>9.6999999999999993</v>
          </cell>
          <cell r="O1471">
            <v>14.8</v>
          </cell>
          <cell r="P1471">
            <v>0.338513513513514</v>
          </cell>
        </row>
        <row r="1472">
          <cell r="F1472" t="str">
            <v>70574710</v>
          </cell>
          <cell r="G1472" t="str">
            <v>老爷岭</v>
          </cell>
          <cell r="H1472" t="str">
            <v>老爷岭</v>
          </cell>
          <cell r="I1472" t="str">
            <v>家庭食品</v>
          </cell>
          <cell r="J1472" t="str">
            <v>杂粮</v>
          </cell>
          <cell r="K1472" t="str">
            <v>老爷岭 大话东北黑米 1kg</v>
          </cell>
          <cell r="L1472" t="str">
            <v>1kg</v>
          </cell>
          <cell r="M1472" t="str">
            <v>袋</v>
          </cell>
          <cell r="N1472">
            <v>11.92</v>
          </cell>
          <cell r="O1472">
            <v>16.8</v>
          </cell>
          <cell r="P1472">
            <v>0.28333333333333299</v>
          </cell>
        </row>
        <row r="1473">
          <cell r="F1473" t="str">
            <v>70574711</v>
          </cell>
          <cell r="G1473" t="str">
            <v>老爷岭</v>
          </cell>
          <cell r="H1473" t="str">
            <v>老爷岭</v>
          </cell>
          <cell r="I1473" t="str">
            <v>家庭食品</v>
          </cell>
          <cell r="J1473" t="str">
            <v>杂粮</v>
          </cell>
          <cell r="K1473" t="str">
            <v>老爷岭 大话东北七色糙米 1kg</v>
          </cell>
          <cell r="L1473" t="str">
            <v>1kg</v>
          </cell>
          <cell r="M1473" t="str">
            <v>袋</v>
          </cell>
          <cell r="N1473">
            <v>13.94</v>
          </cell>
          <cell r="O1473">
            <v>19.8</v>
          </cell>
          <cell r="P1473">
            <v>0.28888888888888897</v>
          </cell>
        </row>
        <row r="1474">
          <cell r="F1474" t="str">
            <v>70574726</v>
          </cell>
          <cell r="G1474" t="str">
            <v>老爷岭</v>
          </cell>
          <cell r="H1474" t="str">
            <v>老爷岭</v>
          </cell>
          <cell r="I1474" t="str">
            <v>家庭食品</v>
          </cell>
          <cell r="J1474" t="str">
            <v>杂粮</v>
          </cell>
          <cell r="K1474" t="str">
            <v>老爷岭 大金苗 2.5kg</v>
          </cell>
          <cell r="L1474" t="str">
            <v>2.5kg</v>
          </cell>
          <cell r="M1474" t="str">
            <v>袋</v>
          </cell>
          <cell r="N1474">
            <v>26.26</v>
          </cell>
          <cell r="O1474">
            <v>38</v>
          </cell>
          <cell r="P1474">
            <v>0.30210526315789499</v>
          </cell>
        </row>
        <row r="1475">
          <cell r="F1475" t="str">
            <v>70574632</v>
          </cell>
          <cell r="G1475" t="str">
            <v>老爷岭</v>
          </cell>
          <cell r="H1475" t="str">
            <v>老爷岭</v>
          </cell>
          <cell r="I1475" t="str">
            <v>家庭食品</v>
          </cell>
          <cell r="J1475" t="str">
            <v>杂粮</v>
          </cell>
          <cell r="K1475" t="str">
            <v>老爷岭 大话东北红枣薏米粥 750g</v>
          </cell>
          <cell r="L1475" t="str">
            <v>750g</v>
          </cell>
          <cell r="M1475" t="str">
            <v>桶</v>
          </cell>
          <cell r="N1475">
            <v>14.95</v>
          </cell>
          <cell r="O1475">
            <v>22.8</v>
          </cell>
          <cell r="P1475">
            <v>0.33771929824561397</v>
          </cell>
        </row>
        <row r="1476">
          <cell r="F1476" t="str">
            <v>70574633</v>
          </cell>
          <cell r="G1476" t="str">
            <v>老爷岭</v>
          </cell>
          <cell r="H1476" t="str">
            <v>老爷岭</v>
          </cell>
          <cell r="I1476" t="str">
            <v>家庭食品</v>
          </cell>
          <cell r="J1476" t="str">
            <v>杂粮</v>
          </cell>
          <cell r="K1476" t="str">
            <v>老爷岭 大话东北清香百合粥 750g</v>
          </cell>
          <cell r="L1476" t="str">
            <v>750g</v>
          </cell>
          <cell r="M1476" t="str">
            <v>桶</v>
          </cell>
          <cell r="N1476">
            <v>14.95</v>
          </cell>
          <cell r="O1476">
            <v>23.8</v>
          </cell>
          <cell r="P1476">
            <v>0.36554621848739499</v>
          </cell>
        </row>
        <row r="1477">
          <cell r="F1477" t="str">
            <v>70574634</v>
          </cell>
          <cell r="G1477" t="str">
            <v>老爷岭</v>
          </cell>
          <cell r="H1477" t="str">
            <v>老爷岭</v>
          </cell>
          <cell r="I1477" t="str">
            <v>家庭食品</v>
          </cell>
          <cell r="J1477" t="str">
            <v>杂粮</v>
          </cell>
          <cell r="K1477" t="str">
            <v>老爷岭 大话东北腊八粥 700g</v>
          </cell>
          <cell r="L1477" t="str">
            <v>700g</v>
          </cell>
          <cell r="M1477" t="str">
            <v>桶</v>
          </cell>
          <cell r="N1477">
            <v>13.74</v>
          </cell>
          <cell r="O1477">
            <v>19.8</v>
          </cell>
          <cell r="P1477">
            <v>0.29949494949494998</v>
          </cell>
        </row>
        <row r="1478">
          <cell r="F1478" t="str">
            <v>70574727</v>
          </cell>
          <cell r="G1478" t="str">
            <v>老爷岭</v>
          </cell>
          <cell r="H1478" t="str">
            <v>老爷岭</v>
          </cell>
          <cell r="I1478" t="str">
            <v>家庭食品</v>
          </cell>
          <cell r="J1478" t="str">
            <v>挂面</v>
          </cell>
          <cell r="K1478" t="str">
            <v>老爷岭 大话东北玉米面条 400g</v>
          </cell>
          <cell r="L1478" t="str">
            <v>400g</v>
          </cell>
          <cell r="M1478" t="str">
            <v>袋</v>
          </cell>
          <cell r="N1478">
            <v>5.25</v>
          </cell>
          <cell r="O1478">
            <v>7.8</v>
          </cell>
          <cell r="P1478">
            <v>0.32051282051282098</v>
          </cell>
        </row>
        <row r="1479">
          <cell r="F1479" t="str">
            <v>70574728</v>
          </cell>
          <cell r="G1479" t="str">
            <v>老爷岭</v>
          </cell>
          <cell r="H1479" t="str">
            <v>老爷岭</v>
          </cell>
          <cell r="I1479" t="str">
            <v>家庭食品</v>
          </cell>
          <cell r="J1479" t="str">
            <v>挂面</v>
          </cell>
          <cell r="K1479" t="str">
            <v>老爷岭 大话东北高粱面条 400g</v>
          </cell>
          <cell r="L1479" t="str">
            <v>400g</v>
          </cell>
          <cell r="M1479" t="str">
            <v>袋</v>
          </cell>
          <cell r="N1479">
            <v>5.86</v>
          </cell>
          <cell r="O1479">
            <v>8.8000000000000007</v>
          </cell>
          <cell r="P1479">
            <v>0.32727272727272699</v>
          </cell>
        </row>
        <row r="1480">
          <cell r="F1480" t="str">
            <v>70574729</v>
          </cell>
          <cell r="G1480" t="str">
            <v>老爷岭</v>
          </cell>
          <cell r="H1480" t="str">
            <v>老爷岭</v>
          </cell>
          <cell r="I1480" t="str">
            <v>家庭食品</v>
          </cell>
          <cell r="J1480" t="str">
            <v>挂面</v>
          </cell>
          <cell r="K1480" t="str">
            <v>老爷岭 大话东北荞麦面条 400g</v>
          </cell>
          <cell r="L1480" t="str">
            <v>400g</v>
          </cell>
          <cell r="M1480" t="str">
            <v>袋</v>
          </cell>
          <cell r="N1480">
            <v>5.86</v>
          </cell>
          <cell r="O1480">
            <v>8.8000000000000007</v>
          </cell>
          <cell r="P1480">
            <v>0.32727272727272699</v>
          </cell>
        </row>
        <row r="1481">
          <cell r="F1481" t="str">
            <v>70574635</v>
          </cell>
          <cell r="G1481" t="str">
            <v>老爷岭</v>
          </cell>
          <cell r="H1481" t="str">
            <v>老爷岭</v>
          </cell>
          <cell r="I1481" t="str">
            <v>家庭食品</v>
          </cell>
          <cell r="J1481" t="str">
            <v>米</v>
          </cell>
          <cell r="K1481" t="str">
            <v>老爷岭 吉地谷香绿色大米 5kg</v>
          </cell>
          <cell r="L1481" t="str">
            <v>5kg</v>
          </cell>
          <cell r="M1481" t="str">
            <v>袋</v>
          </cell>
          <cell r="N1481">
            <v>55.55</v>
          </cell>
          <cell r="O1481">
            <v>88</v>
          </cell>
          <cell r="P1481">
            <v>0.36249999999999999</v>
          </cell>
        </row>
        <row r="1482">
          <cell r="F1482" t="str">
            <v>70574730</v>
          </cell>
          <cell r="G1482" t="str">
            <v>老爷岭</v>
          </cell>
          <cell r="H1482" t="str">
            <v>老爷岭</v>
          </cell>
          <cell r="I1482" t="str">
            <v>家庭食品</v>
          </cell>
          <cell r="J1482" t="str">
            <v>米</v>
          </cell>
          <cell r="K1482" t="str">
            <v>老爷岭 东北大米绿色 2.5kg</v>
          </cell>
          <cell r="L1482" t="str">
            <v>2.5kg</v>
          </cell>
          <cell r="M1482" t="str">
            <v>袋</v>
          </cell>
          <cell r="N1482">
            <v>28.28</v>
          </cell>
          <cell r="O1482">
            <v>39.799999999999997</v>
          </cell>
          <cell r="P1482">
            <v>0.28241206030150801</v>
          </cell>
        </row>
        <row r="1483">
          <cell r="F1483" t="str">
            <v>70493486</v>
          </cell>
          <cell r="G1483" t="str">
            <v>隆平米业</v>
          </cell>
          <cell r="H1483" t="str">
            <v>隆平米业</v>
          </cell>
          <cell r="I1483" t="str">
            <v>家庭食品</v>
          </cell>
          <cell r="J1483" t="str">
            <v>米</v>
          </cell>
          <cell r="K1483" t="str">
            <v>隆平米业 隆平鲜米（瑞农米） 5kg</v>
          </cell>
          <cell r="L1483" t="str">
            <v>5kg</v>
          </cell>
          <cell r="M1483" t="str">
            <v>袋</v>
          </cell>
          <cell r="N1483">
            <v>33.33</v>
          </cell>
          <cell r="O1483">
            <v>42</v>
          </cell>
          <cell r="P1483">
            <v>0.19857142857142901</v>
          </cell>
        </row>
        <row r="1484">
          <cell r="F1484" t="str">
            <v>70415860</v>
          </cell>
          <cell r="G1484" t="str">
            <v>隆平米业</v>
          </cell>
          <cell r="H1484" t="str">
            <v>隆平米业</v>
          </cell>
          <cell r="I1484" t="str">
            <v>家庭食品</v>
          </cell>
          <cell r="J1484" t="str">
            <v>米</v>
          </cell>
          <cell r="K1484" t="str">
            <v>隆平米业 隆平鲜米（家兴米） 5kg</v>
          </cell>
          <cell r="L1484" t="str">
            <v>5kg</v>
          </cell>
          <cell r="M1484" t="str">
            <v>袋</v>
          </cell>
          <cell r="N1484">
            <v>43.94</v>
          </cell>
          <cell r="O1484">
            <v>59.9</v>
          </cell>
          <cell r="P1484">
            <v>0.25926544240400701</v>
          </cell>
        </row>
        <row r="1485">
          <cell r="F1485" t="str">
            <v>70469292</v>
          </cell>
          <cell r="G1485" t="str">
            <v>隆平米业</v>
          </cell>
          <cell r="H1485" t="str">
            <v>隆平米业</v>
          </cell>
          <cell r="I1485" t="str">
            <v>家庭食品</v>
          </cell>
          <cell r="J1485" t="str">
            <v>米</v>
          </cell>
          <cell r="K1485" t="str">
            <v>隆平米业 隆平鲜米（家乐米） 5kg</v>
          </cell>
          <cell r="L1485" t="str">
            <v>5kg</v>
          </cell>
          <cell r="M1485" t="str">
            <v>包</v>
          </cell>
          <cell r="N1485">
            <v>29.29</v>
          </cell>
          <cell r="O1485">
            <v>38</v>
          </cell>
          <cell r="P1485">
            <v>0.22157894736842099</v>
          </cell>
        </row>
        <row r="1486">
          <cell r="F1486" t="str">
            <v>70574731</v>
          </cell>
          <cell r="G1486" t="str">
            <v>隆平米业</v>
          </cell>
          <cell r="H1486" t="str">
            <v>隆平米业</v>
          </cell>
          <cell r="I1486" t="str">
            <v>家庭食品</v>
          </cell>
          <cell r="J1486" t="str">
            <v>米</v>
          </cell>
          <cell r="K1486" t="str">
            <v>隆平米业 隆平鲜米（家福米） 5kg</v>
          </cell>
          <cell r="L1486" t="str">
            <v>5kg</v>
          </cell>
          <cell r="M1486" t="str">
            <v>袋</v>
          </cell>
          <cell r="N1486">
            <v>38.58</v>
          </cell>
          <cell r="O1486">
            <v>49.9</v>
          </cell>
          <cell r="P1486">
            <v>0.219238476953908</v>
          </cell>
        </row>
        <row r="1487">
          <cell r="F1487" t="str">
            <v>70574732</v>
          </cell>
          <cell r="G1487" t="str">
            <v>隆平米业</v>
          </cell>
          <cell r="H1487" t="str">
            <v>隆平米业</v>
          </cell>
          <cell r="I1487" t="str">
            <v>家庭食品</v>
          </cell>
          <cell r="J1487" t="str">
            <v>米</v>
          </cell>
          <cell r="K1487" t="str">
            <v>隆平米业 隆平鲜米（丝香米） 5kg</v>
          </cell>
          <cell r="L1487" t="str">
            <v>5kg</v>
          </cell>
          <cell r="M1487" t="str">
            <v>袋</v>
          </cell>
          <cell r="N1487">
            <v>41.21</v>
          </cell>
          <cell r="O1487">
            <v>52</v>
          </cell>
          <cell r="P1487">
            <v>0.199615384615385</v>
          </cell>
        </row>
        <row r="1488">
          <cell r="F1488" t="str">
            <v>70028899</v>
          </cell>
          <cell r="G1488" t="str">
            <v>海天</v>
          </cell>
          <cell r="H1488" t="str">
            <v>海天</v>
          </cell>
          <cell r="I1488" t="str">
            <v>家庭食品</v>
          </cell>
          <cell r="J1488" t="str">
            <v>调味品</v>
          </cell>
          <cell r="K1488" t="str">
            <v>海天 特级味极鲜 500mL</v>
          </cell>
          <cell r="L1488" t="str">
            <v>500mL</v>
          </cell>
          <cell r="M1488" t="str">
            <v>瓶</v>
          </cell>
          <cell r="N1488">
            <v>8.99</v>
          </cell>
          <cell r="O1488">
            <v>15.9</v>
          </cell>
          <cell r="P1488">
            <v>0.42893081761006302</v>
          </cell>
        </row>
        <row r="1489">
          <cell r="F1489" t="str">
            <v>70442196</v>
          </cell>
          <cell r="G1489" t="str">
            <v>海天</v>
          </cell>
          <cell r="H1489" t="str">
            <v>海天</v>
          </cell>
          <cell r="I1489" t="str">
            <v>家庭食品</v>
          </cell>
          <cell r="J1489" t="str">
            <v>调味品</v>
          </cell>
          <cell r="K1489" t="str">
            <v>海天 0金标生抽 500mL</v>
          </cell>
          <cell r="L1489" t="str">
            <v>500mL</v>
          </cell>
          <cell r="M1489" t="str">
            <v>瓶</v>
          </cell>
          <cell r="N1489">
            <v>7.98</v>
          </cell>
          <cell r="O1489">
            <v>13</v>
          </cell>
          <cell r="P1489">
            <v>0.38</v>
          </cell>
        </row>
        <row r="1490">
          <cell r="F1490" t="str">
            <v>70470109</v>
          </cell>
          <cell r="G1490" t="str">
            <v>海天</v>
          </cell>
          <cell r="H1490" t="str">
            <v>海天</v>
          </cell>
          <cell r="I1490" t="str">
            <v>家庭食品</v>
          </cell>
          <cell r="J1490" t="str">
            <v>调味品</v>
          </cell>
          <cell r="K1490" t="str">
            <v>海天 0金标蚝油 545g</v>
          </cell>
          <cell r="L1490" t="str">
            <v>545g</v>
          </cell>
          <cell r="M1490" t="str">
            <v>瓶</v>
          </cell>
          <cell r="N1490">
            <v>8.69</v>
          </cell>
          <cell r="O1490">
            <v>15.9</v>
          </cell>
          <cell r="P1490">
            <v>0.44842767295597502</v>
          </cell>
        </row>
        <row r="1491">
          <cell r="F1491" t="str">
            <v>70257309</v>
          </cell>
          <cell r="G1491" t="str">
            <v>海天</v>
          </cell>
          <cell r="H1491" t="str">
            <v>海天</v>
          </cell>
          <cell r="I1491" t="str">
            <v>家庭食品</v>
          </cell>
          <cell r="J1491" t="str">
            <v>调味品</v>
          </cell>
          <cell r="K1491" t="str">
            <v>海天 上等蚝油 520g</v>
          </cell>
          <cell r="L1491" t="str">
            <v>520g</v>
          </cell>
          <cell r="M1491" t="str">
            <v>瓶</v>
          </cell>
          <cell r="N1491">
            <v>5.45</v>
          </cell>
          <cell r="O1491">
            <v>10.5</v>
          </cell>
          <cell r="P1491">
            <v>0.47523809523809502</v>
          </cell>
        </row>
        <row r="1492">
          <cell r="F1492" t="str">
            <v>70442192</v>
          </cell>
          <cell r="G1492" t="str">
            <v>海天</v>
          </cell>
          <cell r="H1492" t="str">
            <v>海天</v>
          </cell>
          <cell r="I1492" t="str">
            <v>家庭食品</v>
          </cell>
          <cell r="J1492" t="str">
            <v>调味品</v>
          </cell>
          <cell r="K1492" t="str">
            <v>海天 0金标料酒 450mL</v>
          </cell>
          <cell r="L1492" t="str">
            <v>450mL</v>
          </cell>
          <cell r="M1492" t="str">
            <v>瓶</v>
          </cell>
          <cell r="N1492">
            <v>6.36</v>
          </cell>
          <cell r="O1492">
            <v>12.9</v>
          </cell>
          <cell r="P1492">
            <v>0.50155038759689896</v>
          </cell>
        </row>
        <row r="1493">
          <cell r="F1493" t="str">
            <v>70232755</v>
          </cell>
          <cell r="G1493" t="str">
            <v>海天</v>
          </cell>
          <cell r="H1493" t="str">
            <v>海天</v>
          </cell>
          <cell r="I1493" t="str">
            <v>家庭食品</v>
          </cell>
          <cell r="J1493" t="str">
            <v>调味品</v>
          </cell>
          <cell r="K1493" t="str">
            <v>海天 古道料酒 450mL</v>
          </cell>
          <cell r="L1493" t="str">
            <v>450mL</v>
          </cell>
          <cell r="M1493" t="str">
            <v>瓶</v>
          </cell>
          <cell r="N1493">
            <v>5.25</v>
          </cell>
          <cell r="O1493">
            <v>9.9</v>
          </cell>
          <cell r="P1493">
            <v>0.46464646464646497</v>
          </cell>
        </row>
        <row r="1494">
          <cell r="F1494" t="str">
            <v>70015751</v>
          </cell>
          <cell r="G1494" t="str">
            <v>海天</v>
          </cell>
          <cell r="H1494" t="str">
            <v>海天</v>
          </cell>
          <cell r="I1494" t="str">
            <v>家庭食品</v>
          </cell>
          <cell r="J1494" t="str">
            <v>调味品</v>
          </cell>
          <cell r="K1494" t="str">
            <v>海天 白米醋 450mL</v>
          </cell>
          <cell r="L1494" t="str">
            <v>450mL</v>
          </cell>
          <cell r="M1494" t="str">
            <v>瓶</v>
          </cell>
          <cell r="N1494">
            <v>4.04</v>
          </cell>
          <cell r="O1494">
            <v>6.9</v>
          </cell>
          <cell r="P1494">
            <v>0.40869565217391302</v>
          </cell>
        </row>
        <row r="1495">
          <cell r="F1495" t="str">
            <v>70442202</v>
          </cell>
          <cell r="G1495" t="str">
            <v>海天</v>
          </cell>
          <cell r="H1495" t="str">
            <v>海天</v>
          </cell>
          <cell r="I1495" t="str">
            <v>家庭食品</v>
          </cell>
          <cell r="J1495" t="str">
            <v>调味品</v>
          </cell>
          <cell r="K1495" t="str">
            <v>海天 0添加黄豆酱 800g</v>
          </cell>
          <cell r="L1495" t="str">
            <v>800g</v>
          </cell>
          <cell r="M1495" t="str">
            <v>瓶</v>
          </cell>
          <cell r="N1495">
            <v>14.14</v>
          </cell>
          <cell r="O1495">
            <v>21.9</v>
          </cell>
          <cell r="P1495">
            <v>0.34794520547945201</v>
          </cell>
        </row>
        <row r="1496">
          <cell r="F1496" t="str">
            <v>70015754</v>
          </cell>
          <cell r="G1496" t="str">
            <v>海天</v>
          </cell>
          <cell r="H1496" t="str">
            <v>海天</v>
          </cell>
          <cell r="I1496" t="str">
            <v>家庭食品</v>
          </cell>
          <cell r="J1496" t="str">
            <v>调味品</v>
          </cell>
          <cell r="K1496" t="str">
            <v>海天 黄豆酱 800g</v>
          </cell>
          <cell r="L1496" t="str">
            <v>800g</v>
          </cell>
          <cell r="M1496" t="str">
            <v>瓶</v>
          </cell>
          <cell r="N1496">
            <v>11.31</v>
          </cell>
          <cell r="O1496">
            <v>18.8</v>
          </cell>
          <cell r="P1496">
            <v>0.39255319148936202</v>
          </cell>
        </row>
        <row r="1497">
          <cell r="F1497" t="str">
            <v>70022651</v>
          </cell>
          <cell r="G1497" t="str">
            <v>海天</v>
          </cell>
          <cell r="H1497" t="str">
            <v>海天</v>
          </cell>
          <cell r="I1497" t="str">
            <v>家庭食品</v>
          </cell>
          <cell r="J1497" t="str">
            <v>调味品</v>
          </cell>
          <cell r="K1497" t="str">
            <v>海天 上等蚝油 700g</v>
          </cell>
          <cell r="L1497" t="str">
            <v>700g</v>
          </cell>
          <cell r="M1497" t="str">
            <v>瓶</v>
          </cell>
          <cell r="N1497">
            <v>6.16</v>
          </cell>
          <cell r="O1497">
            <v>11.5</v>
          </cell>
          <cell r="P1497">
            <v>0.45913043478260901</v>
          </cell>
        </row>
        <row r="1498">
          <cell r="F1498" t="str">
            <v>70495085</v>
          </cell>
          <cell r="G1498" t="str">
            <v>海天</v>
          </cell>
          <cell r="H1498" t="str">
            <v>海天</v>
          </cell>
          <cell r="I1498" t="str">
            <v>家庭食品</v>
          </cell>
          <cell r="J1498" t="str">
            <v>调味品</v>
          </cell>
          <cell r="K1498" t="str">
            <v>海天 番茄沙司305g</v>
          </cell>
          <cell r="L1498" t="str">
            <v>305g</v>
          </cell>
          <cell r="M1498" t="str">
            <v>袋</v>
          </cell>
          <cell r="N1498">
            <v>5.39</v>
          </cell>
          <cell r="O1498">
            <v>10</v>
          </cell>
          <cell r="P1498">
            <v>0.45500000000000002</v>
          </cell>
        </row>
        <row r="1499">
          <cell r="F1499" t="str">
            <v>70243159</v>
          </cell>
          <cell r="G1499" t="str">
            <v>海天</v>
          </cell>
          <cell r="H1499" t="str">
            <v>海天</v>
          </cell>
          <cell r="I1499" t="str">
            <v>家庭食品</v>
          </cell>
          <cell r="J1499" t="str">
            <v>调味品</v>
          </cell>
          <cell r="K1499" t="str">
            <v>海天 陈醋450mL</v>
          </cell>
          <cell r="L1499" t="str">
            <v>450mL</v>
          </cell>
          <cell r="M1499" t="str">
            <v>瓶</v>
          </cell>
          <cell r="N1499">
            <v>4.92</v>
          </cell>
          <cell r="O1499">
            <v>8</v>
          </cell>
          <cell r="P1499">
            <v>0.37874999999999998</v>
          </cell>
        </row>
        <row r="1500">
          <cell r="F1500" t="str">
            <v>70215764</v>
          </cell>
          <cell r="G1500" t="str">
            <v>海天</v>
          </cell>
          <cell r="H1500" t="str">
            <v>海天</v>
          </cell>
          <cell r="I1500" t="str">
            <v>家庭食品</v>
          </cell>
          <cell r="J1500" t="str">
            <v>调味品</v>
          </cell>
          <cell r="K1500" t="str">
            <v>海天 9度纯酿米醋450mL</v>
          </cell>
          <cell r="L1500" t="str">
            <v>450mL</v>
          </cell>
          <cell r="M1500" t="str">
            <v>瓶</v>
          </cell>
          <cell r="N1500">
            <v>5.25</v>
          </cell>
          <cell r="O1500">
            <v>9</v>
          </cell>
          <cell r="P1500">
            <v>0.41111111111111098</v>
          </cell>
        </row>
        <row r="1501">
          <cell r="F1501" t="str">
            <v>70057880</v>
          </cell>
          <cell r="G1501" t="str">
            <v>海天</v>
          </cell>
          <cell r="H1501" t="str">
            <v>海天</v>
          </cell>
          <cell r="I1501" t="str">
            <v>家庭食品</v>
          </cell>
          <cell r="J1501" t="str">
            <v>调味品</v>
          </cell>
          <cell r="K1501" t="str">
            <v>海天 海鲜酱油 500g</v>
          </cell>
          <cell r="L1501" t="str">
            <v>500mL</v>
          </cell>
          <cell r="M1501" t="str">
            <v>瓶</v>
          </cell>
          <cell r="N1501">
            <v>8.4</v>
          </cell>
          <cell r="O1501">
            <v>12</v>
          </cell>
          <cell r="P1501">
            <v>0.29249999999999998</v>
          </cell>
        </row>
        <row r="1502">
          <cell r="F1502" t="str">
            <v>70042439</v>
          </cell>
          <cell r="G1502" t="str">
            <v>海天</v>
          </cell>
          <cell r="H1502" t="str">
            <v>海天</v>
          </cell>
          <cell r="I1502" t="str">
            <v>家庭食品</v>
          </cell>
          <cell r="J1502" t="str">
            <v>调味品</v>
          </cell>
          <cell r="K1502" t="str">
            <v>海天 红烧酱油 500mL</v>
          </cell>
          <cell r="L1502" t="str">
            <v>500mL</v>
          </cell>
          <cell r="M1502" t="str">
            <v>瓶</v>
          </cell>
          <cell r="N1502">
            <v>7.19</v>
          </cell>
          <cell r="O1502">
            <v>12</v>
          </cell>
          <cell r="P1502">
            <v>0.39500000000000002</v>
          </cell>
        </row>
        <row r="1503">
          <cell r="F1503" t="str">
            <v>70033598</v>
          </cell>
          <cell r="G1503" t="str">
            <v>海天</v>
          </cell>
          <cell r="H1503" t="str">
            <v>海天</v>
          </cell>
          <cell r="I1503" t="str">
            <v>家庭食品</v>
          </cell>
          <cell r="J1503" t="str">
            <v>调味品</v>
          </cell>
          <cell r="K1503" t="str">
            <v>海天 特级一品鲜酱油 500mL</v>
          </cell>
          <cell r="L1503" t="str">
            <v>500mL</v>
          </cell>
          <cell r="M1503" t="str">
            <v>瓶</v>
          </cell>
          <cell r="N1503">
            <v>7.19</v>
          </cell>
          <cell r="O1503">
            <v>11</v>
          </cell>
          <cell r="P1503">
            <v>0.34</v>
          </cell>
        </row>
        <row r="1504">
          <cell r="F1504" t="str">
            <v>70015750</v>
          </cell>
          <cell r="G1504" t="str">
            <v>海天</v>
          </cell>
          <cell r="H1504" t="str">
            <v>海天</v>
          </cell>
          <cell r="I1504" t="str">
            <v>家庭食品</v>
          </cell>
          <cell r="J1504" t="str">
            <v>调味品</v>
          </cell>
          <cell r="K1504" t="str">
            <v>海天 黄豆酱 340g</v>
          </cell>
          <cell r="L1504" t="str">
            <v>340g</v>
          </cell>
          <cell r="M1504" t="str">
            <v>瓶</v>
          </cell>
          <cell r="N1504">
            <v>5.85</v>
          </cell>
          <cell r="O1504">
            <v>9</v>
          </cell>
          <cell r="P1504">
            <v>0.34333333333333299</v>
          </cell>
        </row>
        <row r="1505">
          <cell r="F1505" t="str">
            <v>70061293</v>
          </cell>
          <cell r="G1505" t="str">
            <v>海天</v>
          </cell>
          <cell r="H1505" t="str">
            <v>海天</v>
          </cell>
          <cell r="I1505" t="str">
            <v>家庭食品</v>
          </cell>
          <cell r="J1505" t="str">
            <v>调味品</v>
          </cell>
          <cell r="K1505" t="str">
            <v>海天 蒸鱼豉油 450mL</v>
          </cell>
          <cell r="L1505" t="str">
            <v>450mL</v>
          </cell>
          <cell r="M1505" t="str">
            <v>瓶</v>
          </cell>
          <cell r="N1505">
            <v>8.08</v>
          </cell>
          <cell r="O1505">
            <v>12</v>
          </cell>
          <cell r="P1505">
            <v>0.32</v>
          </cell>
        </row>
        <row r="1506">
          <cell r="F1506" t="str">
            <v>70006449</v>
          </cell>
          <cell r="G1506" t="str">
            <v>海天</v>
          </cell>
          <cell r="H1506" t="str">
            <v>海天</v>
          </cell>
          <cell r="I1506" t="str">
            <v>家庭食品</v>
          </cell>
          <cell r="J1506" t="str">
            <v>调味品</v>
          </cell>
          <cell r="K1506" t="str">
            <v>海天 味极鲜380mL</v>
          </cell>
          <cell r="L1506" t="str">
            <v>380mL</v>
          </cell>
          <cell r="M1506" t="str">
            <v>瓶</v>
          </cell>
          <cell r="N1506">
            <v>6.16</v>
          </cell>
          <cell r="O1506">
            <v>9.8000000000000007</v>
          </cell>
          <cell r="P1506">
            <v>0.36530612244897998</v>
          </cell>
        </row>
        <row r="1507">
          <cell r="F1507" t="str">
            <v>70177095</v>
          </cell>
          <cell r="G1507" t="str">
            <v>李锦记</v>
          </cell>
          <cell r="H1507" t="str">
            <v>李锦记</v>
          </cell>
          <cell r="I1507" t="str">
            <v>家庭食品</v>
          </cell>
          <cell r="J1507" t="str">
            <v>调味品</v>
          </cell>
          <cell r="K1507" t="str">
            <v>李锦记 薄盐生抽 500mL</v>
          </cell>
          <cell r="L1507" t="str">
            <v>500mL</v>
          </cell>
          <cell r="M1507" t="str">
            <v>瓶</v>
          </cell>
          <cell r="N1507">
            <v>9.2899999999999991</v>
          </cell>
          <cell r="O1507">
            <v>11.9</v>
          </cell>
          <cell r="P1507">
            <v>0.21176470588235299</v>
          </cell>
        </row>
        <row r="1508">
          <cell r="F1508" t="str">
            <v>70574636</v>
          </cell>
          <cell r="G1508" t="str">
            <v>李锦记</v>
          </cell>
          <cell r="H1508" t="str">
            <v>李锦记</v>
          </cell>
          <cell r="I1508" t="str">
            <v>家庭食品</v>
          </cell>
          <cell r="J1508" t="str">
            <v>调味品</v>
          </cell>
          <cell r="K1508" t="str">
            <v>李锦记 薄盐生抽 1280mL</v>
          </cell>
          <cell r="L1508" t="str">
            <v>1280mL</v>
          </cell>
          <cell r="M1508" t="str">
            <v>瓶</v>
          </cell>
          <cell r="N1508">
            <v>23.33</v>
          </cell>
          <cell r="O1508">
            <v>29.9</v>
          </cell>
          <cell r="P1508">
            <v>0.21204013377926401</v>
          </cell>
        </row>
        <row r="1509">
          <cell r="F1509" t="str">
            <v>70574733</v>
          </cell>
          <cell r="G1509" t="str">
            <v>李锦记</v>
          </cell>
          <cell r="H1509" t="str">
            <v>李锦记</v>
          </cell>
          <cell r="I1509" t="str">
            <v>家庭食品</v>
          </cell>
          <cell r="J1509" t="str">
            <v>调味品</v>
          </cell>
          <cell r="K1509" t="str">
            <v>李锦记 薄盐生抽 1750mL</v>
          </cell>
          <cell r="L1509" t="str">
            <v>1750mL</v>
          </cell>
          <cell r="M1509" t="str">
            <v>瓶</v>
          </cell>
          <cell r="N1509">
            <v>26.77</v>
          </cell>
          <cell r="O1509">
            <v>33</v>
          </cell>
          <cell r="P1509">
            <v>0.18090909090909099</v>
          </cell>
        </row>
        <row r="1510">
          <cell r="F1510" t="str">
            <v>70043028</v>
          </cell>
          <cell r="G1510" t="str">
            <v>李锦记</v>
          </cell>
          <cell r="H1510" t="str">
            <v>李锦记</v>
          </cell>
          <cell r="I1510" t="str">
            <v>家庭食品</v>
          </cell>
          <cell r="J1510" t="str">
            <v>调味品</v>
          </cell>
          <cell r="K1510" t="str">
            <v>李锦记 锦珍生抽 500mL</v>
          </cell>
          <cell r="L1510" t="str">
            <v>500mL</v>
          </cell>
          <cell r="M1510" t="str">
            <v>瓶</v>
          </cell>
          <cell r="N1510">
            <v>6.36</v>
          </cell>
          <cell r="O1510">
            <v>8.9</v>
          </cell>
          <cell r="P1510">
            <v>0.27752808988763999</v>
          </cell>
        </row>
        <row r="1511">
          <cell r="F1511" t="str">
            <v>70241708</v>
          </cell>
          <cell r="G1511" t="str">
            <v>李锦记</v>
          </cell>
          <cell r="H1511" t="str">
            <v>李锦记</v>
          </cell>
          <cell r="I1511" t="str">
            <v>家庭食品</v>
          </cell>
          <cell r="J1511" t="str">
            <v>调味品</v>
          </cell>
          <cell r="K1511" t="str">
            <v>李锦记 鲜香红烧酿造酱油 500mL</v>
          </cell>
          <cell r="L1511" t="str">
            <v>500mL</v>
          </cell>
          <cell r="M1511" t="str">
            <v>瓶</v>
          </cell>
          <cell r="N1511">
            <v>10.199999999999999</v>
          </cell>
          <cell r="O1511">
            <v>14</v>
          </cell>
          <cell r="P1511">
            <v>0.26428571428571401</v>
          </cell>
        </row>
        <row r="1512">
          <cell r="F1512" t="str">
            <v>70084349</v>
          </cell>
          <cell r="G1512" t="str">
            <v>李锦记</v>
          </cell>
          <cell r="H1512" t="str">
            <v>李锦记</v>
          </cell>
          <cell r="I1512" t="str">
            <v>家庭食品</v>
          </cell>
          <cell r="J1512" t="str">
            <v>调味品</v>
          </cell>
          <cell r="K1512" t="str">
            <v>李锦记 财神蚝油 255g</v>
          </cell>
          <cell r="L1512" t="str">
            <v>255g</v>
          </cell>
          <cell r="M1512" t="str">
            <v>瓶</v>
          </cell>
          <cell r="N1512">
            <v>7.98</v>
          </cell>
          <cell r="O1512">
            <v>11</v>
          </cell>
          <cell r="P1512">
            <v>0.267272727272727</v>
          </cell>
        </row>
        <row r="1513">
          <cell r="F1513" t="str">
            <v>70215629</v>
          </cell>
          <cell r="G1513" t="str">
            <v>李锦记</v>
          </cell>
          <cell r="H1513" t="str">
            <v>李锦记</v>
          </cell>
          <cell r="I1513" t="str">
            <v>家庭食品</v>
          </cell>
          <cell r="J1513" t="str">
            <v>调味品</v>
          </cell>
          <cell r="K1513" t="str">
            <v>李锦记 味蚝鲜蚝油 680g</v>
          </cell>
          <cell r="L1513" t="str">
            <v>680g</v>
          </cell>
          <cell r="M1513" t="str">
            <v>瓶</v>
          </cell>
          <cell r="N1513">
            <v>6.36</v>
          </cell>
          <cell r="O1513">
            <v>8.9</v>
          </cell>
          <cell r="P1513">
            <v>0.27752808988763999</v>
          </cell>
        </row>
        <row r="1514">
          <cell r="F1514" t="str">
            <v>70051014</v>
          </cell>
          <cell r="G1514" t="str">
            <v>李锦记</v>
          </cell>
          <cell r="H1514" t="str">
            <v>李锦记</v>
          </cell>
          <cell r="I1514" t="str">
            <v>家庭食品</v>
          </cell>
          <cell r="J1514" t="str">
            <v>调味品</v>
          </cell>
          <cell r="K1514" t="str">
            <v>李锦记 蒜蓉香辣酱 160g</v>
          </cell>
          <cell r="L1514" t="str">
            <v>160g</v>
          </cell>
          <cell r="M1514" t="str">
            <v>瓶</v>
          </cell>
          <cell r="N1514">
            <v>6.36</v>
          </cell>
          <cell r="O1514">
            <v>9</v>
          </cell>
          <cell r="P1514">
            <v>0.28555555555555601</v>
          </cell>
        </row>
        <row r="1515">
          <cell r="F1515" t="str">
            <v>70038042</v>
          </cell>
          <cell r="G1515" t="str">
            <v>李锦记</v>
          </cell>
          <cell r="H1515" t="str">
            <v>李锦记</v>
          </cell>
          <cell r="I1515" t="str">
            <v>家庭食品</v>
          </cell>
          <cell r="J1515" t="str">
            <v>调味品</v>
          </cell>
          <cell r="K1515" t="str">
            <v>李锦记 京式甜酱 170g</v>
          </cell>
          <cell r="L1515" t="str">
            <v>170g</v>
          </cell>
          <cell r="M1515" t="str">
            <v>瓶</v>
          </cell>
          <cell r="N1515">
            <v>5.56</v>
          </cell>
          <cell r="O1515">
            <v>7.5</v>
          </cell>
          <cell r="P1515">
            <v>0.252</v>
          </cell>
        </row>
        <row r="1516">
          <cell r="F1516" t="str">
            <v>70038041</v>
          </cell>
          <cell r="G1516" t="str">
            <v>李锦记</v>
          </cell>
          <cell r="H1516" t="str">
            <v>李锦记</v>
          </cell>
          <cell r="I1516" t="str">
            <v>家庭食品</v>
          </cell>
          <cell r="J1516" t="str">
            <v>调味品</v>
          </cell>
          <cell r="K1516" t="str">
            <v>李锦记 凉拌汁 207mL</v>
          </cell>
          <cell r="L1516" t="str">
            <v>207mL</v>
          </cell>
          <cell r="M1516" t="str">
            <v>瓶</v>
          </cell>
          <cell r="N1516">
            <v>7.78</v>
          </cell>
          <cell r="O1516">
            <v>9.9</v>
          </cell>
          <cell r="P1516">
            <v>0.20707070707070699</v>
          </cell>
        </row>
        <row r="1517">
          <cell r="F1517" t="str">
            <v>70574637</v>
          </cell>
          <cell r="G1517" t="str">
            <v>李锦记</v>
          </cell>
          <cell r="H1517" t="str">
            <v>李锦记</v>
          </cell>
          <cell r="I1517" t="str">
            <v>家庭食品</v>
          </cell>
          <cell r="J1517" t="str">
            <v>调味品</v>
          </cell>
          <cell r="K1517" t="str">
            <v>李锦记 金蚝油 550g挤挤装</v>
          </cell>
          <cell r="L1517" t="str">
            <v>550g</v>
          </cell>
          <cell r="M1517" t="str">
            <v>瓶</v>
          </cell>
          <cell r="N1517">
            <v>8.7899999999999991</v>
          </cell>
          <cell r="O1517">
            <v>11</v>
          </cell>
          <cell r="P1517">
            <v>0.193636363636364</v>
          </cell>
        </row>
        <row r="1518">
          <cell r="F1518" t="str">
            <v>70436221</v>
          </cell>
          <cell r="G1518" t="str">
            <v>李锦记</v>
          </cell>
          <cell r="H1518" t="str">
            <v>李锦记</v>
          </cell>
          <cell r="I1518" t="str">
            <v>家庭食品</v>
          </cell>
          <cell r="J1518" t="str">
            <v>调味品</v>
          </cell>
          <cell r="K1518" t="str">
            <v>李锦记 川式麻辣香锅调味料 100g</v>
          </cell>
          <cell r="L1518" t="str">
            <v>100g</v>
          </cell>
          <cell r="M1518" t="str">
            <v>袋</v>
          </cell>
          <cell r="N1518">
            <v>6.57</v>
          </cell>
          <cell r="O1518">
            <v>11</v>
          </cell>
          <cell r="P1518">
            <v>0.397272727272727</v>
          </cell>
        </row>
        <row r="1519">
          <cell r="F1519" t="str">
            <v>70177097</v>
          </cell>
          <cell r="G1519" t="str">
            <v>李锦记</v>
          </cell>
          <cell r="H1519" t="str">
            <v>李锦记</v>
          </cell>
          <cell r="I1519" t="str">
            <v>家庭食品</v>
          </cell>
          <cell r="J1519" t="str">
            <v>调味品</v>
          </cell>
          <cell r="K1519" t="str">
            <v>李锦记 天成一味特级鲜味酱油 500mL</v>
          </cell>
          <cell r="L1519" t="str">
            <v>500mL</v>
          </cell>
          <cell r="M1519" t="str">
            <v>瓶</v>
          </cell>
          <cell r="N1519">
            <v>13.33</v>
          </cell>
          <cell r="O1519">
            <v>17.899999999999999</v>
          </cell>
          <cell r="P1519">
            <v>0.24804469273742999</v>
          </cell>
        </row>
        <row r="1520">
          <cell r="F1520" t="str">
            <v>70574638</v>
          </cell>
          <cell r="G1520" t="str">
            <v>安琪</v>
          </cell>
          <cell r="H1520" t="str">
            <v>安琪</v>
          </cell>
          <cell r="I1520" t="str">
            <v>家庭食品</v>
          </cell>
          <cell r="J1520" t="str">
            <v>苏打类</v>
          </cell>
          <cell r="K1520" t="str">
            <v>安琪 面包高活性干酵母(真空) 5g</v>
          </cell>
          <cell r="L1520" t="str">
            <v>5g</v>
          </cell>
          <cell r="M1520" t="str">
            <v>袋</v>
          </cell>
          <cell r="N1520">
            <v>0.52</v>
          </cell>
          <cell r="O1520">
            <v>0.8</v>
          </cell>
          <cell r="P1520">
            <v>0.35</v>
          </cell>
        </row>
        <row r="1521">
          <cell r="F1521" t="str">
            <v>70080572</v>
          </cell>
          <cell r="G1521" t="str">
            <v>安琪</v>
          </cell>
          <cell r="H1521" t="str">
            <v>安琪</v>
          </cell>
          <cell r="I1521" t="str">
            <v>家庭食品</v>
          </cell>
          <cell r="J1521" t="str">
            <v>苏打类</v>
          </cell>
          <cell r="K1521" t="str">
            <v>安琪 面包高活性干酵母 13g</v>
          </cell>
          <cell r="L1521" t="str">
            <v>13g</v>
          </cell>
          <cell r="M1521" t="str">
            <v>袋</v>
          </cell>
          <cell r="N1521">
            <v>1.3</v>
          </cell>
          <cell r="O1521">
            <v>1.8</v>
          </cell>
          <cell r="P1521">
            <v>0.266666666666667</v>
          </cell>
        </row>
        <row r="1522">
          <cell r="F1522" t="str">
            <v>70574639</v>
          </cell>
          <cell r="G1522" t="str">
            <v>百钻</v>
          </cell>
          <cell r="H1522" t="str">
            <v>百钻</v>
          </cell>
          <cell r="I1522" t="str">
            <v>家庭食品</v>
          </cell>
          <cell r="J1522" t="str">
            <v>糖</v>
          </cell>
          <cell r="K1522" t="str">
            <v>百钻 绵白糖(背封新版) 400g</v>
          </cell>
          <cell r="L1522" t="str">
            <v>400g</v>
          </cell>
          <cell r="M1522" t="str">
            <v>袋</v>
          </cell>
          <cell r="N1522">
            <v>5.35</v>
          </cell>
          <cell r="O1522">
            <v>7.5</v>
          </cell>
          <cell r="P1522">
            <v>0.27866666666666701</v>
          </cell>
        </row>
        <row r="1523">
          <cell r="F1523" t="str">
            <v>70574640</v>
          </cell>
          <cell r="G1523" t="str">
            <v>百钻</v>
          </cell>
          <cell r="H1523" t="str">
            <v>百钻</v>
          </cell>
          <cell r="I1523" t="str">
            <v>家庭食品</v>
          </cell>
          <cell r="J1523" t="str">
            <v>糖</v>
          </cell>
          <cell r="K1523" t="str">
            <v>百钻 绵白糖(背封新版) 1kg</v>
          </cell>
          <cell r="L1523" t="str">
            <v>1kg</v>
          </cell>
          <cell r="M1523" t="str">
            <v>袋</v>
          </cell>
          <cell r="N1523">
            <v>11.1</v>
          </cell>
          <cell r="O1523">
            <v>14.9</v>
          </cell>
          <cell r="P1523">
            <v>0.24765100671140899</v>
          </cell>
        </row>
        <row r="1524">
          <cell r="F1524" t="str">
            <v>70574641</v>
          </cell>
          <cell r="G1524" t="str">
            <v>安琪</v>
          </cell>
          <cell r="H1524" t="str">
            <v>安琪</v>
          </cell>
          <cell r="I1524" t="str">
            <v>家庭食品</v>
          </cell>
          <cell r="J1524" t="str">
            <v>苏打类</v>
          </cell>
          <cell r="K1524" t="str">
            <v>安琪 双效泡打粉 50g</v>
          </cell>
          <cell r="L1524" t="str">
            <v>50g</v>
          </cell>
          <cell r="M1524" t="str">
            <v>袋</v>
          </cell>
          <cell r="N1524">
            <v>1.1000000000000001</v>
          </cell>
          <cell r="O1524">
            <v>1.5</v>
          </cell>
          <cell r="P1524">
            <v>0.26</v>
          </cell>
        </row>
        <row r="1525">
          <cell r="F1525" t="str">
            <v>70475895</v>
          </cell>
          <cell r="G1525" t="str">
            <v>杜康</v>
          </cell>
          <cell r="H1525" t="str">
            <v>杜康</v>
          </cell>
          <cell r="I1525" t="str">
            <v>酒类</v>
          </cell>
          <cell r="J1525" t="str">
            <v>白酒</v>
          </cell>
          <cell r="K1525" t="str">
            <v>杜康 名品酒 500mL</v>
          </cell>
          <cell r="L1525" t="str">
            <v>500mL</v>
          </cell>
          <cell r="M1525" t="str">
            <v>瓶</v>
          </cell>
          <cell r="N1525">
            <v>77.27</v>
          </cell>
          <cell r="O1525">
            <v>225</v>
          </cell>
          <cell r="P1525">
            <v>0.6532</v>
          </cell>
        </row>
        <row r="1526">
          <cell r="F1526" t="str">
            <v>70574734</v>
          </cell>
          <cell r="G1526" t="str">
            <v>杜康</v>
          </cell>
          <cell r="H1526" t="str">
            <v>杜康</v>
          </cell>
          <cell r="I1526" t="str">
            <v>酒类</v>
          </cell>
          <cell r="J1526" t="str">
            <v>白酒</v>
          </cell>
          <cell r="K1526" t="str">
            <v>杜康 品质酒 500mL</v>
          </cell>
          <cell r="L1526" t="str">
            <v>500mL</v>
          </cell>
          <cell r="M1526" t="str">
            <v>瓶</v>
          </cell>
          <cell r="N1526">
            <v>93.93</v>
          </cell>
          <cell r="O1526">
            <v>280</v>
          </cell>
          <cell r="P1526">
            <v>0.66121428571428598</v>
          </cell>
        </row>
        <row r="1527">
          <cell r="F1527" t="str">
            <v>70574735</v>
          </cell>
          <cell r="G1527" t="str">
            <v>杜康</v>
          </cell>
          <cell r="H1527" t="str">
            <v>杜康</v>
          </cell>
          <cell r="I1527" t="str">
            <v>酒类</v>
          </cell>
          <cell r="J1527" t="str">
            <v>白酒</v>
          </cell>
          <cell r="K1527" t="str">
            <v>杜康 珍品酒 500mL</v>
          </cell>
          <cell r="L1527" t="str">
            <v>500mL</v>
          </cell>
          <cell r="M1527" t="str">
            <v>瓶</v>
          </cell>
          <cell r="N1527">
            <v>318.14999999999998</v>
          </cell>
          <cell r="O1527">
            <v>900</v>
          </cell>
          <cell r="P1527">
            <v>0.64300000000000002</v>
          </cell>
        </row>
        <row r="1528">
          <cell r="F1528" t="str">
            <v>70574736</v>
          </cell>
          <cell r="G1528" t="str">
            <v>贵州习湖</v>
          </cell>
          <cell r="H1528" t="str">
            <v>贵州习湖</v>
          </cell>
          <cell r="I1528" t="str">
            <v>酒类</v>
          </cell>
          <cell r="J1528" t="str">
            <v>白酒</v>
          </cell>
          <cell r="K1528" t="str">
            <v>贵州习湖 传世嶍湖亲民版53度 500mL</v>
          </cell>
          <cell r="L1528" t="str">
            <v>500mL</v>
          </cell>
          <cell r="M1528" t="str">
            <v>瓶</v>
          </cell>
          <cell r="N1528">
            <v>82.82</v>
          </cell>
          <cell r="O1528">
            <v>118</v>
          </cell>
          <cell r="P1528">
            <v>0.29118644067796601</v>
          </cell>
        </row>
        <row r="1529">
          <cell r="F1529" t="str">
            <v>70574737</v>
          </cell>
          <cell r="G1529" t="str">
            <v>贵州习湖</v>
          </cell>
          <cell r="H1529" t="str">
            <v>贵州习湖</v>
          </cell>
          <cell r="I1529" t="str">
            <v>酒类</v>
          </cell>
          <cell r="J1529" t="str">
            <v>白酒</v>
          </cell>
          <cell r="K1529" t="str">
            <v>贵州习湖 传世嶍湖·匠心53度 500mL</v>
          </cell>
          <cell r="L1529" t="str">
            <v>500mL</v>
          </cell>
          <cell r="M1529" t="str">
            <v>瓶</v>
          </cell>
          <cell r="N1529">
            <v>118.17</v>
          </cell>
          <cell r="O1529">
            <v>168</v>
          </cell>
          <cell r="P1529">
            <v>0.28964285714285698</v>
          </cell>
        </row>
        <row r="1530">
          <cell r="F1530" t="str">
            <v>70574738</v>
          </cell>
          <cell r="G1530" t="str">
            <v>贵州习湖</v>
          </cell>
          <cell r="H1530" t="str">
            <v>贵州习湖</v>
          </cell>
          <cell r="I1530" t="str">
            <v>酒类</v>
          </cell>
          <cell r="J1530" t="str">
            <v>白酒</v>
          </cell>
          <cell r="K1530" t="str">
            <v>贵州习湖 酱史(60周年)53度 500mL</v>
          </cell>
          <cell r="L1530" t="str">
            <v>500mL</v>
          </cell>
          <cell r="M1530" t="str">
            <v>瓶</v>
          </cell>
          <cell r="N1530">
            <v>153.52000000000001</v>
          </cell>
          <cell r="O1530">
            <v>218</v>
          </cell>
          <cell r="P1530">
            <v>0.28880733944954101</v>
          </cell>
        </row>
        <row r="1531">
          <cell r="F1531" t="str">
            <v>70574739</v>
          </cell>
          <cell r="G1531" t="str">
            <v>贵州习湖</v>
          </cell>
          <cell r="H1531" t="str">
            <v>贵州习湖</v>
          </cell>
          <cell r="I1531" t="str">
            <v>酒类</v>
          </cell>
          <cell r="J1531" t="str">
            <v>白酒</v>
          </cell>
          <cell r="K1531" t="str">
            <v>贵州习湖 传世嶍湖·匠艺53度 500mL</v>
          </cell>
          <cell r="L1531" t="str">
            <v>500mL</v>
          </cell>
          <cell r="M1531" t="str">
            <v>瓶</v>
          </cell>
          <cell r="N1531">
            <v>152.51</v>
          </cell>
          <cell r="O1531">
            <v>216</v>
          </cell>
          <cell r="P1531">
            <v>0.286944444444444</v>
          </cell>
        </row>
        <row r="1532">
          <cell r="F1532" t="str">
            <v>70368199</v>
          </cell>
          <cell r="G1532" t="str">
            <v>酒鬼酒</v>
          </cell>
          <cell r="H1532" t="str">
            <v>酒鬼酒</v>
          </cell>
          <cell r="I1532" t="str">
            <v>酒类</v>
          </cell>
          <cell r="J1532" t="str">
            <v>白酒</v>
          </cell>
          <cell r="K1532" t="str">
            <v>酒鬼酒 紫坛（2020版）52度 500mL</v>
          </cell>
          <cell r="L1532" t="str">
            <v>500mL</v>
          </cell>
          <cell r="M1532" t="str">
            <v>瓶</v>
          </cell>
          <cell r="N1532">
            <v>439.45</v>
          </cell>
          <cell r="O1532">
            <v>598</v>
          </cell>
          <cell r="P1532">
            <v>0.25785953177257498</v>
          </cell>
        </row>
        <row r="1533">
          <cell r="F1533" t="str">
            <v>70368197</v>
          </cell>
          <cell r="G1533" t="str">
            <v>酒鬼酒</v>
          </cell>
          <cell r="H1533" t="str">
            <v>酒鬼酒</v>
          </cell>
          <cell r="I1533" t="str">
            <v>酒类</v>
          </cell>
          <cell r="J1533" t="str">
            <v>白酒</v>
          </cell>
          <cell r="K1533" t="str">
            <v>酒鬼酒 红坛（20）52度 500mL</v>
          </cell>
          <cell r="L1533" t="str">
            <v>500mL</v>
          </cell>
          <cell r="M1533" t="str">
            <v>瓶</v>
          </cell>
          <cell r="N1533">
            <v>372.29</v>
          </cell>
          <cell r="O1533">
            <v>499</v>
          </cell>
          <cell r="P1533">
            <v>0.24655310621242499</v>
          </cell>
        </row>
        <row r="1534">
          <cell r="F1534" t="str">
            <v>70574740</v>
          </cell>
          <cell r="G1534" t="str">
            <v>酒鬼酒</v>
          </cell>
          <cell r="H1534" t="str">
            <v>酒鬼酒</v>
          </cell>
          <cell r="I1534" t="str">
            <v>酒类</v>
          </cell>
          <cell r="J1534" t="str">
            <v>白酒</v>
          </cell>
          <cell r="K1534" t="str">
            <v>酒鬼酒 馥郁经典52度 500mL</v>
          </cell>
          <cell r="L1534" t="str">
            <v>500mL</v>
          </cell>
          <cell r="M1534" t="str">
            <v>瓶</v>
          </cell>
          <cell r="N1534">
            <v>295.52999999999997</v>
          </cell>
          <cell r="O1534">
            <v>428</v>
          </cell>
          <cell r="P1534">
            <v>0.30268691588785102</v>
          </cell>
        </row>
        <row r="1535">
          <cell r="F1535" t="str">
            <v>70427586</v>
          </cell>
          <cell r="G1535" t="str">
            <v>酒鬼酒</v>
          </cell>
          <cell r="H1535" t="str">
            <v>酒鬼酒</v>
          </cell>
          <cell r="I1535" t="str">
            <v>酒类</v>
          </cell>
          <cell r="J1535" t="str">
            <v>白酒</v>
          </cell>
          <cell r="K1535" t="str">
            <v>酒鬼酒 透明装鉴赏52度 500mL</v>
          </cell>
          <cell r="L1535" t="str">
            <v>500mL</v>
          </cell>
          <cell r="M1535" t="str">
            <v>瓶</v>
          </cell>
          <cell r="N1535">
            <v>257.14999999999998</v>
          </cell>
          <cell r="O1535">
            <v>398</v>
          </cell>
          <cell r="P1535">
            <v>0.34751256281407</v>
          </cell>
        </row>
        <row r="1536">
          <cell r="F1536" t="str">
            <v>70574741</v>
          </cell>
          <cell r="G1536" t="str">
            <v>酒鬼酒</v>
          </cell>
          <cell r="H1536" t="str">
            <v>酒鬼酒</v>
          </cell>
          <cell r="I1536" t="str">
            <v>酒类</v>
          </cell>
          <cell r="J1536" t="str">
            <v>白酒</v>
          </cell>
          <cell r="K1536" t="str">
            <v>酒鬼酒 馥六52度 500mL</v>
          </cell>
          <cell r="L1536" t="str">
            <v>500mL</v>
          </cell>
          <cell r="M1536" t="str">
            <v>瓶</v>
          </cell>
          <cell r="N1536">
            <v>122.82</v>
          </cell>
          <cell r="O1536">
            <v>198</v>
          </cell>
          <cell r="P1536">
            <v>0.37358585858585902</v>
          </cell>
        </row>
        <row r="1537">
          <cell r="F1537" t="str">
            <v>70402022</v>
          </cell>
          <cell r="G1537" t="str">
            <v>酒鬼酒</v>
          </cell>
          <cell r="H1537" t="str">
            <v>酒鬼酒</v>
          </cell>
          <cell r="I1537" t="str">
            <v>酒类</v>
          </cell>
          <cell r="J1537" t="str">
            <v>白酒</v>
          </cell>
          <cell r="K1537" t="str">
            <v>酒鬼酒 提升版湘泉酒盒优（2020版）54度 500mL</v>
          </cell>
          <cell r="L1537" t="str">
            <v>500mL</v>
          </cell>
          <cell r="M1537" t="str">
            <v>瓶</v>
          </cell>
          <cell r="N1537">
            <v>47.98</v>
          </cell>
          <cell r="O1537">
            <v>88</v>
          </cell>
          <cell r="P1537">
            <v>0.44943181818181799</v>
          </cell>
        </row>
        <row r="1538">
          <cell r="F1538" t="str">
            <v>70574742</v>
          </cell>
          <cell r="G1538" t="str">
            <v>酒鬼酒</v>
          </cell>
          <cell r="H1538" t="str">
            <v>酒鬼酒</v>
          </cell>
          <cell r="I1538" t="str">
            <v>酒类</v>
          </cell>
          <cell r="J1538" t="str">
            <v>白酒</v>
          </cell>
          <cell r="K1538" t="str">
            <v>酒鬼酒 老坛(1985收藏版)52度 500mL</v>
          </cell>
          <cell r="L1538" t="str">
            <v>500mL</v>
          </cell>
          <cell r="M1538" t="str">
            <v>瓶</v>
          </cell>
          <cell r="N1538">
            <v>257.14999999999998</v>
          </cell>
          <cell r="O1538">
            <v>398</v>
          </cell>
          <cell r="P1538">
            <v>0.34751256281407</v>
          </cell>
        </row>
        <row r="1539">
          <cell r="F1539" t="str">
            <v>70091024</v>
          </cell>
          <cell r="G1539" t="str">
            <v>酒鬼酒</v>
          </cell>
          <cell r="H1539" t="str">
            <v>酒鬼酒</v>
          </cell>
          <cell r="I1539" t="str">
            <v>酒类</v>
          </cell>
          <cell r="J1539" t="str">
            <v>白酒</v>
          </cell>
          <cell r="K1539" t="str">
            <v>酒鬼酒 内参酒52度 500mL</v>
          </cell>
          <cell r="L1539" t="str">
            <v>500mL</v>
          </cell>
          <cell r="M1539" t="str">
            <v>瓶</v>
          </cell>
          <cell r="N1539">
            <v>844.36</v>
          </cell>
          <cell r="O1539">
            <v>1499</v>
          </cell>
          <cell r="P1539">
            <v>0.43114076050700501</v>
          </cell>
        </row>
        <row r="1540">
          <cell r="F1540" t="str">
            <v>70529408</v>
          </cell>
          <cell r="G1540" t="str">
            <v>酒鬼酒</v>
          </cell>
          <cell r="H1540" t="str">
            <v>酒鬼酒</v>
          </cell>
          <cell r="I1540" t="str">
            <v>酒类</v>
          </cell>
          <cell r="J1540" t="str">
            <v>白酒</v>
          </cell>
          <cell r="K1540" t="str">
            <v>酒鬼酒 黄坛（12）52度 500mL</v>
          </cell>
          <cell r="L1540" t="str">
            <v>500mL</v>
          </cell>
          <cell r="M1540" t="str">
            <v>瓶</v>
          </cell>
          <cell r="N1540">
            <v>276.33999999999997</v>
          </cell>
          <cell r="O1540">
            <v>368</v>
          </cell>
          <cell r="P1540">
            <v>0.241657608695652</v>
          </cell>
        </row>
        <row r="1541">
          <cell r="F1541" t="str">
            <v>70574725</v>
          </cell>
          <cell r="G1541" t="str">
            <v>酒鬼酒</v>
          </cell>
          <cell r="H1541" t="str">
            <v>酒鬼酒</v>
          </cell>
          <cell r="I1541" t="str">
            <v>酒类</v>
          </cell>
          <cell r="J1541" t="str">
            <v>白酒</v>
          </cell>
          <cell r="K1541" t="str">
            <v>酒鬼酒 鉴赏透明装42度 500mL</v>
          </cell>
          <cell r="L1541" t="str">
            <v>500mL</v>
          </cell>
          <cell r="M1541" t="str">
            <v>瓶</v>
          </cell>
          <cell r="N1541">
            <v>209.17</v>
          </cell>
          <cell r="O1541">
            <v>358</v>
          </cell>
          <cell r="P1541">
            <v>0.40994413407821201</v>
          </cell>
        </row>
        <row r="1542">
          <cell r="F1542" t="str">
            <v>70367818</v>
          </cell>
          <cell r="G1542" t="str">
            <v>郎酒</v>
          </cell>
          <cell r="H1542" t="str">
            <v>郎酒</v>
          </cell>
          <cell r="I1542" t="str">
            <v>酒类</v>
          </cell>
          <cell r="J1542" t="str">
            <v>白酒</v>
          </cell>
          <cell r="K1542" t="str">
            <v>第五代红花郎酒1053度 500mL</v>
          </cell>
          <cell r="L1542" t="str">
            <v>500mL</v>
          </cell>
          <cell r="M1542" t="str">
            <v>瓶</v>
          </cell>
          <cell r="N1542">
            <v>322.19</v>
          </cell>
          <cell r="O1542">
            <v>498</v>
          </cell>
          <cell r="P1542">
            <v>0.346626506024096</v>
          </cell>
        </row>
        <row r="1543">
          <cell r="F1543" t="str">
            <v>70426755</v>
          </cell>
          <cell r="G1543" t="str">
            <v>郎酒</v>
          </cell>
          <cell r="H1543" t="str">
            <v>郎酒</v>
          </cell>
          <cell r="I1543" t="str">
            <v>酒类</v>
          </cell>
          <cell r="J1543" t="str">
            <v>白酒</v>
          </cell>
          <cell r="K1543" t="str">
            <v>红花郎红十五53度 500mL</v>
          </cell>
          <cell r="L1543" t="str">
            <v>500mL</v>
          </cell>
          <cell r="M1543" t="str">
            <v>瓶</v>
          </cell>
          <cell r="N1543">
            <v>493.89</v>
          </cell>
          <cell r="O1543">
            <v>698</v>
          </cell>
          <cell r="P1543">
            <v>0.28541547277937002</v>
          </cell>
        </row>
        <row r="1544">
          <cell r="F1544" t="str">
            <v>70574743</v>
          </cell>
          <cell r="G1544" t="str">
            <v>郎酒</v>
          </cell>
          <cell r="H1544" t="str">
            <v>郎酒</v>
          </cell>
          <cell r="I1544" t="str">
            <v>酒类</v>
          </cell>
          <cell r="J1544" t="str">
            <v>白酒</v>
          </cell>
          <cell r="K1544" t="str">
            <v>郎酒 青花郎酒(第五代)53度 500mL</v>
          </cell>
          <cell r="L1544" t="str">
            <v>500mL</v>
          </cell>
          <cell r="M1544" t="str">
            <v>瓶</v>
          </cell>
          <cell r="N1544">
            <v>1019.09</v>
          </cell>
          <cell r="O1544">
            <v>1499</v>
          </cell>
          <cell r="P1544">
            <v>0.31342228152101398</v>
          </cell>
        </row>
        <row r="1545">
          <cell r="F1545" t="str">
            <v>70574744</v>
          </cell>
          <cell r="G1545" t="str">
            <v>郎酒</v>
          </cell>
          <cell r="H1545" t="str">
            <v>郎酒</v>
          </cell>
          <cell r="I1545" t="str">
            <v>酒类</v>
          </cell>
          <cell r="J1545" t="str">
            <v>白酒</v>
          </cell>
          <cell r="K1545" t="str">
            <v>郎酒 郎牌郎酒(2023版)53度 500mL</v>
          </cell>
          <cell r="L1545" t="str">
            <v>500mL</v>
          </cell>
          <cell r="M1545" t="str">
            <v>瓶</v>
          </cell>
          <cell r="N1545">
            <v>215.13</v>
          </cell>
          <cell r="O1545">
            <v>299</v>
          </cell>
          <cell r="P1545">
            <v>0.27337792642140502</v>
          </cell>
        </row>
        <row r="1546">
          <cell r="F1546" t="str">
            <v>70384430</v>
          </cell>
          <cell r="G1546" t="str">
            <v>郎酒</v>
          </cell>
          <cell r="H1546" t="str">
            <v>郎酒</v>
          </cell>
          <cell r="I1546" t="str">
            <v>酒类</v>
          </cell>
          <cell r="J1546" t="str">
            <v>白酒</v>
          </cell>
          <cell r="K1546" t="str">
            <v>小郎酒(经典)2023版45度 100mL</v>
          </cell>
          <cell r="L1546" t="str">
            <v>100mL</v>
          </cell>
          <cell r="M1546" t="str">
            <v>瓶</v>
          </cell>
          <cell r="N1546">
            <v>10.61</v>
          </cell>
          <cell r="O1546">
            <v>20</v>
          </cell>
          <cell r="P1546">
            <v>0.46450000000000002</v>
          </cell>
        </row>
        <row r="1547">
          <cell r="F1547" t="str">
            <v>70465955</v>
          </cell>
          <cell r="G1547" t="str">
            <v>郎酒</v>
          </cell>
          <cell r="H1547" t="str">
            <v>郎酒</v>
          </cell>
          <cell r="I1547" t="str">
            <v>酒类</v>
          </cell>
          <cell r="J1547" t="str">
            <v>白酒</v>
          </cell>
          <cell r="K1547" t="str">
            <v>顺品郎(红顺)2023版45度 480mL</v>
          </cell>
          <cell r="L1547" t="str">
            <v>480mL</v>
          </cell>
          <cell r="M1547" t="str">
            <v>瓶</v>
          </cell>
          <cell r="N1547">
            <v>29.29</v>
          </cell>
          <cell r="O1547">
            <v>79</v>
          </cell>
          <cell r="P1547">
            <v>0.62556962025316498</v>
          </cell>
        </row>
        <row r="1548">
          <cell r="F1548" t="str">
            <v>70349658</v>
          </cell>
          <cell r="G1548" t="str">
            <v>郎酒</v>
          </cell>
          <cell r="H1548" t="str">
            <v>郎酒</v>
          </cell>
          <cell r="I1548" t="str">
            <v>酒类</v>
          </cell>
          <cell r="J1548" t="str">
            <v>白酒</v>
          </cell>
          <cell r="K1548" t="str">
            <v>顺品郎(蓝顺)2023版45度 480mL</v>
          </cell>
          <cell r="L1548" t="str">
            <v>480mL</v>
          </cell>
          <cell r="M1548" t="str">
            <v>瓶</v>
          </cell>
          <cell r="N1548">
            <v>33.33</v>
          </cell>
          <cell r="O1548">
            <v>99</v>
          </cell>
          <cell r="P1548">
            <v>0.66</v>
          </cell>
        </row>
        <row r="1549">
          <cell r="F1549" t="str">
            <v>70574745</v>
          </cell>
          <cell r="G1549" t="str">
            <v>郎酒</v>
          </cell>
          <cell r="H1549" t="str">
            <v>郎酒</v>
          </cell>
          <cell r="I1549" t="str">
            <v>酒类</v>
          </cell>
          <cell r="J1549" t="str">
            <v>白酒</v>
          </cell>
          <cell r="K1549" t="str">
            <v>郎酒 T3郎牌特曲50度 500mL</v>
          </cell>
          <cell r="L1549" t="str">
            <v>500mL</v>
          </cell>
          <cell r="M1549" t="str">
            <v>瓶</v>
          </cell>
          <cell r="N1549">
            <v>72.72</v>
          </cell>
          <cell r="O1549">
            <v>109</v>
          </cell>
          <cell r="P1549">
            <v>0.32623853211009202</v>
          </cell>
        </row>
        <row r="1550">
          <cell r="F1550" t="str">
            <v>70574556</v>
          </cell>
          <cell r="G1550" t="str">
            <v>郎酒</v>
          </cell>
          <cell r="H1550" t="str">
            <v>郎酒</v>
          </cell>
          <cell r="I1550" t="str">
            <v>酒类</v>
          </cell>
          <cell r="J1550" t="str">
            <v>白酒</v>
          </cell>
          <cell r="K1550" t="str">
            <v>郎酒 T6郎牌特曲50度 500mL</v>
          </cell>
          <cell r="L1550" t="str">
            <v>500mL</v>
          </cell>
          <cell r="M1550" t="str">
            <v>瓶</v>
          </cell>
          <cell r="N1550">
            <v>80.8</v>
          </cell>
          <cell r="O1550">
            <v>199</v>
          </cell>
          <cell r="P1550">
            <v>0.58994974874371897</v>
          </cell>
        </row>
        <row r="1551">
          <cell r="F1551" t="str">
            <v>70574456</v>
          </cell>
          <cell r="G1551" t="str">
            <v>郎酒</v>
          </cell>
          <cell r="H1551" t="str">
            <v>郎酒</v>
          </cell>
          <cell r="I1551" t="str">
            <v>酒类</v>
          </cell>
          <cell r="J1551" t="str">
            <v>白酒</v>
          </cell>
          <cell r="K1551" t="str">
            <v>郎酒 郎牌郎酒53度(双瓶礼盒装) 500mL*2</v>
          </cell>
          <cell r="L1551" t="str">
            <v>500mL*2</v>
          </cell>
          <cell r="M1551" t="str">
            <v>盒</v>
          </cell>
          <cell r="N1551">
            <v>430.26</v>
          </cell>
          <cell r="O1551">
            <v>698</v>
          </cell>
          <cell r="P1551">
            <v>0.37747851002865301</v>
          </cell>
        </row>
        <row r="1552">
          <cell r="F1552" t="str">
            <v>70574452</v>
          </cell>
          <cell r="G1552" t="str">
            <v>郎酒</v>
          </cell>
          <cell r="H1552" t="str">
            <v>郎酒</v>
          </cell>
          <cell r="I1552" t="str">
            <v>酒类</v>
          </cell>
          <cell r="J1552" t="str">
            <v>白酒</v>
          </cell>
          <cell r="K1552" t="str">
            <v>郎酒 第五代红花郎酒·红10(双瓶礼盒装)2020版53度 500mL*2</v>
          </cell>
          <cell r="L1552" t="str">
            <v>500mL*2</v>
          </cell>
          <cell r="M1552" t="str">
            <v>盒</v>
          </cell>
          <cell r="N1552">
            <v>644.38</v>
          </cell>
          <cell r="O1552">
            <v>996</v>
          </cell>
          <cell r="P1552">
            <v>0.346626506024096</v>
          </cell>
        </row>
        <row r="1553">
          <cell r="F1553" t="str">
            <v>70446850</v>
          </cell>
          <cell r="G1553" t="str">
            <v>杏花村酒</v>
          </cell>
          <cell r="H1553" t="str">
            <v>杏花村酒</v>
          </cell>
          <cell r="I1553" t="str">
            <v>酒类</v>
          </cell>
          <cell r="J1553" t="str">
            <v>白酒</v>
          </cell>
          <cell r="K1553" t="str">
            <v>杏花村 杏花村酒XHC100(金标)42度 450mL</v>
          </cell>
          <cell r="L1553" t="str">
            <v>450mL</v>
          </cell>
          <cell r="M1553" t="str">
            <v>瓶</v>
          </cell>
          <cell r="N1553">
            <v>25.76</v>
          </cell>
          <cell r="O1553">
            <v>48</v>
          </cell>
          <cell r="P1553">
            <v>0.458125</v>
          </cell>
        </row>
        <row r="1554">
          <cell r="F1554" t="str">
            <v>70510541</v>
          </cell>
          <cell r="G1554" t="str">
            <v>杏花村酒</v>
          </cell>
          <cell r="H1554" t="str">
            <v>杏花村酒</v>
          </cell>
          <cell r="I1554" t="str">
            <v>酒类</v>
          </cell>
          <cell r="J1554" t="str">
            <v>白酒</v>
          </cell>
          <cell r="K1554" t="str">
            <v>杏花村 杏花村酒XHC101(金标)42度 750mL</v>
          </cell>
          <cell r="L1554" t="str">
            <v>750mL</v>
          </cell>
          <cell r="M1554" t="str">
            <v>瓶</v>
          </cell>
          <cell r="N1554">
            <v>44.44</v>
          </cell>
          <cell r="O1554">
            <v>54</v>
          </cell>
          <cell r="P1554">
            <v>0.168888888888889</v>
          </cell>
        </row>
        <row r="1555">
          <cell r="F1555" t="str">
            <v>70408195</v>
          </cell>
          <cell r="G1555" t="str">
            <v>杏花村酒</v>
          </cell>
          <cell r="H1555" t="str">
            <v>杏花村酒</v>
          </cell>
          <cell r="I1555" t="str">
            <v>酒类</v>
          </cell>
          <cell r="J1555" t="str">
            <v>白酒</v>
          </cell>
          <cell r="K1555" t="str">
            <v>杏花村 杏花村酒XHC102(金标)53度 450mL</v>
          </cell>
          <cell r="L1555" t="str">
            <v>450mL</v>
          </cell>
          <cell r="M1555" t="str">
            <v>瓶</v>
          </cell>
          <cell r="N1555">
            <v>28.79</v>
          </cell>
          <cell r="O1555">
            <v>50</v>
          </cell>
          <cell r="P1555">
            <v>0.41860000000000003</v>
          </cell>
        </row>
        <row r="1556">
          <cell r="F1556" t="str">
            <v>70510542</v>
          </cell>
          <cell r="G1556" t="str">
            <v>杏花村酒</v>
          </cell>
          <cell r="H1556" t="str">
            <v>杏花村酒</v>
          </cell>
          <cell r="I1556" t="str">
            <v>酒类</v>
          </cell>
          <cell r="J1556" t="str">
            <v>白酒</v>
          </cell>
          <cell r="K1556" t="str">
            <v>杏花村 杏花村酒XHC103(金标)53度 750mL</v>
          </cell>
          <cell r="L1556" t="str">
            <v>750mL</v>
          </cell>
          <cell r="M1556" t="str">
            <v>瓶</v>
          </cell>
          <cell r="N1556">
            <v>49.49</v>
          </cell>
          <cell r="O1556">
            <v>59</v>
          </cell>
          <cell r="P1556">
            <v>0.15288135593220301</v>
          </cell>
        </row>
        <row r="1557">
          <cell r="F1557" t="str">
            <v>70529743</v>
          </cell>
          <cell r="G1557" t="str">
            <v>杏花村酒</v>
          </cell>
          <cell r="H1557" t="str">
            <v>杏花村酒</v>
          </cell>
          <cell r="I1557" t="str">
            <v>酒类</v>
          </cell>
          <cell r="J1557" t="str">
            <v>白酒</v>
          </cell>
          <cell r="K1557" t="str">
            <v>杏花村 杏花村酒XHC104(金标)42度 225mL</v>
          </cell>
          <cell r="L1557" t="str">
            <v>225mL</v>
          </cell>
          <cell r="M1557" t="str">
            <v>瓶</v>
          </cell>
          <cell r="N1557">
            <v>15.76</v>
          </cell>
          <cell r="O1557">
            <v>29.9</v>
          </cell>
          <cell r="P1557">
            <v>0.46789297658862899</v>
          </cell>
        </row>
        <row r="1558">
          <cell r="F1558" t="str">
            <v>70529736</v>
          </cell>
          <cell r="G1558" t="str">
            <v>杏花村酒</v>
          </cell>
          <cell r="H1558" t="str">
            <v>杏花村酒</v>
          </cell>
          <cell r="I1558" t="str">
            <v>酒类</v>
          </cell>
          <cell r="J1558" t="str">
            <v>白酒</v>
          </cell>
          <cell r="K1558" t="str">
            <v>杏花村 杏花村酒(42度金质3)升级版 500mL</v>
          </cell>
          <cell r="L1558" t="str">
            <v>500mL</v>
          </cell>
          <cell r="M1558" t="str">
            <v>瓶</v>
          </cell>
          <cell r="N1558">
            <v>62.62</v>
          </cell>
          <cell r="O1558">
            <v>98</v>
          </cell>
          <cell r="P1558">
            <v>0.35469387755102</v>
          </cell>
        </row>
        <row r="1559">
          <cell r="F1559" t="str">
            <v>70529742</v>
          </cell>
          <cell r="G1559" t="str">
            <v>杏花村酒</v>
          </cell>
          <cell r="H1559" t="str">
            <v>杏花村酒</v>
          </cell>
          <cell r="I1559" t="str">
            <v>酒类</v>
          </cell>
          <cell r="J1559" t="str">
            <v>白酒</v>
          </cell>
          <cell r="K1559" t="str">
            <v>杏花村 杏花村酒(53度金质3)升级版 500mL</v>
          </cell>
          <cell r="L1559" t="str">
            <v>500mL</v>
          </cell>
          <cell r="M1559" t="str">
            <v>瓶</v>
          </cell>
          <cell r="N1559">
            <v>69.69</v>
          </cell>
          <cell r="O1559">
            <v>108</v>
          </cell>
          <cell r="P1559">
            <v>0.348333333333333</v>
          </cell>
        </row>
        <row r="1560">
          <cell r="F1560" t="str">
            <v>70510543</v>
          </cell>
          <cell r="G1560" t="str">
            <v>杏花村酒</v>
          </cell>
          <cell r="H1560" t="str">
            <v>杏花村酒</v>
          </cell>
          <cell r="I1560" t="str">
            <v>酒类</v>
          </cell>
          <cell r="J1560" t="str">
            <v>白酒</v>
          </cell>
          <cell r="K1560" t="str">
            <v>杏花村 杏花村酒XHC105(金质5)42度 500mL</v>
          </cell>
          <cell r="L1560" t="str">
            <v>500mL</v>
          </cell>
          <cell r="M1560" t="str">
            <v>瓶</v>
          </cell>
          <cell r="N1560">
            <v>73.73</v>
          </cell>
          <cell r="O1560">
            <v>158</v>
          </cell>
          <cell r="P1560">
            <v>0.52873417721519</v>
          </cell>
        </row>
        <row r="1561">
          <cell r="F1561" t="str">
            <v>70408196</v>
          </cell>
          <cell r="G1561" t="str">
            <v>杏花村酒</v>
          </cell>
          <cell r="H1561" t="str">
            <v>杏花村酒</v>
          </cell>
          <cell r="I1561" t="str">
            <v>酒类</v>
          </cell>
          <cell r="J1561" t="str">
            <v>白酒</v>
          </cell>
          <cell r="K1561" t="str">
            <v>杏花村 杏花村酒XHC106(金质5)53度 500mL</v>
          </cell>
          <cell r="L1561" t="str">
            <v>500mL</v>
          </cell>
          <cell r="M1561" t="str">
            <v>瓶</v>
          </cell>
          <cell r="N1561">
            <v>80.8</v>
          </cell>
          <cell r="O1561">
            <v>168</v>
          </cell>
          <cell r="P1561">
            <v>0.51428571428571401</v>
          </cell>
        </row>
        <row r="1562">
          <cell r="F1562" t="str">
            <v>70574325</v>
          </cell>
          <cell r="G1562" t="str">
            <v>杏花村酒</v>
          </cell>
          <cell r="H1562" t="str">
            <v>杏花村酒</v>
          </cell>
          <cell r="I1562" t="str">
            <v>酒类</v>
          </cell>
          <cell r="J1562" t="str">
            <v>白酒</v>
          </cell>
          <cell r="K1562" t="str">
            <v>杏花村 杏花村酒XHC107(金质8)42度 500mL</v>
          </cell>
          <cell r="L1562" t="str">
            <v>500mL</v>
          </cell>
          <cell r="M1562" t="str">
            <v>瓶</v>
          </cell>
          <cell r="N1562">
            <v>151.5</v>
          </cell>
          <cell r="O1562">
            <v>238</v>
          </cell>
          <cell r="P1562">
            <v>0.35714285714285698</v>
          </cell>
        </row>
        <row r="1563">
          <cell r="F1563" t="str">
            <v>70408197</v>
          </cell>
          <cell r="G1563" t="str">
            <v>杏花村酒</v>
          </cell>
          <cell r="H1563" t="str">
            <v>杏花村酒</v>
          </cell>
          <cell r="I1563" t="str">
            <v>酒类</v>
          </cell>
          <cell r="J1563" t="str">
            <v>白酒</v>
          </cell>
          <cell r="K1563" t="str">
            <v>杏花村 杏花村酒XHC108(金质8)53度 500mL</v>
          </cell>
          <cell r="L1563" t="str">
            <v>500mL</v>
          </cell>
          <cell r="M1563" t="str">
            <v>瓶</v>
          </cell>
          <cell r="N1563">
            <v>161.6</v>
          </cell>
          <cell r="O1563">
            <v>268</v>
          </cell>
          <cell r="P1563">
            <v>0.39104477611940303</v>
          </cell>
        </row>
        <row r="1564">
          <cell r="F1564" t="str">
            <v>70529740</v>
          </cell>
          <cell r="G1564" t="str">
            <v>杏花村酒</v>
          </cell>
          <cell r="H1564" t="str">
            <v>杏花村酒</v>
          </cell>
          <cell r="I1564" t="str">
            <v>酒类</v>
          </cell>
          <cell r="J1564" t="str">
            <v>白酒</v>
          </cell>
          <cell r="K1564" t="str">
            <v>杏花村 杏花村酒XHC119(金质20)53度 500mL</v>
          </cell>
          <cell r="L1564" t="str">
            <v>500mL</v>
          </cell>
          <cell r="M1564" t="str">
            <v>瓶</v>
          </cell>
          <cell r="N1564">
            <v>432.28</v>
          </cell>
          <cell r="O1564">
            <v>858</v>
          </cell>
          <cell r="P1564">
            <v>0.49118881118881103</v>
          </cell>
        </row>
        <row r="1565">
          <cell r="F1565" t="str">
            <v>70529734</v>
          </cell>
          <cell r="G1565" t="str">
            <v>杏花村酒</v>
          </cell>
          <cell r="H1565" t="str">
            <v>杏花村酒</v>
          </cell>
          <cell r="I1565" t="str">
            <v>酒类</v>
          </cell>
          <cell r="J1565" t="str">
            <v>白酒</v>
          </cell>
          <cell r="K1565" t="str">
            <v>杏花村 杏花村酒XHC116(X18)42度 500mL</v>
          </cell>
          <cell r="L1565" t="str">
            <v>500mL</v>
          </cell>
          <cell r="M1565" t="str">
            <v>瓶</v>
          </cell>
          <cell r="N1565">
            <v>228.26</v>
          </cell>
          <cell r="O1565">
            <v>468</v>
          </cell>
          <cell r="P1565">
            <v>0.50743589743589701</v>
          </cell>
        </row>
        <row r="1566">
          <cell r="F1566" t="str">
            <v>70408198</v>
          </cell>
          <cell r="G1566" t="str">
            <v>杏花村酒</v>
          </cell>
          <cell r="H1566" t="str">
            <v>杏花村酒</v>
          </cell>
          <cell r="I1566" t="str">
            <v>酒类</v>
          </cell>
          <cell r="J1566" t="str">
            <v>白酒</v>
          </cell>
          <cell r="K1566" t="str">
            <v>杏花村 杏花村酒XHC111(X18)53度 500mL</v>
          </cell>
          <cell r="L1566" t="str">
            <v>500mL</v>
          </cell>
          <cell r="M1566" t="str">
            <v>瓶</v>
          </cell>
          <cell r="N1566">
            <v>240.38</v>
          </cell>
          <cell r="O1566">
            <v>498</v>
          </cell>
          <cell r="P1566">
            <v>0.51253012048192803</v>
          </cell>
        </row>
        <row r="1567">
          <cell r="F1567" t="str">
            <v>70574557</v>
          </cell>
          <cell r="G1567" t="str">
            <v>丹凤葡萄酒</v>
          </cell>
          <cell r="H1567" t="str">
            <v>丹凤葡萄酒</v>
          </cell>
          <cell r="I1567" t="str">
            <v>酒类</v>
          </cell>
          <cell r="J1567" t="str">
            <v>葡萄酒</v>
          </cell>
          <cell r="K1567" t="str">
            <v>丹凤 传统甜红葡萄酒(经典) 750mL</v>
          </cell>
          <cell r="L1567" t="str">
            <v>750mL</v>
          </cell>
          <cell r="M1567" t="str">
            <v>瓶</v>
          </cell>
          <cell r="N1567">
            <v>27.27</v>
          </cell>
          <cell r="O1567">
            <v>43</v>
          </cell>
          <cell r="P1567">
            <v>0.35953488372093001</v>
          </cell>
        </row>
        <row r="1568">
          <cell r="F1568" t="str">
            <v>70524345</v>
          </cell>
          <cell r="G1568" t="str">
            <v>丹凤葡萄酒</v>
          </cell>
          <cell r="H1568" t="str">
            <v>丹凤葡萄酒</v>
          </cell>
          <cell r="I1568" t="str">
            <v>酒类</v>
          </cell>
          <cell r="J1568" t="str">
            <v>葡萄酒</v>
          </cell>
          <cell r="K1568" t="str">
            <v>丹凤 传统甜红葡萄酒(精选) 750mL</v>
          </cell>
          <cell r="L1568" t="str">
            <v>750mL</v>
          </cell>
          <cell r="M1568" t="str">
            <v>瓶</v>
          </cell>
          <cell r="N1568">
            <v>44.05</v>
          </cell>
          <cell r="O1568">
            <v>98</v>
          </cell>
          <cell r="P1568">
            <v>0.54612244897959195</v>
          </cell>
        </row>
        <row r="1569">
          <cell r="F1569" t="str">
            <v>70524346</v>
          </cell>
          <cell r="G1569" t="str">
            <v>丹凤葡萄酒</v>
          </cell>
          <cell r="H1569" t="str">
            <v>丹凤葡萄酒</v>
          </cell>
          <cell r="I1569" t="str">
            <v>酒类</v>
          </cell>
          <cell r="J1569" t="str">
            <v>葡萄酒</v>
          </cell>
          <cell r="K1569" t="str">
            <v>丹凤 传统甜红葡萄酒(特选） 750mL</v>
          </cell>
          <cell r="L1569" t="str">
            <v>750mL</v>
          </cell>
          <cell r="M1569" t="str">
            <v>瓶</v>
          </cell>
          <cell r="N1569">
            <v>70.81</v>
          </cell>
          <cell r="O1569">
            <v>188</v>
          </cell>
          <cell r="P1569">
            <v>0.61962765957446797</v>
          </cell>
        </row>
        <row r="1570">
          <cell r="F1570" t="str">
            <v>70574558</v>
          </cell>
          <cell r="G1570" t="str">
            <v>丹凤葡萄酒</v>
          </cell>
          <cell r="H1570" t="str">
            <v>丹凤葡萄酒</v>
          </cell>
          <cell r="I1570" t="str">
            <v>酒类</v>
          </cell>
          <cell r="J1570" t="str">
            <v>葡萄酒</v>
          </cell>
          <cell r="K1570" t="str">
            <v>丹凤 干红葡萄酒(优选) 750mL</v>
          </cell>
          <cell r="L1570" t="str">
            <v>750mL</v>
          </cell>
          <cell r="M1570" t="str">
            <v>瓶</v>
          </cell>
          <cell r="N1570">
            <v>31.31</v>
          </cell>
          <cell r="O1570">
            <v>52</v>
          </cell>
          <cell r="P1570">
            <v>0.39192307692307699</v>
          </cell>
        </row>
        <row r="1571">
          <cell r="F1571" t="str">
            <v>70524347</v>
          </cell>
          <cell r="G1571" t="str">
            <v>丹凤葡萄酒</v>
          </cell>
          <cell r="H1571" t="str">
            <v>丹凤葡萄酒</v>
          </cell>
          <cell r="I1571" t="str">
            <v>酒类</v>
          </cell>
          <cell r="J1571" t="str">
            <v>葡萄酒</v>
          </cell>
          <cell r="K1571" t="str">
            <v>丹凤 干红葡萄酒(精选) 750mL</v>
          </cell>
          <cell r="L1571" t="str">
            <v>750mL</v>
          </cell>
          <cell r="M1571" t="str">
            <v>瓶</v>
          </cell>
          <cell r="N1571">
            <v>55.27</v>
          </cell>
          <cell r="O1571">
            <v>128</v>
          </cell>
          <cell r="P1571">
            <v>0.56398437499999998</v>
          </cell>
        </row>
        <row r="1572">
          <cell r="F1572" t="str">
            <v>70524348</v>
          </cell>
          <cell r="G1572" t="str">
            <v>丹凤葡萄酒</v>
          </cell>
          <cell r="H1572" t="str">
            <v>丹凤葡萄酒</v>
          </cell>
          <cell r="I1572" t="str">
            <v>酒类</v>
          </cell>
          <cell r="J1572" t="str">
            <v>葡萄酒</v>
          </cell>
          <cell r="K1572" t="str">
            <v>丹凤 干红葡萄酒(特选) 750mL</v>
          </cell>
          <cell r="L1572" t="str">
            <v>750mL</v>
          </cell>
          <cell r="M1572" t="str">
            <v>瓶</v>
          </cell>
          <cell r="N1572">
            <v>145.08000000000001</v>
          </cell>
          <cell r="O1572">
            <v>388</v>
          </cell>
          <cell r="P1572">
            <v>0.62239690721649499</v>
          </cell>
        </row>
        <row r="1573">
          <cell r="F1573" t="str">
            <v>70574559</v>
          </cell>
          <cell r="G1573" t="str">
            <v>丹凤葡萄酒</v>
          </cell>
          <cell r="H1573" t="str">
            <v>丹凤葡萄酒</v>
          </cell>
          <cell r="I1573" t="str">
            <v>酒类</v>
          </cell>
          <cell r="J1573" t="str">
            <v>葡萄酒</v>
          </cell>
          <cell r="K1573" t="str">
            <v>丹凤 干白葡萄酒(霞多丽) 750mL</v>
          </cell>
          <cell r="L1573" t="str">
            <v>750mL</v>
          </cell>
          <cell r="M1573" t="str">
            <v>瓶</v>
          </cell>
          <cell r="N1573">
            <v>72.72</v>
          </cell>
          <cell r="O1573">
            <v>198</v>
          </cell>
          <cell r="P1573">
            <v>0.62909090909090903</v>
          </cell>
        </row>
        <row r="1574">
          <cell r="F1574" t="str">
            <v>70574560</v>
          </cell>
          <cell r="G1574" t="str">
            <v>丹凤葡萄酒</v>
          </cell>
          <cell r="H1574" t="str">
            <v>丹凤葡萄酒</v>
          </cell>
          <cell r="I1574" t="str">
            <v>酒类</v>
          </cell>
          <cell r="J1574" t="str">
            <v>葡萄酒</v>
          </cell>
          <cell r="K1574" t="str">
            <v>丹凤 低醇白葡萄酒(浅云) 500mL</v>
          </cell>
          <cell r="L1574" t="str">
            <v>500mL</v>
          </cell>
          <cell r="M1574" t="str">
            <v>瓶</v>
          </cell>
          <cell r="N1574">
            <v>61.61</v>
          </cell>
          <cell r="O1574">
            <v>128</v>
          </cell>
          <cell r="P1574">
            <v>0.51390625000000001</v>
          </cell>
        </row>
        <row r="1575">
          <cell r="F1575" t="str">
            <v>70574954</v>
          </cell>
          <cell r="G1575" t="str">
            <v>天草润东</v>
          </cell>
          <cell r="H1575" t="str">
            <v>天草润东</v>
          </cell>
          <cell r="I1575" t="str">
            <v>酒类</v>
          </cell>
          <cell r="J1575" t="str">
            <v>啤酒</v>
          </cell>
          <cell r="K1575" t="str">
            <v>天草润东 天冬精酿黄啤 330mL</v>
          </cell>
          <cell r="L1575" t="str">
            <v>325mL/瓶</v>
          </cell>
          <cell r="M1575" t="str">
            <v>瓶</v>
          </cell>
          <cell r="N1575">
            <v>5.45</v>
          </cell>
          <cell r="O1575">
            <v>8.9</v>
          </cell>
          <cell r="P1575">
            <v>0.38089887640449399</v>
          </cell>
        </row>
        <row r="1576">
          <cell r="F1576" t="str">
            <v>70574955</v>
          </cell>
          <cell r="G1576" t="str">
            <v>天草润东</v>
          </cell>
          <cell r="H1576" t="str">
            <v>天草润东</v>
          </cell>
          <cell r="I1576" t="str">
            <v>酒类</v>
          </cell>
          <cell r="J1576" t="str">
            <v>啤酒</v>
          </cell>
          <cell r="K1576" t="str">
            <v>天草润东 天冬精酿黄啤 500mL</v>
          </cell>
          <cell r="L1576" t="str">
            <v>500mL/瓶</v>
          </cell>
          <cell r="M1576" t="str">
            <v>瓶</v>
          </cell>
          <cell r="N1576">
            <v>6.16</v>
          </cell>
          <cell r="O1576">
            <v>9.5</v>
          </cell>
          <cell r="P1576">
            <v>0.34526315789473699</v>
          </cell>
        </row>
        <row r="1577">
          <cell r="F1577" t="str">
            <v>70574957</v>
          </cell>
          <cell r="G1577" t="str">
            <v>天草润东</v>
          </cell>
          <cell r="H1577" t="str">
            <v>天草润东</v>
          </cell>
          <cell r="I1577" t="str">
            <v>酒类</v>
          </cell>
          <cell r="J1577" t="str">
            <v>啤酒</v>
          </cell>
          <cell r="K1577" t="str">
            <v>天草润东 天冬精酿白啤 750mL</v>
          </cell>
          <cell r="L1577" t="str">
            <v>750mL/瓶</v>
          </cell>
          <cell r="M1577" t="str">
            <v>瓶</v>
          </cell>
          <cell r="N1577">
            <v>12.63</v>
          </cell>
          <cell r="O1577">
            <v>18.899999999999999</v>
          </cell>
          <cell r="P1577">
            <v>0.32539682539682502</v>
          </cell>
        </row>
        <row r="1578">
          <cell r="F1578" t="str">
            <v>70574956</v>
          </cell>
          <cell r="G1578" t="str">
            <v>天草润东</v>
          </cell>
          <cell r="H1578" t="str">
            <v>天草润东</v>
          </cell>
          <cell r="I1578" t="str">
            <v>酒类</v>
          </cell>
          <cell r="J1578" t="str">
            <v>啤酒</v>
          </cell>
          <cell r="K1578" t="str">
            <v>天草润东 天冬原浆啤酒 1L</v>
          </cell>
          <cell r="L1578" t="str">
            <v>1L/瓶</v>
          </cell>
          <cell r="M1578" t="str">
            <v>瓶</v>
          </cell>
          <cell r="N1578">
            <v>28.28</v>
          </cell>
          <cell r="O1578">
            <v>38</v>
          </cell>
          <cell r="P1578">
            <v>0.24842105263157899</v>
          </cell>
        </row>
        <row r="1579">
          <cell r="F1579" t="str">
            <v>70279367</v>
          </cell>
          <cell r="G1579" t="str">
            <v>今麦郎</v>
          </cell>
          <cell r="H1579" t="str">
            <v>今麦郎</v>
          </cell>
          <cell r="I1579" t="str">
            <v>包装饮料</v>
          </cell>
          <cell r="J1579" t="str">
            <v>茶饮料</v>
          </cell>
          <cell r="K1579" t="str">
            <v>今麦郎 两瓶（冰红茶）1L</v>
          </cell>
          <cell r="L1579" t="str">
            <v>1L</v>
          </cell>
          <cell r="M1579" t="str">
            <v>瓶</v>
          </cell>
          <cell r="N1579">
            <v>2.4900000000000002</v>
          </cell>
          <cell r="O1579">
            <v>3.5</v>
          </cell>
          <cell r="P1579">
            <v>0.28000000000000003</v>
          </cell>
        </row>
        <row r="1580">
          <cell r="F1580" t="str">
            <v>70329296</v>
          </cell>
          <cell r="G1580" t="str">
            <v>今麦郎</v>
          </cell>
          <cell r="H1580" t="str">
            <v>今麦郎</v>
          </cell>
          <cell r="I1580" t="str">
            <v>包装饮料</v>
          </cell>
          <cell r="J1580" t="str">
            <v>茶饮料</v>
          </cell>
          <cell r="K1580" t="str">
            <v>今麦郎 两瓶（绿茶）1L</v>
          </cell>
          <cell r="L1580" t="str">
            <v>1L</v>
          </cell>
          <cell r="M1580" t="str">
            <v>瓶</v>
          </cell>
          <cell r="N1580">
            <v>2.4900000000000002</v>
          </cell>
          <cell r="O1580">
            <v>3.5</v>
          </cell>
          <cell r="P1580">
            <v>0.28000000000000003</v>
          </cell>
        </row>
        <row r="1581">
          <cell r="F1581" t="str">
            <v>70469470</v>
          </cell>
          <cell r="G1581" t="str">
            <v>今麦郎</v>
          </cell>
          <cell r="H1581" t="str">
            <v>今麦郎</v>
          </cell>
          <cell r="I1581" t="str">
            <v>包装饮料</v>
          </cell>
          <cell r="J1581" t="str">
            <v>茶饮料</v>
          </cell>
          <cell r="K1581" t="str">
            <v>今麦郎 茶粹暴打柠檬红茶 500mL</v>
          </cell>
          <cell r="L1581" t="str">
            <v>500mL</v>
          </cell>
          <cell r="M1581" t="str">
            <v>瓶</v>
          </cell>
          <cell r="N1581">
            <v>2.11</v>
          </cell>
          <cell r="O1581">
            <v>2.8</v>
          </cell>
          <cell r="P1581">
            <v>0.23928571428571399</v>
          </cell>
        </row>
        <row r="1582">
          <cell r="F1582" t="str">
            <v>70469468</v>
          </cell>
          <cell r="G1582" t="str">
            <v>今麦郎</v>
          </cell>
          <cell r="H1582" t="str">
            <v>今麦郎</v>
          </cell>
          <cell r="I1582" t="str">
            <v>包装饮料</v>
          </cell>
          <cell r="J1582" t="str">
            <v>茶饮料</v>
          </cell>
          <cell r="K1582" t="str">
            <v>今麦郎 茶粹爆汁青提绿茶 500mL</v>
          </cell>
          <cell r="L1582" t="str">
            <v>500mL</v>
          </cell>
          <cell r="M1582" t="str">
            <v>瓶</v>
          </cell>
          <cell r="N1582">
            <v>2.11</v>
          </cell>
          <cell r="O1582">
            <v>2.8</v>
          </cell>
          <cell r="P1582">
            <v>0.23928571428571399</v>
          </cell>
        </row>
        <row r="1583">
          <cell r="F1583" t="str">
            <v>70513122</v>
          </cell>
          <cell r="G1583" t="str">
            <v>杞见</v>
          </cell>
          <cell r="H1583" t="str">
            <v>杞见</v>
          </cell>
          <cell r="I1583" t="str">
            <v>包装饮料</v>
          </cell>
          <cell r="J1583" t="str">
            <v>茶饮料</v>
          </cell>
          <cell r="K1583" t="str">
            <v>杞见 能量型枸杞维生素饮料 250mL</v>
          </cell>
          <cell r="L1583" t="str">
            <v>250mL</v>
          </cell>
          <cell r="M1583" t="str">
            <v>罐</v>
          </cell>
          <cell r="N1583">
            <v>2.68</v>
          </cell>
          <cell r="O1583">
            <v>6</v>
          </cell>
          <cell r="P1583">
            <v>0.55000000000000004</v>
          </cell>
        </row>
        <row r="1584">
          <cell r="F1584" t="str">
            <v>70531681</v>
          </cell>
          <cell r="G1584" t="str">
            <v>杞见</v>
          </cell>
          <cell r="H1584" t="str">
            <v>杞见</v>
          </cell>
          <cell r="I1584" t="str">
            <v>包装饮料</v>
          </cell>
          <cell r="J1584" t="str">
            <v>茶饮料</v>
          </cell>
          <cell r="K1584" t="str">
            <v>杞见 枸杞乌龙茶 550mL</v>
          </cell>
          <cell r="L1584" t="str">
            <v>550mL</v>
          </cell>
          <cell r="M1584" t="str">
            <v>瓶</v>
          </cell>
          <cell r="N1584">
            <v>3.03</v>
          </cell>
          <cell r="O1584">
            <v>5.5</v>
          </cell>
          <cell r="P1584">
            <v>0.443636363636364</v>
          </cell>
        </row>
        <row r="1585">
          <cell r="F1585" t="str">
            <v>70531679</v>
          </cell>
          <cell r="G1585" t="str">
            <v>杞见</v>
          </cell>
          <cell r="H1585" t="str">
            <v>杞见</v>
          </cell>
          <cell r="I1585" t="str">
            <v>包装饮料</v>
          </cell>
          <cell r="J1585" t="str">
            <v>茶饮料</v>
          </cell>
          <cell r="K1585" t="str">
            <v>杞见 枸杞红枣水 550mL</v>
          </cell>
          <cell r="L1585" t="str">
            <v>550mL</v>
          </cell>
          <cell r="M1585" t="str">
            <v>瓶</v>
          </cell>
          <cell r="N1585">
            <v>2.88</v>
          </cell>
          <cell r="O1585">
            <v>5</v>
          </cell>
          <cell r="P1585">
            <v>0.41799999999999998</v>
          </cell>
        </row>
        <row r="1586">
          <cell r="F1586" t="str">
            <v>70574429</v>
          </cell>
          <cell r="G1586" t="str">
            <v>岚莲华</v>
          </cell>
          <cell r="H1586" t="str">
            <v>岚莲华</v>
          </cell>
          <cell r="I1586" t="str">
            <v>家庭食品</v>
          </cell>
          <cell r="J1586" t="str">
            <v>茶</v>
          </cell>
          <cell r="K1586" t="str">
            <v>岚莲华 黄精荷叶茶 310mL</v>
          </cell>
          <cell r="L1586" t="str">
            <v>310mL</v>
          </cell>
          <cell r="M1586" t="str">
            <v>罐</v>
          </cell>
          <cell r="N1586">
            <v>4.24</v>
          </cell>
          <cell r="O1586">
            <v>6.6</v>
          </cell>
          <cell r="P1586">
            <v>0.351515151515151</v>
          </cell>
        </row>
        <row r="1587">
          <cell r="F1587" t="str">
            <v>70574433</v>
          </cell>
          <cell r="G1587" t="str">
            <v>岚莲华</v>
          </cell>
          <cell r="H1587" t="str">
            <v>岚莲华</v>
          </cell>
          <cell r="I1587" t="str">
            <v>家庭食品</v>
          </cell>
          <cell r="J1587" t="str">
            <v>茶</v>
          </cell>
          <cell r="K1587" t="str">
            <v>岚莲华 黄精荷叶茶礼盒装 310mL*10</v>
          </cell>
          <cell r="L1587" t="str">
            <v>310mL*10罐/箱</v>
          </cell>
          <cell r="M1587" t="str">
            <v>箱</v>
          </cell>
          <cell r="N1587">
            <v>42.42</v>
          </cell>
          <cell r="O1587">
            <v>66</v>
          </cell>
          <cell r="P1587">
            <v>0.350909090909091</v>
          </cell>
        </row>
        <row r="1588">
          <cell r="F1588" t="str">
            <v>70574648</v>
          </cell>
          <cell r="G1588" t="str">
            <v>玛咖诺丽</v>
          </cell>
          <cell r="H1588" t="str">
            <v>玛咖诺丽</v>
          </cell>
          <cell r="I1588" t="str">
            <v>包装饮料</v>
          </cell>
          <cell r="J1588" t="str">
            <v>功能饮料</v>
          </cell>
          <cell r="K1588" t="str">
            <v>玛咖诺丽 功能饮料 250mL</v>
          </cell>
          <cell r="L1588" t="str">
            <v>250mL/罐</v>
          </cell>
          <cell r="M1588" t="str">
            <v>罐</v>
          </cell>
          <cell r="N1588">
            <v>4.24</v>
          </cell>
          <cell r="O1588">
            <v>9.8000000000000007</v>
          </cell>
          <cell r="P1588">
            <v>0.56326530612244896</v>
          </cell>
        </row>
        <row r="1589">
          <cell r="F1589" t="str">
            <v>70548127</v>
          </cell>
          <cell r="G1589" t="str">
            <v>椰小妞</v>
          </cell>
          <cell r="H1589" t="str">
            <v>椰小妞</v>
          </cell>
          <cell r="I1589" t="str">
            <v>包装饮料</v>
          </cell>
          <cell r="J1589" t="str">
            <v>果汁</v>
          </cell>
          <cell r="K1589" t="str">
            <v>椰小妞 香水椰子水 330mL</v>
          </cell>
          <cell r="L1589" t="str">
            <v>330mL</v>
          </cell>
          <cell r="M1589" t="str">
            <v>瓶</v>
          </cell>
          <cell r="N1589">
            <v>4.24</v>
          </cell>
          <cell r="O1589">
            <v>8</v>
          </cell>
          <cell r="P1589">
            <v>0.46500000000000002</v>
          </cell>
        </row>
        <row r="1590">
          <cell r="F1590" t="str">
            <v>70376477</v>
          </cell>
          <cell r="G1590" t="str">
            <v>依能</v>
          </cell>
          <cell r="H1590" t="str">
            <v>依能</v>
          </cell>
          <cell r="I1590" t="str">
            <v>包装饮料</v>
          </cell>
          <cell r="J1590" t="str">
            <v>果汁</v>
          </cell>
          <cell r="K1590" t="str">
            <v>依能 蜜水水蜜桃味果味饮料 500mL</v>
          </cell>
          <cell r="L1590" t="str">
            <v>500mL</v>
          </cell>
          <cell r="M1590" t="str">
            <v>瓶</v>
          </cell>
          <cell r="N1590">
            <v>1.41</v>
          </cell>
          <cell r="O1590">
            <v>2</v>
          </cell>
          <cell r="P1590">
            <v>0.28499999999999998</v>
          </cell>
        </row>
        <row r="1591">
          <cell r="F1591" t="str">
            <v>70542583</v>
          </cell>
          <cell r="G1591" t="str">
            <v>依能</v>
          </cell>
          <cell r="H1591" t="str">
            <v>依能</v>
          </cell>
          <cell r="I1591" t="str">
            <v>包装饮料</v>
          </cell>
          <cell r="J1591" t="str">
            <v>果汁</v>
          </cell>
          <cell r="K1591" t="str">
            <v>依能 蜜水柠檬味果味饮料 500mL</v>
          </cell>
          <cell r="L1591" t="str">
            <v>500mL</v>
          </cell>
          <cell r="M1591" t="str">
            <v>瓶</v>
          </cell>
          <cell r="N1591">
            <v>1.41</v>
          </cell>
          <cell r="O1591">
            <v>2</v>
          </cell>
          <cell r="P1591">
            <v>0.28499999999999998</v>
          </cell>
        </row>
        <row r="1592">
          <cell r="F1592" t="str">
            <v>70574409</v>
          </cell>
          <cell r="G1592" t="str">
            <v>依能</v>
          </cell>
          <cell r="H1592" t="str">
            <v>依能</v>
          </cell>
          <cell r="I1592" t="str">
            <v>包装饮料</v>
          </cell>
          <cell r="J1592" t="str">
            <v>功能饮料</v>
          </cell>
          <cell r="K1592" t="str">
            <v>依能 补水白桃味电解质饮料 600mL</v>
          </cell>
          <cell r="L1592" t="str">
            <v>600mL</v>
          </cell>
          <cell r="M1592" t="str">
            <v>瓶</v>
          </cell>
          <cell r="N1592">
            <v>2.1</v>
          </cell>
          <cell r="O1592">
            <v>3</v>
          </cell>
          <cell r="P1592">
            <v>0.293333333333333</v>
          </cell>
        </row>
        <row r="1593">
          <cell r="F1593" t="str">
            <v>70574414</v>
          </cell>
          <cell r="G1593" t="str">
            <v>依能</v>
          </cell>
          <cell r="H1593" t="str">
            <v>依能</v>
          </cell>
          <cell r="I1593" t="str">
            <v>包装饮料</v>
          </cell>
          <cell r="J1593" t="str">
            <v>功能饮料</v>
          </cell>
          <cell r="K1593" t="str">
            <v>依能 补水青提味电解质饮料 600mL</v>
          </cell>
          <cell r="L1593" t="str">
            <v>600mL</v>
          </cell>
          <cell r="M1593" t="str">
            <v>瓶</v>
          </cell>
          <cell r="N1593">
            <v>2.1</v>
          </cell>
          <cell r="O1593">
            <v>3</v>
          </cell>
          <cell r="P1593">
            <v>0.293333333333333</v>
          </cell>
        </row>
        <row r="1594">
          <cell r="F1594" t="str">
            <v>70518801</v>
          </cell>
          <cell r="G1594" t="str">
            <v>依能</v>
          </cell>
          <cell r="H1594" t="str">
            <v>依能</v>
          </cell>
          <cell r="I1594" t="str">
            <v>包装饮料</v>
          </cell>
          <cell r="J1594" t="str">
            <v>果汁</v>
          </cell>
          <cell r="K1594" t="str">
            <v>依能 魔方小青柠复合果汁饮料 360mL</v>
          </cell>
          <cell r="L1594" t="str">
            <v>360mL</v>
          </cell>
          <cell r="M1594" t="str">
            <v>瓶</v>
          </cell>
          <cell r="N1594">
            <v>3.35</v>
          </cell>
          <cell r="O1594">
            <v>5</v>
          </cell>
          <cell r="P1594">
            <v>0.32200000000000001</v>
          </cell>
        </row>
        <row r="1595">
          <cell r="F1595" t="str">
            <v>70574424</v>
          </cell>
          <cell r="G1595" t="str">
            <v>依能</v>
          </cell>
          <cell r="H1595" t="str">
            <v>依能</v>
          </cell>
          <cell r="I1595" t="str">
            <v>包装饮料</v>
          </cell>
          <cell r="J1595" t="str">
            <v>果汁</v>
          </cell>
          <cell r="K1595" t="str">
            <v>依能 魔方西梅复合果汁饮料 360mL</v>
          </cell>
          <cell r="L1595" t="str">
            <v>360mL</v>
          </cell>
          <cell r="M1595" t="str">
            <v>瓶</v>
          </cell>
          <cell r="N1595">
            <v>3.35</v>
          </cell>
          <cell r="O1595">
            <v>5</v>
          </cell>
          <cell r="P1595">
            <v>0.32200000000000001</v>
          </cell>
        </row>
        <row r="1596">
          <cell r="F1596" t="str">
            <v>70574420</v>
          </cell>
          <cell r="G1596" t="str">
            <v>依能</v>
          </cell>
          <cell r="H1596" t="str">
            <v>依能</v>
          </cell>
          <cell r="I1596" t="str">
            <v>包装饮料</v>
          </cell>
          <cell r="J1596" t="str">
            <v>果汁</v>
          </cell>
          <cell r="K1596" t="str">
            <v>依能 维C水刺梨柠檬味维生素饮料 600mL</v>
          </cell>
          <cell r="L1596" t="str">
            <v>600mL</v>
          </cell>
          <cell r="M1596" t="str">
            <v>瓶</v>
          </cell>
          <cell r="N1596">
            <v>2.1</v>
          </cell>
          <cell r="O1596">
            <v>3</v>
          </cell>
          <cell r="P1596">
            <v>0.293333333333333</v>
          </cell>
        </row>
        <row r="1597">
          <cell r="F1597" t="str">
            <v>70574418</v>
          </cell>
          <cell r="G1597" t="str">
            <v>依能</v>
          </cell>
          <cell r="H1597" t="str">
            <v>依能</v>
          </cell>
          <cell r="I1597" t="str">
            <v>包装饮料</v>
          </cell>
          <cell r="J1597" t="str">
            <v>果汁</v>
          </cell>
          <cell r="K1597" t="str">
            <v>依能 维C水刺梨树莓味维生素饮料 600mL</v>
          </cell>
          <cell r="L1597" t="str">
            <v>600mL</v>
          </cell>
          <cell r="M1597" t="str">
            <v>瓶</v>
          </cell>
          <cell r="N1597">
            <v>2.1</v>
          </cell>
          <cell r="O1597">
            <v>3</v>
          </cell>
          <cell r="P1597">
            <v>0.293333333333333</v>
          </cell>
        </row>
        <row r="1598">
          <cell r="F1598" t="str">
            <v>70219828</v>
          </cell>
          <cell r="G1598" t="str">
            <v>苏萨</v>
          </cell>
          <cell r="H1598" t="str">
            <v>苏萨</v>
          </cell>
          <cell r="I1598" t="str">
            <v>包装饮料</v>
          </cell>
          <cell r="J1598" t="str">
            <v>果汁饮料</v>
          </cell>
          <cell r="K1598" t="str">
            <v>苏萨 生榨椰汁 245g</v>
          </cell>
          <cell r="L1598" t="str">
            <v>245g</v>
          </cell>
          <cell r="M1598" t="str">
            <v>瓶</v>
          </cell>
          <cell r="N1598">
            <v>3.54</v>
          </cell>
          <cell r="O1598">
            <v>5</v>
          </cell>
          <cell r="P1598">
            <v>0.28599999999999998</v>
          </cell>
        </row>
        <row r="1599">
          <cell r="F1599" t="str">
            <v>70253476</v>
          </cell>
          <cell r="G1599" t="str">
            <v>苏萨</v>
          </cell>
          <cell r="H1599" t="str">
            <v>苏萨</v>
          </cell>
          <cell r="I1599" t="str">
            <v>包装饮料</v>
          </cell>
          <cell r="J1599" t="str">
            <v>果汁饮料</v>
          </cell>
          <cell r="K1599" t="str">
            <v>苏萨 生榨椰汁 245g*12（礼盒版）</v>
          </cell>
          <cell r="L1599" t="str">
            <v>245g*12</v>
          </cell>
          <cell r="M1599" t="str">
            <v>盒</v>
          </cell>
          <cell r="N1599">
            <v>42.35</v>
          </cell>
          <cell r="O1599">
            <v>59.9</v>
          </cell>
          <cell r="P1599">
            <v>0.28597662771285498</v>
          </cell>
        </row>
        <row r="1600">
          <cell r="F1600" t="str">
            <v>70192647</v>
          </cell>
          <cell r="G1600" t="str">
            <v>苏萨</v>
          </cell>
          <cell r="H1600" t="str">
            <v>苏萨</v>
          </cell>
          <cell r="I1600" t="str">
            <v>包装饮料</v>
          </cell>
          <cell r="J1600" t="str">
            <v>果汁饮料</v>
          </cell>
          <cell r="K1600" t="str">
            <v>苏萨 生榨椰汁 420g</v>
          </cell>
          <cell r="L1600" t="str">
            <v>420g</v>
          </cell>
          <cell r="M1600" t="str">
            <v>瓶</v>
          </cell>
          <cell r="N1600">
            <v>5.2</v>
          </cell>
          <cell r="O1600">
            <v>7</v>
          </cell>
          <cell r="P1600">
            <v>0.25</v>
          </cell>
        </row>
        <row r="1601">
          <cell r="F1601" t="str">
            <v>70325861</v>
          </cell>
          <cell r="G1601" t="str">
            <v>苏萨</v>
          </cell>
          <cell r="H1601" t="str">
            <v>苏萨</v>
          </cell>
          <cell r="I1601" t="str">
            <v>包装饮料</v>
          </cell>
          <cell r="J1601" t="str">
            <v>果汁饮料</v>
          </cell>
          <cell r="K1601" t="str">
            <v>苏萨 生榨椰汁 1kg（方盒）</v>
          </cell>
          <cell r="L1601" t="str">
            <v>1kg</v>
          </cell>
          <cell r="M1601" t="str">
            <v>瓶</v>
          </cell>
          <cell r="N1601">
            <v>12.66</v>
          </cell>
          <cell r="O1601">
            <v>15</v>
          </cell>
          <cell r="P1601">
            <v>0.14799999999999999</v>
          </cell>
        </row>
        <row r="1602">
          <cell r="F1602" t="str">
            <v>70253475</v>
          </cell>
          <cell r="G1602" t="str">
            <v>苏萨</v>
          </cell>
          <cell r="H1602" t="str">
            <v>苏萨</v>
          </cell>
          <cell r="I1602" t="str">
            <v>包装饮料</v>
          </cell>
          <cell r="J1602" t="str">
            <v>果汁饮料</v>
          </cell>
          <cell r="K1602" t="str">
            <v>苏萨 生榨椰汁 1kg(小蛮腰）</v>
          </cell>
          <cell r="L1602" t="str">
            <v>1kg</v>
          </cell>
          <cell r="M1602" t="str">
            <v>瓶</v>
          </cell>
          <cell r="N1602">
            <v>11.24</v>
          </cell>
          <cell r="O1602">
            <v>15</v>
          </cell>
          <cell r="P1602">
            <v>0.24333333333333301</v>
          </cell>
        </row>
        <row r="1603">
          <cell r="F1603" t="str">
            <v>70468342</v>
          </cell>
          <cell r="G1603" t="str">
            <v>苏萨</v>
          </cell>
          <cell r="H1603" t="str">
            <v>苏萨</v>
          </cell>
          <cell r="I1603" t="str">
            <v>包装饮料</v>
          </cell>
          <cell r="J1603" t="str">
            <v>果汁饮料</v>
          </cell>
          <cell r="K1603" t="str">
            <v>苏萨 三代目椰汁 250g</v>
          </cell>
          <cell r="L1603" t="str">
            <v>250g</v>
          </cell>
          <cell r="M1603" t="str">
            <v>包</v>
          </cell>
          <cell r="N1603">
            <v>5.25</v>
          </cell>
          <cell r="O1603">
            <v>7</v>
          </cell>
          <cell r="P1603">
            <v>0.24285714285714299</v>
          </cell>
        </row>
        <row r="1604">
          <cell r="F1604" t="str">
            <v>70511310</v>
          </cell>
          <cell r="G1604" t="str">
            <v>苏萨</v>
          </cell>
          <cell r="H1604" t="str">
            <v>苏萨</v>
          </cell>
          <cell r="I1604" t="str">
            <v>包装饮料</v>
          </cell>
          <cell r="J1604" t="str">
            <v>果汁饮料</v>
          </cell>
          <cell r="K1604" t="str">
            <v>苏萨 椰号椰子水 333mL</v>
          </cell>
          <cell r="L1604" t="str">
            <v>333mL</v>
          </cell>
          <cell r="M1604" t="str">
            <v>瓶</v>
          </cell>
          <cell r="N1604">
            <v>5.2</v>
          </cell>
          <cell r="O1604">
            <v>7</v>
          </cell>
          <cell r="P1604">
            <v>0.25</v>
          </cell>
        </row>
        <row r="1605">
          <cell r="F1605" t="str">
            <v>70546998</v>
          </cell>
          <cell r="G1605" t="str">
            <v>苏萨</v>
          </cell>
          <cell r="H1605" t="str">
            <v>苏萨</v>
          </cell>
          <cell r="I1605" t="str">
            <v>包装饮料</v>
          </cell>
          <cell r="J1605" t="str">
            <v>果汁饮料</v>
          </cell>
          <cell r="K1605" t="str">
            <v>苏萨 椰号椰子水 999mL</v>
          </cell>
          <cell r="L1605" t="str">
            <v>999mL</v>
          </cell>
          <cell r="M1605" t="str">
            <v>瓶</v>
          </cell>
          <cell r="N1605">
            <v>15.15</v>
          </cell>
          <cell r="O1605">
            <v>18</v>
          </cell>
          <cell r="P1605">
            <v>0.15</v>
          </cell>
        </row>
        <row r="1606">
          <cell r="F1606" t="str">
            <v>70574649</v>
          </cell>
          <cell r="G1606" t="str">
            <v>苏萨</v>
          </cell>
          <cell r="H1606" t="str">
            <v>苏萨</v>
          </cell>
          <cell r="I1606" t="str">
            <v>包装饮料</v>
          </cell>
          <cell r="J1606" t="str">
            <v>果汁饮料</v>
          </cell>
          <cell r="K1606" t="str">
            <v>苏萨 生椰水 350mL</v>
          </cell>
          <cell r="L1606" t="str">
            <v>350mL</v>
          </cell>
          <cell r="M1606" t="str">
            <v>瓶</v>
          </cell>
          <cell r="N1606">
            <v>5.2</v>
          </cell>
          <cell r="O1606">
            <v>7</v>
          </cell>
          <cell r="P1606">
            <v>0.25</v>
          </cell>
        </row>
        <row r="1607">
          <cell r="F1607" t="str">
            <v>70574650</v>
          </cell>
          <cell r="G1607" t="str">
            <v>苏萨</v>
          </cell>
          <cell r="H1607" t="str">
            <v>苏萨</v>
          </cell>
          <cell r="I1607" t="str">
            <v>包装饮料</v>
          </cell>
          <cell r="J1607" t="str">
            <v>果汁饮料</v>
          </cell>
          <cell r="K1607" t="str">
            <v>苏萨 生椰乳 350mL</v>
          </cell>
          <cell r="L1607" t="str">
            <v>350mL</v>
          </cell>
          <cell r="M1607" t="str">
            <v>瓶</v>
          </cell>
          <cell r="N1607">
            <v>5.2</v>
          </cell>
          <cell r="O1607">
            <v>7</v>
          </cell>
          <cell r="P1607">
            <v>0.25</v>
          </cell>
        </row>
        <row r="1608">
          <cell r="F1608" t="str">
            <v>70574651</v>
          </cell>
          <cell r="G1608" t="str">
            <v>苏萨</v>
          </cell>
          <cell r="H1608" t="str">
            <v>苏萨</v>
          </cell>
          <cell r="I1608" t="str">
            <v>包装饮料</v>
          </cell>
          <cell r="J1608" t="str">
            <v>果汁饮料</v>
          </cell>
          <cell r="K1608" t="str">
            <v>苏萨 头道鲜橙汁饮料(钻石包) 1kg</v>
          </cell>
          <cell r="L1608" t="str">
            <v>1kg</v>
          </cell>
          <cell r="M1608" t="str">
            <v>瓶</v>
          </cell>
          <cell r="N1608">
            <v>9.83</v>
          </cell>
          <cell r="O1608">
            <v>12.9</v>
          </cell>
          <cell r="P1608">
            <v>0.23100775193798501</v>
          </cell>
        </row>
        <row r="1609">
          <cell r="F1609" t="str">
            <v>70574652</v>
          </cell>
          <cell r="G1609" t="str">
            <v>苏萨</v>
          </cell>
          <cell r="H1609" t="str">
            <v>苏萨</v>
          </cell>
          <cell r="I1609" t="str">
            <v>包装饮料</v>
          </cell>
          <cell r="J1609" t="str">
            <v>果汁饮料</v>
          </cell>
          <cell r="K1609" t="str">
            <v>苏萨 头道鲜苹果汁饮料(钻石包) 1kg</v>
          </cell>
          <cell r="L1609" t="str">
            <v>1kg</v>
          </cell>
          <cell r="M1609" t="str">
            <v>瓶</v>
          </cell>
          <cell r="N1609">
            <v>9.83</v>
          </cell>
          <cell r="O1609">
            <v>12.9</v>
          </cell>
          <cell r="P1609">
            <v>0.23100775193798501</v>
          </cell>
        </row>
        <row r="1610">
          <cell r="F1610" t="str">
            <v>70574653</v>
          </cell>
          <cell r="G1610" t="str">
            <v>苏萨</v>
          </cell>
          <cell r="H1610" t="str">
            <v>苏萨</v>
          </cell>
          <cell r="I1610" t="str">
            <v>包装饮料</v>
          </cell>
          <cell r="J1610" t="str">
            <v>果汁饮料</v>
          </cell>
          <cell r="K1610" t="str">
            <v>苏萨 头道鲜全组分玉米浓浆(钻石包) 1kg</v>
          </cell>
          <cell r="L1610" t="str">
            <v>1kg</v>
          </cell>
          <cell r="M1610" t="str">
            <v>瓶</v>
          </cell>
          <cell r="N1610">
            <v>11.24</v>
          </cell>
          <cell r="O1610">
            <v>15</v>
          </cell>
          <cell r="P1610">
            <v>0.24333333333333301</v>
          </cell>
        </row>
        <row r="1611">
          <cell r="F1611" t="str">
            <v>70547018</v>
          </cell>
          <cell r="G1611" t="str">
            <v>苏萨</v>
          </cell>
          <cell r="H1611" t="str">
            <v>苏萨</v>
          </cell>
          <cell r="I1611" t="str">
            <v>包装饮料</v>
          </cell>
          <cell r="J1611" t="str">
            <v>果汁饮料</v>
          </cell>
          <cell r="K1611" t="str">
            <v>苏萨 云洗山椰子汁250g</v>
          </cell>
          <cell r="L1611" t="str">
            <v>250g</v>
          </cell>
          <cell r="M1611" t="str">
            <v>瓶</v>
          </cell>
          <cell r="N1611">
            <v>3.54</v>
          </cell>
          <cell r="O1611">
            <v>5</v>
          </cell>
          <cell r="P1611">
            <v>0.28599999999999998</v>
          </cell>
        </row>
        <row r="1612">
          <cell r="F1612" t="str">
            <v>70547017</v>
          </cell>
          <cell r="G1612" t="str">
            <v>苏萨</v>
          </cell>
          <cell r="H1612" t="str">
            <v>苏萨</v>
          </cell>
          <cell r="I1612" t="str">
            <v>包装饮料</v>
          </cell>
          <cell r="J1612" t="str">
            <v>果汁饮料</v>
          </cell>
          <cell r="K1612" t="str">
            <v>苏萨 云洗山椰子水245mL</v>
          </cell>
          <cell r="L1612" t="str">
            <v>245mL</v>
          </cell>
          <cell r="M1612" t="str">
            <v>瓶</v>
          </cell>
          <cell r="N1612">
            <v>3.54</v>
          </cell>
          <cell r="O1612">
            <v>5</v>
          </cell>
          <cell r="P1612">
            <v>0.28599999999999998</v>
          </cell>
        </row>
        <row r="1613">
          <cell r="F1613" t="str">
            <v>70493568</v>
          </cell>
          <cell r="G1613" t="str">
            <v>厚生记</v>
          </cell>
          <cell r="H1613" t="str">
            <v>厚生记</v>
          </cell>
          <cell r="I1613" t="str">
            <v>包装饮料</v>
          </cell>
          <cell r="J1613" t="str">
            <v>功能饮料</v>
          </cell>
          <cell r="K1613" t="str">
            <v>厚生记 杞效 500mL</v>
          </cell>
          <cell r="L1613" t="str">
            <v>1*15</v>
          </cell>
          <cell r="M1613" t="str">
            <v>瓶</v>
          </cell>
          <cell r="N1613">
            <v>3.56</v>
          </cell>
          <cell r="O1613">
            <v>6</v>
          </cell>
          <cell r="P1613">
            <v>0.401666666666667</v>
          </cell>
        </row>
        <row r="1614">
          <cell r="F1614" t="str">
            <v>70398148</v>
          </cell>
          <cell r="G1614" t="str">
            <v>厚生记</v>
          </cell>
          <cell r="H1614" t="str">
            <v>厚生记</v>
          </cell>
          <cell r="I1614" t="str">
            <v>包装饮料</v>
          </cell>
          <cell r="J1614" t="str">
            <v>功能饮料</v>
          </cell>
          <cell r="K1614" t="str">
            <v>厚生记 杞效 250mL</v>
          </cell>
          <cell r="L1614" t="str">
            <v>1*24</v>
          </cell>
          <cell r="M1614" t="str">
            <v>瓶</v>
          </cell>
          <cell r="N1614">
            <v>3.94</v>
          </cell>
          <cell r="O1614">
            <v>6</v>
          </cell>
          <cell r="P1614">
            <v>0.336666666666667</v>
          </cell>
        </row>
        <row r="1615">
          <cell r="F1615" t="str">
            <v>70493567</v>
          </cell>
          <cell r="G1615" t="str">
            <v>厚生记</v>
          </cell>
          <cell r="H1615" t="str">
            <v>厚生记</v>
          </cell>
          <cell r="I1615" t="str">
            <v>包装饮料</v>
          </cell>
          <cell r="J1615" t="str">
            <v>功能饮料</v>
          </cell>
          <cell r="K1615" t="str">
            <v>厚生记 杞视力 240mL</v>
          </cell>
          <cell r="L1615" t="str">
            <v>1*24</v>
          </cell>
          <cell r="M1615" t="str">
            <v>罐</v>
          </cell>
          <cell r="N1615">
            <v>3.56</v>
          </cell>
          <cell r="O1615">
            <v>6</v>
          </cell>
          <cell r="P1615">
            <v>0.401666666666667</v>
          </cell>
        </row>
        <row r="1616">
          <cell r="F1616" t="str">
            <v>70351786</v>
          </cell>
          <cell r="G1616" t="str">
            <v>君乐宝</v>
          </cell>
          <cell r="H1616" t="str">
            <v>君乐宝</v>
          </cell>
          <cell r="I1616" t="str">
            <v>奶类</v>
          </cell>
          <cell r="J1616" t="str">
            <v>酸奶</v>
          </cell>
          <cell r="K1616" t="str">
            <v>君乐宝 简醇(0添加益糖)梦幻盖酸牛奶 250g</v>
          </cell>
          <cell r="L1616" t="str">
            <v>250g</v>
          </cell>
          <cell r="M1616" t="str">
            <v>瓶</v>
          </cell>
          <cell r="N1616">
            <v>5.38</v>
          </cell>
          <cell r="O1616">
            <v>7.9</v>
          </cell>
          <cell r="P1616">
            <v>0.31139240506329102</v>
          </cell>
        </row>
        <row r="1617">
          <cell r="F1617" t="str">
            <v>70381823</v>
          </cell>
          <cell r="G1617" t="str">
            <v>君乐宝</v>
          </cell>
          <cell r="H1617" t="str">
            <v>君乐宝</v>
          </cell>
          <cell r="I1617" t="str">
            <v>奶类</v>
          </cell>
          <cell r="J1617" t="str">
            <v>酸奶</v>
          </cell>
          <cell r="K1617" t="str">
            <v>君乐宝 涨芝士啦酸奶(原味)利乐钻 200g</v>
          </cell>
          <cell r="L1617" t="str">
            <v>200g</v>
          </cell>
          <cell r="M1617" t="str">
            <v>包</v>
          </cell>
          <cell r="N1617">
            <v>4.24</v>
          </cell>
          <cell r="O1617">
            <v>6.25</v>
          </cell>
          <cell r="P1617">
            <v>0.31519999999999998</v>
          </cell>
        </row>
        <row r="1618">
          <cell r="F1618" t="str">
            <v>70421754</v>
          </cell>
          <cell r="G1618" t="str">
            <v>君乐宝</v>
          </cell>
          <cell r="H1618" t="str">
            <v>君乐宝</v>
          </cell>
          <cell r="I1618" t="str">
            <v>奶类</v>
          </cell>
          <cell r="J1618" t="str">
            <v>酸奶</v>
          </cell>
          <cell r="K1618" t="str">
            <v>简醇 巴氏杀菌热处理风味酸牛奶 200g*12</v>
          </cell>
          <cell r="L1618" t="str">
            <v>200g*12</v>
          </cell>
          <cell r="M1618" t="str">
            <v>箱</v>
          </cell>
          <cell r="N1618">
            <v>48.48</v>
          </cell>
          <cell r="O1618">
            <v>69</v>
          </cell>
          <cell r="P1618">
            <v>0.29043478260869598</v>
          </cell>
        </row>
        <row r="1619">
          <cell r="F1619" t="str">
            <v>70422570</v>
          </cell>
          <cell r="G1619" t="str">
            <v>君乐宝</v>
          </cell>
          <cell r="H1619" t="str">
            <v>君乐宝</v>
          </cell>
          <cell r="I1619" t="str">
            <v>奶类</v>
          </cell>
          <cell r="J1619" t="str">
            <v>纯牛奶</v>
          </cell>
          <cell r="K1619" t="str">
            <v>君乐宝 金装优致牧场3.6g乳蛋白纯牛奶 250mL*10</v>
          </cell>
          <cell r="L1619" t="str">
            <v>250mL*10</v>
          </cell>
          <cell r="M1619" t="str">
            <v>盒</v>
          </cell>
          <cell r="N1619">
            <v>43.43</v>
          </cell>
          <cell r="O1619">
            <v>59</v>
          </cell>
          <cell r="P1619">
            <v>0.25661016949152499</v>
          </cell>
        </row>
        <row r="1620">
          <cell r="F1620" t="str">
            <v>70543351</v>
          </cell>
          <cell r="G1620" t="str">
            <v>君乐宝</v>
          </cell>
          <cell r="H1620" t="str">
            <v>君乐宝</v>
          </cell>
          <cell r="I1620" t="str">
            <v>奶类</v>
          </cell>
          <cell r="J1620" t="str">
            <v>酸奶</v>
          </cell>
          <cell r="K1620" t="str">
            <v>君乐宝 简醇牛油果藜麦爆珠酸牛奶 200g</v>
          </cell>
          <cell r="L1620" t="str">
            <v>200g</v>
          </cell>
          <cell r="M1620" t="str">
            <v>瓶</v>
          </cell>
          <cell r="N1620">
            <v>6.06</v>
          </cell>
          <cell r="O1620">
            <v>7.9</v>
          </cell>
          <cell r="P1620">
            <v>0.22531645569620301</v>
          </cell>
        </row>
        <row r="1621">
          <cell r="F1621" t="str">
            <v>70157205</v>
          </cell>
          <cell r="G1621" t="str">
            <v>李子园</v>
          </cell>
          <cell r="H1621" t="str">
            <v>李子园</v>
          </cell>
          <cell r="I1621" t="str">
            <v>奶类</v>
          </cell>
          <cell r="J1621" t="str">
            <v>牛奶饮料</v>
          </cell>
          <cell r="K1621" t="str">
            <v>李子园 甜牛奶乳饮料 450mL</v>
          </cell>
          <cell r="L1621" t="str">
            <v>450mL</v>
          </cell>
          <cell r="M1621" t="str">
            <v>瓶</v>
          </cell>
          <cell r="N1621">
            <v>4.79</v>
          </cell>
          <cell r="O1621">
            <v>6.4</v>
          </cell>
          <cell r="P1621">
            <v>0.24531249999999999</v>
          </cell>
        </row>
        <row r="1622">
          <cell r="F1622" t="str">
            <v>70281003</v>
          </cell>
          <cell r="G1622" t="str">
            <v>李子园</v>
          </cell>
          <cell r="H1622" t="str">
            <v>李子园</v>
          </cell>
          <cell r="I1622" t="str">
            <v>奶类</v>
          </cell>
          <cell r="J1622" t="str">
            <v>牛奶饮料</v>
          </cell>
          <cell r="K1622" t="str">
            <v>李子园 朱古力风味乳饮料 450mL</v>
          </cell>
          <cell r="L1622" t="str">
            <v>450mL</v>
          </cell>
          <cell r="M1622" t="str">
            <v>瓶</v>
          </cell>
          <cell r="N1622">
            <v>4.8499999999999996</v>
          </cell>
          <cell r="O1622">
            <v>6.5</v>
          </cell>
          <cell r="P1622">
            <v>0.246153846153846</v>
          </cell>
        </row>
        <row r="1623">
          <cell r="F1623" t="str">
            <v>70281004</v>
          </cell>
          <cell r="G1623" t="str">
            <v>李子园</v>
          </cell>
          <cell r="H1623" t="str">
            <v>李子园</v>
          </cell>
          <cell r="I1623" t="str">
            <v>奶类</v>
          </cell>
          <cell r="J1623" t="str">
            <v>牛奶饮料</v>
          </cell>
          <cell r="K1623" t="str">
            <v>李子园 草莓风味乳饮料 450mL</v>
          </cell>
          <cell r="L1623" t="str">
            <v>450mL</v>
          </cell>
          <cell r="M1623" t="str">
            <v>瓶</v>
          </cell>
          <cell r="N1623">
            <v>4.79</v>
          </cell>
          <cell r="O1623">
            <v>6.4</v>
          </cell>
          <cell r="P1623">
            <v>0.24531249999999999</v>
          </cell>
        </row>
        <row r="1624">
          <cell r="F1624" t="str">
            <v>70372218</v>
          </cell>
          <cell r="G1624" t="str">
            <v>李子园</v>
          </cell>
          <cell r="H1624" t="str">
            <v>李子园</v>
          </cell>
          <cell r="I1624" t="str">
            <v>奶类</v>
          </cell>
          <cell r="J1624" t="str">
            <v>酸奶</v>
          </cell>
          <cell r="K1624" t="str">
            <v>李子园 果蔬酸奶饮品 280mL</v>
          </cell>
          <cell r="L1624" t="str">
            <v>280mL</v>
          </cell>
          <cell r="M1624" t="str">
            <v>瓶</v>
          </cell>
          <cell r="N1624">
            <v>4.55</v>
          </cell>
          <cell r="O1624">
            <v>6</v>
          </cell>
          <cell r="P1624">
            <v>0.23499999999999999</v>
          </cell>
        </row>
        <row r="1625">
          <cell r="F1625" t="str">
            <v>70372210</v>
          </cell>
          <cell r="G1625" t="str">
            <v>李子园</v>
          </cell>
          <cell r="H1625" t="str">
            <v>李子园</v>
          </cell>
          <cell r="I1625" t="str">
            <v>奶类</v>
          </cell>
          <cell r="J1625" t="str">
            <v>风味奶</v>
          </cell>
          <cell r="K1625" t="str">
            <v>李子园 椰子牛奶饮品 280mL</v>
          </cell>
          <cell r="L1625" t="str">
            <v>280mL</v>
          </cell>
          <cell r="M1625" t="str">
            <v>瓶</v>
          </cell>
          <cell r="N1625">
            <v>4.55</v>
          </cell>
          <cell r="O1625">
            <v>6</v>
          </cell>
          <cell r="P1625">
            <v>0.23499999999999999</v>
          </cell>
        </row>
        <row r="1626">
          <cell r="F1626" t="str">
            <v>70478607</v>
          </cell>
          <cell r="G1626" t="str">
            <v>李子园</v>
          </cell>
          <cell r="H1626" t="str">
            <v>李子园</v>
          </cell>
          <cell r="I1626" t="str">
            <v>奶类</v>
          </cell>
          <cell r="J1626" t="str">
            <v>牛奶饮料</v>
          </cell>
          <cell r="K1626" t="str">
            <v>李子园 甜牛奶乳饮料 225mLx4瓶</v>
          </cell>
          <cell r="L1626" t="str">
            <v>225mLx4瓶</v>
          </cell>
          <cell r="M1626" t="str">
            <v>包</v>
          </cell>
          <cell r="N1626">
            <v>9.44</v>
          </cell>
          <cell r="O1626">
            <v>12</v>
          </cell>
          <cell r="P1626">
            <v>0.20499999999999999</v>
          </cell>
        </row>
        <row r="1627">
          <cell r="F1627" t="str">
            <v>70478608</v>
          </cell>
          <cell r="G1627" t="str">
            <v>李子园</v>
          </cell>
          <cell r="H1627" t="str">
            <v>李子园</v>
          </cell>
          <cell r="I1627" t="str">
            <v>奶类</v>
          </cell>
          <cell r="J1627" t="str">
            <v>牛奶饮料</v>
          </cell>
          <cell r="K1627" t="str">
            <v>李子园 草莓风味乳饮料 225mLx4瓶</v>
          </cell>
          <cell r="L1627" t="str">
            <v>225mLx4瓶</v>
          </cell>
          <cell r="M1627" t="str">
            <v>包</v>
          </cell>
          <cell r="N1627">
            <v>9.44</v>
          </cell>
          <cell r="O1627">
            <v>12</v>
          </cell>
          <cell r="P1627">
            <v>0.20499999999999999</v>
          </cell>
        </row>
        <row r="1628">
          <cell r="F1628" t="str">
            <v>70478609</v>
          </cell>
          <cell r="G1628" t="str">
            <v>李子园</v>
          </cell>
          <cell r="H1628" t="str">
            <v>李子园</v>
          </cell>
          <cell r="I1628" t="str">
            <v>奶类</v>
          </cell>
          <cell r="J1628" t="str">
            <v>牛奶饮料</v>
          </cell>
          <cell r="K1628" t="str">
            <v>李子园 朱古力风味乳饮料 225mLx4瓶</v>
          </cell>
          <cell r="L1628" t="str">
            <v>225mLx4瓶</v>
          </cell>
          <cell r="M1628" t="str">
            <v>包</v>
          </cell>
          <cell r="N1628">
            <v>9.44</v>
          </cell>
          <cell r="O1628">
            <v>12</v>
          </cell>
          <cell r="P1628">
            <v>0.20499999999999999</v>
          </cell>
        </row>
        <row r="1629">
          <cell r="F1629" t="str">
            <v>70574396</v>
          </cell>
          <cell r="G1629" t="str">
            <v>亲蜜蜜</v>
          </cell>
          <cell r="H1629" t="str">
            <v>亲蜜蜜</v>
          </cell>
          <cell r="I1629" t="str">
            <v>个人护理用品</v>
          </cell>
          <cell r="J1629" t="str">
            <v>卫生用品</v>
          </cell>
          <cell r="K1629" t="str">
            <v>亲蜜蜜 丝柔护垫 1件</v>
          </cell>
          <cell r="L1629" t="str">
            <v>1*48盒/件</v>
          </cell>
          <cell r="M1629" t="str">
            <v>盒</v>
          </cell>
          <cell r="N1629">
            <v>8.08</v>
          </cell>
          <cell r="O1629">
            <v>15.8</v>
          </cell>
          <cell r="P1629">
            <v>0.48354430379746799</v>
          </cell>
        </row>
        <row r="1630">
          <cell r="F1630" t="str">
            <v>70574439</v>
          </cell>
          <cell r="G1630" t="str">
            <v>全棉时代</v>
          </cell>
          <cell r="H1630" t="str">
            <v>全棉时代</v>
          </cell>
          <cell r="I1630" t="str">
            <v>个人护理用品</v>
          </cell>
          <cell r="J1630" t="str">
            <v>卫生用品</v>
          </cell>
          <cell r="K1630" t="str">
            <v>全棉时代 奈丝公主卫生巾全棉亲肤超吸日用10片 1包</v>
          </cell>
          <cell r="L1630" t="str">
            <v>10片/包</v>
          </cell>
          <cell r="M1630" t="str">
            <v>包</v>
          </cell>
          <cell r="N1630">
            <v>13.53</v>
          </cell>
          <cell r="O1630">
            <v>16.899999999999999</v>
          </cell>
          <cell r="P1630">
            <v>0.19112426035503</v>
          </cell>
        </row>
        <row r="1631">
          <cell r="F1631" t="str">
            <v>70574443</v>
          </cell>
          <cell r="G1631" t="str">
            <v>全棉时代</v>
          </cell>
          <cell r="H1631" t="str">
            <v>全棉时代</v>
          </cell>
          <cell r="I1631" t="str">
            <v>个人护理用品</v>
          </cell>
          <cell r="J1631" t="str">
            <v>卫生用品</v>
          </cell>
          <cell r="K1631" t="str">
            <v>全棉时代 奈丝公主卫生巾全棉亲肤超薄日用10片 1包</v>
          </cell>
          <cell r="L1631" t="str">
            <v>10片/包</v>
          </cell>
          <cell r="M1631" t="str">
            <v>包</v>
          </cell>
          <cell r="N1631">
            <v>14.34</v>
          </cell>
          <cell r="O1631">
            <v>17.899999999999999</v>
          </cell>
          <cell r="P1631">
            <v>0.191061452513966</v>
          </cell>
        </row>
        <row r="1632">
          <cell r="F1632" t="str">
            <v>70574447</v>
          </cell>
          <cell r="G1632" t="str">
            <v>全棉时代</v>
          </cell>
          <cell r="H1632" t="str">
            <v>全棉时代</v>
          </cell>
          <cell r="I1632" t="str">
            <v>个人护理用品</v>
          </cell>
          <cell r="J1632" t="str">
            <v>卫生用品</v>
          </cell>
          <cell r="K1632" t="str">
            <v>全棉时代 奈丝公主卫生巾全棉亲肤超吸日夜两用8片 1包</v>
          </cell>
          <cell r="L1632" t="str">
            <v>8片/包</v>
          </cell>
          <cell r="M1632" t="str">
            <v>包</v>
          </cell>
          <cell r="N1632">
            <v>13.53</v>
          </cell>
          <cell r="O1632">
            <v>16.899999999999999</v>
          </cell>
          <cell r="P1632">
            <v>0.19112426035503</v>
          </cell>
        </row>
        <row r="1633">
          <cell r="F1633" t="str">
            <v>70574561</v>
          </cell>
          <cell r="G1633" t="str">
            <v>全棉时代</v>
          </cell>
          <cell r="H1633" t="str">
            <v>全棉时代</v>
          </cell>
          <cell r="I1633" t="str">
            <v>个人护理用品</v>
          </cell>
          <cell r="J1633" t="str">
            <v>卫生用品</v>
          </cell>
          <cell r="K1633" t="str">
            <v>全棉时代 奈丝公主卫生巾全棉亲肤加长夜用5片 1包</v>
          </cell>
          <cell r="L1633" t="str">
            <v>5片/包</v>
          </cell>
          <cell r="M1633" t="str">
            <v>包</v>
          </cell>
          <cell r="N1633">
            <v>11.11</v>
          </cell>
          <cell r="O1633">
            <v>13.9</v>
          </cell>
          <cell r="P1633">
            <v>0.19280575539568301</v>
          </cell>
        </row>
        <row r="1634">
          <cell r="F1634" t="str">
            <v>70574451</v>
          </cell>
          <cell r="G1634" t="str">
            <v>全棉时代</v>
          </cell>
          <cell r="H1634" t="str">
            <v>全棉时代</v>
          </cell>
          <cell r="I1634" t="str">
            <v>个人护理用品</v>
          </cell>
          <cell r="J1634" t="str">
            <v>卫生用品</v>
          </cell>
          <cell r="K1634" t="str">
            <v>全棉时代 奈丝公主卫生巾全棉晚安超长夜用3片 1包</v>
          </cell>
          <cell r="L1634" t="str">
            <v>3片/包</v>
          </cell>
          <cell r="M1634" t="str">
            <v>包</v>
          </cell>
          <cell r="N1634">
            <v>7.12</v>
          </cell>
          <cell r="O1634">
            <v>8.9</v>
          </cell>
          <cell r="P1634">
            <v>0.192134831460674</v>
          </cell>
        </row>
        <row r="1635">
          <cell r="F1635" t="str">
            <v>70562133</v>
          </cell>
          <cell r="G1635" t="str">
            <v>全棉时代</v>
          </cell>
          <cell r="H1635" t="str">
            <v>全棉时代</v>
          </cell>
          <cell r="I1635" t="str">
            <v>个人护理用品</v>
          </cell>
          <cell r="J1635" t="str">
            <v>卫生用品</v>
          </cell>
          <cell r="K1635" t="str">
            <v>全棉时代奈丝公主卫生巾 全棉全表层亲肤日用240mm*8片/包超薄</v>
          </cell>
          <cell r="L1635" t="str">
            <v>8片/包</v>
          </cell>
          <cell r="M1635" t="str">
            <v>包</v>
          </cell>
          <cell r="N1635">
            <v>10.25</v>
          </cell>
          <cell r="O1635">
            <v>12.9</v>
          </cell>
          <cell r="P1635">
            <v>0.19767441860465099</v>
          </cell>
        </row>
        <row r="1636">
          <cell r="F1636" t="str">
            <v>70559844</v>
          </cell>
          <cell r="G1636" t="str">
            <v>全棉时代</v>
          </cell>
          <cell r="H1636" t="str">
            <v>全棉时代</v>
          </cell>
          <cell r="I1636" t="str">
            <v>个人护理用品</v>
          </cell>
          <cell r="J1636" t="str">
            <v>卫生用品</v>
          </cell>
          <cell r="K1636" t="str">
            <v>全棉时代奈丝公主卫生巾 全棉全表层亲肤平纹日夜两用290mm*6片/包超薄</v>
          </cell>
          <cell r="L1636" t="str">
            <v>6片/包</v>
          </cell>
          <cell r="M1636" t="str">
            <v>包</v>
          </cell>
          <cell r="N1636">
            <v>9.44</v>
          </cell>
          <cell r="O1636">
            <v>11.9</v>
          </cell>
          <cell r="P1636">
            <v>0.19831932773109301</v>
          </cell>
        </row>
        <row r="1637">
          <cell r="F1637" t="str">
            <v>70348211</v>
          </cell>
          <cell r="G1637" t="str">
            <v>全棉时代</v>
          </cell>
          <cell r="H1637" t="str">
            <v>全棉时代</v>
          </cell>
          <cell r="I1637" t="str">
            <v>个人护理用品</v>
          </cell>
          <cell r="J1637" t="str">
            <v>卫生用品</v>
          </cell>
          <cell r="K1637" t="str">
            <v>全棉时代奈丝公主 超净吸卫生护垫150mm*20片/包</v>
          </cell>
          <cell r="L1637" t="str">
            <v>20片/包</v>
          </cell>
          <cell r="M1637" t="str">
            <v>包</v>
          </cell>
          <cell r="N1637">
            <v>8.76</v>
          </cell>
          <cell r="O1637">
            <v>10.9</v>
          </cell>
          <cell r="P1637">
            <v>0.18899082568807299</v>
          </cell>
        </row>
        <row r="1638">
          <cell r="F1638" t="str">
            <v>70564351</v>
          </cell>
          <cell r="G1638" t="str">
            <v>全棉时代</v>
          </cell>
          <cell r="H1638" t="str">
            <v>全棉时代</v>
          </cell>
          <cell r="I1638" t="str">
            <v>个人护理用品</v>
          </cell>
          <cell r="J1638" t="str">
            <v>卫生用品</v>
          </cell>
          <cell r="K1638" t="str">
            <v>全棉时代奈丝公主 超净吸护翼迷你190mm*10片/包</v>
          </cell>
          <cell r="L1638" t="str">
            <v>10片/包</v>
          </cell>
          <cell r="M1638" t="str">
            <v>包</v>
          </cell>
          <cell r="N1638">
            <v>10.25</v>
          </cell>
          <cell r="O1638">
            <v>12.9</v>
          </cell>
          <cell r="P1638">
            <v>0.19767441860465099</v>
          </cell>
        </row>
        <row r="1639">
          <cell r="F1639" t="str">
            <v>70486500</v>
          </cell>
          <cell r="G1639" t="str">
            <v>全棉时代</v>
          </cell>
          <cell r="H1639" t="str">
            <v>全棉时代</v>
          </cell>
          <cell r="I1639" t="str">
            <v>个人护理用品</v>
          </cell>
          <cell r="J1639" t="str">
            <v>卫生用品</v>
          </cell>
          <cell r="K1639" t="str">
            <v>全棉时代奈丝公主 安睡公主经期裤m-L码*2片/袋</v>
          </cell>
          <cell r="L1639" t="str">
            <v>2片/袋</v>
          </cell>
          <cell r="M1639" t="str">
            <v>袋</v>
          </cell>
          <cell r="N1639">
            <v>11.11</v>
          </cell>
          <cell r="O1639">
            <v>13.9</v>
          </cell>
          <cell r="P1639">
            <v>0.19280575539568301</v>
          </cell>
        </row>
        <row r="1640">
          <cell r="F1640" t="str">
            <v>70574562</v>
          </cell>
          <cell r="G1640" t="str">
            <v>全棉时代</v>
          </cell>
          <cell r="H1640" t="str">
            <v>全棉时代</v>
          </cell>
          <cell r="I1640" t="str">
            <v>个人护理用品</v>
          </cell>
          <cell r="J1640" t="str">
            <v>卫生用品</v>
          </cell>
          <cell r="K1640" t="str">
            <v>全棉时代 奈丝公主100%棉纱系列卫生巾8片 1包</v>
          </cell>
          <cell r="L1640" t="str">
            <v>8片/包</v>
          </cell>
          <cell r="M1640" t="str">
            <v>包</v>
          </cell>
          <cell r="N1640">
            <v>15.81</v>
          </cell>
          <cell r="O1640">
            <v>19.8</v>
          </cell>
          <cell r="P1640">
            <v>0.19393939393939399</v>
          </cell>
        </row>
        <row r="1641">
          <cell r="F1641" t="str">
            <v>70574563</v>
          </cell>
          <cell r="G1641" t="str">
            <v>全棉时代</v>
          </cell>
          <cell r="H1641" t="str">
            <v>全棉时代</v>
          </cell>
          <cell r="I1641" t="str">
            <v>个人护理用品</v>
          </cell>
          <cell r="J1641" t="str">
            <v>卫生用品</v>
          </cell>
          <cell r="K1641" t="str">
            <v>全棉时代 奈丝公主100%棉纱系列卫生巾7片 1包</v>
          </cell>
          <cell r="L1641" t="str">
            <v>7片/包</v>
          </cell>
          <cell r="M1641" t="str">
            <v>包</v>
          </cell>
          <cell r="N1641">
            <v>15.81</v>
          </cell>
          <cell r="O1641">
            <v>19.8</v>
          </cell>
          <cell r="P1641">
            <v>0.19393939393939399</v>
          </cell>
        </row>
        <row r="1642">
          <cell r="F1642" t="str">
            <v>70574564</v>
          </cell>
          <cell r="G1642" t="str">
            <v>全棉时代</v>
          </cell>
          <cell r="H1642" t="str">
            <v>全棉时代</v>
          </cell>
          <cell r="I1642" t="str">
            <v>个人护理用品</v>
          </cell>
          <cell r="J1642" t="str">
            <v>卫生用品</v>
          </cell>
          <cell r="K1642" t="str">
            <v>全棉时代 奈丝公主100%棉纱系列裤型卫生巾3片 1包</v>
          </cell>
          <cell r="L1642" t="str">
            <v>3片/包</v>
          </cell>
          <cell r="M1642" t="str">
            <v>包</v>
          </cell>
          <cell r="N1642">
            <v>15.81</v>
          </cell>
          <cell r="O1642">
            <v>19.8</v>
          </cell>
          <cell r="P1642">
            <v>0.19393939393939399</v>
          </cell>
        </row>
        <row r="1643">
          <cell r="F1643" t="str">
            <v>70573724</v>
          </cell>
          <cell r="G1643" t="str">
            <v>全棉时代</v>
          </cell>
          <cell r="H1643" t="str">
            <v>全棉时代</v>
          </cell>
          <cell r="I1643" t="str">
            <v>个人护理用品</v>
          </cell>
          <cell r="J1643" t="str">
            <v>卫生用品</v>
          </cell>
          <cell r="K1643" t="str">
            <v>全棉时代奈丝公主 超净吸超长夜用420mm*3片/包</v>
          </cell>
          <cell r="L1643" t="str">
            <v>3片/包</v>
          </cell>
          <cell r="M1643" t="str">
            <v>个</v>
          </cell>
          <cell r="N1643">
            <v>7.94</v>
          </cell>
          <cell r="O1643">
            <v>9.9</v>
          </cell>
          <cell r="P1643">
            <v>0.18989898989899001</v>
          </cell>
        </row>
        <row r="1644">
          <cell r="F1644" t="str">
            <v>70574565</v>
          </cell>
          <cell r="G1644" t="str">
            <v>全棉时代</v>
          </cell>
          <cell r="H1644" t="str">
            <v>全棉时代</v>
          </cell>
          <cell r="I1644" t="str">
            <v>个人护理用品</v>
          </cell>
          <cell r="J1644" t="str">
            <v>卫生用品</v>
          </cell>
          <cell r="K1644" t="str">
            <v>全棉时代 奈丝公主超净吸超薄日用8片 1包</v>
          </cell>
          <cell r="L1644" t="str">
            <v>8片/包</v>
          </cell>
          <cell r="M1644" t="str">
            <v>包</v>
          </cell>
          <cell r="N1644">
            <v>12.73</v>
          </cell>
          <cell r="O1644">
            <v>15.9</v>
          </cell>
          <cell r="P1644">
            <v>0.191823899371069</v>
          </cell>
        </row>
        <row r="1645">
          <cell r="F1645" t="str">
            <v>70520703</v>
          </cell>
          <cell r="G1645" t="str">
            <v>七度空间</v>
          </cell>
          <cell r="H1645" t="str">
            <v>七度空间</v>
          </cell>
          <cell r="I1645" t="str">
            <v>个人护理用品</v>
          </cell>
          <cell r="J1645" t="str">
            <v>卫生用品</v>
          </cell>
          <cell r="K1645" t="str">
            <v>七度空间天山绒棉系列极薄纯棉日用250卫生巾10片装QRD6110</v>
          </cell>
          <cell r="L1645" t="str">
            <v>250mm/片*10片/包</v>
          </cell>
          <cell r="M1645" t="str">
            <v>包</v>
          </cell>
          <cell r="N1645">
            <v>8.89</v>
          </cell>
          <cell r="O1645">
            <v>14.9</v>
          </cell>
          <cell r="P1645">
            <v>0.39731543624161098</v>
          </cell>
        </row>
        <row r="1646">
          <cell r="F1646" t="str">
            <v>70520708</v>
          </cell>
          <cell r="G1646" t="str">
            <v>七度空间</v>
          </cell>
          <cell r="H1646" t="str">
            <v>七度空间</v>
          </cell>
          <cell r="I1646" t="str">
            <v>个人护理用品</v>
          </cell>
          <cell r="J1646" t="str">
            <v>卫生用品</v>
          </cell>
          <cell r="K1646" t="str">
            <v>七度空间天山绒棉系列极薄纯棉夜用290卫生巾8片装QRD6208</v>
          </cell>
          <cell r="L1646" t="str">
            <v>290mm/片*8片/包</v>
          </cell>
          <cell r="M1646" t="str">
            <v>包</v>
          </cell>
          <cell r="N1646">
            <v>8.89</v>
          </cell>
          <cell r="O1646">
            <v>14.9</v>
          </cell>
          <cell r="P1646">
            <v>0.39731543624161098</v>
          </cell>
        </row>
        <row r="1647">
          <cell r="F1647" t="str">
            <v>70537660</v>
          </cell>
          <cell r="G1647" t="str">
            <v>七度空间</v>
          </cell>
          <cell r="H1647" t="str">
            <v>七度空间</v>
          </cell>
          <cell r="I1647" t="str">
            <v>个人护理用品</v>
          </cell>
          <cell r="J1647" t="str">
            <v>卫生用品</v>
          </cell>
          <cell r="K1647" t="str">
            <v>七度空间天山绒棉系列极薄纯棉超特长夜用420卫生巾5片装QRD6905</v>
          </cell>
          <cell r="L1647" t="str">
            <v>420mm/片*5片/包</v>
          </cell>
          <cell r="M1647" t="str">
            <v>包</v>
          </cell>
          <cell r="N1647">
            <v>8.89</v>
          </cell>
          <cell r="O1647">
            <v>14.9</v>
          </cell>
          <cell r="P1647">
            <v>0.39731543624161098</v>
          </cell>
        </row>
        <row r="1648">
          <cell r="F1648" t="str">
            <v>70280592</v>
          </cell>
          <cell r="G1648" t="str">
            <v>七度空间</v>
          </cell>
          <cell r="H1648" t="str">
            <v>七度空间</v>
          </cell>
          <cell r="I1648" t="str">
            <v>个人护理用品</v>
          </cell>
          <cell r="J1648" t="str">
            <v>卫生用品</v>
          </cell>
          <cell r="K1648" t="str">
            <v>七度空间超薄萌睡裤2+1片装QKC8902(M-L)</v>
          </cell>
          <cell r="L1648" t="str">
            <v>M-L码/片*3片/包</v>
          </cell>
          <cell r="M1648" t="str">
            <v>包</v>
          </cell>
          <cell r="N1648">
            <v>6.36</v>
          </cell>
          <cell r="O1648">
            <v>9.9</v>
          </cell>
          <cell r="P1648">
            <v>0.35050505050505099</v>
          </cell>
        </row>
        <row r="1649">
          <cell r="F1649" t="str">
            <v>70574305</v>
          </cell>
          <cell r="G1649" t="str">
            <v>安而康</v>
          </cell>
          <cell r="H1649" t="str">
            <v>安而康</v>
          </cell>
          <cell r="I1649" t="str">
            <v>个人护理用品</v>
          </cell>
          <cell r="J1649" t="str">
            <v>卫生用品</v>
          </cell>
          <cell r="K1649" t="str">
            <v>安而康 医用护理垫8片 1包</v>
          </cell>
          <cell r="L1649" t="str">
            <v>L码/片*8片/包</v>
          </cell>
          <cell r="M1649" t="str">
            <v>包</v>
          </cell>
          <cell r="N1649">
            <v>11.82</v>
          </cell>
          <cell r="O1649">
            <v>15.2</v>
          </cell>
          <cell r="P1649">
            <v>0.21513157894736801</v>
          </cell>
        </row>
        <row r="1650">
          <cell r="F1650" t="str">
            <v>70021795</v>
          </cell>
          <cell r="G1650" t="str">
            <v>七度空间</v>
          </cell>
          <cell r="H1650" t="str">
            <v>七度空间</v>
          </cell>
          <cell r="I1650" t="str">
            <v>个人护理用品</v>
          </cell>
          <cell r="J1650" t="str">
            <v>卫生用品</v>
          </cell>
          <cell r="K1650" t="str">
            <v>七度空间女生纯棉护垫QDBN618</v>
          </cell>
          <cell r="L1650" t="str">
            <v>155mm/片*18片/盒</v>
          </cell>
          <cell r="M1650" t="str">
            <v>盒</v>
          </cell>
          <cell r="N1650">
            <v>3.43</v>
          </cell>
          <cell r="O1650">
            <v>4.8</v>
          </cell>
          <cell r="P1650">
            <v>0.27708333333333302</v>
          </cell>
        </row>
        <row r="1651">
          <cell r="F1651" t="str">
            <v>70574309</v>
          </cell>
          <cell r="G1651" t="str">
            <v>Q-MO（奇莫）</v>
          </cell>
          <cell r="H1651" t="str">
            <v>Q-MO（奇莫）</v>
          </cell>
          <cell r="I1651" t="str">
            <v>个人护理用品</v>
          </cell>
          <cell r="J1651" t="str">
            <v>纸尿裤</v>
          </cell>
          <cell r="K1651" t="str">
            <v>奇莫 皇家至柔婴儿纸尿裤S码88片 1包</v>
          </cell>
          <cell r="L1651" t="str">
            <v>S码/片*88片/包</v>
          </cell>
          <cell r="M1651" t="str">
            <v>包</v>
          </cell>
          <cell r="N1651">
            <v>85.85</v>
          </cell>
          <cell r="O1651">
            <v>149</v>
          </cell>
          <cell r="P1651">
            <v>0.41812080536912699</v>
          </cell>
        </row>
        <row r="1652">
          <cell r="F1652" t="str">
            <v>70574313</v>
          </cell>
          <cell r="G1652" t="str">
            <v>Q-MO（奇莫）</v>
          </cell>
          <cell r="H1652" t="str">
            <v>Q-MO（奇莫）</v>
          </cell>
          <cell r="I1652" t="str">
            <v>个人护理用品</v>
          </cell>
          <cell r="J1652" t="str">
            <v>纸尿裤</v>
          </cell>
          <cell r="K1652" t="str">
            <v>奇莫 皇家至柔婴儿纸尿裤M码72片 1包</v>
          </cell>
          <cell r="L1652" t="str">
            <v>M码/片*72片/包</v>
          </cell>
          <cell r="M1652" t="str">
            <v>包</v>
          </cell>
          <cell r="N1652">
            <v>85.85</v>
          </cell>
          <cell r="O1652">
            <v>149</v>
          </cell>
          <cell r="P1652">
            <v>0.41812080536912699</v>
          </cell>
        </row>
        <row r="1653">
          <cell r="F1653" t="str">
            <v>70574317</v>
          </cell>
          <cell r="G1653" t="str">
            <v>Q-MO（奇莫）</v>
          </cell>
          <cell r="H1653" t="str">
            <v>Q-MO（奇莫）</v>
          </cell>
          <cell r="I1653" t="str">
            <v>个人护理用品</v>
          </cell>
          <cell r="J1653" t="str">
            <v>纸尿裤</v>
          </cell>
          <cell r="K1653" t="str">
            <v>奇莫 皇家至柔婴儿纸尿裤L码66片 1包</v>
          </cell>
          <cell r="L1653" t="str">
            <v>L码/片*66片/包</v>
          </cell>
          <cell r="M1653" t="str">
            <v>包</v>
          </cell>
          <cell r="N1653">
            <v>85.85</v>
          </cell>
          <cell r="O1653">
            <v>149</v>
          </cell>
          <cell r="P1653">
            <v>0.41812080536912699</v>
          </cell>
        </row>
        <row r="1654">
          <cell r="F1654" t="str">
            <v>70574321</v>
          </cell>
          <cell r="G1654" t="str">
            <v>Q-MO（奇莫）</v>
          </cell>
          <cell r="H1654" t="str">
            <v>Q-MO（奇莫）</v>
          </cell>
          <cell r="I1654" t="str">
            <v>个人护理用品</v>
          </cell>
          <cell r="J1654" t="str">
            <v>纸尿裤</v>
          </cell>
          <cell r="K1654" t="str">
            <v>奇莫 皇家至柔婴儿纸尿裤XL码60片 1包</v>
          </cell>
          <cell r="L1654" t="str">
            <v>XL码/片*60片/包</v>
          </cell>
          <cell r="M1654" t="str">
            <v>包</v>
          </cell>
          <cell r="N1654">
            <v>85.85</v>
          </cell>
          <cell r="O1654">
            <v>149</v>
          </cell>
          <cell r="P1654">
            <v>0.41812080536912699</v>
          </cell>
        </row>
        <row r="1655">
          <cell r="F1655" t="str">
            <v>70574654</v>
          </cell>
          <cell r="G1655" t="str">
            <v>fe金典</v>
          </cell>
          <cell r="H1655" t="str">
            <v>fe金典</v>
          </cell>
          <cell r="I1655" t="str">
            <v>个人护理用品</v>
          </cell>
          <cell r="J1655" t="str">
            <v>牙膏</v>
          </cell>
          <cell r="K1655" t="str">
            <v>fe金典 早用牙膏净白牙齿清新留兰+晚用牙膏护龈薄荷冰橙早晚装 125g*2</v>
          </cell>
          <cell r="L1655" t="str">
            <v>125g*2支/盒</v>
          </cell>
          <cell r="M1655" t="str">
            <v>盒</v>
          </cell>
          <cell r="N1655">
            <v>25.41</v>
          </cell>
          <cell r="O1655">
            <v>48.9</v>
          </cell>
          <cell r="P1655">
            <v>0.47525562372188102</v>
          </cell>
        </row>
        <row r="1656">
          <cell r="F1656" t="str">
            <v>70574655</v>
          </cell>
          <cell r="G1656" t="str">
            <v>风采</v>
          </cell>
          <cell r="H1656" t="str">
            <v>风采</v>
          </cell>
          <cell r="I1656" t="str">
            <v>个人护理用品</v>
          </cell>
          <cell r="J1656" t="str">
            <v>牙膏</v>
          </cell>
          <cell r="K1656" t="str">
            <v>风采 小苏打洁白牙齿牙膏 180g</v>
          </cell>
          <cell r="L1656" t="str">
            <v>180g/支</v>
          </cell>
          <cell r="M1656" t="str">
            <v>个</v>
          </cell>
          <cell r="N1656">
            <v>8.59</v>
          </cell>
          <cell r="O1656">
            <v>19.899999999999999</v>
          </cell>
          <cell r="P1656">
            <v>0.56432160804020104</v>
          </cell>
        </row>
        <row r="1657">
          <cell r="F1657" t="str">
            <v>70574303</v>
          </cell>
          <cell r="G1657" t="str">
            <v>风采</v>
          </cell>
          <cell r="H1657" t="str">
            <v>风采</v>
          </cell>
          <cell r="I1657" t="str">
            <v>个人护理用品</v>
          </cell>
          <cell r="J1657" t="str">
            <v>牙膏</v>
          </cell>
          <cell r="K1657" t="str">
            <v>风采 三七花减轻牙龈问题牙膏清新薄荷 160g</v>
          </cell>
          <cell r="L1657" t="str">
            <v>160g/支</v>
          </cell>
          <cell r="M1657" t="str">
            <v>个</v>
          </cell>
          <cell r="N1657">
            <v>8.59</v>
          </cell>
          <cell r="O1657">
            <v>19.899999999999999</v>
          </cell>
          <cell r="P1657">
            <v>0.56432160804020104</v>
          </cell>
        </row>
        <row r="1658">
          <cell r="F1658" t="str">
            <v>70574348</v>
          </cell>
          <cell r="G1658" t="str">
            <v>fe金典</v>
          </cell>
          <cell r="H1658" t="str">
            <v>fe金典</v>
          </cell>
          <cell r="I1658" t="str">
            <v>个人护理用品</v>
          </cell>
          <cell r="J1658" t="str">
            <v>口腔清洗剂及用具</v>
          </cell>
          <cell r="K1658" t="str">
            <v>fe金典 生物酶漱口水(天然橙味) 250mL</v>
          </cell>
          <cell r="L1658" t="str">
            <v>250mL/瓶</v>
          </cell>
          <cell r="M1658" t="str">
            <v>瓶</v>
          </cell>
          <cell r="N1658">
            <v>4.95</v>
          </cell>
          <cell r="O1658">
            <v>15.9</v>
          </cell>
          <cell r="P1658">
            <v>0.68553459119496896</v>
          </cell>
        </row>
        <row r="1659">
          <cell r="F1659" t="str">
            <v>70574345</v>
          </cell>
          <cell r="G1659" t="str">
            <v>fe金典</v>
          </cell>
          <cell r="H1659" t="str">
            <v>fe金典</v>
          </cell>
          <cell r="I1659" t="str">
            <v>个人护理用品</v>
          </cell>
          <cell r="J1659" t="str">
            <v>牙膏</v>
          </cell>
          <cell r="K1659" t="str">
            <v>fe金典 牙膏缓解牙齿敏感(薄荷茶香) 90g*2</v>
          </cell>
          <cell r="L1659" t="str">
            <v>90g*2支/盒</v>
          </cell>
          <cell r="M1659" t="str">
            <v>盒</v>
          </cell>
          <cell r="N1659">
            <v>9.09</v>
          </cell>
          <cell r="O1659">
            <v>27.5</v>
          </cell>
          <cell r="P1659">
            <v>0.66618181818181799</v>
          </cell>
        </row>
        <row r="1660">
          <cell r="F1660" t="str">
            <v>70574342</v>
          </cell>
          <cell r="G1660" t="str">
            <v>fe金典</v>
          </cell>
          <cell r="H1660" t="str">
            <v>fe金典</v>
          </cell>
          <cell r="I1660" t="str">
            <v>个人护理用品</v>
          </cell>
          <cell r="J1660" t="str">
            <v>牙膏</v>
          </cell>
          <cell r="K1660" t="str">
            <v>fe金典 儿童牙膏草莓香型+儿童牙膏哈密瓜香型二支装 60g*2</v>
          </cell>
          <cell r="L1660" t="str">
            <v>60g*2支/盒</v>
          </cell>
          <cell r="M1660" t="str">
            <v>盒</v>
          </cell>
          <cell r="N1660">
            <v>18.38</v>
          </cell>
          <cell r="O1660">
            <v>32.9</v>
          </cell>
          <cell r="P1660">
            <v>0.43586626139817602</v>
          </cell>
        </row>
        <row r="1661">
          <cell r="F1661" t="str">
            <v>70484349</v>
          </cell>
          <cell r="G1661" t="str">
            <v>隆力奇</v>
          </cell>
          <cell r="H1661" t="str">
            <v>隆力奇</v>
          </cell>
          <cell r="I1661" t="str">
            <v>个人护理用品</v>
          </cell>
          <cell r="J1661" t="str">
            <v>洗发水</v>
          </cell>
          <cell r="K1661" t="str">
            <v>隆力奇 蛇胆蜂胶赋活洗发水 500mL</v>
          </cell>
          <cell r="L1661" t="str">
            <v>500mL</v>
          </cell>
          <cell r="M1661" t="str">
            <v>瓶</v>
          </cell>
          <cell r="N1661">
            <v>26.71</v>
          </cell>
          <cell r="O1661">
            <v>39</v>
          </cell>
          <cell r="P1661">
            <v>0.30820512820512802</v>
          </cell>
        </row>
        <row r="1662">
          <cell r="F1662" t="str">
            <v>70316474</v>
          </cell>
          <cell r="G1662" t="str">
            <v>隆力奇</v>
          </cell>
          <cell r="H1662" t="str">
            <v>隆力奇</v>
          </cell>
          <cell r="I1662" t="str">
            <v>个人护理用品</v>
          </cell>
          <cell r="J1662" t="str">
            <v>洗发水</v>
          </cell>
          <cell r="K1662" t="str">
            <v>隆力奇 新活力去屑洗发露清爽控油型 400mL</v>
          </cell>
          <cell r="L1662" t="str">
            <v>400mL</v>
          </cell>
          <cell r="M1662" t="str">
            <v>个</v>
          </cell>
          <cell r="N1662">
            <v>12.27</v>
          </cell>
          <cell r="O1662">
            <v>18</v>
          </cell>
          <cell r="P1662">
            <v>0.31166666666666698</v>
          </cell>
        </row>
        <row r="1663">
          <cell r="F1663" t="str">
            <v>70385918</v>
          </cell>
          <cell r="G1663" t="str">
            <v>隆力奇</v>
          </cell>
          <cell r="H1663" t="str">
            <v>隆力奇</v>
          </cell>
          <cell r="I1663" t="str">
            <v>个人护理用品</v>
          </cell>
          <cell r="J1663" t="str">
            <v>洗发水</v>
          </cell>
          <cell r="K1663" t="str">
            <v>隆力奇 新活力去屑洗发露清爽控油型 1L</v>
          </cell>
          <cell r="L1663" t="str">
            <v>1L</v>
          </cell>
          <cell r="M1663" t="str">
            <v>瓶</v>
          </cell>
          <cell r="N1663">
            <v>16.260000000000002</v>
          </cell>
          <cell r="O1663">
            <v>23</v>
          </cell>
          <cell r="P1663">
            <v>0.28608695652173899</v>
          </cell>
        </row>
        <row r="1664">
          <cell r="F1664" t="str">
            <v>70484352</v>
          </cell>
          <cell r="G1664" t="str">
            <v>隆力奇</v>
          </cell>
          <cell r="H1664" t="str">
            <v>隆力奇</v>
          </cell>
          <cell r="I1664" t="str">
            <v>个人护理用品</v>
          </cell>
          <cell r="J1664" t="str">
            <v>沐浴液</v>
          </cell>
          <cell r="K1664" t="str">
            <v>隆力奇 牛奶香氛沐浴露 1L</v>
          </cell>
          <cell r="L1664" t="str">
            <v>1L</v>
          </cell>
          <cell r="M1664" t="str">
            <v>瓶</v>
          </cell>
          <cell r="N1664">
            <v>30.68</v>
          </cell>
          <cell r="O1664">
            <v>39.799999999999997</v>
          </cell>
          <cell r="P1664">
            <v>0.22135678391959801</v>
          </cell>
        </row>
        <row r="1665">
          <cell r="F1665" t="str">
            <v>70484225</v>
          </cell>
          <cell r="G1665" t="str">
            <v>隆力奇</v>
          </cell>
          <cell r="H1665" t="str">
            <v>隆力奇</v>
          </cell>
          <cell r="I1665" t="str">
            <v>个人护理用品</v>
          </cell>
          <cell r="J1665" t="str">
            <v>沐浴液</v>
          </cell>
          <cell r="K1665" t="str">
            <v>隆力奇 薄荷爽肤沐浴露 1L</v>
          </cell>
          <cell r="L1665" t="str">
            <v>1L</v>
          </cell>
          <cell r="M1665" t="str">
            <v>瓶</v>
          </cell>
          <cell r="N1665">
            <v>30.68</v>
          </cell>
          <cell r="O1665">
            <v>39.799999999999997</v>
          </cell>
          <cell r="P1665">
            <v>0.22135678391959801</v>
          </cell>
        </row>
        <row r="1666">
          <cell r="F1666" t="str">
            <v>70484351</v>
          </cell>
          <cell r="G1666" t="str">
            <v>隆力奇</v>
          </cell>
          <cell r="H1666" t="str">
            <v>隆力奇</v>
          </cell>
          <cell r="I1666" t="str">
            <v>个人护理用品</v>
          </cell>
          <cell r="J1666" t="str">
            <v>沐浴液</v>
          </cell>
          <cell r="K1666" t="str">
            <v>隆力奇 益生菌香氛沐浴露 1L</v>
          </cell>
          <cell r="L1666" t="str">
            <v>1L</v>
          </cell>
          <cell r="M1666" t="str">
            <v>瓶</v>
          </cell>
          <cell r="N1666">
            <v>30.68</v>
          </cell>
          <cell r="O1666">
            <v>39.799999999999997</v>
          </cell>
          <cell r="P1666">
            <v>0.22135678391959801</v>
          </cell>
        </row>
        <row r="1667">
          <cell r="F1667" t="str">
            <v>70483950</v>
          </cell>
          <cell r="G1667" t="str">
            <v>隆力奇</v>
          </cell>
          <cell r="H1667" t="str">
            <v>隆力奇</v>
          </cell>
          <cell r="I1667" t="str">
            <v>个人护理用品</v>
          </cell>
          <cell r="J1667" t="str">
            <v>沐浴液</v>
          </cell>
          <cell r="K1667" t="str">
            <v>隆力奇 蛇胆白茶沐浴露 500mL</v>
          </cell>
          <cell r="L1667" t="str">
            <v>500mL</v>
          </cell>
          <cell r="M1667" t="str">
            <v>瓶</v>
          </cell>
          <cell r="N1667">
            <v>24.95</v>
          </cell>
          <cell r="O1667">
            <v>35</v>
          </cell>
          <cell r="P1667">
            <v>0.28028571428571403</v>
          </cell>
        </row>
        <row r="1668">
          <cell r="F1668" t="str">
            <v>70483920</v>
          </cell>
          <cell r="G1668" t="str">
            <v>隆力奇</v>
          </cell>
          <cell r="H1668" t="str">
            <v>隆力奇</v>
          </cell>
          <cell r="I1668" t="str">
            <v>个人护理用品</v>
          </cell>
          <cell r="J1668" t="str">
            <v>沐浴液</v>
          </cell>
          <cell r="K1668" t="str">
            <v>隆力奇 蛇胆清爽沐浴露 400mL</v>
          </cell>
          <cell r="L1668" t="str">
            <v>400mL</v>
          </cell>
          <cell r="M1668" t="str">
            <v>瓶</v>
          </cell>
          <cell r="N1668">
            <v>19.34</v>
          </cell>
          <cell r="O1668">
            <v>29</v>
          </cell>
          <cell r="P1668">
            <v>0.32655172413793099</v>
          </cell>
        </row>
        <row r="1669">
          <cell r="F1669" t="str">
            <v>70190545</v>
          </cell>
          <cell r="G1669" t="str">
            <v>隆力奇</v>
          </cell>
          <cell r="H1669" t="str">
            <v>隆力奇</v>
          </cell>
          <cell r="I1669" t="str">
            <v>个人护理用品</v>
          </cell>
          <cell r="J1669" t="str">
            <v>香皂</v>
          </cell>
          <cell r="K1669" t="str">
            <v>隆力奇 牛奶滋养香皂 95g</v>
          </cell>
          <cell r="L1669" t="str">
            <v>95g</v>
          </cell>
          <cell r="M1669" t="str">
            <v>个</v>
          </cell>
          <cell r="N1669">
            <v>2.3199999999999998</v>
          </cell>
          <cell r="O1669">
            <v>3.3</v>
          </cell>
          <cell r="P1669">
            <v>0.28787878787878801</v>
          </cell>
        </row>
        <row r="1670">
          <cell r="F1670" t="str">
            <v>70058916</v>
          </cell>
          <cell r="G1670" t="str">
            <v>隆力奇</v>
          </cell>
          <cell r="H1670" t="str">
            <v>隆力奇</v>
          </cell>
          <cell r="I1670" t="str">
            <v>个人护理用品</v>
          </cell>
          <cell r="J1670" t="str">
            <v>香皂</v>
          </cell>
          <cell r="K1670" t="str">
            <v>隆力奇 蛇胆硫磺皂 80g</v>
          </cell>
          <cell r="L1670" t="str">
            <v>80g</v>
          </cell>
          <cell r="M1670" t="str">
            <v>个</v>
          </cell>
          <cell r="N1670">
            <v>1.8</v>
          </cell>
          <cell r="O1670">
            <v>2.5</v>
          </cell>
          <cell r="P1670">
            <v>0.27200000000000002</v>
          </cell>
        </row>
        <row r="1671">
          <cell r="F1671" t="str">
            <v>70484095</v>
          </cell>
          <cell r="G1671" t="str">
            <v>隆力奇</v>
          </cell>
          <cell r="H1671" t="str">
            <v>隆力奇</v>
          </cell>
          <cell r="I1671" t="str">
            <v>个人护理用品</v>
          </cell>
          <cell r="J1671" t="str">
            <v>洗手液</v>
          </cell>
          <cell r="K1671" t="str">
            <v>隆力奇 泡沫抑菌洗手液 500mL</v>
          </cell>
          <cell r="L1671" t="str">
            <v>500mL</v>
          </cell>
          <cell r="M1671" t="str">
            <v>瓶</v>
          </cell>
          <cell r="N1671">
            <v>14.65</v>
          </cell>
          <cell r="O1671">
            <v>19.8</v>
          </cell>
          <cell r="P1671">
            <v>0.25303030303030299</v>
          </cell>
        </row>
        <row r="1672">
          <cell r="F1672" t="str">
            <v>70484077</v>
          </cell>
          <cell r="G1672" t="str">
            <v>隆力奇</v>
          </cell>
          <cell r="H1672" t="str">
            <v>隆力奇</v>
          </cell>
          <cell r="I1672" t="str">
            <v>个人护理用品</v>
          </cell>
          <cell r="J1672" t="str">
            <v>洗手液</v>
          </cell>
          <cell r="K1672" t="str">
            <v>隆力奇 蛇胆洗手液芦荟香型 500g</v>
          </cell>
          <cell r="L1672" t="str">
            <v>500g</v>
          </cell>
          <cell r="M1672" t="str">
            <v>瓶</v>
          </cell>
          <cell r="N1672">
            <v>10</v>
          </cell>
          <cell r="O1672">
            <v>14.5</v>
          </cell>
          <cell r="P1672">
            <v>0.30344827586206902</v>
          </cell>
        </row>
        <row r="1673">
          <cell r="F1673" t="str">
            <v>70131733</v>
          </cell>
          <cell r="G1673" t="str">
            <v>隆力奇</v>
          </cell>
          <cell r="H1673" t="str">
            <v>隆力奇</v>
          </cell>
          <cell r="I1673" t="str">
            <v>个人护理用品</v>
          </cell>
          <cell r="J1673" t="str">
            <v>洁面</v>
          </cell>
          <cell r="K1673" t="str">
            <v>隆力奇 牛奶润肤洗面奶 100g</v>
          </cell>
          <cell r="L1673" t="str">
            <v>100g</v>
          </cell>
          <cell r="M1673" t="str">
            <v>瓶</v>
          </cell>
          <cell r="N1673">
            <v>6.67</v>
          </cell>
          <cell r="O1673">
            <v>12.8</v>
          </cell>
          <cell r="P1673">
            <v>0.47421875000000002</v>
          </cell>
        </row>
        <row r="1674">
          <cell r="F1674" t="str">
            <v>70011053</v>
          </cell>
          <cell r="G1674" t="str">
            <v>隆力奇</v>
          </cell>
          <cell r="H1674" t="str">
            <v>隆力奇</v>
          </cell>
          <cell r="I1674" t="str">
            <v>个人护理用品</v>
          </cell>
          <cell r="J1674" t="str">
            <v>护肤/化妆品</v>
          </cell>
          <cell r="K1674" t="str">
            <v>隆力奇 瓶装蛇油膏 80g</v>
          </cell>
          <cell r="L1674" t="str">
            <v>80g</v>
          </cell>
          <cell r="M1674" t="str">
            <v>瓶</v>
          </cell>
          <cell r="N1674">
            <v>5.66</v>
          </cell>
          <cell r="O1674">
            <v>8</v>
          </cell>
          <cell r="P1674">
            <v>0.28625</v>
          </cell>
        </row>
        <row r="1675">
          <cell r="F1675" t="str">
            <v>70042487</v>
          </cell>
          <cell r="G1675" t="str">
            <v>隆力奇</v>
          </cell>
          <cell r="H1675" t="str">
            <v>隆力奇</v>
          </cell>
          <cell r="I1675" t="str">
            <v>个人护理用品</v>
          </cell>
          <cell r="J1675" t="str">
            <v>护肤/化妆品</v>
          </cell>
          <cell r="K1675" t="str">
            <v>隆力奇 蛇胆男士SOD蜜 90mL</v>
          </cell>
          <cell r="L1675" t="str">
            <v>90mL</v>
          </cell>
          <cell r="M1675" t="str">
            <v>瓶</v>
          </cell>
          <cell r="N1675">
            <v>7.58</v>
          </cell>
          <cell r="O1675">
            <v>12</v>
          </cell>
          <cell r="P1675">
            <v>0.36249999999999999</v>
          </cell>
        </row>
        <row r="1676">
          <cell r="F1676" t="str">
            <v>70483931</v>
          </cell>
          <cell r="G1676" t="str">
            <v>隆力奇</v>
          </cell>
          <cell r="H1676" t="str">
            <v>隆力奇</v>
          </cell>
          <cell r="I1676" t="str">
            <v>个人护理用品</v>
          </cell>
          <cell r="J1676" t="str">
            <v>身体护理</v>
          </cell>
          <cell r="K1676" t="str">
            <v>隆力奇 保湿润体乳 200mL</v>
          </cell>
          <cell r="L1676" t="str">
            <v>200mL</v>
          </cell>
          <cell r="M1676" t="str">
            <v>瓶</v>
          </cell>
          <cell r="N1676">
            <v>17.32</v>
          </cell>
          <cell r="O1676">
            <v>25.5</v>
          </cell>
          <cell r="P1676">
            <v>0.314117647058824</v>
          </cell>
        </row>
        <row r="1677">
          <cell r="F1677" t="str">
            <v>70011051</v>
          </cell>
          <cell r="G1677" t="str">
            <v>隆力奇</v>
          </cell>
          <cell r="H1677" t="str">
            <v>隆力奇</v>
          </cell>
          <cell r="I1677" t="str">
            <v>个人护理用品</v>
          </cell>
          <cell r="J1677" t="str">
            <v>身体护理</v>
          </cell>
          <cell r="K1677" t="str">
            <v>隆力奇 蛇油护手霜 70g</v>
          </cell>
          <cell r="L1677" t="str">
            <v>70g</v>
          </cell>
          <cell r="M1677" t="str">
            <v>瓶</v>
          </cell>
          <cell r="N1677">
            <v>4.04</v>
          </cell>
          <cell r="O1677">
            <v>6</v>
          </cell>
          <cell r="P1677">
            <v>0.32</v>
          </cell>
        </row>
        <row r="1678">
          <cell r="F1678" t="str">
            <v>70011049</v>
          </cell>
          <cell r="G1678" t="str">
            <v>隆力奇</v>
          </cell>
          <cell r="H1678" t="str">
            <v>隆力奇</v>
          </cell>
          <cell r="I1678" t="str">
            <v>个人护理用品</v>
          </cell>
          <cell r="J1678" t="str">
            <v>身体护理</v>
          </cell>
          <cell r="K1678" t="str">
            <v>隆力奇 蛇油果酸护手霜 50g</v>
          </cell>
          <cell r="L1678" t="str">
            <v>50g</v>
          </cell>
          <cell r="M1678" t="str">
            <v>个</v>
          </cell>
          <cell r="N1678">
            <v>5.66</v>
          </cell>
          <cell r="O1678">
            <v>8.9</v>
          </cell>
          <cell r="P1678">
            <v>0.358426966292135</v>
          </cell>
        </row>
        <row r="1679">
          <cell r="F1679" t="str">
            <v>70141612</v>
          </cell>
          <cell r="G1679" t="str">
            <v>隆力奇</v>
          </cell>
          <cell r="H1679" t="str">
            <v>隆力奇</v>
          </cell>
          <cell r="I1679" t="str">
            <v>个人护理用品</v>
          </cell>
          <cell r="J1679" t="str">
            <v>蚊虫叮咬治疗产品</v>
          </cell>
          <cell r="K1679" t="str">
            <v>隆力奇 驱蚊花露水 95mL</v>
          </cell>
          <cell r="L1679" t="str">
            <v>95mL</v>
          </cell>
          <cell r="M1679" t="str">
            <v>瓶</v>
          </cell>
          <cell r="N1679">
            <v>9.6</v>
          </cell>
          <cell r="O1679">
            <v>13</v>
          </cell>
          <cell r="P1679">
            <v>0.25461538461538502</v>
          </cell>
        </row>
        <row r="1680">
          <cell r="F1680" t="str">
            <v>70524829</v>
          </cell>
          <cell r="G1680" t="str">
            <v>隆力奇</v>
          </cell>
          <cell r="H1680" t="str">
            <v>隆力奇</v>
          </cell>
          <cell r="I1680" t="str">
            <v>个人护理用品</v>
          </cell>
          <cell r="J1680" t="str">
            <v>蚊虫叮咬治疗产品</v>
          </cell>
          <cell r="K1680" t="str">
            <v>隆力奇 便携装驱蚊花露水 60mL</v>
          </cell>
          <cell r="L1680" t="str">
            <v>60mL</v>
          </cell>
          <cell r="M1680" t="str">
            <v>瓶</v>
          </cell>
          <cell r="N1680">
            <v>8.08</v>
          </cell>
          <cell r="O1680">
            <v>12.9</v>
          </cell>
          <cell r="P1680">
            <v>0.36744186046511601</v>
          </cell>
        </row>
        <row r="1681">
          <cell r="F1681" t="str">
            <v>70386355</v>
          </cell>
          <cell r="G1681" t="str">
            <v>隆力奇</v>
          </cell>
          <cell r="H1681" t="str">
            <v>隆力奇</v>
          </cell>
          <cell r="I1681" t="str">
            <v>个人护理用品</v>
          </cell>
          <cell r="J1681" t="str">
            <v>蚊虫叮咬治疗产品</v>
          </cell>
          <cell r="K1681" t="str">
            <v>隆力奇 驱蚊花露水复合花果香型195mL</v>
          </cell>
          <cell r="L1681" t="str">
            <v>195mL</v>
          </cell>
          <cell r="M1681" t="str">
            <v>瓶</v>
          </cell>
          <cell r="N1681">
            <v>12.12</v>
          </cell>
          <cell r="O1681">
            <v>18</v>
          </cell>
          <cell r="P1681">
            <v>0.32</v>
          </cell>
        </row>
        <row r="1682">
          <cell r="F1682" t="str">
            <v>70484112</v>
          </cell>
          <cell r="G1682" t="str">
            <v>隆力奇</v>
          </cell>
          <cell r="H1682" t="str">
            <v>隆力奇</v>
          </cell>
          <cell r="I1682" t="str">
            <v>个人护理用品</v>
          </cell>
          <cell r="J1682" t="str">
            <v>蚊虫叮咬治疗产品</v>
          </cell>
          <cell r="K1682" t="str">
            <v>隆力奇 驱蚊花露水（薰衣草香型） 195mL</v>
          </cell>
          <cell r="L1682" t="str">
            <v>195mL</v>
          </cell>
          <cell r="M1682" t="str">
            <v>瓶</v>
          </cell>
          <cell r="N1682">
            <v>18.18</v>
          </cell>
          <cell r="O1682">
            <v>23</v>
          </cell>
          <cell r="P1682">
            <v>0.201739130434783</v>
          </cell>
        </row>
        <row r="1683">
          <cell r="F1683" t="str">
            <v>70032990</v>
          </cell>
          <cell r="G1683" t="str">
            <v>隆力奇</v>
          </cell>
          <cell r="H1683" t="str">
            <v>隆力奇</v>
          </cell>
          <cell r="I1683" t="str">
            <v>个人护理用品</v>
          </cell>
          <cell r="J1683" t="str">
            <v>蚊虫叮咬治疗产品</v>
          </cell>
          <cell r="K1683" t="str">
            <v>隆力奇 蛇胆牛黄花露水（BB版） 95mL</v>
          </cell>
          <cell r="L1683" t="str">
            <v>95mL</v>
          </cell>
          <cell r="M1683" t="str">
            <v>瓶</v>
          </cell>
          <cell r="N1683">
            <v>15.45</v>
          </cell>
          <cell r="O1683">
            <v>19.8</v>
          </cell>
          <cell r="P1683">
            <v>0.21161616161616201</v>
          </cell>
        </row>
        <row r="1684">
          <cell r="F1684" t="str">
            <v>70514551</v>
          </cell>
          <cell r="G1684" t="str">
            <v>隆力奇</v>
          </cell>
          <cell r="H1684" t="str">
            <v>隆力奇</v>
          </cell>
          <cell r="I1684" t="str">
            <v>个人护理用品</v>
          </cell>
          <cell r="J1684" t="str">
            <v>牙膏</v>
          </cell>
          <cell r="K1684" t="str">
            <v>隆力奇 去渍清新牙膏 105g</v>
          </cell>
          <cell r="L1684" t="str">
            <v>105g</v>
          </cell>
          <cell r="M1684" t="str">
            <v>个</v>
          </cell>
          <cell r="N1684">
            <v>17.73</v>
          </cell>
          <cell r="O1684">
            <v>26</v>
          </cell>
          <cell r="P1684">
            <v>0.31153846153846199</v>
          </cell>
        </row>
        <row r="1685">
          <cell r="F1685" t="str">
            <v>70524377</v>
          </cell>
          <cell r="G1685" t="str">
            <v>隆力奇</v>
          </cell>
          <cell r="H1685" t="str">
            <v>隆力奇</v>
          </cell>
          <cell r="I1685" t="str">
            <v>个人护理用品</v>
          </cell>
          <cell r="J1685" t="str">
            <v>牙刷</v>
          </cell>
          <cell r="K1685" t="str">
            <v>隆力奇 宽柔软毛牙刷 1支</v>
          </cell>
          <cell r="L1685" t="str">
            <v>1支</v>
          </cell>
          <cell r="M1685" t="str">
            <v>个</v>
          </cell>
          <cell r="N1685">
            <v>10.99</v>
          </cell>
          <cell r="O1685">
            <v>17</v>
          </cell>
          <cell r="P1685">
            <v>0.34705882352941197</v>
          </cell>
        </row>
        <row r="1686">
          <cell r="F1686" t="str">
            <v>70135156</v>
          </cell>
          <cell r="G1686" t="str">
            <v>隆力奇</v>
          </cell>
          <cell r="H1686" t="str">
            <v>隆力奇</v>
          </cell>
          <cell r="I1686" t="str">
            <v>个人护理用品</v>
          </cell>
          <cell r="J1686" t="str">
            <v>洗发水</v>
          </cell>
          <cell r="K1686" t="str">
            <v>隆力奇 黑芝麻洗发水 400mL</v>
          </cell>
          <cell r="L1686" t="str">
            <v>400mL</v>
          </cell>
          <cell r="M1686" t="str">
            <v>瓶</v>
          </cell>
          <cell r="N1686">
            <v>17.829999999999998</v>
          </cell>
          <cell r="O1686">
            <v>29</v>
          </cell>
          <cell r="P1686">
            <v>0.37931034482758602</v>
          </cell>
        </row>
        <row r="1687">
          <cell r="F1687" t="str">
            <v>70514550</v>
          </cell>
          <cell r="G1687" t="str">
            <v>隆力奇</v>
          </cell>
          <cell r="H1687" t="str">
            <v>隆力奇</v>
          </cell>
          <cell r="I1687" t="str">
            <v>个人护理用品</v>
          </cell>
          <cell r="J1687" t="str">
            <v>护发素</v>
          </cell>
          <cell r="K1687" t="str">
            <v>隆力奇 人参营养护发素 1L</v>
          </cell>
          <cell r="L1687" t="str">
            <v>1L</v>
          </cell>
          <cell r="M1687" t="str">
            <v>瓶</v>
          </cell>
          <cell r="N1687">
            <v>26.46</v>
          </cell>
          <cell r="O1687">
            <v>39</v>
          </cell>
          <cell r="P1687">
            <v>0.31487179487179501</v>
          </cell>
        </row>
        <row r="1688">
          <cell r="F1688" t="str">
            <v>70131735</v>
          </cell>
          <cell r="G1688" t="str">
            <v>隆力奇</v>
          </cell>
          <cell r="H1688" t="str">
            <v>隆力奇</v>
          </cell>
          <cell r="I1688" t="str">
            <v>个人护理用品</v>
          </cell>
          <cell r="J1688" t="str">
            <v>沐浴液</v>
          </cell>
          <cell r="K1688" t="str">
            <v>隆力奇 牛奶润肤沐浴露 1L</v>
          </cell>
          <cell r="L1688" t="str">
            <v>1L</v>
          </cell>
          <cell r="M1688" t="str">
            <v>瓶</v>
          </cell>
          <cell r="N1688">
            <v>20.71</v>
          </cell>
          <cell r="O1688">
            <v>29.9</v>
          </cell>
          <cell r="P1688">
            <v>0.30066889632107002</v>
          </cell>
        </row>
        <row r="1689">
          <cell r="F1689" t="str">
            <v>70131734</v>
          </cell>
          <cell r="G1689" t="str">
            <v>隆力奇</v>
          </cell>
          <cell r="H1689" t="str">
            <v>隆力奇</v>
          </cell>
          <cell r="I1689" t="str">
            <v>个人护理用品</v>
          </cell>
          <cell r="J1689" t="str">
            <v>洁面</v>
          </cell>
          <cell r="K1689" t="str">
            <v>隆力奇 蛇胆黄瓜洗面奶 100g</v>
          </cell>
          <cell r="L1689" t="str">
            <v>100g</v>
          </cell>
          <cell r="M1689" t="str">
            <v>瓶</v>
          </cell>
          <cell r="N1689">
            <v>14.1</v>
          </cell>
          <cell r="O1689">
            <v>22</v>
          </cell>
          <cell r="P1689">
            <v>0.352727272727273</v>
          </cell>
        </row>
        <row r="1690">
          <cell r="F1690" t="str">
            <v>70000047</v>
          </cell>
          <cell r="G1690" t="str">
            <v>隆力奇</v>
          </cell>
          <cell r="H1690" t="str">
            <v>隆力奇</v>
          </cell>
          <cell r="I1690" t="str">
            <v>个人护理用品</v>
          </cell>
          <cell r="J1690" t="str">
            <v>身体护理</v>
          </cell>
          <cell r="K1690" t="str">
            <v>隆力奇 蛇油SOD蜜 105mL</v>
          </cell>
          <cell r="L1690" t="str">
            <v>105mL</v>
          </cell>
          <cell r="M1690" t="str">
            <v>瓶</v>
          </cell>
          <cell r="N1690">
            <v>7.22</v>
          </cell>
          <cell r="O1690">
            <v>11</v>
          </cell>
          <cell r="P1690">
            <v>0.337272727272727</v>
          </cell>
        </row>
        <row r="1691">
          <cell r="F1691" t="str">
            <v>70483942</v>
          </cell>
          <cell r="G1691" t="str">
            <v>隆力奇</v>
          </cell>
          <cell r="H1691" t="str">
            <v>隆力奇</v>
          </cell>
          <cell r="I1691" t="str">
            <v>个人护理用品</v>
          </cell>
          <cell r="J1691" t="str">
            <v>身体护理</v>
          </cell>
          <cell r="K1691" t="str">
            <v>隆力奇 维生素E乳（升级版） 100g</v>
          </cell>
          <cell r="L1691" t="str">
            <v>100g</v>
          </cell>
          <cell r="M1691" t="str">
            <v>瓶</v>
          </cell>
          <cell r="N1691">
            <v>10.1</v>
          </cell>
          <cell r="O1691">
            <v>16</v>
          </cell>
          <cell r="P1691">
            <v>0.36249999999999999</v>
          </cell>
        </row>
        <row r="1692">
          <cell r="F1692" t="str">
            <v>70483924</v>
          </cell>
          <cell r="G1692" t="str">
            <v>隆力奇</v>
          </cell>
          <cell r="H1692" t="str">
            <v>隆力奇</v>
          </cell>
          <cell r="I1692" t="str">
            <v>个人护理用品</v>
          </cell>
          <cell r="J1692" t="str">
            <v>护肤/化妆品</v>
          </cell>
          <cell r="K1692" t="str">
            <v>隆力奇 手悦玫瑰精华手霜 75g</v>
          </cell>
          <cell r="L1692" t="str">
            <v>75g</v>
          </cell>
          <cell r="M1692" t="str">
            <v>瓶</v>
          </cell>
          <cell r="N1692">
            <v>23.84</v>
          </cell>
          <cell r="O1692">
            <v>35</v>
          </cell>
          <cell r="P1692">
            <v>0.312285714285714</v>
          </cell>
        </row>
        <row r="1693">
          <cell r="F1693" t="str">
            <v>70483936</v>
          </cell>
          <cell r="G1693" t="str">
            <v>隆力奇</v>
          </cell>
          <cell r="H1693" t="str">
            <v>隆力奇</v>
          </cell>
          <cell r="I1693" t="str">
            <v>个人护理用品</v>
          </cell>
          <cell r="J1693" t="str">
            <v>蚊虫叮咬治疗产品</v>
          </cell>
          <cell r="K1693" t="str">
            <v>隆力奇 蛇胆金银花花露水 195mL</v>
          </cell>
          <cell r="L1693" t="str">
            <v>195mL</v>
          </cell>
          <cell r="M1693" t="str">
            <v>瓶</v>
          </cell>
          <cell r="N1693">
            <v>18.18</v>
          </cell>
          <cell r="O1693">
            <v>23</v>
          </cell>
          <cell r="P1693">
            <v>0.201739130434783</v>
          </cell>
        </row>
        <row r="1694">
          <cell r="F1694" t="str">
            <v>70514369</v>
          </cell>
          <cell r="G1694" t="str">
            <v>隆力奇</v>
          </cell>
          <cell r="H1694" t="str">
            <v>隆力奇</v>
          </cell>
          <cell r="I1694" t="str">
            <v>个人护理用品</v>
          </cell>
          <cell r="J1694" t="str">
            <v>沐浴套装</v>
          </cell>
          <cell r="K1694" t="str">
            <v>隆力奇 喜悦套装 740g</v>
          </cell>
          <cell r="L1694" t="str">
            <v>740g</v>
          </cell>
          <cell r="M1694" t="str">
            <v>盒</v>
          </cell>
          <cell r="N1694">
            <v>140.38999999999999</v>
          </cell>
          <cell r="O1694">
            <v>229</v>
          </cell>
          <cell r="P1694">
            <v>0.38087336244541498</v>
          </cell>
        </row>
        <row r="1695">
          <cell r="F1695" t="str">
            <v>70524473</v>
          </cell>
          <cell r="G1695" t="str">
            <v>阿迪达斯</v>
          </cell>
          <cell r="H1695" t="str">
            <v>阿迪达斯</v>
          </cell>
          <cell r="I1695" t="str">
            <v>个人护理用品</v>
          </cell>
          <cell r="J1695" t="str">
            <v>沐浴液</v>
          </cell>
          <cell r="K1695" t="str">
            <v>阿迪达斯 男士三合一沐浴露—冰点 250mL</v>
          </cell>
          <cell r="L1695" t="str">
            <v>250mL</v>
          </cell>
          <cell r="M1695" t="str">
            <v>瓶</v>
          </cell>
          <cell r="N1695">
            <v>18.89</v>
          </cell>
          <cell r="O1695">
            <v>29</v>
          </cell>
          <cell r="P1695">
            <v>0.34241379310344799</v>
          </cell>
        </row>
        <row r="1696">
          <cell r="F1696" t="str">
            <v>70524470</v>
          </cell>
          <cell r="G1696" t="str">
            <v>阿迪达斯</v>
          </cell>
          <cell r="H1696" t="str">
            <v>阿迪达斯</v>
          </cell>
          <cell r="I1696" t="str">
            <v>个人护理用品</v>
          </cell>
          <cell r="J1696" t="str">
            <v>沐浴液</v>
          </cell>
          <cell r="K1696" t="str">
            <v>阿迪达斯 男士三合一沐浴露—运动后舒缓 250mL</v>
          </cell>
          <cell r="L1696" t="str">
            <v>250mL</v>
          </cell>
          <cell r="M1696" t="str">
            <v>瓶</v>
          </cell>
          <cell r="N1696">
            <v>18.89</v>
          </cell>
          <cell r="O1696">
            <v>29</v>
          </cell>
          <cell r="P1696">
            <v>0.34241379310344799</v>
          </cell>
        </row>
        <row r="1697">
          <cell r="F1697" t="str">
            <v>70524476</v>
          </cell>
          <cell r="G1697" t="str">
            <v>阿迪达斯</v>
          </cell>
          <cell r="H1697" t="str">
            <v>阿迪达斯</v>
          </cell>
          <cell r="I1697" t="str">
            <v>个人护理用品</v>
          </cell>
          <cell r="J1697" t="str">
            <v>沐浴液</v>
          </cell>
          <cell r="K1697" t="str">
            <v>阿迪达斯 男士三合一沐浴露—征服 250mL</v>
          </cell>
          <cell r="L1697" t="str">
            <v>250mL</v>
          </cell>
          <cell r="M1697" t="str">
            <v>瓶</v>
          </cell>
          <cell r="N1697">
            <v>18.89</v>
          </cell>
          <cell r="O1697">
            <v>29</v>
          </cell>
          <cell r="P1697">
            <v>0.34241379310344799</v>
          </cell>
        </row>
        <row r="1698">
          <cell r="F1698" t="str">
            <v>70484247</v>
          </cell>
          <cell r="G1698" t="str">
            <v>冷酸灵</v>
          </cell>
          <cell r="H1698" t="str">
            <v>冷酸灵</v>
          </cell>
          <cell r="I1698" t="str">
            <v>个人护理用品</v>
          </cell>
          <cell r="J1698" t="str">
            <v>牙膏</v>
          </cell>
          <cell r="K1698" t="str">
            <v>冷酸灵 专研抗敏（防龋）牙膏 140 克</v>
          </cell>
          <cell r="L1698" t="str">
            <v>140克</v>
          </cell>
          <cell r="M1698" t="str">
            <v>个</v>
          </cell>
          <cell r="N1698">
            <v>13.58</v>
          </cell>
          <cell r="O1698">
            <v>17</v>
          </cell>
          <cell r="P1698">
            <v>0.19294117647058801</v>
          </cell>
        </row>
        <row r="1699">
          <cell r="F1699" t="str">
            <v>70484504</v>
          </cell>
          <cell r="G1699" t="str">
            <v>冷酸灵</v>
          </cell>
          <cell r="H1699" t="str">
            <v>冷酸灵</v>
          </cell>
          <cell r="I1699" t="str">
            <v>个人护理用品</v>
          </cell>
          <cell r="J1699" t="str">
            <v>牙膏</v>
          </cell>
          <cell r="K1699" t="str">
            <v>冷酸灵 专研抗敏（护龈配方）牙膏 170克国博联名款</v>
          </cell>
          <cell r="L1699" t="str">
            <v>170克</v>
          </cell>
          <cell r="M1699" t="str">
            <v>个</v>
          </cell>
          <cell r="N1699">
            <v>17.57</v>
          </cell>
          <cell r="O1699">
            <v>22</v>
          </cell>
          <cell r="P1699">
            <v>0.19318181818181801</v>
          </cell>
        </row>
        <row r="1700">
          <cell r="F1700" t="str">
            <v>70275768</v>
          </cell>
          <cell r="G1700" t="str">
            <v>冷酸灵</v>
          </cell>
          <cell r="H1700" t="str">
            <v>冷酸灵</v>
          </cell>
          <cell r="I1700" t="str">
            <v>个人护理用品</v>
          </cell>
          <cell r="J1700" t="str">
            <v>牙膏</v>
          </cell>
          <cell r="K1700" t="str">
            <v>冷酸灵 清火抗敏牙膏 180克升级版</v>
          </cell>
          <cell r="L1700" t="str">
            <v>180克</v>
          </cell>
          <cell r="M1700" t="str">
            <v>个</v>
          </cell>
          <cell r="N1700">
            <v>9.6999999999999993</v>
          </cell>
          <cell r="O1700">
            <v>12.5</v>
          </cell>
          <cell r="P1700">
            <v>0.21679999999999999</v>
          </cell>
        </row>
        <row r="1701">
          <cell r="F1701" t="str">
            <v>70483930</v>
          </cell>
          <cell r="G1701" t="str">
            <v>冷酸灵</v>
          </cell>
          <cell r="H1701" t="str">
            <v>冷酸灵</v>
          </cell>
          <cell r="I1701" t="str">
            <v>个人护理用品</v>
          </cell>
          <cell r="J1701" t="str">
            <v>牙膏</v>
          </cell>
          <cell r="K1701" t="str">
            <v>冷酸灵 贝乐乐安心优护5彩星期套装升级</v>
          </cell>
          <cell r="L1701" t="str">
            <v>125克</v>
          </cell>
          <cell r="M1701" t="str">
            <v>个</v>
          </cell>
          <cell r="N1701">
            <v>29.77</v>
          </cell>
          <cell r="O1701">
            <v>38</v>
          </cell>
          <cell r="P1701">
            <v>0.208684210526316</v>
          </cell>
        </row>
        <row r="1702">
          <cell r="F1702" t="str">
            <v>70543479</v>
          </cell>
          <cell r="G1702" t="str">
            <v>冷酸灵</v>
          </cell>
          <cell r="H1702" t="str">
            <v>冷酸灵</v>
          </cell>
          <cell r="I1702" t="str">
            <v>个人护理用品</v>
          </cell>
          <cell r="J1702" t="str">
            <v>牙膏</v>
          </cell>
          <cell r="K1702" t="str">
            <v>冷酸灵 光感美白组合装 (光感美白140两支+专研护敏牙刷双支装)</v>
          </cell>
          <cell r="L1702" t="str">
            <v>280g</v>
          </cell>
          <cell r="M1702" t="str">
            <v>盒</v>
          </cell>
          <cell r="N1702">
            <v>25.73</v>
          </cell>
          <cell r="O1702">
            <v>32</v>
          </cell>
          <cell r="P1702">
            <v>0.18781249999999999</v>
          </cell>
        </row>
        <row r="1703">
          <cell r="F1703" t="str">
            <v>70223173</v>
          </cell>
          <cell r="G1703" t="str">
            <v>冷酸灵</v>
          </cell>
          <cell r="H1703" t="str">
            <v>冷酸灵</v>
          </cell>
          <cell r="I1703" t="str">
            <v>个人护理用品</v>
          </cell>
          <cell r="J1703" t="str">
            <v>牙膏</v>
          </cell>
          <cell r="K1703" t="str">
            <v>冷酸灵 防菌抗敏牙膏180克升级版</v>
          </cell>
          <cell r="L1703" t="str">
            <v>180克</v>
          </cell>
          <cell r="M1703" t="str">
            <v>个</v>
          </cell>
          <cell r="N1703">
            <v>7.6</v>
          </cell>
          <cell r="O1703">
            <v>9.5</v>
          </cell>
          <cell r="P1703">
            <v>0.19263157894736799</v>
          </cell>
        </row>
        <row r="1704">
          <cell r="F1704" t="str">
            <v>70394194</v>
          </cell>
          <cell r="G1704" t="str">
            <v>冷酸灵</v>
          </cell>
          <cell r="H1704" t="str">
            <v>冷酸灵</v>
          </cell>
          <cell r="I1704" t="str">
            <v>个人护理用品</v>
          </cell>
          <cell r="J1704" t="str">
            <v>牙膏</v>
          </cell>
          <cell r="K1704" t="str">
            <v>冷酸灵 医研抗敏（即速60S）牙膏110克</v>
          </cell>
          <cell r="L1704" t="str">
            <v>110克</v>
          </cell>
          <cell r="M1704" t="str">
            <v>个</v>
          </cell>
          <cell r="N1704">
            <v>22.85</v>
          </cell>
          <cell r="O1704">
            <v>29</v>
          </cell>
          <cell r="P1704">
            <v>0.20448275862069001</v>
          </cell>
        </row>
        <row r="1705">
          <cell r="F1705" t="str">
            <v>70483947</v>
          </cell>
          <cell r="G1705" t="str">
            <v>冷酸灵</v>
          </cell>
          <cell r="H1705" t="str">
            <v>冷酸灵</v>
          </cell>
          <cell r="I1705" t="str">
            <v>个人护理用品</v>
          </cell>
          <cell r="J1705" t="str">
            <v>牙刷</v>
          </cell>
          <cell r="K1705" t="str">
            <v>冷酸灵 万物皆可（萌）牙刷(软毛)</v>
          </cell>
          <cell r="L1705" t="str">
            <v>支</v>
          </cell>
          <cell r="M1705" t="str">
            <v>个</v>
          </cell>
          <cell r="N1705">
            <v>14.29</v>
          </cell>
          <cell r="O1705">
            <v>18.5</v>
          </cell>
          <cell r="P1705">
            <v>0.22</v>
          </cell>
        </row>
        <row r="1706">
          <cell r="F1706" t="str">
            <v>70483899</v>
          </cell>
          <cell r="G1706" t="str">
            <v>冷酸灵</v>
          </cell>
          <cell r="H1706" t="str">
            <v>冷酸灵</v>
          </cell>
          <cell r="I1706" t="str">
            <v>个人护理用品</v>
          </cell>
          <cell r="J1706" t="str">
            <v>牙刷</v>
          </cell>
          <cell r="K1706" t="str">
            <v>冷酸灵 贝乐乐百分宠爱儿童牙刷(2-12岁)(软毛)</v>
          </cell>
          <cell r="L1706" t="str">
            <v>支</v>
          </cell>
          <cell r="M1706" t="str">
            <v>个</v>
          </cell>
          <cell r="N1706">
            <v>14.29</v>
          </cell>
          <cell r="O1706">
            <v>18.5</v>
          </cell>
          <cell r="P1706">
            <v>0.22</v>
          </cell>
        </row>
        <row r="1707">
          <cell r="F1707" t="str">
            <v>70278749</v>
          </cell>
          <cell r="G1707" t="str">
            <v>冷酸灵</v>
          </cell>
          <cell r="H1707" t="str">
            <v>冷酸灵</v>
          </cell>
          <cell r="I1707" t="str">
            <v>个人护理用品</v>
          </cell>
          <cell r="J1707" t="str">
            <v>牙刷</v>
          </cell>
          <cell r="K1707" t="str">
            <v>冷酸灵 炭旋护敏牙刷双支装（软毛）（柔护版）</v>
          </cell>
          <cell r="L1707" t="str">
            <v>支</v>
          </cell>
          <cell r="M1707" t="str">
            <v>个</v>
          </cell>
          <cell r="N1707">
            <v>9.9499999999999993</v>
          </cell>
          <cell r="O1707">
            <v>13</v>
          </cell>
          <cell r="P1707">
            <v>0.22692307692307701</v>
          </cell>
        </row>
        <row r="1708">
          <cell r="F1708" t="str">
            <v>70524453</v>
          </cell>
          <cell r="G1708" t="str">
            <v>冷酸灵</v>
          </cell>
          <cell r="H1708" t="str">
            <v>冷酸灵</v>
          </cell>
          <cell r="I1708" t="str">
            <v>个人护理用品</v>
          </cell>
          <cell r="J1708" t="str">
            <v>牙刷</v>
          </cell>
          <cell r="K1708" t="str">
            <v>冷酸灵 专研护敏牙刷双支装 软毛（柔护版）</v>
          </cell>
          <cell r="L1708" t="str">
            <v>支</v>
          </cell>
          <cell r="M1708" t="str">
            <v>个</v>
          </cell>
          <cell r="N1708">
            <v>12.18</v>
          </cell>
          <cell r="O1708">
            <v>15.5</v>
          </cell>
          <cell r="P1708">
            <v>0.206451612903226</v>
          </cell>
        </row>
        <row r="1709">
          <cell r="F1709" t="str">
            <v>70266264</v>
          </cell>
          <cell r="G1709" t="str">
            <v>冷酸灵</v>
          </cell>
          <cell r="H1709" t="str">
            <v>冷酸灵</v>
          </cell>
          <cell r="I1709" t="str">
            <v>个人护理用品</v>
          </cell>
          <cell r="J1709" t="str">
            <v>牙膏+牙刷</v>
          </cell>
          <cell r="K1709" t="str">
            <v>冷酸灵 旅行装(清爽深洁牙刷+专研抗敏牙膏40克(软毛）(柔护版)</v>
          </cell>
          <cell r="L1709" t="str">
            <v>支</v>
          </cell>
          <cell r="M1709" t="str">
            <v>盒</v>
          </cell>
          <cell r="N1709">
            <v>7.48</v>
          </cell>
          <cell r="O1709">
            <v>9.5</v>
          </cell>
          <cell r="P1709">
            <v>0.20421052631579001</v>
          </cell>
        </row>
        <row r="1710">
          <cell r="F1710" t="str">
            <v>70483912</v>
          </cell>
          <cell r="G1710" t="str">
            <v>冷酸灵</v>
          </cell>
          <cell r="H1710" t="str">
            <v>冷酸灵</v>
          </cell>
          <cell r="I1710" t="str">
            <v>个人护理用品</v>
          </cell>
          <cell r="J1710" t="str">
            <v>牙刷</v>
          </cell>
          <cell r="K1710" t="str">
            <v>冷酸灵 柔护净齿牙刷 双支装（软毛）</v>
          </cell>
          <cell r="L1710" t="str">
            <v>支</v>
          </cell>
          <cell r="M1710" t="str">
            <v>个</v>
          </cell>
          <cell r="N1710">
            <v>6.58</v>
          </cell>
          <cell r="O1710">
            <v>8.5</v>
          </cell>
          <cell r="P1710">
            <v>0.218823529411765</v>
          </cell>
        </row>
        <row r="1711">
          <cell r="F1711" t="str">
            <v>70481700</v>
          </cell>
          <cell r="G1711" t="str">
            <v>冷酸灵</v>
          </cell>
          <cell r="H1711" t="str">
            <v>冷酸灵</v>
          </cell>
          <cell r="I1711" t="str">
            <v>个人护理用品</v>
          </cell>
          <cell r="J1711" t="str">
            <v>牙刷</v>
          </cell>
          <cell r="K1711" t="str">
            <v>冷酸灵 柔丝爽洁牙刷双支装(软毛)（柔护版）</v>
          </cell>
          <cell r="L1711" t="str">
            <v>支</v>
          </cell>
          <cell r="M1711" t="str">
            <v>个</v>
          </cell>
          <cell r="N1711">
            <v>4.7</v>
          </cell>
          <cell r="O1711">
            <v>6</v>
          </cell>
          <cell r="P1711">
            <v>0.21</v>
          </cell>
        </row>
        <row r="1712">
          <cell r="F1712" t="str">
            <v>70483960</v>
          </cell>
          <cell r="G1712" t="str">
            <v>冷酸灵</v>
          </cell>
          <cell r="H1712" t="str">
            <v>冷酸灵</v>
          </cell>
          <cell r="I1712" t="str">
            <v>个人护理用品</v>
          </cell>
          <cell r="J1712" t="str">
            <v>牙膏</v>
          </cell>
          <cell r="K1712" t="str">
            <v>冷酸灵 专研抗敏(益生菌)牙膏 140 克国博联名款</v>
          </cell>
          <cell r="L1712" t="str">
            <v>140克</v>
          </cell>
          <cell r="M1712" t="str">
            <v>个</v>
          </cell>
          <cell r="N1712">
            <v>12.22</v>
          </cell>
          <cell r="O1712">
            <v>16</v>
          </cell>
          <cell r="P1712">
            <v>0.22875000000000001</v>
          </cell>
        </row>
        <row r="1713">
          <cell r="F1713" t="str">
            <v>70574566</v>
          </cell>
          <cell r="G1713" t="str">
            <v>冷酸灵</v>
          </cell>
          <cell r="H1713" t="str">
            <v>冷酸灵</v>
          </cell>
          <cell r="I1713" t="str">
            <v>个人护理用品</v>
          </cell>
          <cell r="J1713" t="str">
            <v>牙膏</v>
          </cell>
          <cell r="K1713" t="str">
            <v>冷酸灵 极地白(护龈配方)泵式牙膏 130g</v>
          </cell>
          <cell r="L1713" t="str">
            <v>130克</v>
          </cell>
          <cell r="M1713" t="str">
            <v>个</v>
          </cell>
          <cell r="N1713">
            <v>27.28</v>
          </cell>
          <cell r="O1713">
            <v>34</v>
          </cell>
          <cell r="P1713">
            <v>0.189705882352941</v>
          </cell>
        </row>
        <row r="1714">
          <cell r="F1714" t="str">
            <v>70483909</v>
          </cell>
          <cell r="G1714" t="str">
            <v>冷酸灵</v>
          </cell>
          <cell r="H1714" t="str">
            <v>冷酸灵</v>
          </cell>
          <cell r="I1714" t="str">
            <v>个人护理用品</v>
          </cell>
          <cell r="J1714" t="str">
            <v>牙膏</v>
          </cell>
          <cell r="K1714" t="str">
            <v>冷酸灵 MAX 劲白抗敏感牙膏 170 克</v>
          </cell>
          <cell r="L1714" t="str">
            <v>170克</v>
          </cell>
          <cell r="M1714" t="str">
            <v>个</v>
          </cell>
          <cell r="N1714">
            <v>14.4</v>
          </cell>
          <cell r="O1714">
            <v>18</v>
          </cell>
          <cell r="P1714">
            <v>0.19166666666666701</v>
          </cell>
        </row>
        <row r="1715">
          <cell r="F1715" t="str">
            <v>70394193</v>
          </cell>
          <cell r="G1715" t="str">
            <v>冷酸灵</v>
          </cell>
          <cell r="H1715" t="str">
            <v>冷酸灵</v>
          </cell>
          <cell r="I1715" t="str">
            <v>个人护理用品</v>
          </cell>
          <cell r="J1715" t="str">
            <v>牙膏</v>
          </cell>
          <cell r="K1715" t="str">
            <v>冷酸灵专研抗敏(护龈配方)牙膏110克（23配方升级）</v>
          </cell>
          <cell r="L1715" t="str">
            <v>110克</v>
          </cell>
          <cell r="M1715" t="str">
            <v>个</v>
          </cell>
          <cell r="N1715">
            <v>12.23</v>
          </cell>
          <cell r="O1715">
            <v>15.5</v>
          </cell>
          <cell r="P1715">
            <v>0.20322580645161301</v>
          </cell>
        </row>
        <row r="1716">
          <cell r="F1716" t="str">
            <v>70574567</v>
          </cell>
          <cell r="G1716" t="str">
            <v>冷酸灵</v>
          </cell>
          <cell r="H1716" t="str">
            <v>冷酸灵</v>
          </cell>
          <cell r="I1716" t="str">
            <v>个人护理用品</v>
          </cell>
          <cell r="J1716" t="str">
            <v>牙膏</v>
          </cell>
          <cell r="K1716" t="str">
            <v>冷酸灵 专研抗敏(植物炭深洁)牙膏国博联名款 170g</v>
          </cell>
          <cell r="L1716" t="str">
            <v>170克</v>
          </cell>
          <cell r="M1716" t="str">
            <v>个</v>
          </cell>
          <cell r="N1716">
            <v>18.04</v>
          </cell>
          <cell r="O1716">
            <v>22.5</v>
          </cell>
          <cell r="P1716">
            <v>0.19022222222222199</v>
          </cell>
        </row>
        <row r="1717">
          <cell r="F1717" t="str">
            <v>70563597</v>
          </cell>
          <cell r="G1717" t="str">
            <v>冷酸灵</v>
          </cell>
          <cell r="H1717" t="str">
            <v>冷酸灵</v>
          </cell>
          <cell r="I1717" t="str">
            <v>个人护理用品</v>
          </cell>
          <cell r="J1717" t="str">
            <v>牙膏</v>
          </cell>
          <cell r="K1717" t="str">
            <v>冷酸灵 光感美白抗敏感牙膏140克</v>
          </cell>
          <cell r="L1717" t="str">
            <v>140克</v>
          </cell>
          <cell r="M1717" t="str">
            <v>个</v>
          </cell>
          <cell r="N1717">
            <v>10.83</v>
          </cell>
          <cell r="O1717">
            <v>14</v>
          </cell>
          <cell r="P1717">
            <v>0.219285714285714</v>
          </cell>
        </row>
        <row r="1718">
          <cell r="F1718" t="str">
            <v>70574568</v>
          </cell>
          <cell r="G1718" t="str">
            <v>冷酸灵</v>
          </cell>
          <cell r="H1718" t="str">
            <v>冷酸灵</v>
          </cell>
          <cell r="I1718" t="str">
            <v>个人护理用品</v>
          </cell>
          <cell r="J1718" t="str">
            <v>牙膏</v>
          </cell>
          <cell r="K1718" t="str">
            <v>冷酸灵 牙膏90克专研抗敏(清润果香) 90g</v>
          </cell>
          <cell r="L1718" t="str">
            <v>90克</v>
          </cell>
          <cell r="M1718" t="str">
            <v>个</v>
          </cell>
          <cell r="N1718">
            <v>7.39</v>
          </cell>
          <cell r="O1718">
            <v>9.5</v>
          </cell>
          <cell r="P1718">
            <v>0.213684210526316</v>
          </cell>
        </row>
        <row r="1719">
          <cell r="F1719" t="str">
            <v>70574656</v>
          </cell>
          <cell r="G1719" t="str">
            <v>露丝</v>
          </cell>
          <cell r="H1719" t="str">
            <v>露丝</v>
          </cell>
          <cell r="I1719" t="str">
            <v>清洁用品</v>
          </cell>
          <cell r="J1719" t="str">
            <v>衣物清洁</v>
          </cell>
          <cell r="K1719" t="str">
            <v>露丝 活氧无磷洗衣粉 5kg</v>
          </cell>
          <cell r="L1719" t="str">
            <v>5kg*2</v>
          </cell>
          <cell r="M1719" t="str">
            <v>袋</v>
          </cell>
          <cell r="N1719">
            <v>35.75</v>
          </cell>
          <cell r="O1719">
            <v>52</v>
          </cell>
          <cell r="P1719">
            <v>0.30557692307692302</v>
          </cell>
        </row>
        <row r="1720">
          <cell r="F1720" t="str">
            <v>70574657</v>
          </cell>
          <cell r="G1720" t="str">
            <v>露丝</v>
          </cell>
          <cell r="H1720" t="str">
            <v>露丝</v>
          </cell>
          <cell r="I1720" t="str">
            <v>清洁用品</v>
          </cell>
          <cell r="J1720" t="str">
            <v>厨房清洁</v>
          </cell>
          <cell r="K1720" t="str">
            <v>露丝 生姜洗洁精 5kg</v>
          </cell>
          <cell r="L1720" t="str">
            <v>5kg*3</v>
          </cell>
          <cell r="M1720" t="str">
            <v>瓶</v>
          </cell>
          <cell r="N1720">
            <v>35.75</v>
          </cell>
          <cell r="O1720">
            <v>52</v>
          </cell>
          <cell r="P1720">
            <v>0.30557692307692302</v>
          </cell>
        </row>
        <row r="1721">
          <cell r="F1721" t="str">
            <v>70574658</v>
          </cell>
          <cell r="G1721" t="str">
            <v>露丝</v>
          </cell>
          <cell r="H1721" t="str">
            <v>露丝</v>
          </cell>
          <cell r="I1721" t="str">
            <v>清洁用品</v>
          </cell>
          <cell r="J1721" t="str">
            <v>厨房清洁</v>
          </cell>
          <cell r="K1721" t="str">
            <v>露丝 多效护手洗洁精(蓝色透明) 1.5kg</v>
          </cell>
          <cell r="L1721" t="str">
            <v>1.5kg*8</v>
          </cell>
          <cell r="M1721" t="str">
            <v>瓶</v>
          </cell>
          <cell r="N1721">
            <v>11.63</v>
          </cell>
          <cell r="O1721">
            <v>16.899999999999999</v>
          </cell>
          <cell r="P1721">
            <v>0.30532544378698201</v>
          </cell>
        </row>
        <row r="1722">
          <cell r="F1722" t="str">
            <v>70574569</v>
          </cell>
          <cell r="G1722" t="str">
            <v>露丝</v>
          </cell>
          <cell r="H1722" t="str">
            <v>露丝</v>
          </cell>
          <cell r="I1722" t="str">
            <v>清洁用品</v>
          </cell>
          <cell r="J1722" t="str">
            <v>衣物清洁</v>
          </cell>
          <cell r="K1722" t="str">
            <v>露丝 阳光庄园洗衣液 2kg</v>
          </cell>
          <cell r="L1722" t="str">
            <v>2kg*8</v>
          </cell>
          <cell r="M1722" t="str">
            <v>瓶</v>
          </cell>
          <cell r="N1722">
            <v>19.940000000000001</v>
          </cell>
          <cell r="O1722">
            <v>29</v>
          </cell>
          <cell r="P1722">
            <v>0.30586206896551699</v>
          </cell>
        </row>
        <row r="1723">
          <cell r="F1723" t="str">
            <v>70574659</v>
          </cell>
          <cell r="G1723" t="str">
            <v>露丝</v>
          </cell>
          <cell r="H1723" t="str">
            <v>露丝</v>
          </cell>
          <cell r="I1723" t="str">
            <v>清洁用品</v>
          </cell>
          <cell r="J1723" t="str">
            <v>衣物清洁</v>
          </cell>
          <cell r="K1723" t="str">
            <v>露丝 阳光庄园洗衣液 3kg</v>
          </cell>
          <cell r="L1723" t="str">
            <v>3kg*4</v>
          </cell>
          <cell r="M1723" t="str">
            <v>瓶</v>
          </cell>
          <cell r="N1723">
            <v>27.43</v>
          </cell>
          <cell r="O1723">
            <v>39.9</v>
          </cell>
          <cell r="P1723">
            <v>0.30576441102756902</v>
          </cell>
        </row>
        <row r="1724">
          <cell r="F1724" t="str">
            <v>70574660</v>
          </cell>
          <cell r="G1724" t="str">
            <v>露丝</v>
          </cell>
          <cell r="H1724" t="str">
            <v>露丝</v>
          </cell>
          <cell r="I1724" t="str">
            <v>清洁用品</v>
          </cell>
          <cell r="J1724" t="str">
            <v>衣物清洁</v>
          </cell>
          <cell r="K1724" t="str">
            <v>露丝 活氧无磷洗衣粉 1.36kg</v>
          </cell>
          <cell r="L1724" t="str">
            <v>1.36kg*8</v>
          </cell>
          <cell r="M1724" t="str">
            <v>袋</v>
          </cell>
          <cell r="N1724">
            <v>9.9700000000000006</v>
          </cell>
          <cell r="O1724">
            <v>14.5</v>
          </cell>
          <cell r="P1724">
            <v>0.30551724137931002</v>
          </cell>
        </row>
        <row r="1725">
          <cell r="F1725" t="str">
            <v>70574661</v>
          </cell>
          <cell r="G1725" t="str">
            <v>露丝</v>
          </cell>
          <cell r="H1725" t="str">
            <v>露丝</v>
          </cell>
          <cell r="I1725" t="str">
            <v>清洁用品</v>
          </cell>
          <cell r="J1725" t="str">
            <v>衣物清洁</v>
          </cell>
          <cell r="K1725" t="str">
            <v>露丝 抑菌净味洗衣凝珠(三腔盒装) 400g</v>
          </cell>
          <cell r="L1725" t="str">
            <v>400g*24</v>
          </cell>
          <cell r="M1725" t="str">
            <v>盒</v>
          </cell>
          <cell r="N1725">
            <v>24.76</v>
          </cell>
          <cell r="O1725">
            <v>36</v>
          </cell>
          <cell r="P1725">
            <v>0.30555555555555602</v>
          </cell>
        </row>
        <row r="1726">
          <cell r="F1726" t="str">
            <v>70574662</v>
          </cell>
          <cell r="G1726" t="str">
            <v>蔬果园</v>
          </cell>
          <cell r="H1726" t="str">
            <v>蔬果园</v>
          </cell>
          <cell r="I1726" t="str">
            <v>清洁用品</v>
          </cell>
          <cell r="J1726" t="str">
            <v>衣物清洁</v>
          </cell>
          <cell r="K1726" t="str">
            <v>蔬果园 天然薰衣草精油香氛洗衣凝珠(袋装) 8g*7</v>
          </cell>
          <cell r="L1726" t="str">
            <v>8g*7颗</v>
          </cell>
          <cell r="M1726" t="str">
            <v>袋</v>
          </cell>
          <cell r="N1726">
            <v>2.88</v>
          </cell>
          <cell r="O1726">
            <v>14.9</v>
          </cell>
          <cell r="P1726">
            <v>0.80469798657718095</v>
          </cell>
        </row>
        <row r="1727">
          <cell r="F1727" t="str">
            <v>70505723</v>
          </cell>
          <cell r="G1727" t="str">
            <v>蔬果园</v>
          </cell>
          <cell r="H1727" t="str">
            <v>蔬果园</v>
          </cell>
          <cell r="I1727" t="str">
            <v>清洁用品</v>
          </cell>
          <cell r="J1727" t="str">
            <v>衣物清洁</v>
          </cell>
          <cell r="K1727" t="str">
            <v>蔬果园蓝风铃香水柔软洗衣液（持久留香型）3.5kg</v>
          </cell>
          <cell r="L1727" t="str">
            <v>3.5kg</v>
          </cell>
          <cell r="M1727" t="str">
            <v>个</v>
          </cell>
          <cell r="N1727">
            <v>43.68</v>
          </cell>
          <cell r="O1727">
            <v>79.900000000000006</v>
          </cell>
          <cell r="P1727">
            <v>0.44780976220275398</v>
          </cell>
        </row>
        <row r="1728">
          <cell r="F1728" t="str">
            <v>70421365</v>
          </cell>
          <cell r="G1728" t="str">
            <v>蔬果园</v>
          </cell>
          <cell r="H1728" t="str">
            <v>蔬果园</v>
          </cell>
          <cell r="I1728" t="str">
            <v>清洁用品</v>
          </cell>
          <cell r="J1728" t="str">
            <v>家居清洁</v>
          </cell>
          <cell r="K1728" t="str">
            <v>蔬果园阳光松木强效去垢型洁厕剂500g</v>
          </cell>
          <cell r="L1728" t="str">
            <v>500g</v>
          </cell>
          <cell r="M1728" t="str">
            <v>瓶</v>
          </cell>
          <cell r="N1728">
            <v>9.56</v>
          </cell>
          <cell r="O1728">
            <v>19.899999999999999</v>
          </cell>
          <cell r="P1728">
            <v>0.51457286432160798</v>
          </cell>
        </row>
        <row r="1729">
          <cell r="F1729" t="str">
            <v>70520547</v>
          </cell>
          <cell r="G1729" t="str">
            <v>蔬果园</v>
          </cell>
          <cell r="H1729" t="str">
            <v>蔬果园</v>
          </cell>
          <cell r="I1729" t="str">
            <v>清洁用品</v>
          </cell>
          <cell r="J1729" t="str">
            <v>厨房清洁</v>
          </cell>
          <cell r="K1729" t="str">
            <v>蔬果园阳光富士果蔬餐具净</v>
          </cell>
          <cell r="L1729" t="str">
            <v>1.28kg</v>
          </cell>
          <cell r="M1729" t="str">
            <v>瓶</v>
          </cell>
          <cell r="N1729">
            <v>14.63</v>
          </cell>
          <cell r="O1729">
            <v>29.9</v>
          </cell>
          <cell r="P1729">
            <v>0.50568561872909701</v>
          </cell>
        </row>
        <row r="1730">
          <cell r="F1730" t="str">
            <v>70522748</v>
          </cell>
          <cell r="G1730" t="str">
            <v>蔬果园</v>
          </cell>
          <cell r="H1730" t="str">
            <v>蔬果园</v>
          </cell>
          <cell r="I1730" t="str">
            <v>清洁用品</v>
          </cell>
          <cell r="J1730" t="str">
            <v>衣物清洁</v>
          </cell>
          <cell r="K1730" t="str">
            <v>蔬果园天然玫瑰精油香氛4D洗衣凝珠</v>
          </cell>
          <cell r="L1730" t="str">
            <v>10g*52颗</v>
          </cell>
          <cell r="M1730" t="str">
            <v>瓶</v>
          </cell>
          <cell r="N1730">
            <v>46.76</v>
          </cell>
          <cell r="O1730">
            <v>89.9</v>
          </cell>
          <cell r="P1730">
            <v>0.474638487208009</v>
          </cell>
        </row>
        <row r="1731">
          <cell r="F1731" t="str">
            <v>70574663</v>
          </cell>
          <cell r="G1731" t="str">
            <v>蔬果园</v>
          </cell>
          <cell r="H1731" t="str">
            <v>蔬果园</v>
          </cell>
          <cell r="I1731" t="str">
            <v>清洁用品</v>
          </cell>
          <cell r="J1731" t="str">
            <v>衣物清洁</v>
          </cell>
          <cell r="K1731" t="str">
            <v>蔬果园 蓝盾除菌香水洗衣凝珠(袋装) 8g*10</v>
          </cell>
          <cell r="L1731" t="str">
            <v>8g*10颗</v>
          </cell>
          <cell r="M1731" t="str">
            <v>袋</v>
          </cell>
          <cell r="N1731">
            <v>6.72</v>
          </cell>
          <cell r="O1731">
            <v>14.9</v>
          </cell>
          <cell r="P1731">
            <v>0.54496644295301999</v>
          </cell>
        </row>
        <row r="1732">
          <cell r="F1732" t="str">
            <v>70574664</v>
          </cell>
          <cell r="G1732" t="str">
            <v>蔬果园</v>
          </cell>
          <cell r="H1732" t="str">
            <v>蔬果园</v>
          </cell>
          <cell r="I1732" t="str">
            <v>清洁用品</v>
          </cell>
          <cell r="J1732" t="str">
            <v>衣物清洁</v>
          </cell>
          <cell r="K1732" t="str">
            <v>蔬果园 3D洗衣凝珠(浓缩强效型) 10g*4</v>
          </cell>
          <cell r="L1732" t="str">
            <v>10g*4颗</v>
          </cell>
          <cell r="M1732" t="str">
            <v>盒</v>
          </cell>
          <cell r="N1732">
            <v>6.44</v>
          </cell>
          <cell r="O1732">
            <v>14.9</v>
          </cell>
          <cell r="P1732">
            <v>0.56308724832214796</v>
          </cell>
        </row>
        <row r="1733">
          <cell r="F1733" t="str">
            <v>70499211</v>
          </cell>
          <cell r="G1733" t="str">
            <v>蔬果园</v>
          </cell>
          <cell r="H1733" t="str">
            <v>蔬果园</v>
          </cell>
          <cell r="I1733" t="str">
            <v>清洁用品</v>
          </cell>
          <cell r="J1733" t="str">
            <v>衣物清洁</v>
          </cell>
          <cell r="K1733" t="str">
            <v>Sukgarden蔬果园蓝盾除菌香水洗衣凝珠 8g*30颗/盒</v>
          </cell>
          <cell r="L1733" t="str">
            <v>8g*30颗</v>
          </cell>
          <cell r="M1733" t="str">
            <v>个</v>
          </cell>
          <cell r="N1733">
            <v>15.36</v>
          </cell>
          <cell r="O1733">
            <v>39.9</v>
          </cell>
          <cell r="P1733">
            <v>0.61127819548872198</v>
          </cell>
        </row>
        <row r="1734">
          <cell r="F1734" t="str">
            <v>70531939</v>
          </cell>
          <cell r="G1734" t="str">
            <v>蔬果园</v>
          </cell>
          <cell r="H1734" t="str">
            <v>蔬果园</v>
          </cell>
          <cell r="I1734" t="str">
            <v>清洁用品</v>
          </cell>
          <cell r="J1734" t="str">
            <v>家居清洁</v>
          </cell>
          <cell r="K1734" t="str">
            <v>蔬果园橘彩星光多效地板清洁剂</v>
          </cell>
          <cell r="L1734" t="str">
            <v>500g</v>
          </cell>
          <cell r="M1734" t="str">
            <v>瓶</v>
          </cell>
          <cell r="N1734">
            <v>13.29</v>
          </cell>
          <cell r="O1734">
            <v>19.899999999999999</v>
          </cell>
          <cell r="P1734">
            <v>0.32562814070351798</v>
          </cell>
        </row>
        <row r="1735">
          <cell r="F1735" t="str">
            <v>70531937</v>
          </cell>
          <cell r="G1735" t="str">
            <v>蔬果园</v>
          </cell>
          <cell r="H1735" t="str">
            <v>蔬果园</v>
          </cell>
          <cell r="I1735" t="str">
            <v>清洁用品</v>
          </cell>
          <cell r="J1735" t="str">
            <v>衣物清洁</v>
          </cell>
          <cell r="K1735" t="str">
            <v>Sukgarden蔬果园维多利亚玫瑰精油香氛内衣洗衣液-500g</v>
          </cell>
          <cell r="L1735" t="str">
            <v>500g</v>
          </cell>
          <cell r="M1735" t="str">
            <v>瓶</v>
          </cell>
          <cell r="N1735">
            <v>19.420000000000002</v>
          </cell>
          <cell r="O1735">
            <v>39.9</v>
          </cell>
          <cell r="P1735">
            <v>0.50852130325814504</v>
          </cell>
        </row>
        <row r="1736">
          <cell r="F1736" t="str">
            <v>70531947</v>
          </cell>
          <cell r="G1736" t="str">
            <v>蔬果园</v>
          </cell>
          <cell r="H1736" t="str">
            <v>蔬果园</v>
          </cell>
          <cell r="I1736" t="str">
            <v>清洁用品</v>
          </cell>
          <cell r="J1736" t="str">
            <v>衣物清洁</v>
          </cell>
          <cell r="K1736" t="str">
            <v>蔬果园 维多利亚玫瑰精油香氛洗衣液-1kg</v>
          </cell>
          <cell r="L1736" t="str">
            <v>1kg</v>
          </cell>
          <cell r="M1736" t="str">
            <v>瓶</v>
          </cell>
          <cell r="N1736">
            <v>18.079999999999998</v>
          </cell>
          <cell r="O1736">
            <v>39</v>
          </cell>
          <cell r="P1736">
            <v>0.53179487179487195</v>
          </cell>
        </row>
        <row r="1737">
          <cell r="F1737" t="str">
            <v>70574570</v>
          </cell>
          <cell r="G1737" t="str">
            <v>蔬果园</v>
          </cell>
          <cell r="H1737" t="str">
            <v>蔬果园</v>
          </cell>
          <cell r="I1737" t="str">
            <v>清洁用品</v>
          </cell>
          <cell r="J1737" t="str">
            <v>衣物清洁</v>
          </cell>
          <cell r="K1737" t="str">
            <v>蔬果园 维多利亚玫瑰精油香氛内衣洗衣液 200g</v>
          </cell>
          <cell r="L1737" t="str">
            <v>200g</v>
          </cell>
          <cell r="M1737" t="str">
            <v>瓶</v>
          </cell>
          <cell r="N1737">
            <v>8.74</v>
          </cell>
          <cell r="O1737">
            <v>19.899999999999999</v>
          </cell>
          <cell r="P1737">
            <v>0.55678391959799001</v>
          </cell>
        </row>
        <row r="1738">
          <cell r="F1738" t="str">
            <v>70574298</v>
          </cell>
          <cell r="G1738" t="str">
            <v>白猫</v>
          </cell>
          <cell r="H1738" t="str">
            <v>白猫</v>
          </cell>
          <cell r="I1738" t="str">
            <v>清洁用品</v>
          </cell>
          <cell r="J1738" t="str">
            <v>家居清洁</v>
          </cell>
          <cell r="K1738" t="str">
            <v>白猫 84消毒液两瓶装 700g*2</v>
          </cell>
          <cell r="L1738" t="str">
            <v>（700g*2）*10</v>
          </cell>
          <cell r="M1738" t="str">
            <v>包</v>
          </cell>
          <cell r="N1738">
            <v>9.44</v>
          </cell>
          <cell r="O1738">
            <v>13.5</v>
          </cell>
          <cell r="P1738">
            <v>0.293333333333333</v>
          </cell>
        </row>
        <row r="1739">
          <cell r="F1739" t="str">
            <v>70574296</v>
          </cell>
          <cell r="G1739" t="str">
            <v>白猫</v>
          </cell>
          <cell r="H1739" t="str">
            <v>白猫</v>
          </cell>
          <cell r="I1739" t="str">
            <v>清洁用品</v>
          </cell>
          <cell r="J1739" t="str">
            <v>衣物清洁</v>
          </cell>
          <cell r="K1739" t="str">
            <v>白猫 彩漂 1.4kg</v>
          </cell>
          <cell r="L1739" t="str">
            <v>1.4kg*6</v>
          </cell>
          <cell r="M1739" t="str">
            <v>袋</v>
          </cell>
          <cell r="N1739">
            <v>14.48</v>
          </cell>
          <cell r="O1739">
            <v>20</v>
          </cell>
          <cell r="P1739">
            <v>0.26850000000000002</v>
          </cell>
        </row>
        <row r="1740">
          <cell r="F1740" t="str">
            <v>70370998</v>
          </cell>
          <cell r="G1740" t="str">
            <v>白猫</v>
          </cell>
          <cell r="H1740" t="str">
            <v>白猫</v>
          </cell>
          <cell r="I1740" t="str">
            <v>清洁用品</v>
          </cell>
          <cell r="J1740" t="str">
            <v>家居清洁</v>
          </cell>
          <cell r="K1740" t="str">
            <v>白猫蓝洁灵强力洁厕液（弯头）500g*2/组</v>
          </cell>
          <cell r="L1740" t="str">
            <v>（500g*2）*15</v>
          </cell>
          <cell r="M1740" t="str">
            <v>瓶</v>
          </cell>
          <cell r="N1740">
            <v>9.0399999999999991</v>
          </cell>
          <cell r="O1740">
            <v>13.6</v>
          </cell>
          <cell r="P1740">
            <v>0.32867647058823501</v>
          </cell>
        </row>
        <row r="1741">
          <cell r="F1741" t="str">
            <v>70137043</v>
          </cell>
          <cell r="G1741" t="str">
            <v>白猫</v>
          </cell>
          <cell r="H1741" t="str">
            <v>白猫</v>
          </cell>
          <cell r="I1741" t="str">
            <v>清洁用品</v>
          </cell>
          <cell r="J1741" t="str">
            <v>衣物清洁</v>
          </cell>
          <cell r="K1741" t="str">
            <v>白猫冷水速洁无磷洗衣粉2.5kg</v>
          </cell>
          <cell r="L1741" t="str">
            <v>2.5kg*4</v>
          </cell>
          <cell r="M1741" t="str">
            <v>包</v>
          </cell>
          <cell r="N1741">
            <v>18.77</v>
          </cell>
          <cell r="O1741">
            <v>25</v>
          </cell>
          <cell r="P1741">
            <v>0.24199999999999999</v>
          </cell>
        </row>
        <row r="1742">
          <cell r="F1742" t="str">
            <v>70046501</v>
          </cell>
          <cell r="G1742" t="str">
            <v>白猫</v>
          </cell>
          <cell r="H1742" t="str">
            <v>白猫</v>
          </cell>
          <cell r="I1742" t="str">
            <v>清洁用品</v>
          </cell>
          <cell r="J1742" t="str">
            <v>家居清洁</v>
          </cell>
          <cell r="K1742" t="str">
            <v>白猫喷洁净350mL</v>
          </cell>
          <cell r="L1742" t="str">
            <v>350mL*30</v>
          </cell>
          <cell r="M1742" t="str">
            <v>瓶</v>
          </cell>
          <cell r="N1742">
            <v>15.37</v>
          </cell>
          <cell r="O1742">
            <v>19.899999999999999</v>
          </cell>
          <cell r="P1742">
            <v>0.219597989949749</v>
          </cell>
        </row>
        <row r="1743">
          <cell r="F1743" t="str">
            <v>70151190</v>
          </cell>
          <cell r="G1743" t="str">
            <v>白猫</v>
          </cell>
          <cell r="H1743" t="str">
            <v>白猫</v>
          </cell>
          <cell r="I1743" t="str">
            <v>清洁用品</v>
          </cell>
          <cell r="J1743" t="str">
            <v>衣物清洁</v>
          </cell>
          <cell r="K1743" t="str">
            <v>白猫丝毛衣物洗衣液1kg</v>
          </cell>
          <cell r="L1743" t="str">
            <v>1kg*12</v>
          </cell>
          <cell r="M1743" t="str">
            <v>瓶</v>
          </cell>
          <cell r="N1743">
            <v>17.23</v>
          </cell>
          <cell r="O1743">
            <v>23.8</v>
          </cell>
          <cell r="P1743">
            <v>0.26890756302521002</v>
          </cell>
        </row>
        <row r="1744">
          <cell r="F1744" t="str">
            <v>70022788</v>
          </cell>
          <cell r="G1744" t="str">
            <v>白猫</v>
          </cell>
          <cell r="H1744" t="str">
            <v>白猫</v>
          </cell>
          <cell r="I1744" t="str">
            <v>清洁用品</v>
          </cell>
          <cell r="J1744" t="str">
            <v>衣物清洁</v>
          </cell>
          <cell r="K1744" t="str">
            <v>白猫无磷洗衣液1kg</v>
          </cell>
          <cell r="L1744" t="str">
            <v>1kg*10</v>
          </cell>
          <cell r="M1744" t="str">
            <v>瓶</v>
          </cell>
          <cell r="N1744">
            <v>7.71</v>
          </cell>
          <cell r="O1744">
            <v>11.9</v>
          </cell>
          <cell r="P1744">
            <v>0.34621848739495797</v>
          </cell>
        </row>
        <row r="1745">
          <cell r="F1745" t="str">
            <v>70288635</v>
          </cell>
          <cell r="G1745" t="str">
            <v>白猫</v>
          </cell>
          <cell r="H1745" t="str">
            <v>白猫</v>
          </cell>
          <cell r="I1745" t="str">
            <v>清洁用品</v>
          </cell>
          <cell r="J1745" t="str">
            <v>衣物清洁</v>
          </cell>
          <cell r="K1745" t="str">
            <v>白猫无磷洗衣液3kg</v>
          </cell>
          <cell r="L1745" t="str">
            <v>3kg*4</v>
          </cell>
          <cell r="M1745" t="str">
            <v>袋</v>
          </cell>
          <cell r="N1745">
            <v>20.69</v>
          </cell>
          <cell r="O1745">
            <v>33.9</v>
          </cell>
          <cell r="P1745">
            <v>0.38348082595870198</v>
          </cell>
        </row>
        <row r="1746">
          <cell r="F1746" t="str">
            <v>70574665</v>
          </cell>
          <cell r="G1746" t="str">
            <v>白猫</v>
          </cell>
          <cell r="H1746" t="str">
            <v>白猫</v>
          </cell>
          <cell r="I1746" t="str">
            <v>清洁用品</v>
          </cell>
          <cell r="J1746" t="str">
            <v>衣物清洁</v>
          </cell>
          <cell r="K1746" t="str">
            <v>白猫 新浓缩洗衣粉 2.18kg</v>
          </cell>
          <cell r="L1746" t="str">
            <v>2.18kg*4</v>
          </cell>
          <cell r="M1746" t="str">
            <v>袋</v>
          </cell>
          <cell r="N1746">
            <v>25.9</v>
          </cell>
          <cell r="O1746">
            <v>35</v>
          </cell>
          <cell r="P1746">
            <v>0.252857142857143</v>
          </cell>
        </row>
        <row r="1747">
          <cell r="F1747" t="str">
            <v>70058226</v>
          </cell>
          <cell r="G1747" t="str">
            <v>白猫</v>
          </cell>
          <cell r="H1747" t="str">
            <v>白猫</v>
          </cell>
          <cell r="I1747" t="str">
            <v>清洁用品</v>
          </cell>
          <cell r="J1747" t="str">
            <v>衣物清洁</v>
          </cell>
          <cell r="K1747" t="str">
            <v>白猫新浓缩洗衣粉1.8kg（桶装）</v>
          </cell>
          <cell r="L1747" t="str">
            <v>1.8kg*6</v>
          </cell>
          <cell r="M1747" t="str">
            <v>桶</v>
          </cell>
          <cell r="N1747">
            <v>25.9</v>
          </cell>
          <cell r="O1747">
            <v>36</v>
          </cell>
          <cell r="P1747">
            <v>0.27361111111111103</v>
          </cell>
        </row>
        <row r="1748">
          <cell r="F1748" t="str">
            <v>70504682</v>
          </cell>
          <cell r="G1748" t="str">
            <v>白猫</v>
          </cell>
          <cell r="H1748" t="str">
            <v>白猫</v>
          </cell>
          <cell r="I1748" t="str">
            <v>清洁用品</v>
          </cell>
          <cell r="J1748" t="str">
            <v>家居清洁</v>
          </cell>
          <cell r="K1748" t="str">
            <v>蓝洁灵厕盆自动冲洗剂50g*(3+2)</v>
          </cell>
          <cell r="L1748" t="str">
            <v>50g*(3+2)*18</v>
          </cell>
          <cell r="M1748" t="str">
            <v>个</v>
          </cell>
          <cell r="N1748">
            <v>11.79</v>
          </cell>
          <cell r="O1748">
            <v>18.8</v>
          </cell>
          <cell r="P1748">
            <v>0.36702127659574502</v>
          </cell>
        </row>
        <row r="1749">
          <cell r="F1749" t="str">
            <v>70574294</v>
          </cell>
          <cell r="G1749" t="str">
            <v>白猫</v>
          </cell>
          <cell r="H1749" t="str">
            <v>白猫</v>
          </cell>
          <cell r="I1749" t="str">
            <v>清洁用品</v>
          </cell>
          <cell r="J1749" t="str">
            <v>厨房清洁</v>
          </cell>
          <cell r="K1749" t="str">
            <v>白猫 乳酸抑菌洗洁精 1L</v>
          </cell>
          <cell r="L1749" t="str">
            <v>1L*12</v>
          </cell>
          <cell r="M1749" t="str">
            <v>瓶</v>
          </cell>
          <cell r="N1749">
            <v>12.22</v>
          </cell>
          <cell r="O1749">
            <v>19.899999999999999</v>
          </cell>
          <cell r="P1749">
            <v>0.37989949748743701</v>
          </cell>
        </row>
        <row r="1750">
          <cell r="F1750" t="str">
            <v>70574292</v>
          </cell>
          <cell r="G1750" t="str">
            <v>白猫</v>
          </cell>
          <cell r="H1750" t="str">
            <v>白猫</v>
          </cell>
          <cell r="I1750" t="str">
            <v>清洁用品</v>
          </cell>
          <cell r="J1750" t="str">
            <v>厨房清洁</v>
          </cell>
          <cell r="K1750" t="str">
            <v>白猫 大麦洗碗米露洗洁精 1kg*2</v>
          </cell>
          <cell r="L1750" t="str">
            <v>（1kg*2）*5</v>
          </cell>
          <cell r="M1750" t="str">
            <v>瓶</v>
          </cell>
          <cell r="N1750">
            <v>17.23</v>
          </cell>
          <cell r="O1750">
            <v>27.6</v>
          </cell>
          <cell r="P1750">
            <v>0.36956521739130399</v>
          </cell>
        </row>
        <row r="1751">
          <cell r="F1751" t="str">
            <v>70009703</v>
          </cell>
          <cell r="G1751" t="str">
            <v>白猫</v>
          </cell>
          <cell r="H1751" t="str">
            <v>白猫</v>
          </cell>
          <cell r="I1751" t="str">
            <v>清洁用品</v>
          </cell>
          <cell r="J1751" t="str">
            <v>厨房清洁</v>
          </cell>
          <cell r="K1751" t="str">
            <v>白猫高效去油洗洁精2kg</v>
          </cell>
          <cell r="L1751" t="str">
            <v>2kg*8</v>
          </cell>
          <cell r="M1751" t="str">
            <v>瓶</v>
          </cell>
          <cell r="N1751">
            <v>13.87</v>
          </cell>
          <cell r="O1751">
            <v>19.8</v>
          </cell>
          <cell r="P1751">
            <v>0.29292929292929298</v>
          </cell>
        </row>
        <row r="1752">
          <cell r="F1752" t="str">
            <v>70025851</v>
          </cell>
          <cell r="G1752" t="str">
            <v>白猫</v>
          </cell>
          <cell r="H1752" t="str">
            <v>白猫</v>
          </cell>
          <cell r="I1752" t="str">
            <v>清洁用品</v>
          </cell>
          <cell r="J1752" t="str">
            <v>厨房清洁</v>
          </cell>
          <cell r="K1752" t="str">
            <v>白猫高效去油洗洁精900g</v>
          </cell>
          <cell r="L1752" t="str">
            <v>900g*20</v>
          </cell>
          <cell r="M1752" t="str">
            <v>瓶</v>
          </cell>
          <cell r="N1752">
            <v>5.89</v>
          </cell>
          <cell r="O1752">
            <v>8</v>
          </cell>
          <cell r="P1752">
            <v>0.25624999999999998</v>
          </cell>
        </row>
        <row r="1753">
          <cell r="F1753" t="str">
            <v>70574300</v>
          </cell>
          <cell r="G1753" t="str">
            <v>白猫</v>
          </cell>
          <cell r="H1753" t="str">
            <v>白猫</v>
          </cell>
          <cell r="I1753" t="str">
            <v>清洁用品</v>
          </cell>
          <cell r="J1753" t="str">
            <v>衣物清洁</v>
          </cell>
          <cell r="K1753" t="str">
            <v>白猫 活氧去渍彩漂粉 1kg</v>
          </cell>
          <cell r="L1753" t="str">
            <v>1kg*6</v>
          </cell>
          <cell r="M1753" t="str">
            <v>袋</v>
          </cell>
          <cell r="N1753">
            <v>29.9</v>
          </cell>
          <cell r="O1753">
            <v>55</v>
          </cell>
          <cell r="P1753">
            <v>0.45090909090909098</v>
          </cell>
        </row>
        <row r="1754">
          <cell r="F1754" t="str">
            <v>70145465</v>
          </cell>
          <cell r="G1754" t="str">
            <v>白猫</v>
          </cell>
          <cell r="H1754" t="str">
            <v>白猫</v>
          </cell>
          <cell r="I1754" t="str">
            <v>清洁用品</v>
          </cell>
          <cell r="J1754" t="str">
            <v>厨房清洁</v>
          </cell>
          <cell r="K1754" t="str">
            <v>白猫柠檬红茶洗洁精1.5kg</v>
          </cell>
          <cell r="L1754" t="str">
            <v>1.5kg*10</v>
          </cell>
          <cell r="M1754" t="str">
            <v>瓶</v>
          </cell>
          <cell r="N1754">
            <v>10.3</v>
          </cell>
          <cell r="O1754">
            <v>15.5</v>
          </cell>
          <cell r="P1754">
            <v>0.32903225806451603</v>
          </cell>
        </row>
        <row r="1755">
          <cell r="F1755" t="str">
            <v>70243152</v>
          </cell>
          <cell r="G1755" t="str">
            <v>白猫</v>
          </cell>
          <cell r="H1755" t="str">
            <v>白猫</v>
          </cell>
          <cell r="I1755" t="str">
            <v>清洁用品</v>
          </cell>
          <cell r="J1755" t="str">
            <v>厨房清洁</v>
          </cell>
          <cell r="K1755" t="str">
            <v>白猫柠檬红茶洗洁精2kg（透明瓶-阿萨姆）</v>
          </cell>
          <cell r="L1755" t="str">
            <v>2kg*8</v>
          </cell>
          <cell r="M1755" t="str">
            <v>桶</v>
          </cell>
          <cell r="N1755">
            <v>14.84</v>
          </cell>
          <cell r="O1755">
            <v>18.899999999999999</v>
          </cell>
          <cell r="P1755">
            <v>0.20740740740740701</v>
          </cell>
        </row>
        <row r="1756">
          <cell r="F1756" t="str">
            <v>70268400</v>
          </cell>
          <cell r="G1756" t="str">
            <v>三养</v>
          </cell>
          <cell r="H1756" t="str">
            <v>三养</v>
          </cell>
          <cell r="I1756" t="str">
            <v>速食</v>
          </cell>
          <cell r="J1756" t="str">
            <v>包装方便食品</v>
          </cell>
          <cell r="K1756" t="str">
            <v>三养火鸡面(原味) 辣鸡肉拌面140g*5</v>
          </cell>
          <cell r="L1756" t="str">
            <v>140g*5</v>
          </cell>
          <cell r="M1756" t="str">
            <v>袋</v>
          </cell>
          <cell r="N1756">
            <v>32.520000000000003</v>
          </cell>
          <cell r="O1756">
            <v>39.9</v>
          </cell>
          <cell r="P1756">
            <v>0.17694235588972401</v>
          </cell>
        </row>
        <row r="1757">
          <cell r="F1757" t="str">
            <v>70311356</v>
          </cell>
          <cell r="G1757" t="str">
            <v>三养</v>
          </cell>
          <cell r="H1757" t="str">
            <v>三养</v>
          </cell>
          <cell r="I1757" t="str">
            <v>速食</v>
          </cell>
          <cell r="J1757" t="str">
            <v>包装方便食品</v>
          </cell>
          <cell r="K1757" t="str">
            <v>三养火鸡面(奶油味) 辣鸡肉拌面130g*5</v>
          </cell>
          <cell r="L1757" t="str">
            <v>130g*5</v>
          </cell>
          <cell r="M1757" t="str">
            <v>包</v>
          </cell>
          <cell r="N1757">
            <v>39.81</v>
          </cell>
          <cell r="O1757">
            <v>49.9</v>
          </cell>
          <cell r="P1757">
            <v>0.194188376753507</v>
          </cell>
        </row>
        <row r="1758">
          <cell r="F1758" t="str">
            <v>70394241</v>
          </cell>
          <cell r="G1758" t="str">
            <v>三养</v>
          </cell>
          <cell r="H1758" t="str">
            <v>三养</v>
          </cell>
          <cell r="I1758" t="str">
            <v>速食</v>
          </cell>
          <cell r="J1758" t="str">
            <v>包装方便食品</v>
          </cell>
          <cell r="K1758" t="str">
            <v>三养火鸡面(芝士味) 辣鸡肉拌面140g*5</v>
          </cell>
          <cell r="L1758" t="str">
            <v>140g*5</v>
          </cell>
          <cell r="M1758" t="str">
            <v>袋</v>
          </cell>
          <cell r="N1758">
            <v>38.799999999999997</v>
          </cell>
          <cell r="O1758">
            <v>49.9</v>
          </cell>
          <cell r="P1758">
            <v>0.21462925851703399</v>
          </cell>
        </row>
        <row r="1759">
          <cell r="F1759" t="str">
            <v>70286742</v>
          </cell>
          <cell r="G1759" t="str">
            <v>三养</v>
          </cell>
          <cell r="H1759" t="str">
            <v>三养</v>
          </cell>
          <cell r="I1759" t="str">
            <v>速食</v>
          </cell>
          <cell r="J1759" t="str">
            <v>包装方便食品</v>
          </cell>
          <cell r="K1759" t="str">
            <v>(杯面)三养火鸡面(原味) 辣鸡肉杯面70g</v>
          </cell>
          <cell r="L1759" t="str">
            <v>70g</v>
          </cell>
          <cell r="M1759" t="str">
            <v>个</v>
          </cell>
          <cell r="N1759">
            <v>6.79</v>
          </cell>
          <cell r="O1759">
            <v>9</v>
          </cell>
          <cell r="P1759">
            <v>0.23888888888888901</v>
          </cell>
        </row>
        <row r="1760">
          <cell r="F1760" t="str">
            <v>70468356</v>
          </cell>
          <cell r="G1760" t="str">
            <v>三养</v>
          </cell>
          <cell r="H1760" t="str">
            <v>三养</v>
          </cell>
          <cell r="I1760" t="str">
            <v>速食</v>
          </cell>
          <cell r="J1760" t="str">
            <v>包装方便食品</v>
          </cell>
          <cell r="K1760" t="str">
            <v>(杯面)三养火鸡面(奶油味) 辣鸡肉杯面80g</v>
          </cell>
          <cell r="L1760" t="str">
            <v>80g</v>
          </cell>
          <cell r="M1760" t="str">
            <v>桶</v>
          </cell>
          <cell r="N1760">
            <v>8.3000000000000007</v>
          </cell>
          <cell r="O1760">
            <v>9.9</v>
          </cell>
          <cell r="P1760">
            <v>0.153535353535353</v>
          </cell>
        </row>
        <row r="1761">
          <cell r="F1761" t="str">
            <v>70250522</v>
          </cell>
          <cell r="G1761" t="str">
            <v>三养</v>
          </cell>
          <cell r="H1761" t="str">
            <v>三养</v>
          </cell>
          <cell r="I1761" t="str">
            <v>速食</v>
          </cell>
          <cell r="J1761" t="str">
            <v>包装方便食品</v>
          </cell>
          <cell r="K1761" t="str">
            <v>(碗面)三养火鸡面(原味) 辣鸡肉碗面105g</v>
          </cell>
          <cell r="L1761" t="str">
            <v>105g</v>
          </cell>
          <cell r="M1761" t="str">
            <v>袋</v>
          </cell>
          <cell r="N1761">
            <v>10.32</v>
          </cell>
          <cell r="O1761">
            <v>13.5</v>
          </cell>
          <cell r="P1761">
            <v>0.22814814814814799</v>
          </cell>
        </row>
        <row r="1762">
          <cell r="F1762" t="str">
            <v>70468355</v>
          </cell>
          <cell r="G1762" t="str">
            <v>三养</v>
          </cell>
          <cell r="H1762" t="str">
            <v>三养</v>
          </cell>
          <cell r="I1762" t="str">
            <v>速食</v>
          </cell>
          <cell r="J1762" t="str">
            <v>包装方便食品</v>
          </cell>
          <cell r="K1762" t="str">
            <v>(碗面)三养火鸡面(奶油味) 辣鸡肉碗面105g</v>
          </cell>
          <cell r="L1762" t="str">
            <v>105g</v>
          </cell>
          <cell r="M1762" t="str">
            <v>个</v>
          </cell>
          <cell r="N1762">
            <v>10.93</v>
          </cell>
          <cell r="O1762">
            <v>14</v>
          </cell>
          <cell r="P1762">
            <v>0.21142857142857099</v>
          </cell>
        </row>
        <row r="1763">
          <cell r="F1763" t="str">
            <v>70574354</v>
          </cell>
          <cell r="G1763" t="str">
            <v>阿宽</v>
          </cell>
          <cell r="H1763" t="str">
            <v>阿宽</v>
          </cell>
          <cell r="I1763" t="str">
            <v>速食</v>
          </cell>
          <cell r="J1763" t="str">
            <v>速食粉</v>
          </cell>
          <cell r="K1763" t="str">
            <v>阿宽 地方特色四川绵阳米粉自立袋装 175g</v>
          </cell>
          <cell r="L1763" t="str">
            <v>175g</v>
          </cell>
          <cell r="M1763" t="str">
            <v>桶</v>
          </cell>
          <cell r="N1763">
            <v>9.65</v>
          </cell>
          <cell r="O1763">
            <v>11.9</v>
          </cell>
          <cell r="P1763">
            <v>0.18151260504201699</v>
          </cell>
        </row>
        <row r="1764">
          <cell r="F1764" t="str">
            <v>70008862</v>
          </cell>
          <cell r="G1764" t="str">
            <v>白家陈记</v>
          </cell>
          <cell r="H1764" t="str">
            <v>白家陈记</v>
          </cell>
          <cell r="I1764" t="str">
            <v>速食</v>
          </cell>
          <cell r="J1764" t="str">
            <v>速食粉</v>
          </cell>
          <cell r="K1764" t="str">
            <v>白家陈记 经典系列酸辣粉碗装AK-01 108g</v>
          </cell>
          <cell r="L1764" t="str">
            <v>108g</v>
          </cell>
          <cell r="M1764" t="str">
            <v>桶</v>
          </cell>
          <cell r="N1764">
            <v>6.21</v>
          </cell>
          <cell r="O1764">
            <v>8</v>
          </cell>
          <cell r="P1764">
            <v>0.21625</v>
          </cell>
        </row>
        <row r="1765">
          <cell r="F1765" t="str">
            <v>70540347</v>
          </cell>
          <cell r="G1765" t="str">
            <v>阿宽</v>
          </cell>
          <cell r="H1765" t="str">
            <v>阿宽</v>
          </cell>
          <cell r="I1765" t="str">
            <v>速食</v>
          </cell>
          <cell r="J1765" t="str">
            <v>包装方便食品</v>
          </cell>
          <cell r="K1765" t="str">
            <v>阿宽 土豆泥泥面系列孜然麻辣味碗装 113g</v>
          </cell>
          <cell r="L1765" t="str">
            <v>113g</v>
          </cell>
          <cell r="M1765" t="str">
            <v>桶</v>
          </cell>
          <cell r="N1765">
            <v>9.1199999999999992</v>
          </cell>
          <cell r="O1765">
            <v>12</v>
          </cell>
          <cell r="P1765">
            <v>0.23250000000000001</v>
          </cell>
        </row>
        <row r="1766">
          <cell r="F1766" t="str">
            <v>70393816</v>
          </cell>
          <cell r="G1766" t="str">
            <v>阿宽</v>
          </cell>
          <cell r="H1766" t="str">
            <v>阿宽</v>
          </cell>
          <cell r="I1766" t="str">
            <v>速食</v>
          </cell>
          <cell r="J1766" t="str">
            <v>速食粉</v>
          </cell>
          <cell r="K1766" t="str">
            <v>阿宽 红油面皮A版红油麻辣味碗装 115g</v>
          </cell>
          <cell r="L1766" t="str">
            <v>115g</v>
          </cell>
          <cell r="M1766" t="str">
            <v>桶</v>
          </cell>
          <cell r="N1766">
            <v>6.19</v>
          </cell>
          <cell r="O1766">
            <v>8</v>
          </cell>
          <cell r="P1766">
            <v>0.21875</v>
          </cell>
        </row>
        <row r="1767">
          <cell r="F1767" t="str">
            <v>70315240</v>
          </cell>
          <cell r="G1767" t="str">
            <v>阿宽</v>
          </cell>
          <cell r="H1767" t="str">
            <v>阿宽</v>
          </cell>
          <cell r="I1767" t="str">
            <v>速食</v>
          </cell>
          <cell r="J1767" t="str">
            <v>包装方便食品</v>
          </cell>
          <cell r="K1767" t="str">
            <v>阿宽 红油面皮A版红油酸辣味四连包袋装 440g</v>
          </cell>
          <cell r="L1767" t="str">
            <v>440g</v>
          </cell>
          <cell r="M1767" t="str">
            <v>包</v>
          </cell>
          <cell r="N1767">
            <v>14.26</v>
          </cell>
          <cell r="O1767">
            <v>16.899999999999999</v>
          </cell>
          <cell r="P1767">
            <v>0.14792899408283999</v>
          </cell>
        </row>
        <row r="1768">
          <cell r="F1768" t="str">
            <v>70574351</v>
          </cell>
          <cell r="G1768" t="str">
            <v>阿宽</v>
          </cell>
          <cell r="H1768" t="str">
            <v>阿宽</v>
          </cell>
          <cell r="I1768" t="str">
            <v>速食</v>
          </cell>
          <cell r="J1768" t="str">
            <v>速食粉</v>
          </cell>
          <cell r="K1768" t="str">
            <v>阿宽 红油面皮A版红油麻辣味四连包袋装 460g</v>
          </cell>
          <cell r="L1768" t="str">
            <v>460g</v>
          </cell>
          <cell r="M1768" t="str">
            <v>桶</v>
          </cell>
          <cell r="N1768">
            <v>15.72</v>
          </cell>
          <cell r="O1768">
            <v>19.899999999999999</v>
          </cell>
          <cell r="P1768">
            <v>0.20251256281407001</v>
          </cell>
        </row>
        <row r="1769">
          <cell r="F1769" t="str">
            <v>70227227</v>
          </cell>
          <cell r="G1769" t="str">
            <v>白家陈记</v>
          </cell>
          <cell r="H1769" t="str">
            <v>白家陈记</v>
          </cell>
          <cell r="I1769" t="str">
            <v>速食</v>
          </cell>
          <cell r="J1769" t="str">
            <v>速食粉</v>
          </cell>
          <cell r="K1769" t="str">
            <v>白家陈记 小白君系列酸辣粉五连包装 425g</v>
          </cell>
          <cell r="L1769" t="str">
            <v>425g</v>
          </cell>
          <cell r="M1769" t="str">
            <v>袋</v>
          </cell>
          <cell r="N1769">
            <v>16.89</v>
          </cell>
          <cell r="O1769">
            <v>20</v>
          </cell>
          <cell r="P1769">
            <v>0.14749999999999999</v>
          </cell>
        </row>
        <row r="1770">
          <cell r="F1770" t="str">
            <v>70001673</v>
          </cell>
          <cell r="G1770" t="str">
            <v>白家陈记</v>
          </cell>
          <cell r="H1770" t="str">
            <v>白家陈记</v>
          </cell>
          <cell r="I1770" t="str">
            <v>速食</v>
          </cell>
          <cell r="J1770" t="str">
            <v>速食粉</v>
          </cell>
          <cell r="K1770" t="str">
            <v>白家陈记 经典系列酸辣粉五连包装AK-01 540g</v>
          </cell>
          <cell r="L1770" t="str">
            <v>540g</v>
          </cell>
          <cell r="M1770" t="str">
            <v>袋</v>
          </cell>
          <cell r="N1770">
            <v>19.489999999999998</v>
          </cell>
          <cell r="O1770">
            <v>24.8</v>
          </cell>
          <cell r="P1770">
            <v>0.206048387096774</v>
          </cell>
        </row>
        <row r="1771">
          <cell r="F1771" t="str">
            <v>70018521</v>
          </cell>
          <cell r="G1771" t="str">
            <v>白家陈记</v>
          </cell>
          <cell r="H1771" t="str">
            <v>白家陈记</v>
          </cell>
          <cell r="I1771" t="str">
            <v>速食</v>
          </cell>
          <cell r="J1771" t="str">
            <v>速食粉</v>
          </cell>
          <cell r="K1771" t="str">
            <v>白家陈记 经典系列肥肠味粉碗装AK-01 108g</v>
          </cell>
          <cell r="L1771" t="str">
            <v>108g</v>
          </cell>
          <cell r="M1771" t="str">
            <v>桶</v>
          </cell>
          <cell r="N1771">
            <v>6.33</v>
          </cell>
          <cell r="O1771">
            <v>8</v>
          </cell>
          <cell r="P1771">
            <v>0.2</v>
          </cell>
        </row>
        <row r="1772">
          <cell r="F1772" t="str">
            <v>70560161</v>
          </cell>
          <cell r="G1772" t="str">
            <v>锦里古街</v>
          </cell>
          <cell r="H1772" t="str">
            <v>锦里古街</v>
          </cell>
          <cell r="I1772" t="str">
            <v>速食</v>
          </cell>
          <cell r="J1772" t="str">
            <v>速食粉</v>
          </cell>
          <cell r="K1772" t="str">
            <v>锦里古街 小鲜粉湿粉酸辣粉杯装（升级版） 173g</v>
          </cell>
          <cell r="L1772" t="str">
            <v>173g</v>
          </cell>
          <cell r="M1772" t="str">
            <v>桶</v>
          </cell>
          <cell r="N1772">
            <v>6.72</v>
          </cell>
          <cell r="O1772">
            <v>8.5</v>
          </cell>
          <cell r="P1772">
            <v>0.20235294117647101</v>
          </cell>
        </row>
        <row r="1773">
          <cell r="F1773" t="str">
            <v>70267766</v>
          </cell>
          <cell r="G1773" t="str">
            <v>阿宽</v>
          </cell>
          <cell r="H1773" t="str">
            <v>阿宽</v>
          </cell>
          <cell r="I1773" t="str">
            <v>速食</v>
          </cell>
          <cell r="J1773" t="str">
            <v>包装方便食品</v>
          </cell>
          <cell r="K1773" t="str">
            <v>阿宽地方特色重庆小面麻辣味碗装 115g</v>
          </cell>
          <cell r="L1773" t="str">
            <v>115g</v>
          </cell>
          <cell r="M1773" t="str">
            <v>桶</v>
          </cell>
          <cell r="N1773">
            <v>6.33</v>
          </cell>
          <cell r="O1773">
            <v>8</v>
          </cell>
          <cell r="P1773">
            <v>0.2</v>
          </cell>
        </row>
        <row r="1774">
          <cell r="F1774" t="str">
            <v>70574358</v>
          </cell>
          <cell r="G1774" t="str">
            <v>阿宽</v>
          </cell>
          <cell r="H1774" t="str">
            <v>魔小饱</v>
          </cell>
          <cell r="I1774" t="str">
            <v>速食</v>
          </cell>
          <cell r="J1774" t="str">
            <v>速食粉</v>
          </cell>
          <cell r="K1774" t="str">
            <v>阿宽 魔芋凉皮柠檬酸辣味碗装 194g</v>
          </cell>
          <cell r="L1774" t="str">
            <v>194g</v>
          </cell>
          <cell r="M1774" t="str">
            <v>桶</v>
          </cell>
          <cell r="N1774">
            <v>6.33</v>
          </cell>
          <cell r="O1774">
            <v>8</v>
          </cell>
          <cell r="P1774">
            <v>0.2</v>
          </cell>
        </row>
        <row r="1775">
          <cell r="F1775" t="str">
            <v>70574356</v>
          </cell>
          <cell r="G1775" t="str">
            <v>阿宽</v>
          </cell>
          <cell r="H1775" t="str">
            <v>魔小饱</v>
          </cell>
          <cell r="I1775" t="str">
            <v>速食</v>
          </cell>
          <cell r="J1775" t="str">
            <v>速食粉</v>
          </cell>
          <cell r="K1775" t="str">
            <v>阿宽 魔芋凉面椒香糖醋味碗装 188g</v>
          </cell>
          <cell r="L1775" t="str">
            <v>188g</v>
          </cell>
          <cell r="M1775" t="str">
            <v>桶</v>
          </cell>
          <cell r="N1775">
            <v>6.33</v>
          </cell>
          <cell r="O1775">
            <v>8</v>
          </cell>
          <cell r="P1775">
            <v>0.2</v>
          </cell>
        </row>
        <row r="1776">
          <cell r="F1776" t="str">
            <v>70484299</v>
          </cell>
          <cell r="G1776" t="str">
            <v>南街村</v>
          </cell>
          <cell r="H1776" t="str">
            <v>南街村</v>
          </cell>
          <cell r="I1776" t="str">
            <v>速食</v>
          </cell>
          <cell r="J1776" t="str">
            <v>包装方便食品</v>
          </cell>
          <cell r="K1776" t="str">
            <v>南街村 新飘香拌面牛肉味 300g</v>
          </cell>
          <cell r="L1776" t="str">
            <v>300g</v>
          </cell>
          <cell r="M1776" t="str">
            <v>袋</v>
          </cell>
          <cell r="N1776">
            <v>4.91</v>
          </cell>
          <cell r="O1776">
            <v>6</v>
          </cell>
          <cell r="P1776">
            <v>0.17333333333333301</v>
          </cell>
        </row>
        <row r="1777">
          <cell r="F1777" t="str">
            <v>70484006</v>
          </cell>
          <cell r="G1777" t="str">
            <v>南街村</v>
          </cell>
          <cell r="H1777" t="str">
            <v>南街村</v>
          </cell>
          <cell r="I1777" t="str">
            <v>速食</v>
          </cell>
          <cell r="J1777" t="str">
            <v>包装方便食品</v>
          </cell>
          <cell r="K1777" t="str">
            <v>南街村 新飘香拌面鸡肉味 300g</v>
          </cell>
          <cell r="L1777" t="str">
            <v>300g</v>
          </cell>
          <cell r="M1777" t="str">
            <v>袋</v>
          </cell>
          <cell r="N1777">
            <v>4.91</v>
          </cell>
          <cell r="O1777">
            <v>6</v>
          </cell>
          <cell r="P1777">
            <v>0.17333333333333301</v>
          </cell>
        </row>
        <row r="1778">
          <cell r="F1778" t="str">
            <v>70484009</v>
          </cell>
          <cell r="G1778" t="str">
            <v>南街村</v>
          </cell>
          <cell r="H1778" t="str">
            <v>南街村</v>
          </cell>
          <cell r="I1778" t="str">
            <v>速食</v>
          </cell>
          <cell r="J1778" t="str">
            <v>包装方便食品</v>
          </cell>
          <cell r="K1778" t="str">
            <v>南街村 新飘香拌面排骨味 292g</v>
          </cell>
          <cell r="L1778" t="str">
            <v>292g</v>
          </cell>
          <cell r="M1778" t="str">
            <v>袋</v>
          </cell>
          <cell r="N1778">
            <v>4.91</v>
          </cell>
          <cell r="O1778">
            <v>6</v>
          </cell>
          <cell r="P1778">
            <v>0.17333333333333301</v>
          </cell>
        </row>
        <row r="1779">
          <cell r="F1779" t="str">
            <v>70484013</v>
          </cell>
          <cell r="G1779" t="str">
            <v>南街村</v>
          </cell>
          <cell r="H1779" t="str">
            <v>南街村</v>
          </cell>
          <cell r="I1779" t="str">
            <v>速食</v>
          </cell>
          <cell r="J1779" t="str">
            <v>包装方便食品</v>
          </cell>
          <cell r="K1779" t="str">
            <v>南街村 新飘香拌面香辣味 292g</v>
          </cell>
          <cell r="L1779" t="str">
            <v>292g</v>
          </cell>
          <cell r="M1779" t="str">
            <v>袋</v>
          </cell>
          <cell r="N1779">
            <v>4.91</v>
          </cell>
          <cell r="O1779">
            <v>6</v>
          </cell>
          <cell r="P1779">
            <v>0.17333333333333301</v>
          </cell>
        </row>
        <row r="1780">
          <cell r="F1780" t="str">
            <v>70030446</v>
          </cell>
          <cell r="G1780" t="str">
            <v>南街村</v>
          </cell>
          <cell r="H1780" t="str">
            <v>南街村</v>
          </cell>
          <cell r="I1780" t="str">
            <v>速食</v>
          </cell>
          <cell r="J1780" t="str">
            <v>包装方便食品</v>
          </cell>
          <cell r="K1780" t="str">
            <v>南街村 鲜拌酱爆排骨面 255g</v>
          </cell>
          <cell r="L1780" t="str">
            <v>255g</v>
          </cell>
          <cell r="M1780" t="str">
            <v>袋</v>
          </cell>
          <cell r="N1780">
            <v>4.91</v>
          </cell>
          <cell r="O1780">
            <v>6</v>
          </cell>
          <cell r="P1780">
            <v>0.17333333333333301</v>
          </cell>
        </row>
        <row r="1781">
          <cell r="F1781" t="str">
            <v>70275664</v>
          </cell>
          <cell r="G1781" t="str">
            <v>南街村</v>
          </cell>
          <cell r="H1781" t="str">
            <v>南街村</v>
          </cell>
          <cell r="I1781" t="str">
            <v>速食</v>
          </cell>
          <cell r="J1781" t="str">
            <v>包装方便食品</v>
          </cell>
          <cell r="K1781" t="str">
            <v>南街村 鲜拌面红烧牛肉 255g</v>
          </cell>
          <cell r="L1781" t="str">
            <v>255g</v>
          </cell>
          <cell r="M1781" t="str">
            <v>包</v>
          </cell>
          <cell r="N1781">
            <v>4.91</v>
          </cell>
          <cell r="O1781">
            <v>6</v>
          </cell>
          <cell r="P1781">
            <v>0.17333333333333301</v>
          </cell>
        </row>
        <row r="1782">
          <cell r="F1782" t="str">
            <v>70030443</v>
          </cell>
          <cell r="G1782" t="str">
            <v>南街村</v>
          </cell>
          <cell r="H1782" t="str">
            <v>南街村</v>
          </cell>
          <cell r="I1782" t="str">
            <v>速食</v>
          </cell>
          <cell r="J1782" t="str">
            <v>包装方便食品</v>
          </cell>
          <cell r="K1782" t="str">
            <v>南街村 鲜拌面红油辣子 255g</v>
          </cell>
          <cell r="L1782" t="str">
            <v>255g</v>
          </cell>
          <cell r="M1782" t="str">
            <v>袋</v>
          </cell>
          <cell r="N1782">
            <v>4.91</v>
          </cell>
          <cell r="O1782">
            <v>6</v>
          </cell>
          <cell r="P1782">
            <v>0.17333333333333301</v>
          </cell>
        </row>
        <row r="1783">
          <cell r="F1783" t="str">
            <v>70314540</v>
          </cell>
          <cell r="G1783" t="str">
            <v>南街村</v>
          </cell>
          <cell r="H1783" t="str">
            <v>南街村</v>
          </cell>
          <cell r="I1783" t="str">
            <v>速食</v>
          </cell>
          <cell r="J1783" t="str">
            <v>包装方便食品</v>
          </cell>
          <cell r="K1783" t="str">
            <v>南街村 火鸡面 252g</v>
          </cell>
          <cell r="L1783" t="str">
            <v>252g</v>
          </cell>
          <cell r="M1783" t="str">
            <v>包</v>
          </cell>
          <cell r="N1783">
            <v>4.91</v>
          </cell>
          <cell r="O1783">
            <v>6</v>
          </cell>
          <cell r="P1783">
            <v>0.17333333333333301</v>
          </cell>
        </row>
        <row r="1784">
          <cell r="F1784" t="str">
            <v>70240103</v>
          </cell>
          <cell r="G1784" t="str">
            <v>南街村</v>
          </cell>
          <cell r="H1784" t="str">
            <v>南街村</v>
          </cell>
          <cell r="I1784" t="str">
            <v>速食</v>
          </cell>
          <cell r="J1784" t="str">
            <v>包装方便食品</v>
          </cell>
          <cell r="K1784" t="str">
            <v>南街村 麻酱凉面 248g</v>
          </cell>
          <cell r="L1784" t="str">
            <v>248g</v>
          </cell>
          <cell r="M1784" t="str">
            <v>包</v>
          </cell>
          <cell r="N1784">
            <v>4.3</v>
          </cell>
          <cell r="O1784">
            <v>5.5</v>
          </cell>
          <cell r="P1784">
            <v>0.20909090909090899</v>
          </cell>
        </row>
        <row r="1785">
          <cell r="F1785" t="str">
            <v>70244682</v>
          </cell>
          <cell r="G1785" t="str">
            <v>南街村</v>
          </cell>
          <cell r="H1785" t="str">
            <v>南街村</v>
          </cell>
          <cell r="I1785" t="str">
            <v>速食</v>
          </cell>
          <cell r="J1785" t="str">
            <v>包装方便食品</v>
          </cell>
          <cell r="K1785" t="str">
            <v>南街村 红油凉面 248g</v>
          </cell>
          <cell r="L1785" t="str">
            <v>248g</v>
          </cell>
          <cell r="M1785" t="str">
            <v>包</v>
          </cell>
          <cell r="N1785">
            <v>4.3</v>
          </cell>
          <cell r="O1785">
            <v>5.5</v>
          </cell>
          <cell r="P1785">
            <v>0.20909090909090899</v>
          </cell>
        </row>
        <row r="1786">
          <cell r="F1786" t="str">
            <v>70117149</v>
          </cell>
          <cell r="G1786" t="str">
            <v>南街村</v>
          </cell>
          <cell r="H1786" t="str">
            <v>南街村</v>
          </cell>
          <cell r="I1786" t="str">
            <v>速食</v>
          </cell>
          <cell r="J1786" t="str">
            <v>包装方便食品</v>
          </cell>
          <cell r="K1786" t="str">
            <v>南街村 热干面原味 262g</v>
          </cell>
          <cell r="L1786" t="str">
            <v>262g</v>
          </cell>
          <cell r="M1786" t="str">
            <v>包</v>
          </cell>
          <cell r="N1786">
            <v>4.3</v>
          </cell>
          <cell r="O1786">
            <v>5.5</v>
          </cell>
          <cell r="P1786">
            <v>0.20909090909090899</v>
          </cell>
        </row>
        <row r="1787">
          <cell r="F1787" t="str">
            <v>70116457</v>
          </cell>
          <cell r="G1787" t="str">
            <v>南街村</v>
          </cell>
          <cell r="H1787" t="str">
            <v>南街村</v>
          </cell>
          <cell r="I1787" t="str">
            <v>速食</v>
          </cell>
          <cell r="J1787" t="str">
            <v>包装方便食品</v>
          </cell>
          <cell r="K1787" t="str">
            <v>南街村 热干面牛肉味 262g</v>
          </cell>
          <cell r="L1787" t="str">
            <v>262g</v>
          </cell>
          <cell r="M1787" t="str">
            <v>包</v>
          </cell>
          <cell r="N1787">
            <v>4.3</v>
          </cell>
          <cell r="O1787">
            <v>5.5</v>
          </cell>
          <cell r="P1787">
            <v>0.20909090909090899</v>
          </cell>
        </row>
        <row r="1788">
          <cell r="F1788" t="str">
            <v>70116456</v>
          </cell>
          <cell r="G1788" t="str">
            <v>南街村</v>
          </cell>
          <cell r="H1788" t="str">
            <v>南街村</v>
          </cell>
          <cell r="I1788" t="str">
            <v>速食</v>
          </cell>
          <cell r="J1788" t="str">
            <v>包装方便食品</v>
          </cell>
          <cell r="K1788" t="str">
            <v>南街村 热干面香辣味 262g</v>
          </cell>
          <cell r="L1788" t="str">
            <v>262g</v>
          </cell>
          <cell r="M1788" t="str">
            <v>包</v>
          </cell>
          <cell r="N1788">
            <v>4.3</v>
          </cell>
          <cell r="O1788">
            <v>5.5</v>
          </cell>
          <cell r="P1788">
            <v>0.20909090909090899</v>
          </cell>
        </row>
        <row r="1789">
          <cell r="F1789" t="str">
            <v>70484040</v>
          </cell>
          <cell r="G1789" t="str">
            <v>南街村</v>
          </cell>
          <cell r="H1789" t="str">
            <v>南街村</v>
          </cell>
          <cell r="I1789" t="str">
            <v>速食</v>
          </cell>
          <cell r="J1789" t="str">
            <v>包装方便食品</v>
          </cell>
          <cell r="K1789" t="str">
            <v>南街村 鲜面菜蛋金汤肥牛味 239g</v>
          </cell>
          <cell r="L1789" t="str">
            <v>239g</v>
          </cell>
          <cell r="M1789" t="str">
            <v>袋</v>
          </cell>
          <cell r="N1789">
            <v>5.53</v>
          </cell>
          <cell r="O1789">
            <v>7</v>
          </cell>
          <cell r="P1789">
            <v>0.20142857142857101</v>
          </cell>
        </row>
        <row r="1790">
          <cell r="F1790" t="str">
            <v>70484030</v>
          </cell>
          <cell r="G1790" t="str">
            <v>南街村</v>
          </cell>
          <cell r="H1790" t="str">
            <v>南街村</v>
          </cell>
          <cell r="I1790" t="str">
            <v>速食</v>
          </cell>
          <cell r="J1790" t="str">
            <v>包装方便食品</v>
          </cell>
          <cell r="K1790" t="str">
            <v>南街村 鲜面菜蛋狮子头豚骨味 239g</v>
          </cell>
          <cell r="L1790" t="str">
            <v>239g</v>
          </cell>
          <cell r="M1790" t="str">
            <v>袋</v>
          </cell>
          <cell r="N1790">
            <v>5.53</v>
          </cell>
          <cell r="O1790">
            <v>7</v>
          </cell>
          <cell r="P1790">
            <v>0.20142857142857101</v>
          </cell>
        </row>
        <row r="1791">
          <cell r="F1791" t="str">
            <v>70484025</v>
          </cell>
          <cell r="G1791" t="str">
            <v>南街村</v>
          </cell>
          <cell r="H1791" t="str">
            <v>南街村</v>
          </cell>
          <cell r="I1791" t="str">
            <v>速食</v>
          </cell>
          <cell r="J1791" t="str">
            <v>包装方便食品</v>
          </cell>
          <cell r="K1791" t="str">
            <v>南街村 鲜面菜蛋藤椒牛肉味 239g</v>
          </cell>
          <cell r="L1791" t="str">
            <v>239g</v>
          </cell>
          <cell r="M1791" t="str">
            <v>袋</v>
          </cell>
          <cell r="N1791">
            <v>5.53</v>
          </cell>
          <cell r="O1791">
            <v>7</v>
          </cell>
          <cell r="P1791">
            <v>0.20142857142857101</v>
          </cell>
        </row>
        <row r="1792">
          <cell r="F1792" t="str">
            <v>70484045</v>
          </cell>
          <cell r="G1792" t="str">
            <v>南街村</v>
          </cell>
          <cell r="H1792" t="str">
            <v>南街村</v>
          </cell>
          <cell r="I1792" t="str">
            <v>速食</v>
          </cell>
          <cell r="J1792" t="str">
            <v>包装方便食品</v>
          </cell>
          <cell r="K1792" t="str">
            <v>南街村 鲜面菜蛋香辣牛肉味 239g</v>
          </cell>
          <cell r="L1792" t="str">
            <v>239g</v>
          </cell>
          <cell r="M1792" t="str">
            <v>袋</v>
          </cell>
          <cell r="N1792">
            <v>5.53</v>
          </cell>
          <cell r="O1792">
            <v>7</v>
          </cell>
          <cell r="P1792">
            <v>0.20142857142857101</v>
          </cell>
        </row>
        <row r="1793">
          <cell r="F1793" t="str">
            <v>70484035</v>
          </cell>
          <cell r="G1793" t="str">
            <v>南街村</v>
          </cell>
          <cell r="H1793" t="str">
            <v>南街村</v>
          </cell>
          <cell r="I1793" t="str">
            <v>速食</v>
          </cell>
          <cell r="J1793" t="str">
            <v>包装方便食品</v>
          </cell>
          <cell r="K1793" t="str">
            <v>南街村 鲜面菜蛋香辣羊肉味 239g</v>
          </cell>
          <cell r="L1793" t="str">
            <v>239g</v>
          </cell>
          <cell r="M1793" t="str">
            <v>袋</v>
          </cell>
          <cell r="N1793">
            <v>5.53</v>
          </cell>
          <cell r="O1793">
            <v>7</v>
          </cell>
          <cell r="P1793">
            <v>0.20142857142857101</v>
          </cell>
        </row>
        <row r="1794">
          <cell r="F1794" t="str">
            <v>70484019</v>
          </cell>
          <cell r="G1794" t="str">
            <v>南街村</v>
          </cell>
          <cell r="H1794" t="str">
            <v>南街村</v>
          </cell>
          <cell r="I1794" t="str">
            <v>速食</v>
          </cell>
          <cell r="J1794" t="str">
            <v>包装方便食品</v>
          </cell>
          <cell r="K1794" t="str">
            <v>南街村 鲜面菜蛋招牌番茄牛腩味 239g</v>
          </cell>
          <cell r="L1794" t="str">
            <v>239g</v>
          </cell>
          <cell r="M1794" t="str">
            <v>袋</v>
          </cell>
          <cell r="N1794">
            <v>5.53</v>
          </cell>
          <cell r="O1794">
            <v>7</v>
          </cell>
          <cell r="P1794">
            <v>0.20142857142857101</v>
          </cell>
        </row>
        <row r="1795">
          <cell r="F1795" t="str">
            <v>70483919</v>
          </cell>
          <cell r="G1795" t="str">
            <v>南街村</v>
          </cell>
          <cell r="H1795" t="str">
            <v>南街村</v>
          </cell>
          <cell r="I1795" t="str">
            <v>零食</v>
          </cell>
          <cell r="J1795" t="str">
            <v>膨化食品</v>
          </cell>
          <cell r="K1795" t="str">
            <v>南街村 甜味北京锅巴 36g</v>
          </cell>
          <cell r="L1795" t="str">
            <v>36g</v>
          </cell>
          <cell r="M1795" t="str">
            <v>袋</v>
          </cell>
          <cell r="N1795">
            <v>1.19</v>
          </cell>
          <cell r="O1795">
            <v>2</v>
          </cell>
          <cell r="P1795">
            <v>0.4</v>
          </cell>
        </row>
        <row r="1796">
          <cell r="F1796" t="str">
            <v>70483914</v>
          </cell>
          <cell r="G1796" t="str">
            <v>南街村</v>
          </cell>
          <cell r="H1796" t="str">
            <v>南街村</v>
          </cell>
          <cell r="I1796" t="str">
            <v>零食</v>
          </cell>
          <cell r="J1796" t="str">
            <v>膨化食品</v>
          </cell>
          <cell r="K1796" t="str">
            <v>南街村 麻辣北京锅巴 36g</v>
          </cell>
          <cell r="L1796" t="str">
            <v>36g</v>
          </cell>
          <cell r="M1796" t="str">
            <v>袋</v>
          </cell>
          <cell r="N1796">
            <v>1.19</v>
          </cell>
          <cell r="O1796">
            <v>2</v>
          </cell>
          <cell r="P1796">
            <v>0.4</v>
          </cell>
        </row>
        <row r="1797">
          <cell r="F1797" t="str">
            <v>70483910</v>
          </cell>
          <cell r="G1797" t="str">
            <v>南街村</v>
          </cell>
          <cell r="H1797" t="str">
            <v>南街村</v>
          </cell>
          <cell r="I1797" t="str">
            <v>零食</v>
          </cell>
          <cell r="J1797" t="str">
            <v>膨化食品</v>
          </cell>
          <cell r="K1797" t="str">
            <v>南街村 酱香牛肉味北京锅巴 36g</v>
          </cell>
          <cell r="L1797" t="str">
            <v>36g</v>
          </cell>
          <cell r="M1797" t="str">
            <v>袋</v>
          </cell>
          <cell r="N1797">
            <v>1.19</v>
          </cell>
          <cell r="O1797">
            <v>2</v>
          </cell>
          <cell r="P1797">
            <v>0.4</v>
          </cell>
        </row>
        <row r="1798">
          <cell r="F1798" t="str">
            <v>70368732</v>
          </cell>
          <cell r="G1798" t="str">
            <v>南街村</v>
          </cell>
          <cell r="H1798" t="str">
            <v>南街村</v>
          </cell>
          <cell r="I1798" t="str">
            <v>速食</v>
          </cell>
          <cell r="J1798" t="str">
            <v>包装方便食品</v>
          </cell>
          <cell r="K1798" t="str">
            <v>南街村 北京麻辣方便面70g</v>
          </cell>
          <cell r="L1798" t="str">
            <v>70g</v>
          </cell>
          <cell r="M1798" t="str">
            <v>袋</v>
          </cell>
          <cell r="N1798">
            <v>1.62</v>
          </cell>
          <cell r="O1798">
            <v>2.2000000000000002</v>
          </cell>
          <cell r="P1798">
            <v>0.25909090909090898</v>
          </cell>
        </row>
        <row r="1799">
          <cell r="F1799" t="str">
            <v>70574668</v>
          </cell>
          <cell r="G1799" t="str">
            <v>川南</v>
          </cell>
          <cell r="H1799" t="str">
            <v>川南</v>
          </cell>
          <cell r="I1799" t="str">
            <v>家庭食品</v>
          </cell>
          <cell r="J1799" t="str">
            <v>调料用酱</v>
          </cell>
          <cell r="K1799" t="str">
            <v>川南 油辣子 208g</v>
          </cell>
          <cell r="L1799" t="str">
            <v>208g</v>
          </cell>
          <cell r="M1799" t="str">
            <v>瓶</v>
          </cell>
          <cell r="N1799">
            <v>11.62</v>
          </cell>
          <cell r="O1799">
            <v>14.5</v>
          </cell>
          <cell r="P1799">
            <v>0.191034482758621</v>
          </cell>
        </row>
        <row r="1800">
          <cell r="F1800" t="str">
            <v>70061744</v>
          </cell>
          <cell r="G1800" t="str">
            <v>川南</v>
          </cell>
          <cell r="H1800" t="str">
            <v>川南</v>
          </cell>
          <cell r="I1800" t="str">
            <v>家庭食品</v>
          </cell>
          <cell r="J1800" t="str">
            <v>酱菜</v>
          </cell>
          <cell r="K1800" t="str">
            <v>川南 下饭牛肉酱213g</v>
          </cell>
          <cell r="L1800" t="str">
            <v>213g</v>
          </cell>
          <cell r="M1800" t="str">
            <v>盒</v>
          </cell>
          <cell r="N1800">
            <v>9.65</v>
          </cell>
          <cell r="O1800">
            <v>12</v>
          </cell>
          <cell r="P1800">
            <v>0.18833333333333299</v>
          </cell>
        </row>
        <row r="1801">
          <cell r="F1801" t="str">
            <v>70263283</v>
          </cell>
          <cell r="G1801" t="str">
            <v>川南</v>
          </cell>
          <cell r="H1801" t="str">
            <v>川南</v>
          </cell>
          <cell r="I1801" t="str">
            <v>家庭食品</v>
          </cell>
          <cell r="J1801" t="str">
            <v>酱菜</v>
          </cell>
          <cell r="K1801" t="str">
            <v>川南 牛肉拌饭酱213g</v>
          </cell>
          <cell r="L1801" t="str">
            <v>213g</v>
          </cell>
          <cell r="M1801" t="str">
            <v>瓶</v>
          </cell>
          <cell r="N1801">
            <v>9.65</v>
          </cell>
          <cell r="O1801">
            <v>12</v>
          </cell>
          <cell r="P1801">
            <v>0.18833333333333299</v>
          </cell>
        </row>
        <row r="1802">
          <cell r="F1802" t="str">
            <v>70574669</v>
          </cell>
          <cell r="G1802" t="str">
            <v>川南</v>
          </cell>
          <cell r="H1802" t="str">
            <v>川南</v>
          </cell>
          <cell r="I1802" t="str">
            <v>家庭食品</v>
          </cell>
          <cell r="J1802" t="str">
            <v>酱菜</v>
          </cell>
          <cell r="K1802" t="str">
            <v>川南 黄花下饭菜 271g</v>
          </cell>
          <cell r="L1802" t="str">
            <v>271g</v>
          </cell>
          <cell r="M1802" t="str">
            <v>瓶</v>
          </cell>
          <cell r="N1802">
            <v>11.07</v>
          </cell>
          <cell r="O1802">
            <v>14</v>
          </cell>
          <cell r="P1802">
            <v>0.20142857142857101</v>
          </cell>
        </row>
        <row r="1803">
          <cell r="F1803" t="str">
            <v>70465905</v>
          </cell>
          <cell r="G1803" t="str">
            <v>川南</v>
          </cell>
          <cell r="H1803" t="str">
            <v>川南</v>
          </cell>
          <cell r="I1803" t="str">
            <v>家庭食品</v>
          </cell>
          <cell r="J1803" t="str">
            <v>酱菜</v>
          </cell>
          <cell r="K1803" t="str">
            <v>川南 爽口下饭菜271g</v>
          </cell>
          <cell r="L1803" t="str">
            <v>271g</v>
          </cell>
          <cell r="M1803" t="str">
            <v>瓶</v>
          </cell>
          <cell r="N1803">
            <v>11.07</v>
          </cell>
          <cell r="O1803">
            <v>14</v>
          </cell>
          <cell r="P1803">
            <v>0.20142857142857101</v>
          </cell>
        </row>
        <row r="1804">
          <cell r="F1804" t="str">
            <v>70574670</v>
          </cell>
          <cell r="G1804" t="str">
            <v>川南</v>
          </cell>
          <cell r="H1804" t="str">
            <v>川南</v>
          </cell>
          <cell r="I1804" t="str">
            <v>家庭食品</v>
          </cell>
          <cell r="J1804" t="str">
            <v>酱菜</v>
          </cell>
          <cell r="K1804" t="str">
            <v>川南 学生下饭菜 271g</v>
          </cell>
          <cell r="L1804" t="str">
            <v>271g</v>
          </cell>
          <cell r="M1804" t="str">
            <v>瓶</v>
          </cell>
          <cell r="N1804">
            <v>11.07</v>
          </cell>
          <cell r="O1804">
            <v>14</v>
          </cell>
          <cell r="P1804">
            <v>0.20142857142857101</v>
          </cell>
        </row>
        <row r="1805">
          <cell r="F1805" t="str">
            <v>70307751</v>
          </cell>
          <cell r="G1805" t="str">
            <v>川南</v>
          </cell>
          <cell r="H1805" t="str">
            <v>川南</v>
          </cell>
          <cell r="I1805" t="str">
            <v>家庭食品</v>
          </cell>
          <cell r="J1805" t="str">
            <v>调料用酱</v>
          </cell>
          <cell r="K1805" t="str">
            <v>川南 油辣子 262g</v>
          </cell>
          <cell r="L1805" t="str">
            <v>262g</v>
          </cell>
          <cell r="M1805" t="str">
            <v>瓶</v>
          </cell>
          <cell r="N1805">
            <v>13.43</v>
          </cell>
          <cell r="O1805">
            <v>16.899999999999999</v>
          </cell>
          <cell r="P1805">
            <v>0.197041420118343</v>
          </cell>
        </row>
        <row r="1806">
          <cell r="F1806" t="str">
            <v>70574571</v>
          </cell>
          <cell r="G1806" t="str">
            <v>川南</v>
          </cell>
          <cell r="H1806" t="str">
            <v>川南</v>
          </cell>
          <cell r="I1806" t="str">
            <v>家庭食品</v>
          </cell>
          <cell r="J1806" t="str">
            <v>酱菜</v>
          </cell>
          <cell r="K1806" t="str">
            <v>川南 麻辣海带丝 81g</v>
          </cell>
          <cell r="L1806" t="str">
            <v>81g</v>
          </cell>
          <cell r="M1806" t="str">
            <v>瓶</v>
          </cell>
          <cell r="N1806">
            <v>2.5</v>
          </cell>
          <cell r="O1806">
            <v>3.5</v>
          </cell>
          <cell r="P1806">
            <v>0.27714285714285702</v>
          </cell>
        </row>
        <row r="1807">
          <cell r="F1807" t="str">
            <v>70354828</v>
          </cell>
          <cell r="G1807" t="str">
            <v>川南</v>
          </cell>
          <cell r="H1807" t="str">
            <v>川南</v>
          </cell>
          <cell r="I1807" t="str">
            <v>家庭食品</v>
          </cell>
          <cell r="J1807" t="str">
            <v>酱菜</v>
          </cell>
          <cell r="K1807" t="str">
            <v>川南 麻辣萝卜干 81g</v>
          </cell>
          <cell r="L1807" t="str">
            <v>81g</v>
          </cell>
          <cell r="M1807" t="str">
            <v>袋</v>
          </cell>
          <cell r="N1807">
            <v>2.5</v>
          </cell>
          <cell r="O1807">
            <v>3.5</v>
          </cell>
          <cell r="P1807">
            <v>0.27714285714285702</v>
          </cell>
        </row>
        <row r="1808">
          <cell r="F1808" t="str">
            <v>70574572</v>
          </cell>
          <cell r="G1808" t="str">
            <v>川南</v>
          </cell>
          <cell r="H1808" t="str">
            <v>川南</v>
          </cell>
          <cell r="I1808" t="str">
            <v>家庭食品</v>
          </cell>
          <cell r="J1808" t="str">
            <v>酱菜</v>
          </cell>
          <cell r="K1808" t="str">
            <v>川南 老坛酸菜鱼佐料 300g</v>
          </cell>
          <cell r="L1808" t="str">
            <v>300g</v>
          </cell>
          <cell r="M1808" t="str">
            <v>瓶</v>
          </cell>
          <cell r="N1808">
            <v>7.58</v>
          </cell>
          <cell r="O1808">
            <v>9.9</v>
          </cell>
          <cell r="P1808">
            <v>0.22727272727272699</v>
          </cell>
        </row>
        <row r="1809">
          <cell r="F1809" t="str">
            <v>70574573</v>
          </cell>
          <cell r="G1809" t="str">
            <v>川南</v>
          </cell>
          <cell r="H1809" t="str">
            <v>川南</v>
          </cell>
          <cell r="I1809" t="str">
            <v>家庭食品</v>
          </cell>
          <cell r="J1809" t="str">
            <v>酱菜</v>
          </cell>
          <cell r="K1809" t="str">
            <v>川南 青花椒酸菜鱼佐料 300g</v>
          </cell>
          <cell r="L1809" t="str">
            <v>300g</v>
          </cell>
          <cell r="M1809" t="str">
            <v>瓶</v>
          </cell>
          <cell r="N1809">
            <v>7.58</v>
          </cell>
          <cell r="O1809">
            <v>9.9</v>
          </cell>
          <cell r="P1809">
            <v>0.22727272727272699</v>
          </cell>
        </row>
        <row r="1810">
          <cell r="F1810" t="str">
            <v>70574671</v>
          </cell>
          <cell r="G1810" t="str">
            <v>味聚特</v>
          </cell>
          <cell r="H1810" t="str">
            <v>味聚特</v>
          </cell>
          <cell r="I1810" t="str">
            <v>家庭食品</v>
          </cell>
          <cell r="J1810" t="str">
            <v>酱菜</v>
          </cell>
          <cell r="K1810" t="str">
            <v>味聚特 纯脆鲜脆榨菜 93g</v>
          </cell>
          <cell r="L1810" t="str">
            <v>93g</v>
          </cell>
          <cell r="M1810" t="str">
            <v>袋</v>
          </cell>
          <cell r="N1810">
            <v>2.75</v>
          </cell>
          <cell r="O1810">
            <v>3.5</v>
          </cell>
          <cell r="P1810">
            <v>0.20857142857142899</v>
          </cell>
        </row>
        <row r="1811">
          <cell r="F1811" t="str">
            <v>70574367</v>
          </cell>
          <cell r="G1811" t="str">
            <v>味聚特</v>
          </cell>
          <cell r="H1811" t="str">
            <v>味聚特</v>
          </cell>
          <cell r="I1811" t="str">
            <v>家庭食品</v>
          </cell>
          <cell r="J1811" t="str">
            <v>酱菜</v>
          </cell>
          <cell r="K1811" t="str">
            <v>味聚特 纯脆学生榨菜 93g</v>
          </cell>
          <cell r="L1811" t="str">
            <v>93g</v>
          </cell>
          <cell r="M1811" t="str">
            <v>袋</v>
          </cell>
          <cell r="N1811">
            <v>2.75</v>
          </cell>
          <cell r="O1811">
            <v>3.5</v>
          </cell>
          <cell r="P1811">
            <v>0.20857142857142899</v>
          </cell>
        </row>
        <row r="1812">
          <cell r="F1812" t="str">
            <v>70574370</v>
          </cell>
          <cell r="G1812" t="str">
            <v>味聚特</v>
          </cell>
          <cell r="H1812" t="str">
            <v>味聚特</v>
          </cell>
          <cell r="I1812" t="str">
            <v>家庭食品</v>
          </cell>
          <cell r="J1812" t="str">
            <v>酱菜</v>
          </cell>
          <cell r="K1812" t="str">
            <v>味聚特 纯脆爽口菜芯 93g</v>
          </cell>
          <cell r="L1812" t="str">
            <v>93g</v>
          </cell>
          <cell r="M1812" t="str">
            <v>袋</v>
          </cell>
          <cell r="N1812">
            <v>2.75</v>
          </cell>
          <cell r="O1812">
            <v>3.5</v>
          </cell>
          <cell r="P1812">
            <v>0.20857142857142899</v>
          </cell>
        </row>
        <row r="1813">
          <cell r="F1813" t="str">
            <v>70320734</v>
          </cell>
          <cell r="G1813" t="str">
            <v>味聚特</v>
          </cell>
          <cell r="H1813" t="str">
            <v>味聚特</v>
          </cell>
          <cell r="I1813" t="str">
            <v>家庭食品</v>
          </cell>
          <cell r="J1813" t="str">
            <v>酱菜</v>
          </cell>
          <cell r="K1813" t="str">
            <v>味聚特 纯脆红油豇豆 80g</v>
          </cell>
          <cell r="L1813" t="str">
            <v>80g</v>
          </cell>
          <cell r="M1813" t="str">
            <v>袋</v>
          </cell>
          <cell r="N1813">
            <v>2.75</v>
          </cell>
          <cell r="O1813">
            <v>3.5</v>
          </cell>
          <cell r="P1813">
            <v>0.20857142857142899</v>
          </cell>
        </row>
        <row r="1814">
          <cell r="F1814" t="str">
            <v>70016444</v>
          </cell>
          <cell r="G1814" t="str">
            <v>味聚特</v>
          </cell>
          <cell r="H1814" t="str">
            <v>味聚特</v>
          </cell>
          <cell r="I1814" t="str">
            <v>家庭食品</v>
          </cell>
          <cell r="J1814" t="str">
            <v>酱菜</v>
          </cell>
          <cell r="K1814" t="str">
            <v>味聚特 牛肉酱 280g</v>
          </cell>
          <cell r="L1814" t="str">
            <v>280g</v>
          </cell>
          <cell r="M1814" t="str">
            <v>瓶</v>
          </cell>
          <cell r="N1814">
            <v>15.78</v>
          </cell>
          <cell r="O1814">
            <v>19.899999999999999</v>
          </cell>
          <cell r="P1814">
            <v>0.19949748743718601</v>
          </cell>
        </row>
        <row r="1815">
          <cell r="F1815" t="str">
            <v>70574371</v>
          </cell>
          <cell r="G1815" t="str">
            <v>味聚特</v>
          </cell>
          <cell r="H1815" t="str">
            <v>味聚特</v>
          </cell>
          <cell r="I1815" t="str">
            <v>家庭食品</v>
          </cell>
          <cell r="J1815" t="str">
            <v>酱菜</v>
          </cell>
          <cell r="K1815" t="str">
            <v>味聚特 香菇牛肉酱 280g</v>
          </cell>
          <cell r="L1815" t="str">
            <v>280g</v>
          </cell>
          <cell r="M1815" t="str">
            <v>袋</v>
          </cell>
          <cell r="N1815">
            <v>18.690000000000001</v>
          </cell>
          <cell r="O1815">
            <v>24</v>
          </cell>
          <cell r="P1815">
            <v>0.21375</v>
          </cell>
        </row>
        <row r="1816">
          <cell r="F1816" t="str">
            <v>70198182</v>
          </cell>
          <cell r="G1816" t="str">
            <v>味聚特</v>
          </cell>
          <cell r="H1816" t="str">
            <v>味聚特</v>
          </cell>
          <cell r="I1816" t="str">
            <v>家庭食品</v>
          </cell>
          <cell r="J1816" t="str">
            <v>酱菜</v>
          </cell>
          <cell r="K1816" t="str">
            <v>味聚特 下饭酱 270g</v>
          </cell>
          <cell r="L1816" t="str">
            <v>270g</v>
          </cell>
          <cell r="M1816" t="str">
            <v>瓶</v>
          </cell>
          <cell r="N1816">
            <v>13.08</v>
          </cell>
          <cell r="O1816">
            <v>16.8</v>
          </cell>
          <cell r="P1816">
            <v>0.21369047619047599</v>
          </cell>
        </row>
        <row r="1817">
          <cell r="F1817" t="str">
            <v>70081078</v>
          </cell>
          <cell r="G1817" t="str">
            <v>味聚特</v>
          </cell>
          <cell r="H1817" t="str">
            <v>味聚特</v>
          </cell>
          <cell r="I1817" t="str">
            <v>家庭食品</v>
          </cell>
          <cell r="J1817" t="str">
            <v>酱菜</v>
          </cell>
          <cell r="K1817" t="str">
            <v>味聚特 牛肉酱 208g</v>
          </cell>
          <cell r="L1817" t="str">
            <v>208g</v>
          </cell>
          <cell r="M1817" t="str">
            <v>瓶</v>
          </cell>
          <cell r="N1817">
            <v>13.93</v>
          </cell>
          <cell r="O1817">
            <v>17.899999999999999</v>
          </cell>
          <cell r="P1817">
            <v>0.21396648044692701</v>
          </cell>
        </row>
        <row r="1818">
          <cell r="F1818" t="str">
            <v>70362828</v>
          </cell>
          <cell r="G1818" t="str">
            <v>味聚特</v>
          </cell>
          <cell r="H1818" t="str">
            <v>味聚特</v>
          </cell>
          <cell r="I1818" t="str">
            <v>家庭食品</v>
          </cell>
          <cell r="J1818" t="str">
            <v>酱菜</v>
          </cell>
          <cell r="K1818" t="str">
            <v>味聚特 香菇牛肉酱 210g</v>
          </cell>
          <cell r="L1818" t="str">
            <v>210g</v>
          </cell>
          <cell r="M1818" t="str">
            <v>罐</v>
          </cell>
          <cell r="N1818">
            <v>13.82</v>
          </cell>
          <cell r="O1818">
            <v>17.5</v>
          </cell>
          <cell r="P1818">
            <v>0.20285714285714301</v>
          </cell>
        </row>
        <row r="1819">
          <cell r="F1819" t="str">
            <v>70362827</v>
          </cell>
          <cell r="G1819" t="str">
            <v>味聚特</v>
          </cell>
          <cell r="H1819" t="str">
            <v>味聚特</v>
          </cell>
          <cell r="I1819" t="str">
            <v>家庭食品</v>
          </cell>
          <cell r="J1819" t="str">
            <v>酱菜</v>
          </cell>
          <cell r="K1819" t="str">
            <v>味聚特 香辣牛肉酱 210g</v>
          </cell>
          <cell r="L1819" t="str">
            <v>210g</v>
          </cell>
          <cell r="M1819" t="str">
            <v>罐</v>
          </cell>
          <cell r="N1819">
            <v>13.82</v>
          </cell>
          <cell r="O1819">
            <v>17.899999999999999</v>
          </cell>
          <cell r="P1819">
            <v>0.220670391061453</v>
          </cell>
        </row>
        <row r="1820">
          <cell r="F1820" t="str">
            <v>70553391</v>
          </cell>
          <cell r="G1820" t="str">
            <v>盼盼</v>
          </cell>
          <cell r="H1820" t="str">
            <v>盼盼</v>
          </cell>
          <cell r="I1820" t="str">
            <v>速食</v>
          </cell>
          <cell r="J1820" t="str">
            <v>包装方便食品</v>
          </cell>
          <cell r="K1820" t="str">
            <v>盼盼 冻干面-番茄鸡蛋面 70g</v>
          </cell>
          <cell r="L1820" t="str">
            <v>70克/杯</v>
          </cell>
          <cell r="M1820" t="str">
            <v>桶</v>
          </cell>
          <cell r="N1820">
            <v>5.81</v>
          </cell>
          <cell r="O1820">
            <v>7.8</v>
          </cell>
          <cell r="P1820">
            <v>0.247435897435897</v>
          </cell>
        </row>
        <row r="1821">
          <cell r="F1821" t="str">
            <v>70354724</v>
          </cell>
          <cell r="G1821" t="str">
            <v>劲仔</v>
          </cell>
          <cell r="H1821" t="str">
            <v>劲仔</v>
          </cell>
          <cell r="I1821" t="str">
            <v>零食</v>
          </cell>
          <cell r="J1821" t="str">
            <v>海产类</v>
          </cell>
          <cell r="K1821" t="str">
            <v>劲仔 小鱼综合味96g袋装</v>
          </cell>
          <cell r="L1821" t="str">
            <v>96g</v>
          </cell>
          <cell r="M1821" t="str">
            <v>袋</v>
          </cell>
          <cell r="N1821">
            <v>8.2799999999999994</v>
          </cell>
          <cell r="O1821">
            <v>12.8</v>
          </cell>
          <cell r="P1821">
            <v>0.34687499999999999</v>
          </cell>
        </row>
        <row r="1822">
          <cell r="F1822" t="str">
            <v>70252762</v>
          </cell>
          <cell r="G1822" t="str">
            <v>劲仔</v>
          </cell>
          <cell r="H1822" t="str">
            <v>劲仔</v>
          </cell>
          <cell r="I1822" t="str">
            <v>零食</v>
          </cell>
          <cell r="J1822" t="str">
            <v>豆制品零食</v>
          </cell>
          <cell r="K1822" t="str">
            <v>劲仔 厚豆干香辣味108g袋装</v>
          </cell>
          <cell r="L1822" t="str">
            <v>108g</v>
          </cell>
          <cell r="M1822" t="str">
            <v>袋</v>
          </cell>
          <cell r="N1822">
            <v>4.8</v>
          </cell>
          <cell r="O1822">
            <v>7.5</v>
          </cell>
          <cell r="P1822">
            <v>0.353333333333333</v>
          </cell>
        </row>
        <row r="1823">
          <cell r="F1823" t="str">
            <v>70252763</v>
          </cell>
          <cell r="G1823" t="str">
            <v>劲仔</v>
          </cell>
          <cell r="H1823" t="str">
            <v>劲仔</v>
          </cell>
          <cell r="I1823" t="str">
            <v>零食</v>
          </cell>
          <cell r="J1823" t="str">
            <v>豆制品零食</v>
          </cell>
          <cell r="K1823" t="str">
            <v>劲仔 厚豆干酱香味108g袋装</v>
          </cell>
          <cell r="L1823" t="str">
            <v>108g</v>
          </cell>
          <cell r="M1823" t="str">
            <v>袋</v>
          </cell>
          <cell r="N1823">
            <v>4.8</v>
          </cell>
          <cell r="O1823">
            <v>7.5</v>
          </cell>
          <cell r="P1823">
            <v>0.353333333333333</v>
          </cell>
        </row>
        <row r="1824">
          <cell r="F1824" t="str">
            <v>70574413</v>
          </cell>
          <cell r="G1824" t="str">
            <v>劲仔</v>
          </cell>
          <cell r="H1824" t="str">
            <v>劲仔</v>
          </cell>
          <cell r="I1824" t="str">
            <v>零食</v>
          </cell>
          <cell r="J1824" t="str">
            <v>肉脯</v>
          </cell>
          <cell r="K1824" t="str">
            <v>劲仔 手撕肉干香辣味 10g</v>
          </cell>
          <cell r="L1824" t="str">
            <v>10g</v>
          </cell>
          <cell r="M1824" t="str">
            <v>包</v>
          </cell>
          <cell r="N1824">
            <v>1.94</v>
          </cell>
          <cell r="O1824">
            <v>3</v>
          </cell>
          <cell r="P1824">
            <v>0.34666666666666701</v>
          </cell>
        </row>
        <row r="1825">
          <cell r="F1825" t="str">
            <v>70574417</v>
          </cell>
          <cell r="G1825" t="str">
            <v>劲仔</v>
          </cell>
          <cell r="H1825" t="str">
            <v>劲仔</v>
          </cell>
          <cell r="I1825" t="str">
            <v>零食</v>
          </cell>
          <cell r="J1825" t="str">
            <v>肉脯</v>
          </cell>
          <cell r="K1825" t="str">
            <v>劲仔 手撕肉干酱香味 10g</v>
          </cell>
          <cell r="L1825" t="str">
            <v>10g</v>
          </cell>
          <cell r="M1825" t="str">
            <v>包</v>
          </cell>
          <cell r="N1825">
            <v>1.94</v>
          </cell>
          <cell r="O1825">
            <v>3</v>
          </cell>
          <cell r="P1825">
            <v>0.34666666666666701</v>
          </cell>
        </row>
        <row r="1826">
          <cell r="F1826" t="str">
            <v>70574422</v>
          </cell>
          <cell r="G1826" t="str">
            <v>劲仔</v>
          </cell>
          <cell r="H1826" t="str">
            <v>劲仔</v>
          </cell>
          <cell r="I1826" t="str">
            <v>零食</v>
          </cell>
          <cell r="J1826" t="str">
            <v>肉脯</v>
          </cell>
          <cell r="K1826" t="str">
            <v>劲仔 手撕肉干黑椒味 10g</v>
          </cell>
          <cell r="L1826" t="str">
            <v>10g</v>
          </cell>
          <cell r="M1826" t="str">
            <v>包</v>
          </cell>
          <cell r="N1826">
            <v>1.94</v>
          </cell>
          <cell r="O1826">
            <v>3</v>
          </cell>
          <cell r="P1826">
            <v>0.34666666666666701</v>
          </cell>
        </row>
        <row r="1827">
          <cell r="F1827" t="str">
            <v>70464822</v>
          </cell>
          <cell r="G1827" t="str">
            <v>劲仔</v>
          </cell>
          <cell r="H1827" t="str">
            <v>劲仔</v>
          </cell>
          <cell r="I1827" t="str">
            <v>零食</v>
          </cell>
          <cell r="J1827" t="str">
            <v>海产类</v>
          </cell>
          <cell r="K1827" t="str">
            <v>劲仔 小鱼香辣味144g盒装</v>
          </cell>
          <cell r="L1827" t="str">
            <v>144g</v>
          </cell>
          <cell r="M1827" t="str">
            <v>盒</v>
          </cell>
          <cell r="N1827">
            <v>9.8000000000000007</v>
          </cell>
          <cell r="O1827">
            <v>14.9</v>
          </cell>
          <cell r="P1827">
            <v>0.33624161073825498</v>
          </cell>
        </row>
        <row r="1828">
          <cell r="F1828" t="str">
            <v>70464823</v>
          </cell>
          <cell r="G1828" t="str">
            <v>劲仔</v>
          </cell>
          <cell r="H1828" t="str">
            <v>劲仔</v>
          </cell>
          <cell r="I1828" t="str">
            <v>零食</v>
          </cell>
          <cell r="J1828" t="str">
            <v>海产类</v>
          </cell>
          <cell r="K1828" t="str">
            <v>劲仔 小鱼麻辣味144g盒装</v>
          </cell>
          <cell r="L1828" t="str">
            <v>144g</v>
          </cell>
          <cell r="M1828" t="str">
            <v>盒</v>
          </cell>
          <cell r="N1828">
            <v>9.8000000000000007</v>
          </cell>
          <cell r="O1828">
            <v>14.9</v>
          </cell>
          <cell r="P1828">
            <v>0.33624161073825498</v>
          </cell>
        </row>
        <row r="1829">
          <cell r="F1829" t="str">
            <v>70464830</v>
          </cell>
          <cell r="G1829" t="str">
            <v>劲仔</v>
          </cell>
          <cell r="H1829" t="str">
            <v>劲仔</v>
          </cell>
          <cell r="I1829" t="str">
            <v>零食</v>
          </cell>
          <cell r="J1829" t="str">
            <v>海产类</v>
          </cell>
          <cell r="K1829" t="str">
            <v>劲仔 小鱼酱汁味144g盒装</v>
          </cell>
          <cell r="L1829" t="str">
            <v>144g</v>
          </cell>
          <cell r="M1829" t="str">
            <v>盒</v>
          </cell>
          <cell r="N1829">
            <v>9.8000000000000007</v>
          </cell>
          <cell r="O1829">
            <v>14.9</v>
          </cell>
          <cell r="P1829">
            <v>0.33624161073825498</v>
          </cell>
        </row>
        <row r="1830">
          <cell r="F1830" t="str">
            <v>70464824</v>
          </cell>
          <cell r="G1830" t="str">
            <v>劲仔</v>
          </cell>
          <cell r="H1830" t="str">
            <v>劲仔</v>
          </cell>
          <cell r="I1830" t="str">
            <v>零食</v>
          </cell>
          <cell r="J1830" t="str">
            <v>海产类</v>
          </cell>
          <cell r="K1830" t="str">
            <v>劲仔 小鱼卤香味144g盒装</v>
          </cell>
          <cell r="L1830" t="str">
            <v>144g</v>
          </cell>
          <cell r="M1830" t="str">
            <v>盒</v>
          </cell>
          <cell r="N1830">
            <v>9.8000000000000007</v>
          </cell>
          <cell r="O1830">
            <v>14.9</v>
          </cell>
          <cell r="P1830">
            <v>0.33624161073825498</v>
          </cell>
        </row>
        <row r="1831">
          <cell r="F1831" t="str">
            <v>70464797</v>
          </cell>
          <cell r="G1831" t="str">
            <v>劲仔</v>
          </cell>
          <cell r="H1831" t="str">
            <v>劲仔</v>
          </cell>
          <cell r="I1831" t="str">
            <v>零食</v>
          </cell>
          <cell r="J1831" t="str">
            <v>海产类</v>
          </cell>
          <cell r="K1831" t="str">
            <v>劲仔 小鱼糖醋味144g盒装</v>
          </cell>
          <cell r="L1831" t="str">
            <v>144g</v>
          </cell>
          <cell r="M1831" t="str">
            <v>盒</v>
          </cell>
          <cell r="N1831">
            <v>9.8000000000000007</v>
          </cell>
          <cell r="O1831">
            <v>14.9</v>
          </cell>
          <cell r="P1831">
            <v>0.33624161073825498</v>
          </cell>
        </row>
        <row r="1832">
          <cell r="F1832" t="str">
            <v>70434331</v>
          </cell>
          <cell r="G1832" t="str">
            <v>劲仔</v>
          </cell>
          <cell r="H1832" t="str">
            <v>劲仔</v>
          </cell>
          <cell r="I1832" t="str">
            <v>零食</v>
          </cell>
          <cell r="J1832" t="str">
            <v>海产类</v>
          </cell>
          <cell r="K1832" t="str">
            <v>劲仔 小鱼香辣味60g袋装</v>
          </cell>
          <cell r="L1832" t="str">
            <v>60g</v>
          </cell>
          <cell r="M1832" t="str">
            <v>个</v>
          </cell>
          <cell r="N1832">
            <v>4.8</v>
          </cell>
          <cell r="O1832">
            <v>7.5</v>
          </cell>
          <cell r="P1832">
            <v>0.353333333333333</v>
          </cell>
        </row>
        <row r="1833">
          <cell r="F1833" t="str">
            <v>70434416</v>
          </cell>
          <cell r="G1833" t="str">
            <v>劲仔</v>
          </cell>
          <cell r="H1833" t="str">
            <v>劲仔</v>
          </cell>
          <cell r="I1833" t="str">
            <v>零食</v>
          </cell>
          <cell r="J1833" t="str">
            <v>海产类</v>
          </cell>
          <cell r="K1833" t="str">
            <v>劲仔 小鱼酱汁味60g袋装</v>
          </cell>
          <cell r="L1833" t="str">
            <v>60g</v>
          </cell>
          <cell r="M1833" t="str">
            <v>袋</v>
          </cell>
          <cell r="N1833">
            <v>4.8</v>
          </cell>
          <cell r="O1833">
            <v>7.5</v>
          </cell>
          <cell r="P1833">
            <v>0.353333333333333</v>
          </cell>
        </row>
        <row r="1834">
          <cell r="F1834" t="str">
            <v>70442883</v>
          </cell>
          <cell r="G1834" t="str">
            <v>劲仔</v>
          </cell>
          <cell r="H1834" t="str">
            <v>劲仔</v>
          </cell>
          <cell r="I1834" t="str">
            <v>零食</v>
          </cell>
          <cell r="J1834" t="str">
            <v>海产类</v>
          </cell>
          <cell r="K1834" t="str">
            <v>劲仔 小鱼卤香味60g袋装</v>
          </cell>
          <cell r="L1834" t="str">
            <v>60g</v>
          </cell>
          <cell r="M1834" t="str">
            <v>袋</v>
          </cell>
          <cell r="N1834">
            <v>4.8</v>
          </cell>
          <cell r="O1834">
            <v>7.5</v>
          </cell>
          <cell r="P1834">
            <v>0.353333333333333</v>
          </cell>
        </row>
        <row r="1835">
          <cell r="F1835" t="str">
            <v>70574373</v>
          </cell>
          <cell r="G1835" t="str">
            <v>劲仔</v>
          </cell>
          <cell r="H1835" t="str">
            <v>劲仔</v>
          </cell>
          <cell r="I1835" t="str">
            <v>零食</v>
          </cell>
          <cell r="J1835" t="str">
            <v>豆制品零食</v>
          </cell>
          <cell r="K1835" t="str">
            <v>劲仔 Hi魔芋红油香辣味盒装 180g</v>
          </cell>
          <cell r="L1835" t="str">
            <v>180g</v>
          </cell>
          <cell r="M1835" t="str">
            <v>盒</v>
          </cell>
          <cell r="N1835">
            <v>8.93</v>
          </cell>
          <cell r="O1835">
            <v>13.9</v>
          </cell>
          <cell r="P1835">
            <v>0.351079136690648</v>
          </cell>
        </row>
        <row r="1836">
          <cell r="F1836" t="str">
            <v>70574375</v>
          </cell>
          <cell r="G1836" t="str">
            <v>劲仔</v>
          </cell>
          <cell r="H1836" t="str">
            <v>劲仔</v>
          </cell>
          <cell r="I1836" t="str">
            <v>零食</v>
          </cell>
          <cell r="J1836" t="str">
            <v>豆制品零食</v>
          </cell>
          <cell r="K1836" t="str">
            <v>劲仔 Hi魔芋飘香烧烤味盒装 180g</v>
          </cell>
          <cell r="L1836" t="str">
            <v>180g</v>
          </cell>
          <cell r="M1836" t="str">
            <v>盒</v>
          </cell>
          <cell r="N1836">
            <v>8.93</v>
          </cell>
          <cell r="O1836">
            <v>13.9</v>
          </cell>
          <cell r="P1836">
            <v>0.351079136690648</v>
          </cell>
        </row>
        <row r="1837">
          <cell r="F1837" t="str">
            <v>70493950</v>
          </cell>
          <cell r="G1837" t="str">
            <v>劲仔</v>
          </cell>
          <cell r="H1837" t="str">
            <v>劲仔</v>
          </cell>
          <cell r="I1837" t="str">
            <v>零食</v>
          </cell>
          <cell r="J1837" t="str">
            <v>即食蛋</v>
          </cell>
          <cell r="K1837" t="str">
            <v>劲仔 爆汁鹌鹑蛋卤香味70g袋装</v>
          </cell>
          <cell r="L1837" t="str">
            <v>70g</v>
          </cell>
          <cell r="M1837" t="str">
            <v>包</v>
          </cell>
          <cell r="N1837">
            <v>4.8</v>
          </cell>
          <cell r="O1837">
            <v>7.5</v>
          </cell>
          <cell r="P1837">
            <v>0.353333333333333</v>
          </cell>
        </row>
        <row r="1838">
          <cell r="F1838" t="str">
            <v>70484784</v>
          </cell>
          <cell r="G1838" t="str">
            <v>劲仔</v>
          </cell>
          <cell r="H1838" t="str">
            <v>劲仔</v>
          </cell>
          <cell r="I1838" t="str">
            <v>零食</v>
          </cell>
          <cell r="J1838" t="str">
            <v>即食蛋</v>
          </cell>
          <cell r="K1838" t="str">
            <v>劲仔 爆汁鹌鹑蛋盐焗味70g袋装</v>
          </cell>
          <cell r="L1838" t="str">
            <v>70g</v>
          </cell>
          <cell r="M1838" t="str">
            <v>袋</v>
          </cell>
          <cell r="N1838">
            <v>4.8</v>
          </cell>
          <cell r="O1838">
            <v>7.5</v>
          </cell>
          <cell r="P1838">
            <v>0.353333333333333</v>
          </cell>
        </row>
        <row r="1839">
          <cell r="F1839" t="str">
            <v>70452233</v>
          </cell>
          <cell r="G1839" t="str">
            <v>劲仔</v>
          </cell>
          <cell r="H1839" t="str">
            <v>劲仔</v>
          </cell>
          <cell r="I1839" t="str">
            <v>零食</v>
          </cell>
          <cell r="J1839" t="str">
            <v>即食蛋</v>
          </cell>
          <cell r="K1839" t="str">
            <v>劲仔 爆汁鹌鹑蛋卤香味120g袋装</v>
          </cell>
          <cell r="L1839" t="str">
            <v>120g</v>
          </cell>
          <cell r="M1839" t="str">
            <v>袋</v>
          </cell>
          <cell r="N1839">
            <v>9</v>
          </cell>
          <cell r="O1839">
            <v>13.9</v>
          </cell>
          <cell r="P1839">
            <v>0.34604316546762598</v>
          </cell>
        </row>
        <row r="1840">
          <cell r="F1840" t="str">
            <v>70452234</v>
          </cell>
          <cell r="G1840" t="str">
            <v>劲仔</v>
          </cell>
          <cell r="H1840" t="str">
            <v>劲仔</v>
          </cell>
          <cell r="I1840" t="str">
            <v>零食</v>
          </cell>
          <cell r="J1840" t="str">
            <v>即食蛋</v>
          </cell>
          <cell r="K1840" t="str">
            <v>劲仔 爆汁鹌鹑蛋盐焗味120g袋装</v>
          </cell>
          <cell r="L1840" t="str">
            <v>120g</v>
          </cell>
          <cell r="M1840" t="str">
            <v>袋</v>
          </cell>
          <cell r="N1840">
            <v>9</v>
          </cell>
          <cell r="O1840">
            <v>13.9</v>
          </cell>
          <cell r="P1840">
            <v>0.34604316546762598</v>
          </cell>
        </row>
        <row r="1841">
          <cell r="F1841" t="str">
            <v>70493832</v>
          </cell>
          <cell r="G1841" t="str">
            <v>劲仔</v>
          </cell>
          <cell r="H1841" t="str">
            <v>劲仔</v>
          </cell>
          <cell r="I1841" t="str">
            <v>零食</v>
          </cell>
          <cell r="J1841" t="str">
            <v>海产类</v>
          </cell>
          <cell r="K1841" t="str">
            <v>劲仔 深海小鱼香辣味20g盒装</v>
          </cell>
          <cell r="L1841" t="str">
            <v>20g</v>
          </cell>
          <cell r="M1841" t="str">
            <v>盒</v>
          </cell>
          <cell r="N1841">
            <v>1.94</v>
          </cell>
          <cell r="O1841">
            <v>3</v>
          </cell>
          <cell r="P1841">
            <v>0.34666666666666701</v>
          </cell>
        </row>
        <row r="1842">
          <cell r="F1842" t="str">
            <v>70493836</v>
          </cell>
          <cell r="G1842" t="str">
            <v>劲仔</v>
          </cell>
          <cell r="H1842" t="str">
            <v>劲仔</v>
          </cell>
          <cell r="I1842" t="str">
            <v>零食</v>
          </cell>
          <cell r="J1842" t="str">
            <v>海产类</v>
          </cell>
          <cell r="K1842" t="str">
            <v>劲仔 深海小鱼酱汁味20g盒装</v>
          </cell>
          <cell r="L1842" t="str">
            <v>20g</v>
          </cell>
          <cell r="M1842" t="str">
            <v>盒</v>
          </cell>
          <cell r="N1842">
            <v>1.94</v>
          </cell>
          <cell r="O1842">
            <v>3</v>
          </cell>
          <cell r="P1842">
            <v>0.34666666666666701</v>
          </cell>
        </row>
        <row r="1843">
          <cell r="F1843" t="str">
            <v>70562904</v>
          </cell>
          <cell r="G1843" t="str">
            <v>劲仔</v>
          </cell>
          <cell r="H1843" t="str">
            <v>劲仔</v>
          </cell>
          <cell r="I1843" t="str">
            <v>零食</v>
          </cell>
          <cell r="J1843" t="str">
            <v>海产类</v>
          </cell>
          <cell r="K1843" t="str">
            <v>劲仔 深海小鱼卤香味20g盒装</v>
          </cell>
          <cell r="L1843" t="str">
            <v>20g</v>
          </cell>
          <cell r="M1843" t="str">
            <v>袋</v>
          </cell>
          <cell r="N1843">
            <v>1.94</v>
          </cell>
          <cell r="O1843">
            <v>3</v>
          </cell>
          <cell r="P1843">
            <v>0.34666666666666701</v>
          </cell>
        </row>
        <row r="1844">
          <cell r="F1844" t="str">
            <v>70574672</v>
          </cell>
          <cell r="G1844" t="str">
            <v>劲仔</v>
          </cell>
          <cell r="H1844" t="str">
            <v>劲仔</v>
          </cell>
          <cell r="I1844" t="str">
            <v>零食</v>
          </cell>
          <cell r="J1844" t="str">
            <v>海产类</v>
          </cell>
          <cell r="K1844" t="str">
            <v>劲仔 深海鳀鱼(经典香辣味)袋装 58g</v>
          </cell>
          <cell r="L1844" t="str">
            <v>58g</v>
          </cell>
          <cell r="M1844" t="str">
            <v>包</v>
          </cell>
          <cell r="N1844">
            <v>8.26</v>
          </cell>
          <cell r="O1844">
            <v>12.8</v>
          </cell>
          <cell r="P1844">
            <v>0.34843750000000001</v>
          </cell>
        </row>
        <row r="1845">
          <cell r="F1845" t="str">
            <v>70574673</v>
          </cell>
          <cell r="G1845" t="str">
            <v>劲仔</v>
          </cell>
          <cell r="H1845" t="str">
            <v>劲仔</v>
          </cell>
          <cell r="I1845" t="str">
            <v>零食</v>
          </cell>
          <cell r="J1845" t="str">
            <v>海产类</v>
          </cell>
          <cell r="K1845" t="str">
            <v>劲仔 深海鳀鱼(秘制卤香味)袋装 58g</v>
          </cell>
          <cell r="L1845" t="str">
            <v>58g</v>
          </cell>
          <cell r="M1845" t="str">
            <v>包</v>
          </cell>
          <cell r="N1845">
            <v>8.26</v>
          </cell>
          <cell r="O1845">
            <v>12.8</v>
          </cell>
          <cell r="P1845">
            <v>0.34843750000000001</v>
          </cell>
        </row>
        <row r="1846">
          <cell r="F1846" t="str">
            <v>70574674</v>
          </cell>
          <cell r="G1846" t="str">
            <v>劲仔</v>
          </cell>
          <cell r="H1846" t="str">
            <v>劲仔</v>
          </cell>
          <cell r="I1846" t="str">
            <v>零食</v>
          </cell>
          <cell r="J1846" t="str">
            <v>海产类</v>
          </cell>
          <cell r="K1846" t="str">
            <v>劲仔 深海鳀鱼(香菇鸡汁味)袋装 58g</v>
          </cell>
          <cell r="L1846" t="str">
            <v>58g</v>
          </cell>
          <cell r="M1846" t="str">
            <v>包</v>
          </cell>
          <cell r="N1846">
            <v>8.26</v>
          </cell>
          <cell r="O1846">
            <v>12.8</v>
          </cell>
          <cell r="P1846">
            <v>0.34843750000000001</v>
          </cell>
        </row>
        <row r="1847">
          <cell r="F1847" t="str">
            <v>70574387</v>
          </cell>
          <cell r="G1847" t="str">
            <v>劲仔</v>
          </cell>
          <cell r="H1847" t="str">
            <v>劲仔</v>
          </cell>
          <cell r="I1847" t="str">
            <v>零食</v>
          </cell>
          <cell r="J1847" t="str">
            <v>海产类</v>
          </cell>
          <cell r="K1847" t="str">
            <v>劲仔 深海鳀鱼(番茄牛肉味)袋装 58g</v>
          </cell>
          <cell r="L1847" t="str">
            <v>58g</v>
          </cell>
          <cell r="M1847" t="str">
            <v>包</v>
          </cell>
          <cell r="N1847">
            <v>8.26</v>
          </cell>
          <cell r="O1847">
            <v>12.8</v>
          </cell>
          <cell r="P1847">
            <v>0.34843750000000001</v>
          </cell>
        </row>
        <row r="1848">
          <cell r="F1848" t="str">
            <v>70574425</v>
          </cell>
          <cell r="G1848" t="str">
            <v>劲仔</v>
          </cell>
          <cell r="H1848" t="str">
            <v>劲仔</v>
          </cell>
          <cell r="I1848" t="str">
            <v>零食</v>
          </cell>
          <cell r="J1848" t="str">
            <v>海产类</v>
          </cell>
          <cell r="K1848" t="str">
            <v>劲仔 年年有鱼礼包 543g</v>
          </cell>
          <cell r="L1848" t="str">
            <v>543g</v>
          </cell>
          <cell r="M1848" t="str">
            <v>包</v>
          </cell>
          <cell r="N1848">
            <v>39.39</v>
          </cell>
          <cell r="O1848">
            <v>60</v>
          </cell>
          <cell r="P1848">
            <v>0.33700000000000002</v>
          </cell>
        </row>
        <row r="1849">
          <cell r="F1849" t="str">
            <v>70574675</v>
          </cell>
          <cell r="G1849" t="str">
            <v>劲仔</v>
          </cell>
          <cell r="H1849" t="str">
            <v>劲仔</v>
          </cell>
          <cell r="I1849" t="str">
            <v>零食</v>
          </cell>
          <cell r="J1849" t="str">
            <v>即食蛋</v>
          </cell>
          <cell r="K1849" t="str">
            <v>劲仔 小蛋圆圆爆汁鹌鹑蛋卤香味4粒 32g</v>
          </cell>
          <cell r="L1849" t="str">
            <v>32g</v>
          </cell>
          <cell r="M1849" t="str">
            <v>包</v>
          </cell>
          <cell r="N1849">
            <v>1.94</v>
          </cell>
          <cell r="O1849">
            <v>3</v>
          </cell>
          <cell r="P1849">
            <v>0.34666666666666701</v>
          </cell>
        </row>
        <row r="1850">
          <cell r="F1850" t="str">
            <v>70574676</v>
          </cell>
          <cell r="G1850" t="str">
            <v>劲仔</v>
          </cell>
          <cell r="H1850" t="str">
            <v>劲仔</v>
          </cell>
          <cell r="I1850" t="str">
            <v>零食</v>
          </cell>
          <cell r="J1850" t="str">
            <v>即食蛋</v>
          </cell>
          <cell r="K1850" t="str">
            <v>劲仔 小蛋圆圆爆汁鹌鹑蛋盐焗味4粒 32g</v>
          </cell>
          <cell r="L1850" t="str">
            <v>32g</v>
          </cell>
          <cell r="M1850" t="str">
            <v>包</v>
          </cell>
          <cell r="N1850">
            <v>1.94</v>
          </cell>
          <cell r="O1850">
            <v>3</v>
          </cell>
          <cell r="P1850">
            <v>0.34666666666666701</v>
          </cell>
        </row>
        <row r="1851">
          <cell r="F1851" t="str">
            <v>70574678</v>
          </cell>
          <cell r="G1851" t="str">
            <v>劲仔</v>
          </cell>
          <cell r="H1851" t="str">
            <v>劲仔</v>
          </cell>
          <cell r="I1851" t="str">
            <v>零食</v>
          </cell>
          <cell r="J1851" t="str">
            <v>即食蛋</v>
          </cell>
          <cell r="K1851" t="str">
            <v>劲仔 小蛋圆圆爆汁鹌鹑蛋茶香味4粒 32g</v>
          </cell>
          <cell r="L1851" t="str">
            <v>32g</v>
          </cell>
          <cell r="M1851" t="str">
            <v>包</v>
          </cell>
          <cell r="N1851">
            <v>1.94</v>
          </cell>
          <cell r="O1851">
            <v>3</v>
          </cell>
          <cell r="P1851">
            <v>0.34666666666666701</v>
          </cell>
        </row>
        <row r="1852">
          <cell r="F1852" t="str">
            <v>70325674</v>
          </cell>
          <cell r="G1852" t="str">
            <v>金锣</v>
          </cell>
          <cell r="H1852" t="str">
            <v>金锣</v>
          </cell>
          <cell r="I1852" t="str">
            <v>速食</v>
          </cell>
          <cell r="J1852" t="str">
            <v>肉肠</v>
          </cell>
          <cell r="K1852" t="str">
            <v>金锣鸡肉火腿肠60g</v>
          </cell>
          <cell r="L1852" t="str">
            <v>60g</v>
          </cell>
          <cell r="M1852" t="str">
            <v>个</v>
          </cell>
          <cell r="N1852">
            <v>1.03</v>
          </cell>
          <cell r="O1852">
            <v>1.5</v>
          </cell>
          <cell r="P1852">
            <v>0.30666666666666698</v>
          </cell>
        </row>
        <row r="1853">
          <cell r="F1853" t="str">
            <v>70014198</v>
          </cell>
          <cell r="G1853" t="str">
            <v>金锣</v>
          </cell>
          <cell r="H1853" t="str">
            <v>金锣</v>
          </cell>
          <cell r="I1853" t="str">
            <v>速食</v>
          </cell>
          <cell r="J1853" t="str">
            <v>肉肠</v>
          </cell>
          <cell r="K1853" t="str">
            <v>加钙特香王90g</v>
          </cell>
          <cell r="L1853" t="str">
            <v>90g</v>
          </cell>
          <cell r="M1853" t="str">
            <v>袋</v>
          </cell>
          <cell r="N1853">
            <v>2.12</v>
          </cell>
          <cell r="O1853">
            <v>3</v>
          </cell>
          <cell r="P1853">
            <v>0.28666666666666701</v>
          </cell>
        </row>
        <row r="1854">
          <cell r="F1854" t="str">
            <v>70574679</v>
          </cell>
          <cell r="G1854" t="str">
            <v>金锣</v>
          </cell>
          <cell r="H1854" t="str">
            <v>金锣</v>
          </cell>
          <cell r="I1854" t="str">
            <v>家庭食品</v>
          </cell>
          <cell r="J1854" t="str">
            <v>肉食罐头</v>
          </cell>
          <cell r="K1854" t="str">
            <v>金锣 精品午餐肉罐头 340g</v>
          </cell>
          <cell r="L1854" t="str">
            <v>340g</v>
          </cell>
          <cell r="M1854" t="str">
            <v>盒</v>
          </cell>
          <cell r="N1854">
            <v>9.51</v>
          </cell>
          <cell r="O1854">
            <v>13.9</v>
          </cell>
          <cell r="P1854">
            <v>0.30863309352517998</v>
          </cell>
        </row>
        <row r="1855">
          <cell r="F1855" t="str">
            <v>70240826</v>
          </cell>
          <cell r="G1855" t="str">
            <v>金锣</v>
          </cell>
          <cell r="H1855" t="str">
            <v>金锣</v>
          </cell>
          <cell r="I1855" t="str">
            <v>速食</v>
          </cell>
          <cell r="J1855" t="str">
            <v>肉肠</v>
          </cell>
          <cell r="K1855" t="str">
            <v>金锣 福至家礼 2.605kg</v>
          </cell>
          <cell r="L1855" t="str">
            <v>2.605kg</v>
          </cell>
          <cell r="M1855" t="str">
            <v>盒</v>
          </cell>
          <cell r="N1855">
            <v>89.89</v>
          </cell>
          <cell r="O1855">
            <v>129</v>
          </cell>
          <cell r="P1855">
            <v>0.296279069767442</v>
          </cell>
        </row>
        <row r="1856">
          <cell r="F1856" t="str">
            <v>70009165</v>
          </cell>
          <cell r="G1856" t="str">
            <v>金锣</v>
          </cell>
          <cell r="H1856" t="str">
            <v>金锣</v>
          </cell>
          <cell r="I1856" t="str">
            <v>速食</v>
          </cell>
          <cell r="J1856" t="str">
            <v>肉肠</v>
          </cell>
          <cell r="K1856" t="str">
            <v>金锣王中王60g</v>
          </cell>
          <cell r="L1856" t="str">
            <v>60g</v>
          </cell>
          <cell r="M1856" t="str">
            <v>袋</v>
          </cell>
          <cell r="N1856">
            <v>1.72</v>
          </cell>
          <cell r="O1856">
            <v>2.5</v>
          </cell>
          <cell r="P1856">
            <v>0.308</v>
          </cell>
        </row>
        <row r="1857">
          <cell r="F1857" t="str">
            <v>70318690</v>
          </cell>
          <cell r="G1857" t="str">
            <v>金锣</v>
          </cell>
          <cell r="H1857" t="str">
            <v>金锣</v>
          </cell>
          <cell r="I1857" t="str">
            <v>速食</v>
          </cell>
          <cell r="J1857" t="str">
            <v>肉肠</v>
          </cell>
          <cell r="K1857" t="str">
            <v>盐焗鸡蛋30g</v>
          </cell>
          <cell r="L1857" t="str">
            <v>30g</v>
          </cell>
          <cell r="M1857" t="str">
            <v>个</v>
          </cell>
          <cell r="N1857">
            <v>1.72</v>
          </cell>
          <cell r="O1857">
            <v>2.5</v>
          </cell>
          <cell r="P1857">
            <v>0.308</v>
          </cell>
        </row>
        <row r="1858">
          <cell r="F1858" t="str">
            <v>70386132</v>
          </cell>
          <cell r="G1858" t="str">
            <v>金锣</v>
          </cell>
          <cell r="H1858" t="str">
            <v>金锣</v>
          </cell>
          <cell r="I1858" t="str">
            <v>速食</v>
          </cell>
          <cell r="J1858" t="str">
            <v>肉肠</v>
          </cell>
          <cell r="K1858" t="str">
            <v>金锣脆脆肠（爽脆香辣味）130g</v>
          </cell>
          <cell r="L1858" t="str">
            <v>130g</v>
          </cell>
          <cell r="M1858" t="str">
            <v>个</v>
          </cell>
          <cell r="N1858">
            <v>3.54</v>
          </cell>
          <cell r="O1858">
            <v>5.5</v>
          </cell>
          <cell r="P1858">
            <v>0.350909090909091</v>
          </cell>
        </row>
        <row r="1859">
          <cell r="F1859" t="str">
            <v>70386126</v>
          </cell>
          <cell r="G1859" t="str">
            <v>金锣</v>
          </cell>
          <cell r="H1859" t="str">
            <v>金锣</v>
          </cell>
          <cell r="I1859" t="str">
            <v>速食</v>
          </cell>
          <cell r="J1859" t="str">
            <v>肉肠</v>
          </cell>
          <cell r="K1859" t="str">
            <v>金锣脆脆肠（爽脆原味）130g</v>
          </cell>
          <cell r="L1859" t="str">
            <v>130g</v>
          </cell>
          <cell r="M1859" t="str">
            <v>个</v>
          </cell>
          <cell r="N1859">
            <v>3.54</v>
          </cell>
          <cell r="O1859">
            <v>5.5</v>
          </cell>
          <cell r="P1859">
            <v>0.350909090909091</v>
          </cell>
        </row>
        <row r="1860">
          <cell r="F1860" t="str">
            <v>70022131</v>
          </cell>
          <cell r="G1860" t="str">
            <v>金锣</v>
          </cell>
          <cell r="H1860" t="str">
            <v>金锣</v>
          </cell>
          <cell r="I1860" t="str">
            <v>速食</v>
          </cell>
          <cell r="J1860" t="str">
            <v>肉肠</v>
          </cell>
          <cell r="K1860" t="str">
            <v>金锣清真牛肉风味香肠100g</v>
          </cell>
          <cell r="L1860" t="str">
            <v>100g</v>
          </cell>
          <cell r="M1860" t="str">
            <v>袋</v>
          </cell>
          <cell r="N1860">
            <v>1.77</v>
          </cell>
          <cell r="O1860">
            <v>2.5</v>
          </cell>
          <cell r="P1860">
            <v>0.28399999999999997</v>
          </cell>
        </row>
        <row r="1861">
          <cell r="F1861" t="str">
            <v>70068945</v>
          </cell>
          <cell r="G1861" t="str">
            <v>金锣</v>
          </cell>
          <cell r="H1861" t="str">
            <v>金锣</v>
          </cell>
          <cell r="I1861" t="str">
            <v>速食</v>
          </cell>
          <cell r="J1861" t="str">
            <v>肉肠</v>
          </cell>
          <cell r="K1861" t="str">
            <v>加钙金锣王40g×10支</v>
          </cell>
          <cell r="L1861" t="str">
            <v>40g×10支</v>
          </cell>
          <cell r="M1861" t="str">
            <v>袋</v>
          </cell>
          <cell r="N1861">
            <v>9.39</v>
          </cell>
          <cell r="O1861">
            <v>13.5</v>
          </cell>
          <cell r="P1861">
            <v>0.29703703703703699</v>
          </cell>
        </row>
        <row r="1862">
          <cell r="F1862" t="str">
            <v>70195195</v>
          </cell>
          <cell r="G1862" t="str">
            <v>金锣</v>
          </cell>
          <cell r="H1862" t="str">
            <v>金锣</v>
          </cell>
          <cell r="I1862" t="str">
            <v>速食</v>
          </cell>
          <cell r="J1862" t="str">
            <v>肉肠</v>
          </cell>
          <cell r="K1862" t="str">
            <v>清真鸡肉肠120g</v>
          </cell>
          <cell r="L1862" t="str">
            <v>120g*18</v>
          </cell>
          <cell r="M1862" t="str">
            <v>个</v>
          </cell>
          <cell r="N1862">
            <v>2.0699999999999998</v>
          </cell>
          <cell r="O1862">
            <v>3.5</v>
          </cell>
          <cell r="P1862">
            <v>0.40285714285714302</v>
          </cell>
        </row>
        <row r="1863">
          <cell r="F1863" t="str">
            <v>70574680</v>
          </cell>
          <cell r="G1863" t="str">
            <v>魔烦恼</v>
          </cell>
          <cell r="H1863" t="str">
            <v>魔烦恼</v>
          </cell>
          <cell r="I1863" t="str">
            <v>零食</v>
          </cell>
          <cell r="J1863" t="str">
            <v>豆制品零食</v>
          </cell>
          <cell r="K1863" t="str">
            <v>魔烦恼 弹弹脆香辣素毛肚 18g</v>
          </cell>
          <cell r="L1863" t="str">
            <v>18g</v>
          </cell>
          <cell r="M1863" t="str">
            <v>袋</v>
          </cell>
          <cell r="N1863">
            <v>0.57999999999999996</v>
          </cell>
          <cell r="O1863">
            <v>1</v>
          </cell>
          <cell r="P1863">
            <v>0.42</v>
          </cell>
        </row>
        <row r="1864">
          <cell r="F1864" t="str">
            <v>70574681</v>
          </cell>
          <cell r="G1864" t="str">
            <v>魔烦恼</v>
          </cell>
          <cell r="H1864" t="str">
            <v>魔烦恼</v>
          </cell>
          <cell r="I1864" t="str">
            <v>零食</v>
          </cell>
          <cell r="J1864" t="str">
            <v>豆制品零食</v>
          </cell>
          <cell r="K1864" t="str">
            <v>魔烦恼 弹弹脆火锅麻辣味素毛肚 18g</v>
          </cell>
          <cell r="L1864" t="str">
            <v>18g</v>
          </cell>
          <cell r="M1864" t="str">
            <v>袋</v>
          </cell>
          <cell r="N1864">
            <v>0.57999999999999996</v>
          </cell>
          <cell r="O1864">
            <v>1</v>
          </cell>
          <cell r="P1864">
            <v>0.42</v>
          </cell>
        </row>
        <row r="1865">
          <cell r="F1865" t="str">
            <v>70574682</v>
          </cell>
          <cell r="G1865" t="str">
            <v>魔烦恼</v>
          </cell>
          <cell r="H1865" t="str">
            <v>魔烦恼</v>
          </cell>
          <cell r="I1865" t="str">
            <v>零食</v>
          </cell>
          <cell r="J1865" t="str">
            <v>豆制品零食</v>
          </cell>
          <cell r="K1865" t="str">
            <v>魔烦恼 弹弹脆酸辣味素毛肚 18g</v>
          </cell>
          <cell r="L1865" t="str">
            <v>18g</v>
          </cell>
          <cell r="M1865" t="str">
            <v>袋</v>
          </cell>
          <cell r="N1865">
            <v>0.57999999999999996</v>
          </cell>
          <cell r="O1865">
            <v>1</v>
          </cell>
          <cell r="P1865">
            <v>0.42</v>
          </cell>
        </row>
        <row r="1866">
          <cell r="F1866" t="str">
            <v>70574683</v>
          </cell>
          <cell r="G1866" t="str">
            <v>魔烦恼</v>
          </cell>
          <cell r="H1866" t="str">
            <v>魔烦恼</v>
          </cell>
          <cell r="I1866" t="str">
            <v>零食</v>
          </cell>
          <cell r="J1866" t="str">
            <v>豆制品零食</v>
          </cell>
          <cell r="K1866" t="str">
            <v>魔烦恼 弹弹虾香辣味 18g</v>
          </cell>
          <cell r="L1866" t="str">
            <v>18g</v>
          </cell>
          <cell r="M1866" t="str">
            <v>袋</v>
          </cell>
          <cell r="N1866">
            <v>0.57999999999999996</v>
          </cell>
          <cell r="O1866">
            <v>1</v>
          </cell>
          <cell r="P1866">
            <v>0.42</v>
          </cell>
        </row>
        <row r="1867">
          <cell r="F1867" t="str">
            <v>70574684</v>
          </cell>
          <cell r="G1867" t="str">
            <v>魔烦恼</v>
          </cell>
          <cell r="H1867" t="str">
            <v>魔烦恼</v>
          </cell>
          <cell r="I1867" t="str">
            <v>零食</v>
          </cell>
          <cell r="J1867" t="str">
            <v>豆制品零食</v>
          </cell>
          <cell r="K1867" t="str">
            <v>魔烦恼 弹弹虾烧烤味 18g</v>
          </cell>
          <cell r="L1867" t="str">
            <v>18g</v>
          </cell>
          <cell r="M1867" t="str">
            <v>袋</v>
          </cell>
          <cell r="N1867">
            <v>0.57999999999999996</v>
          </cell>
          <cell r="O1867">
            <v>1</v>
          </cell>
          <cell r="P1867">
            <v>0.42</v>
          </cell>
        </row>
        <row r="1868">
          <cell r="F1868" t="str">
            <v>70574685</v>
          </cell>
          <cell r="G1868" t="str">
            <v>魔烦恼</v>
          </cell>
          <cell r="H1868" t="str">
            <v>魔烦恼</v>
          </cell>
          <cell r="I1868" t="str">
            <v>零食</v>
          </cell>
          <cell r="J1868" t="str">
            <v>豆制品零食</v>
          </cell>
          <cell r="K1868" t="str">
            <v>魔烦恼 魔芋素耳尖 18g</v>
          </cell>
          <cell r="L1868" t="str">
            <v>18g</v>
          </cell>
          <cell r="M1868" t="str">
            <v>袋</v>
          </cell>
          <cell r="N1868">
            <v>0.57999999999999996</v>
          </cell>
          <cell r="O1868">
            <v>1</v>
          </cell>
          <cell r="P1868">
            <v>0.42</v>
          </cell>
        </row>
        <row r="1869">
          <cell r="F1869" t="str">
            <v>70574686</v>
          </cell>
          <cell r="G1869" t="str">
            <v>魔烦恼</v>
          </cell>
          <cell r="H1869" t="str">
            <v>魔烦恼</v>
          </cell>
          <cell r="I1869" t="str">
            <v>零食</v>
          </cell>
          <cell r="J1869" t="str">
            <v>豆制品零食</v>
          </cell>
          <cell r="K1869" t="str">
            <v>魔烦恼 魔芋爆肚丝 18g</v>
          </cell>
          <cell r="L1869" t="str">
            <v>18g</v>
          </cell>
          <cell r="M1869" t="str">
            <v>袋</v>
          </cell>
          <cell r="N1869">
            <v>0.57999999999999996</v>
          </cell>
          <cell r="O1869">
            <v>1</v>
          </cell>
          <cell r="P1869">
            <v>0.42</v>
          </cell>
        </row>
        <row r="1870">
          <cell r="F1870" t="str">
            <v>70574574</v>
          </cell>
          <cell r="G1870" t="str">
            <v>苗干爹</v>
          </cell>
          <cell r="H1870" t="str">
            <v>苗干爹</v>
          </cell>
          <cell r="I1870" t="str">
            <v>零食</v>
          </cell>
          <cell r="J1870" t="str">
            <v>肉脯</v>
          </cell>
          <cell r="K1870" t="str">
            <v>苗干爹 冷吃带皮牛肉 105g</v>
          </cell>
          <cell r="L1870" t="str">
            <v>105g/袋</v>
          </cell>
          <cell r="M1870" t="str">
            <v>袋</v>
          </cell>
          <cell r="N1870">
            <v>227.25</v>
          </cell>
          <cell r="O1870">
            <v>725</v>
          </cell>
          <cell r="P1870">
            <v>0.68344827586206902</v>
          </cell>
        </row>
        <row r="1871">
          <cell r="F1871" t="str">
            <v>70574533</v>
          </cell>
          <cell r="G1871" t="str">
            <v>苗干爹</v>
          </cell>
          <cell r="H1871" t="str">
            <v>苗干爹</v>
          </cell>
          <cell r="I1871" t="str">
            <v>零食</v>
          </cell>
          <cell r="J1871" t="str">
            <v>肉脯</v>
          </cell>
          <cell r="K1871" t="str">
            <v>苗千爹 手撕肉干礼箱装 135g</v>
          </cell>
          <cell r="L1871" t="str">
            <v>135g/袋</v>
          </cell>
          <cell r="M1871" t="str">
            <v>袋</v>
          </cell>
          <cell r="N1871">
            <v>303</v>
          </cell>
          <cell r="O1871">
            <v>1425</v>
          </cell>
          <cell r="P1871">
            <v>0.785263157894737</v>
          </cell>
        </row>
        <row r="1872">
          <cell r="F1872" t="str">
            <v>70574687</v>
          </cell>
          <cell r="G1872" t="str">
            <v>苗干爹</v>
          </cell>
          <cell r="H1872" t="str">
            <v>苗干爹</v>
          </cell>
          <cell r="I1872" t="str">
            <v>零食</v>
          </cell>
          <cell r="J1872" t="str">
            <v>肉脯</v>
          </cell>
          <cell r="K1872" t="str">
            <v>苗干爹 老腊肉礼箱装 130g</v>
          </cell>
          <cell r="L1872" t="str">
            <v>130g/袋</v>
          </cell>
          <cell r="M1872" t="str">
            <v>袋</v>
          </cell>
          <cell r="N1872">
            <v>303</v>
          </cell>
          <cell r="O1872">
            <v>1357</v>
          </cell>
          <cell r="P1872">
            <v>0.77450257921886501</v>
          </cell>
        </row>
        <row r="1873">
          <cell r="F1873" t="str">
            <v>70246272</v>
          </cell>
          <cell r="G1873" t="str">
            <v>无穷</v>
          </cell>
          <cell r="H1873" t="str">
            <v>无穷</v>
          </cell>
          <cell r="I1873" t="str">
            <v>零食</v>
          </cell>
          <cell r="J1873" t="str">
            <v>肉脯</v>
          </cell>
          <cell r="K1873" t="str">
            <v>无穷 烤鸡翅根（蜂蜜味） 60g</v>
          </cell>
          <cell r="L1873" t="str">
            <v>60g</v>
          </cell>
          <cell r="M1873" t="str">
            <v>包</v>
          </cell>
          <cell r="N1873">
            <v>14.34</v>
          </cell>
          <cell r="O1873">
            <v>21</v>
          </cell>
          <cell r="P1873">
            <v>0.31047619047619002</v>
          </cell>
        </row>
        <row r="1874">
          <cell r="F1874" t="str">
            <v>70246273</v>
          </cell>
          <cell r="G1874" t="str">
            <v>无穷</v>
          </cell>
          <cell r="H1874" t="str">
            <v>无穷</v>
          </cell>
          <cell r="I1874" t="str">
            <v>零食</v>
          </cell>
          <cell r="J1874" t="str">
            <v>肉脯</v>
          </cell>
          <cell r="K1874" t="str">
            <v>无穷 烤鸡翅根（香辣味） 60g</v>
          </cell>
          <cell r="L1874" t="str">
            <v>60g</v>
          </cell>
          <cell r="M1874" t="str">
            <v>包</v>
          </cell>
          <cell r="N1874">
            <v>14.34</v>
          </cell>
          <cell r="O1874">
            <v>21</v>
          </cell>
          <cell r="P1874">
            <v>0.31047619047619002</v>
          </cell>
        </row>
        <row r="1875">
          <cell r="F1875" t="str">
            <v>70250349</v>
          </cell>
          <cell r="G1875" t="str">
            <v>无穷</v>
          </cell>
          <cell r="H1875" t="str">
            <v>无穷</v>
          </cell>
          <cell r="I1875" t="str">
            <v>零食</v>
          </cell>
          <cell r="J1875" t="str">
            <v>肉脯</v>
          </cell>
          <cell r="K1875" t="str">
            <v>无穷 烤鸡翅根（蜂蜜味） 20g</v>
          </cell>
          <cell r="L1875" t="str">
            <v>20g</v>
          </cell>
          <cell r="M1875" t="str">
            <v>包</v>
          </cell>
          <cell r="N1875">
            <v>3</v>
          </cell>
          <cell r="O1875">
            <v>3.9</v>
          </cell>
          <cell r="P1875">
            <v>0.22307692307692301</v>
          </cell>
        </row>
        <row r="1876">
          <cell r="F1876" t="str">
            <v>70252048</v>
          </cell>
          <cell r="G1876" t="str">
            <v>无穷</v>
          </cell>
          <cell r="H1876" t="str">
            <v>无穷</v>
          </cell>
          <cell r="I1876" t="str">
            <v>零食</v>
          </cell>
          <cell r="J1876" t="str">
            <v>肉脯</v>
          </cell>
          <cell r="K1876" t="str">
            <v>无穷 盐焗鸡蛋 30g</v>
          </cell>
          <cell r="L1876" t="str">
            <v>30g</v>
          </cell>
          <cell r="M1876" t="str">
            <v>包</v>
          </cell>
          <cell r="N1876">
            <v>1.96</v>
          </cell>
          <cell r="O1876">
            <v>2.5</v>
          </cell>
          <cell r="P1876">
            <v>0.20799999999999999</v>
          </cell>
        </row>
        <row r="1877">
          <cell r="F1877" t="str">
            <v>70513477</v>
          </cell>
          <cell r="G1877" t="str">
            <v>无穷</v>
          </cell>
          <cell r="H1877" t="str">
            <v>无穷</v>
          </cell>
          <cell r="I1877" t="str">
            <v>零食</v>
          </cell>
          <cell r="J1877" t="str">
            <v>肉脯</v>
          </cell>
          <cell r="K1877" t="str">
            <v>无穷 爆香鸡肉粒 20g</v>
          </cell>
          <cell r="L1877" t="str">
            <v>20g</v>
          </cell>
          <cell r="M1877" t="str">
            <v>袋</v>
          </cell>
          <cell r="N1877">
            <v>2.93</v>
          </cell>
          <cell r="O1877">
            <v>3.8</v>
          </cell>
          <cell r="P1877">
            <v>0.221052631578947</v>
          </cell>
        </row>
        <row r="1878">
          <cell r="F1878" t="str">
            <v>70024958</v>
          </cell>
          <cell r="G1878" t="str">
            <v>无穷</v>
          </cell>
          <cell r="H1878" t="str">
            <v>无穷</v>
          </cell>
          <cell r="I1878" t="str">
            <v>零食</v>
          </cell>
          <cell r="J1878" t="str">
            <v>肉脯</v>
          </cell>
          <cell r="K1878" t="str">
            <v>无穷 盐焗鸡腿 80g</v>
          </cell>
          <cell r="L1878" t="str">
            <v>80g</v>
          </cell>
          <cell r="M1878" t="str">
            <v>包</v>
          </cell>
          <cell r="N1878">
            <v>15.35</v>
          </cell>
          <cell r="O1878">
            <v>19.899999999999999</v>
          </cell>
          <cell r="P1878">
            <v>0.221105527638191</v>
          </cell>
        </row>
        <row r="1879">
          <cell r="F1879" t="str">
            <v>70043809</v>
          </cell>
          <cell r="G1879" t="str">
            <v>无穷</v>
          </cell>
          <cell r="H1879" t="str">
            <v>无穷</v>
          </cell>
          <cell r="I1879" t="str">
            <v>零食</v>
          </cell>
          <cell r="J1879" t="str">
            <v>肉脯</v>
          </cell>
          <cell r="K1879" t="str">
            <v>无穷 盐焗鸡翅 60g</v>
          </cell>
          <cell r="L1879" t="str">
            <v>60g</v>
          </cell>
          <cell r="M1879" t="str">
            <v>包</v>
          </cell>
          <cell r="N1879">
            <v>15.5</v>
          </cell>
          <cell r="O1879">
            <v>19.899999999999999</v>
          </cell>
          <cell r="P1879">
            <v>0.21306532663316599</v>
          </cell>
        </row>
        <row r="1880">
          <cell r="F1880" t="str">
            <v>70037281</v>
          </cell>
          <cell r="G1880" t="str">
            <v>无穷</v>
          </cell>
          <cell r="H1880" t="str">
            <v>无穷</v>
          </cell>
          <cell r="I1880" t="str">
            <v>零食</v>
          </cell>
          <cell r="J1880" t="str">
            <v>肉脯</v>
          </cell>
          <cell r="K1880" t="str">
            <v>无穷 爱辣鸡爪 50g</v>
          </cell>
          <cell r="L1880" t="str">
            <v>50g</v>
          </cell>
          <cell r="M1880" t="str">
            <v>包</v>
          </cell>
          <cell r="N1880">
            <v>13.48</v>
          </cell>
          <cell r="O1880">
            <v>16.899999999999999</v>
          </cell>
          <cell r="P1880">
            <v>0.19408284023668601</v>
          </cell>
        </row>
        <row r="1881">
          <cell r="F1881" t="str">
            <v>70464474</v>
          </cell>
          <cell r="G1881" t="str">
            <v>永健</v>
          </cell>
          <cell r="H1881" t="str">
            <v>永健</v>
          </cell>
          <cell r="I1881" t="str">
            <v>零食</v>
          </cell>
          <cell r="J1881" t="str">
            <v>肉脯</v>
          </cell>
          <cell r="K1881" t="str">
            <v>永健脱骨凤爪（酸辣柠檬味）68g</v>
          </cell>
          <cell r="L1881" t="str">
            <v>68g</v>
          </cell>
          <cell r="M1881" t="str">
            <v>袋</v>
          </cell>
          <cell r="N1881">
            <v>11.04</v>
          </cell>
          <cell r="O1881">
            <v>14.5</v>
          </cell>
          <cell r="P1881">
            <v>0.23103448275862101</v>
          </cell>
        </row>
        <row r="1882">
          <cell r="F1882" t="str">
            <v>70041635</v>
          </cell>
          <cell r="G1882" t="str">
            <v>永健</v>
          </cell>
          <cell r="H1882" t="str">
            <v>永健</v>
          </cell>
          <cell r="I1882" t="str">
            <v>零食</v>
          </cell>
          <cell r="J1882" t="str">
            <v>肉脯</v>
          </cell>
          <cell r="K1882" t="str">
            <v>永健泡椒凤爪（山椒经典）135g</v>
          </cell>
          <cell r="L1882" t="str">
            <v>135g</v>
          </cell>
          <cell r="M1882" t="str">
            <v>袋</v>
          </cell>
          <cell r="N1882">
            <v>9.0500000000000007</v>
          </cell>
          <cell r="O1882">
            <v>12.5</v>
          </cell>
          <cell r="P1882">
            <v>0.26879999999999998</v>
          </cell>
        </row>
        <row r="1883">
          <cell r="F1883" t="str">
            <v>70413509</v>
          </cell>
          <cell r="G1883" t="str">
            <v>永健</v>
          </cell>
          <cell r="H1883" t="str">
            <v>永健</v>
          </cell>
          <cell r="I1883" t="str">
            <v>零食</v>
          </cell>
          <cell r="J1883" t="str">
            <v>牛肉</v>
          </cell>
          <cell r="K1883" t="str">
            <v>永健牛蹄筋（烧烤味）102g</v>
          </cell>
          <cell r="L1883" t="str">
            <v>102g</v>
          </cell>
          <cell r="M1883" t="str">
            <v>包</v>
          </cell>
          <cell r="N1883">
            <v>11.09</v>
          </cell>
          <cell r="O1883">
            <v>14.5</v>
          </cell>
          <cell r="P1883">
            <v>0.22758620689655201</v>
          </cell>
        </row>
        <row r="1884">
          <cell r="F1884" t="str">
            <v>70398170</v>
          </cell>
          <cell r="G1884" t="str">
            <v>永健</v>
          </cell>
          <cell r="H1884" t="str">
            <v>永健</v>
          </cell>
          <cell r="I1884" t="str">
            <v>零食</v>
          </cell>
          <cell r="J1884" t="str">
            <v>牛肉</v>
          </cell>
          <cell r="K1884" t="str">
            <v>永健牛蹄筋（麻辣味）102g</v>
          </cell>
          <cell r="L1884" t="str">
            <v>102g</v>
          </cell>
          <cell r="M1884" t="str">
            <v>袋</v>
          </cell>
          <cell r="N1884">
            <v>10.99</v>
          </cell>
          <cell r="O1884">
            <v>14.5</v>
          </cell>
          <cell r="P1884">
            <v>0.23448275862069001</v>
          </cell>
        </row>
        <row r="1885">
          <cell r="F1885" t="str">
            <v>70041633</v>
          </cell>
          <cell r="G1885" t="str">
            <v>永健</v>
          </cell>
          <cell r="H1885" t="str">
            <v>永健</v>
          </cell>
          <cell r="I1885" t="str">
            <v>零食</v>
          </cell>
          <cell r="J1885" t="str">
            <v>酱菜</v>
          </cell>
          <cell r="K1885" t="str">
            <v>永健泡椒鲜笋（山椒经典）120g</v>
          </cell>
          <cell r="L1885" t="str">
            <v>120g</v>
          </cell>
          <cell r="M1885" t="str">
            <v>袋</v>
          </cell>
          <cell r="N1885">
            <v>3.93</v>
          </cell>
          <cell r="O1885">
            <v>5.5</v>
          </cell>
          <cell r="P1885">
            <v>0.27818181818181797</v>
          </cell>
        </row>
        <row r="1886">
          <cell r="F1886" t="str">
            <v>70067274</v>
          </cell>
          <cell r="G1886" t="str">
            <v>永健</v>
          </cell>
          <cell r="H1886" t="str">
            <v>永健</v>
          </cell>
          <cell r="I1886" t="str">
            <v>零食</v>
          </cell>
          <cell r="J1886" t="str">
            <v>酱菜</v>
          </cell>
          <cell r="K1886" t="str">
            <v>永健泡椒花生（山椒经典）80g</v>
          </cell>
          <cell r="L1886" t="str">
            <v>80g</v>
          </cell>
          <cell r="M1886" t="str">
            <v>袋</v>
          </cell>
          <cell r="N1886">
            <v>3.02</v>
          </cell>
          <cell r="O1886">
            <v>4.5</v>
          </cell>
          <cell r="P1886">
            <v>0.32222222222222202</v>
          </cell>
        </row>
        <row r="1887">
          <cell r="F1887" t="str">
            <v>70004647</v>
          </cell>
          <cell r="G1887" t="str">
            <v>溜溜梅</v>
          </cell>
          <cell r="H1887" t="str">
            <v>溜溜梅</v>
          </cell>
          <cell r="I1887" t="str">
            <v>零食</v>
          </cell>
          <cell r="J1887" t="str">
            <v>蜜饯</v>
          </cell>
          <cell r="K1887" t="str">
            <v>溜溜梅 分享装-雪梅 150g</v>
          </cell>
          <cell r="L1887" t="str">
            <v>150g</v>
          </cell>
          <cell r="M1887" t="str">
            <v>袋</v>
          </cell>
          <cell r="N1887">
            <v>10.050000000000001</v>
          </cell>
          <cell r="O1887">
            <v>15.5</v>
          </cell>
          <cell r="P1887">
            <v>0.34516129032258103</v>
          </cell>
        </row>
        <row r="1888">
          <cell r="F1888" t="str">
            <v>70051464</v>
          </cell>
          <cell r="G1888" t="str">
            <v>溜溜梅</v>
          </cell>
          <cell r="H1888" t="str">
            <v>溜溜梅</v>
          </cell>
          <cell r="I1888" t="str">
            <v>零食</v>
          </cell>
          <cell r="J1888" t="str">
            <v>蜜饯</v>
          </cell>
          <cell r="K1888" t="str">
            <v>溜溜梅 分享装-清梅 150g</v>
          </cell>
          <cell r="L1888" t="str">
            <v>150g</v>
          </cell>
          <cell r="M1888" t="str">
            <v>袋</v>
          </cell>
          <cell r="N1888">
            <v>10.050000000000001</v>
          </cell>
          <cell r="O1888">
            <v>15.5</v>
          </cell>
          <cell r="P1888">
            <v>0.34516129032258103</v>
          </cell>
        </row>
        <row r="1889">
          <cell r="F1889" t="str">
            <v>70261668</v>
          </cell>
          <cell r="G1889" t="str">
            <v>溜溜梅</v>
          </cell>
          <cell r="H1889" t="str">
            <v>溜溜梅</v>
          </cell>
          <cell r="I1889" t="str">
            <v>零食</v>
          </cell>
          <cell r="J1889" t="str">
            <v>蜜饯</v>
          </cell>
          <cell r="K1889" t="str">
            <v>溜溜梅 分享装-西梅 150g</v>
          </cell>
          <cell r="L1889" t="str">
            <v>150g</v>
          </cell>
          <cell r="M1889" t="str">
            <v>袋</v>
          </cell>
          <cell r="N1889">
            <v>10.050000000000001</v>
          </cell>
          <cell r="O1889">
            <v>15.5</v>
          </cell>
          <cell r="P1889">
            <v>0.34516129032258103</v>
          </cell>
        </row>
        <row r="1890">
          <cell r="F1890" t="str">
            <v>70034312</v>
          </cell>
          <cell r="G1890" t="str">
            <v>溜溜梅</v>
          </cell>
          <cell r="H1890" t="str">
            <v>溜溜梅</v>
          </cell>
          <cell r="I1890" t="str">
            <v>零食</v>
          </cell>
          <cell r="J1890" t="str">
            <v>蜜饯</v>
          </cell>
          <cell r="K1890" t="str">
            <v>溜溜梅 分享装-绿茶梅160g</v>
          </cell>
          <cell r="L1890" t="str">
            <v>160g</v>
          </cell>
          <cell r="M1890" t="str">
            <v>包</v>
          </cell>
          <cell r="N1890">
            <v>10.050000000000001</v>
          </cell>
          <cell r="O1890">
            <v>15.5</v>
          </cell>
          <cell r="P1890">
            <v>0.34516129032258103</v>
          </cell>
        </row>
        <row r="1891">
          <cell r="F1891" t="str">
            <v>70376641</v>
          </cell>
          <cell r="G1891" t="str">
            <v>溜溜梅</v>
          </cell>
          <cell r="H1891" t="str">
            <v>溜溜梅</v>
          </cell>
          <cell r="I1891" t="str">
            <v>零食</v>
          </cell>
          <cell r="J1891" t="str">
            <v>蜜饯</v>
          </cell>
          <cell r="K1891" t="str">
            <v>溜溜梅 六味青梅全家桶400g+赠80g</v>
          </cell>
          <cell r="L1891" t="str">
            <v>400g+80g</v>
          </cell>
          <cell r="M1891" t="str">
            <v>桶</v>
          </cell>
          <cell r="N1891">
            <v>28.28</v>
          </cell>
          <cell r="O1891">
            <v>43.5</v>
          </cell>
          <cell r="P1891">
            <v>0.343448275862069</v>
          </cell>
        </row>
        <row r="1892">
          <cell r="F1892" t="str">
            <v>70377276</v>
          </cell>
          <cell r="G1892" t="str">
            <v>溜溜梅</v>
          </cell>
          <cell r="H1892" t="str">
            <v>溜溜梅</v>
          </cell>
          <cell r="I1892" t="str">
            <v>零食</v>
          </cell>
          <cell r="J1892" t="str">
            <v>蜜饯</v>
          </cell>
          <cell r="K1892" t="str">
            <v>溜溜梅 天然青梅+芒果梅冻120g</v>
          </cell>
          <cell r="L1892" t="str">
            <v>120g</v>
          </cell>
          <cell r="M1892" t="str">
            <v>袋</v>
          </cell>
          <cell r="N1892">
            <v>6.25</v>
          </cell>
          <cell r="O1892">
            <v>9.6</v>
          </cell>
          <cell r="P1892">
            <v>0.342708333333333</v>
          </cell>
        </row>
        <row r="1893">
          <cell r="F1893" t="str">
            <v>70496421</v>
          </cell>
          <cell r="G1893" t="str">
            <v>溜溜梅</v>
          </cell>
          <cell r="H1893" t="str">
            <v>溜溜梅</v>
          </cell>
          <cell r="I1893" t="str">
            <v>零食</v>
          </cell>
          <cell r="J1893" t="str">
            <v>蜜饯</v>
          </cell>
          <cell r="K1893" t="str">
            <v>溜溜梅 梅冻6味分享装400g</v>
          </cell>
          <cell r="L1893" t="str">
            <v>400g</v>
          </cell>
          <cell r="M1893" t="str">
            <v>袋</v>
          </cell>
          <cell r="N1893">
            <v>17.12</v>
          </cell>
          <cell r="O1893">
            <v>26</v>
          </cell>
          <cell r="P1893">
            <v>0.33500000000000002</v>
          </cell>
        </row>
        <row r="1894">
          <cell r="F1894" t="str">
            <v>70574431</v>
          </cell>
          <cell r="G1894" t="str">
            <v>溜溜梅</v>
          </cell>
          <cell r="H1894" t="str">
            <v>溜溜梅</v>
          </cell>
          <cell r="I1894" t="str">
            <v>零食</v>
          </cell>
          <cell r="J1894" t="str">
            <v>蜜饯</v>
          </cell>
          <cell r="K1894" t="str">
            <v>溜溜梅 精选装劲爽雪梅 80g</v>
          </cell>
          <cell r="L1894" t="str">
            <v>80g</v>
          </cell>
          <cell r="M1894" t="str">
            <v>袋</v>
          </cell>
          <cell r="N1894">
            <v>6.84</v>
          </cell>
          <cell r="O1894">
            <v>10.5</v>
          </cell>
          <cell r="P1894">
            <v>0.34190476190476199</v>
          </cell>
        </row>
        <row r="1895">
          <cell r="F1895" t="str">
            <v>70034307</v>
          </cell>
          <cell r="G1895" t="str">
            <v>溜溜梅</v>
          </cell>
          <cell r="H1895" t="str">
            <v>溜溜梅</v>
          </cell>
          <cell r="I1895" t="str">
            <v>零食</v>
          </cell>
          <cell r="J1895" t="str">
            <v>蜜饯</v>
          </cell>
          <cell r="K1895" t="str">
            <v>溜溜梅 分享装-真乌梅160g</v>
          </cell>
          <cell r="L1895" t="str">
            <v>160g</v>
          </cell>
          <cell r="M1895" t="str">
            <v>包</v>
          </cell>
          <cell r="N1895">
            <v>9.6199999999999992</v>
          </cell>
          <cell r="O1895">
            <v>15</v>
          </cell>
          <cell r="P1895">
            <v>0.35266666666666702</v>
          </cell>
        </row>
        <row r="1896">
          <cell r="F1896" t="str">
            <v>70534824</v>
          </cell>
          <cell r="G1896" t="str">
            <v>溜溜梅</v>
          </cell>
          <cell r="H1896" t="str">
            <v>溜溜梅</v>
          </cell>
          <cell r="I1896" t="str">
            <v>零食</v>
          </cell>
          <cell r="J1896" t="str">
            <v>蜜饯</v>
          </cell>
          <cell r="K1896" t="str">
            <v>溜溜梅 咔哩梅茉莉龙井味 136g</v>
          </cell>
          <cell r="L1896" t="str">
            <v>136g</v>
          </cell>
          <cell r="M1896" t="str">
            <v>袋</v>
          </cell>
          <cell r="N1896">
            <v>8.7799999999999994</v>
          </cell>
          <cell r="O1896">
            <v>13.5</v>
          </cell>
          <cell r="P1896">
            <v>0.34370370370370401</v>
          </cell>
        </row>
        <row r="1897">
          <cell r="F1897" t="str">
            <v>70377263</v>
          </cell>
          <cell r="G1897" t="str">
            <v>溜溜梅</v>
          </cell>
          <cell r="H1897" t="str">
            <v>溜溜梅</v>
          </cell>
          <cell r="I1897" t="str">
            <v>零食</v>
          </cell>
          <cell r="J1897" t="str">
            <v>果冻</v>
          </cell>
          <cell r="K1897" t="str">
            <v>溜溜梅 天然青梅梅冻120g</v>
          </cell>
          <cell r="L1897" t="str">
            <v>120g</v>
          </cell>
          <cell r="M1897" t="str">
            <v>袋</v>
          </cell>
          <cell r="N1897">
            <v>5.29</v>
          </cell>
          <cell r="O1897">
            <v>8</v>
          </cell>
          <cell r="P1897">
            <v>0.33250000000000002</v>
          </cell>
        </row>
        <row r="1898">
          <cell r="F1898" t="str">
            <v>70377268</v>
          </cell>
          <cell r="G1898" t="str">
            <v>溜溜梅</v>
          </cell>
          <cell r="H1898" t="str">
            <v>溜溜梅</v>
          </cell>
          <cell r="I1898" t="str">
            <v>零食</v>
          </cell>
          <cell r="J1898" t="str">
            <v>果冻</v>
          </cell>
          <cell r="K1898" t="str">
            <v>溜溜梅 天然青梅+百香果梅冻120g</v>
          </cell>
          <cell r="L1898" t="str">
            <v>120g</v>
          </cell>
          <cell r="M1898" t="str">
            <v>袋</v>
          </cell>
          <cell r="N1898">
            <v>6.25</v>
          </cell>
          <cell r="O1898">
            <v>9.6</v>
          </cell>
          <cell r="P1898">
            <v>0.342708333333333</v>
          </cell>
        </row>
        <row r="1899">
          <cell r="F1899" t="str">
            <v>70468775</v>
          </cell>
          <cell r="G1899" t="str">
            <v>溜溜梅</v>
          </cell>
          <cell r="H1899" t="str">
            <v>溜溜梅</v>
          </cell>
          <cell r="I1899" t="str">
            <v>零食</v>
          </cell>
          <cell r="J1899" t="str">
            <v>果冻</v>
          </cell>
          <cell r="K1899" t="str">
            <v>溜溜梅 天然青梅+葡萄梅冻120g</v>
          </cell>
          <cell r="L1899" t="str">
            <v>120g</v>
          </cell>
          <cell r="M1899" t="str">
            <v>袋</v>
          </cell>
          <cell r="N1899">
            <v>6.25</v>
          </cell>
          <cell r="O1899">
            <v>9.6</v>
          </cell>
          <cell r="P1899">
            <v>0.342708333333333</v>
          </cell>
        </row>
        <row r="1900">
          <cell r="F1900" t="str">
            <v>70026402</v>
          </cell>
          <cell r="G1900" t="str">
            <v>溜溜梅</v>
          </cell>
          <cell r="H1900" t="str">
            <v>溜溜梅</v>
          </cell>
          <cell r="I1900" t="str">
            <v>零食</v>
          </cell>
          <cell r="J1900" t="str">
            <v>蜜饯</v>
          </cell>
          <cell r="K1900" t="str">
            <v>溜溜梅 休闲装-雪梅60g</v>
          </cell>
          <cell r="L1900" t="str">
            <v>60g</v>
          </cell>
          <cell r="M1900" t="str">
            <v>袋</v>
          </cell>
          <cell r="N1900">
            <v>3.99</v>
          </cell>
          <cell r="O1900">
            <v>6</v>
          </cell>
          <cell r="P1900">
            <v>0.32833333333333298</v>
          </cell>
        </row>
        <row r="1901">
          <cell r="F1901" t="str">
            <v>70034308</v>
          </cell>
          <cell r="G1901" t="str">
            <v>溜溜梅</v>
          </cell>
          <cell r="H1901" t="str">
            <v>溜溜梅</v>
          </cell>
          <cell r="I1901" t="str">
            <v>零食</v>
          </cell>
          <cell r="J1901" t="str">
            <v>蜜饯</v>
          </cell>
          <cell r="K1901" t="str">
            <v>溜溜梅 休闲装-清梅60g</v>
          </cell>
          <cell r="L1901" t="str">
            <v>60g</v>
          </cell>
          <cell r="M1901" t="str">
            <v>袋</v>
          </cell>
          <cell r="N1901">
            <v>3.99</v>
          </cell>
          <cell r="O1901">
            <v>6</v>
          </cell>
          <cell r="P1901">
            <v>0.32833333333333298</v>
          </cell>
        </row>
        <row r="1902">
          <cell r="F1902" t="str">
            <v>70004644</v>
          </cell>
          <cell r="G1902" t="str">
            <v>溜溜梅</v>
          </cell>
          <cell r="H1902" t="str">
            <v>溜溜梅</v>
          </cell>
          <cell r="I1902" t="str">
            <v>零食</v>
          </cell>
          <cell r="J1902" t="str">
            <v>蜜饯</v>
          </cell>
          <cell r="K1902" t="str">
            <v>溜溜梅 休闲装-真乌梅60g</v>
          </cell>
          <cell r="L1902" t="str">
            <v>60g</v>
          </cell>
          <cell r="M1902" t="str">
            <v>袋</v>
          </cell>
          <cell r="N1902">
            <v>3.99</v>
          </cell>
          <cell r="O1902">
            <v>6</v>
          </cell>
          <cell r="P1902">
            <v>0.32833333333333298</v>
          </cell>
        </row>
        <row r="1903">
          <cell r="F1903" t="str">
            <v>70274324</v>
          </cell>
          <cell r="G1903" t="str">
            <v>溜溜梅</v>
          </cell>
          <cell r="H1903" t="str">
            <v>溜溜梅</v>
          </cell>
          <cell r="I1903" t="str">
            <v>零食</v>
          </cell>
          <cell r="J1903" t="str">
            <v>蜜饯</v>
          </cell>
          <cell r="K1903" t="str">
            <v>溜溜梅 休闲装-西梅60g</v>
          </cell>
          <cell r="L1903" t="str">
            <v>60g</v>
          </cell>
          <cell r="M1903" t="str">
            <v>袋</v>
          </cell>
          <cell r="N1903">
            <v>3.99</v>
          </cell>
          <cell r="O1903">
            <v>6</v>
          </cell>
          <cell r="P1903">
            <v>0.32833333333333298</v>
          </cell>
        </row>
        <row r="1904">
          <cell r="F1904" t="str">
            <v>70034311</v>
          </cell>
          <cell r="G1904" t="str">
            <v>溜溜梅</v>
          </cell>
          <cell r="H1904" t="str">
            <v>溜溜梅</v>
          </cell>
          <cell r="I1904" t="str">
            <v>零食</v>
          </cell>
          <cell r="J1904" t="str">
            <v>蜜饯</v>
          </cell>
          <cell r="K1904" t="str">
            <v>溜溜梅 休闲装-绿茶梅60g</v>
          </cell>
          <cell r="L1904" t="str">
            <v>60g</v>
          </cell>
          <cell r="M1904" t="str">
            <v>袋</v>
          </cell>
          <cell r="N1904">
            <v>3.99</v>
          </cell>
          <cell r="O1904">
            <v>6</v>
          </cell>
          <cell r="P1904">
            <v>0.32833333333333298</v>
          </cell>
        </row>
        <row r="1905">
          <cell r="F1905" t="str">
            <v>70493840</v>
          </cell>
          <cell r="G1905" t="str">
            <v>溜溜梅</v>
          </cell>
          <cell r="H1905" t="str">
            <v>溜溜梅</v>
          </cell>
          <cell r="I1905" t="str">
            <v>零食</v>
          </cell>
          <cell r="J1905" t="str">
            <v>蜜饯</v>
          </cell>
          <cell r="K1905" t="str">
            <v>溜溜梅 日式梅饼-日式原味50g</v>
          </cell>
          <cell r="L1905" t="str">
            <v>50g</v>
          </cell>
          <cell r="M1905" t="str">
            <v>包</v>
          </cell>
          <cell r="N1905">
            <v>6.36</v>
          </cell>
          <cell r="O1905">
            <v>9.8000000000000007</v>
          </cell>
          <cell r="P1905">
            <v>0.34387755102040801</v>
          </cell>
        </row>
        <row r="1906">
          <cell r="F1906" t="str">
            <v>70575705</v>
          </cell>
          <cell r="G1906" t="str">
            <v>梦洁</v>
          </cell>
          <cell r="H1906" t="str">
            <v>梦洁</v>
          </cell>
          <cell r="I1906" t="str">
            <v>日用品</v>
          </cell>
          <cell r="J1906" t="str">
            <v>家用纺织品</v>
          </cell>
          <cell r="K1906" t="str">
            <v>天竺绵柔床单：月岩灰</v>
          </cell>
          <cell r="L1906" t="str">
            <v>230*245cm</v>
          </cell>
          <cell r="M1906" t="str">
            <v>套</v>
          </cell>
          <cell r="N1906">
            <v>70.7</v>
          </cell>
          <cell r="O1906">
            <v>399</v>
          </cell>
          <cell r="P1906">
            <v>0.82105263157894703</v>
          </cell>
        </row>
        <row r="1907">
          <cell r="F1907" t="str">
            <v>70575709</v>
          </cell>
          <cell r="G1907" t="str">
            <v>梦洁</v>
          </cell>
          <cell r="H1907" t="str">
            <v>梦洁</v>
          </cell>
          <cell r="I1907" t="str">
            <v>日用品</v>
          </cell>
          <cell r="J1907" t="str">
            <v>家用纺织品</v>
          </cell>
          <cell r="K1907" t="str">
            <v>臻享舒柔夏被：蕾佳娜</v>
          </cell>
          <cell r="L1907" t="str">
            <v>150×200cm</v>
          </cell>
          <cell r="M1907" t="str">
            <v>床</v>
          </cell>
          <cell r="N1907">
            <v>101</v>
          </cell>
          <cell r="O1907">
            <v>699</v>
          </cell>
          <cell r="P1907">
            <v>0.85407725321888395</v>
          </cell>
        </row>
        <row r="1908">
          <cell r="F1908" t="str">
            <v>70575707</v>
          </cell>
          <cell r="G1908" t="str">
            <v>梦洁</v>
          </cell>
          <cell r="H1908" t="str">
            <v>梦洁</v>
          </cell>
          <cell r="I1908" t="str">
            <v>日用品</v>
          </cell>
          <cell r="J1908" t="str">
            <v>家用纺织品</v>
          </cell>
          <cell r="K1908" t="str">
            <v>舒柔清爽夏凉被：小时梨</v>
          </cell>
          <cell r="L1908" t="str">
            <v>150×200cm</v>
          </cell>
          <cell r="M1908" t="str">
            <v>床</v>
          </cell>
          <cell r="N1908">
            <v>121.2</v>
          </cell>
          <cell r="O1908">
            <v>699</v>
          </cell>
          <cell r="P1908">
            <v>0.824892703862661</v>
          </cell>
        </row>
        <row r="1909">
          <cell r="F1909" t="str">
            <v>70575741</v>
          </cell>
          <cell r="G1909" t="str">
            <v>梦洁</v>
          </cell>
          <cell r="H1909" t="str">
            <v>梦洁</v>
          </cell>
          <cell r="I1909" t="str">
            <v>日用品</v>
          </cell>
          <cell r="J1909" t="str">
            <v>家用纺织品</v>
          </cell>
          <cell r="K1909" t="str">
            <v>亲肤牛奶绒毯：杏花春雨</v>
          </cell>
          <cell r="L1909" t="str">
            <v>180×200cm</v>
          </cell>
          <cell r="M1909" t="str">
            <v>床</v>
          </cell>
          <cell r="N1909">
            <v>131.30000000000001</v>
          </cell>
          <cell r="O1909">
            <v>699</v>
          </cell>
          <cell r="P1909">
            <v>0.81030042918454903</v>
          </cell>
        </row>
        <row r="1910">
          <cell r="F1910" t="str">
            <v>70575699</v>
          </cell>
          <cell r="G1910" t="str">
            <v>梦洁</v>
          </cell>
          <cell r="H1910" t="str">
            <v>梦洁</v>
          </cell>
          <cell r="I1910" t="str">
            <v>日用品</v>
          </cell>
          <cell r="J1910" t="str">
            <v>家用纺织品</v>
          </cell>
          <cell r="K1910" t="str">
            <v>沁暖澳毛四季被</v>
          </cell>
          <cell r="L1910" t="str">
            <v>200×230cm</v>
          </cell>
          <cell r="M1910" t="str">
            <v>床</v>
          </cell>
          <cell r="N1910">
            <v>191.9</v>
          </cell>
          <cell r="O1910">
            <v>1099</v>
          </cell>
          <cell r="P1910">
            <v>0.823657870791629</v>
          </cell>
        </row>
        <row r="1911">
          <cell r="F1911" t="str">
            <v>70575698</v>
          </cell>
          <cell r="G1911" t="str">
            <v>梦洁</v>
          </cell>
          <cell r="H1911" t="str">
            <v>梦洁</v>
          </cell>
          <cell r="I1911" t="str">
            <v>日用品</v>
          </cell>
          <cell r="J1911" t="str">
            <v>家用纺织品</v>
          </cell>
          <cell r="K1911" t="str">
            <v>五星级大豆羽丝绒厚被</v>
          </cell>
          <cell r="L1911" t="str">
            <v>200×230cm</v>
          </cell>
          <cell r="M1911" t="str">
            <v>个</v>
          </cell>
          <cell r="N1911">
            <v>212.1</v>
          </cell>
          <cell r="O1911">
            <v>1399</v>
          </cell>
          <cell r="P1911">
            <v>0.84689063616869198</v>
          </cell>
        </row>
        <row r="1912">
          <cell r="F1912" t="str">
            <v>70575697</v>
          </cell>
          <cell r="G1912" t="str">
            <v>梦洁</v>
          </cell>
          <cell r="H1912" t="str">
            <v>梦洁</v>
          </cell>
          <cell r="I1912" t="str">
            <v>日用品</v>
          </cell>
          <cell r="J1912" t="str">
            <v>家用纺织品</v>
          </cell>
          <cell r="K1912" t="str">
            <v>Q软原产乳胶对枕：糖豆</v>
          </cell>
          <cell r="L1912" t="str">
            <v>66×39×9.5cm</v>
          </cell>
          <cell r="M1912" t="str">
            <v>对</v>
          </cell>
          <cell r="N1912">
            <v>343.4</v>
          </cell>
          <cell r="O1912">
            <v>1599</v>
          </cell>
          <cell r="P1912">
            <v>0.78311444652908102</v>
          </cell>
        </row>
        <row r="1913">
          <cell r="F1913" t="str">
            <v>70575706</v>
          </cell>
          <cell r="G1913" t="str">
            <v>梦洁</v>
          </cell>
          <cell r="H1913" t="str">
            <v>梦洁</v>
          </cell>
          <cell r="I1913" t="str">
            <v>日用品</v>
          </cell>
          <cell r="J1913" t="str">
            <v>家用纺织品</v>
          </cell>
          <cell r="K1913" t="str">
            <v>抗菌可水洗纯蚕丝夏凉被：挽风清竹</v>
          </cell>
          <cell r="L1913" t="str">
            <v>150×200cm</v>
          </cell>
          <cell r="M1913" t="str">
            <v>床</v>
          </cell>
          <cell r="N1913">
            <v>362.59</v>
          </cell>
          <cell r="O1913">
            <v>1699</v>
          </cell>
          <cell r="P1913">
            <v>0.78447321954090599</v>
          </cell>
        </row>
        <row r="1914">
          <cell r="F1914" t="str">
            <v>70472870</v>
          </cell>
          <cell r="G1914" t="str">
            <v>梦洁</v>
          </cell>
          <cell r="H1914" t="str">
            <v>梦洁</v>
          </cell>
          <cell r="I1914" t="str">
            <v>日用品</v>
          </cell>
          <cell r="J1914" t="str">
            <v>家用纺织品</v>
          </cell>
          <cell r="K1914" t="str">
            <v>微风和煦澳毛被</v>
          </cell>
          <cell r="L1914" t="str">
            <v>200×230cm</v>
          </cell>
          <cell r="M1914" t="str">
            <v>个</v>
          </cell>
          <cell r="N1914">
            <v>342.39</v>
          </cell>
          <cell r="O1914">
            <v>784</v>
          </cell>
          <cell r="P1914">
            <v>0.55895408163265303</v>
          </cell>
        </row>
        <row r="1915">
          <cell r="F1915" t="str">
            <v>70472858</v>
          </cell>
          <cell r="G1915" t="str">
            <v>梦洁</v>
          </cell>
          <cell r="H1915" t="str">
            <v>梦洁</v>
          </cell>
          <cell r="I1915" t="str">
            <v>日用品</v>
          </cell>
          <cell r="J1915" t="str">
            <v>家用纺织品</v>
          </cell>
          <cell r="K1915" t="str">
            <v>纯棉印花四件套 弘翊</v>
          </cell>
          <cell r="L1915" t="str">
            <v>200×230cm</v>
          </cell>
          <cell r="M1915" t="str">
            <v>套</v>
          </cell>
          <cell r="N1915">
            <v>382.79</v>
          </cell>
          <cell r="O1915">
            <v>2399</v>
          </cell>
          <cell r="P1915">
            <v>0.83885785744060004</v>
          </cell>
        </row>
        <row r="1916">
          <cell r="F1916" t="str">
            <v>70575700</v>
          </cell>
          <cell r="G1916" t="str">
            <v>梦洁</v>
          </cell>
          <cell r="H1916" t="str">
            <v>梦洁</v>
          </cell>
          <cell r="I1916" t="str">
            <v>日用品</v>
          </cell>
          <cell r="J1916" t="str">
            <v>家用纺织品</v>
          </cell>
          <cell r="K1916" t="str">
            <v>纯棉印花四件套：花露凝香</v>
          </cell>
          <cell r="L1916" t="str">
            <v>200×230cm</v>
          </cell>
          <cell r="M1916" t="str">
            <v>套</v>
          </cell>
          <cell r="N1916">
            <v>472.68</v>
          </cell>
          <cell r="O1916">
            <v>2199</v>
          </cell>
          <cell r="P1916">
            <v>0.78291950886766704</v>
          </cell>
        </row>
        <row r="1917">
          <cell r="F1917" t="str">
            <v>70575740</v>
          </cell>
          <cell r="G1917" t="str">
            <v>梦洁</v>
          </cell>
          <cell r="H1917" t="str">
            <v>梦洁</v>
          </cell>
          <cell r="I1917" t="str">
            <v>日用品</v>
          </cell>
          <cell r="J1917" t="str">
            <v>家用纺织品</v>
          </cell>
          <cell r="K1917" t="str">
            <v>提花纤维蚕丝复合四季被：共梦时欢</v>
          </cell>
          <cell r="L1917" t="str">
            <v>200×230cm</v>
          </cell>
          <cell r="M1917" t="str">
            <v>套</v>
          </cell>
          <cell r="N1917">
            <v>534.29</v>
          </cell>
          <cell r="O1917">
            <v>2799</v>
          </cell>
          <cell r="P1917">
            <v>0.80722400857449095</v>
          </cell>
        </row>
        <row r="1918">
          <cell r="F1918" t="str">
            <v>70575711</v>
          </cell>
          <cell r="G1918" t="str">
            <v>梦洁</v>
          </cell>
          <cell r="H1918" t="str">
            <v>梦洁</v>
          </cell>
          <cell r="I1918" t="str">
            <v>日用品</v>
          </cell>
          <cell r="J1918" t="str">
            <v>家用纺织品</v>
          </cell>
          <cell r="K1918" t="str">
            <v>60S长绒棉贡缎抗菌素色四件套：图兰朵</v>
          </cell>
          <cell r="L1918" t="str">
            <v>200×230cm</v>
          </cell>
          <cell r="M1918" t="str">
            <v>套</v>
          </cell>
          <cell r="N1918">
            <v>574.69000000000005</v>
          </cell>
          <cell r="O1918">
            <v>2999</v>
          </cell>
          <cell r="P1918">
            <v>0.80647549183060996</v>
          </cell>
        </row>
        <row r="1919">
          <cell r="F1919" t="str">
            <v>70575710</v>
          </cell>
          <cell r="G1919" t="str">
            <v>梦洁</v>
          </cell>
          <cell r="H1919" t="str">
            <v>梦洁</v>
          </cell>
          <cell r="I1919" t="str">
            <v>日用品</v>
          </cell>
          <cell r="J1919" t="str">
            <v>家用纺织品</v>
          </cell>
          <cell r="K1919" t="str">
            <v>60天丝提花纤维蚕丝复合四季被：银海生花</v>
          </cell>
          <cell r="L1919" t="str">
            <v>200×230cm</v>
          </cell>
          <cell r="M1919" t="str">
            <v>套</v>
          </cell>
          <cell r="N1919">
            <v>645.39</v>
          </cell>
          <cell r="O1919">
            <v>3699</v>
          </cell>
          <cell r="P1919">
            <v>0.82379562043795596</v>
          </cell>
        </row>
        <row r="1920">
          <cell r="F1920" t="str">
            <v>70575696</v>
          </cell>
          <cell r="G1920" t="str">
            <v>梦洁</v>
          </cell>
          <cell r="H1920" t="str">
            <v>梦洁</v>
          </cell>
          <cell r="I1920" t="str">
            <v>日用品</v>
          </cell>
          <cell r="J1920" t="str">
            <v>家用纺织品</v>
          </cell>
          <cell r="K1920" t="str">
            <v>60S长绒棉贡缎数码印花抗菌四件套：阡陌.微澜</v>
          </cell>
          <cell r="L1920" t="str">
            <v>200×230cm</v>
          </cell>
          <cell r="M1920" t="str">
            <v>套</v>
          </cell>
          <cell r="N1920">
            <v>603.98</v>
          </cell>
          <cell r="O1920">
            <v>3299</v>
          </cell>
          <cell r="P1920">
            <v>0.81510760836617202</v>
          </cell>
        </row>
        <row r="1921">
          <cell r="F1921" t="str">
            <v>70505204</v>
          </cell>
          <cell r="G1921" t="str">
            <v>梦洁</v>
          </cell>
          <cell r="H1921" t="str">
            <v>梦洁</v>
          </cell>
          <cell r="I1921" t="str">
            <v>日用品</v>
          </cell>
          <cell r="J1921" t="str">
            <v>家用纺织品</v>
          </cell>
          <cell r="K1921" t="str">
            <v>纯棉磨毛四件套：倾心花絮</v>
          </cell>
          <cell r="L1921" t="str">
            <v>200×230cm</v>
          </cell>
          <cell r="M1921" t="str">
            <v>套</v>
          </cell>
          <cell r="N1921">
            <v>554.49</v>
          </cell>
          <cell r="O1921">
            <v>3199</v>
          </cell>
          <cell r="P1921">
            <v>0.82495154735855003</v>
          </cell>
        </row>
        <row r="1922">
          <cell r="F1922" t="str">
            <v>70574575</v>
          </cell>
          <cell r="G1922" t="str">
            <v>山水</v>
          </cell>
          <cell r="H1922" t="str">
            <v>山水</v>
          </cell>
          <cell r="I1922" t="str">
            <v>日用品</v>
          </cell>
          <cell r="J1922" t="str">
            <v>小家电</v>
          </cell>
          <cell r="K1922" t="str">
            <v>山水 SKZ-A28C可视化空气炸锅 1个</v>
          </cell>
          <cell r="L1922" t="str">
            <v>SKZ-A28C</v>
          </cell>
          <cell r="M1922" t="str">
            <v>个</v>
          </cell>
          <cell r="N1922">
            <v>301.99</v>
          </cell>
          <cell r="O1922">
            <v>753</v>
          </cell>
          <cell r="P1922">
            <v>0.59498007968127498</v>
          </cell>
        </row>
        <row r="1923">
          <cell r="F1923" t="str">
            <v>70574576</v>
          </cell>
          <cell r="G1923" t="str">
            <v>山水</v>
          </cell>
          <cell r="H1923" t="str">
            <v>山水</v>
          </cell>
          <cell r="I1923" t="str">
            <v>日用品</v>
          </cell>
          <cell r="J1923" t="str">
            <v>小家电</v>
          </cell>
          <cell r="K1923" t="str">
            <v>山水 SZC-968煮茶器 1个</v>
          </cell>
          <cell r="L1923" t="str">
            <v>SZC-968</v>
          </cell>
          <cell r="M1923" t="str">
            <v>个</v>
          </cell>
          <cell r="N1923">
            <v>151.5</v>
          </cell>
          <cell r="O1923">
            <v>629</v>
          </cell>
          <cell r="P1923">
            <v>0.75675675675675702</v>
          </cell>
        </row>
        <row r="1924">
          <cell r="F1924" t="str">
            <v>70574577</v>
          </cell>
          <cell r="G1924" t="str">
            <v>山水</v>
          </cell>
          <cell r="H1924" t="str">
            <v>山水</v>
          </cell>
          <cell r="I1924" t="str">
            <v>日用品</v>
          </cell>
          <cell r="J1924" t="str">
            <v>小家电</v>
          </cell>
          <cell r="K1924" t="str">
            <v>山水 KT-1838多功能分体养生壶 1个</v>
          </cell>
          <cell r="L1924" t="str">
            <v>KT-1838</v>
          </cell>
          <cell r="M1924" t="str">
            <v>个</v>
          </cell>
          <cell r="N1924">
            <v>176.75</v>
          </cell>
          <cell r="O1924">
            <v>629</v>
          </cell>
          <cell r="P1924">
            <v>0.71621621621621601</v>
          </cell>
        </row>
        <row r="1925">
          <cell r="F1925" t="str">
            <v>70449872</v>
          </cell>
          <cell r="G1925" t="str">
            <v>膳魔师</v>
          </cell>
          <cell r="H1925" t="str">
            <v>膳魔师</v>
          </cell>
          <cell r="I1925" t="str">
            <v>日用品</v>
          </cell>
          <cell r="J1925" t="str">
            <v>小家电</v>
          </cell>
          <cell r="K1925" t="str">
            <v>膳魔师 手持搅拌器EHA-5603A</v>
          </cell>
          <cell r="L1925" t="str">
            <v>EHA-5603A</v>
          </cell>
          <cell r="M1925" t="str">
            <v>个</v>
          </cell>
          <cell r="N1925">
            <v>202</v>
          </cell>
          <cell r="O1925">
            <v>332</v>
          </cell>
          <cell r="P1925">
            <v>0.38554216867469898</v>
          </cell>
        </row>
        <row r="1926">
          <cell r="F1926" t="str">
            <v>70574578</v>
          </cell>
          <cell r="G1926" t="str">
            <v>膳魔师</v>
          </cell>
          <cell r="H1926" t="str">
            <v>膳魔师</v>
          </cell>
          <cell r="I1926" t="str">
            <v>日用品</v>
          </cell>
          <cell r="J1926" t="str">
            <v>小家电</v>
          </cell>
          <cell r="K1926" t="str">
            <v>膳魔师 EHA4323A电煮锅 1个</v>
          </cell>
          <cell r="L1926" t="str">
            <v>EHA-4323A</v>
          </cell>
          <cell r="M1926" t="str">
            <v>个</v>
          </cell>
          <cell r="N1926">
            <v>230.28</v>
          </cell>
          <cell r="O1926">
            <v>361</v>
          </cell>
          <cell r="P1926">
            <v>0.35578947368421099</v>
          </cell>
        </row>
        <row r="1927">
          <cell r="F1927" t="str">
            <v>70449873</v>
          </cell>
          <cell r="G1927" t="str">
            <v>膳魔师</v>
          </cell>
          <cell r="H1927" t="str">
            <v>膳魔师</v>
          </cell>
          <cell r="I1927" t="str">
            <v>日用品</v>
          </cell>
          <cell r="J1927" t="str">
            <v>小家电</v>
          </cell>
          <cell r="K1927" t="str">
            <v>膳魔师养生壶800W EHA-1611E-SP</v>
          </cell>
          <cell r="L1927" t="str">
            <v>EHA-1611E-SP</v>
          </cell>
          <cell r="M1927" t="str">
            <v>个</v>
          </cell>
          <cell r="N1927">
            <v>272.7</v>
          </cell>
          <cell r="O1927">
            <v>421</v>
          </cell>
          <cell r="P1927">
            <v>0.34584323040380099</v>
          </cell>
        </row>
        <row r="1928">
          <cell r="F1928" t="str">
            <v>70574579</v>
          </cell>
          <cell r="G1928" t="str">
            <v>膳魔师</v>
          </cell>
          <cell r="H1928" t="str">
            <v>膳魔师</v>
          </cell>
          <cell r="I1928" t="str">
            <v>日用品</v>
          </cell>
          <cell r="J1928" t="str">
            <v>小家电</v>
          </cell>
          <cell r="K1928" t="str">
            <v>膳魔师 EHA5104A空气炸电烤箱 1个</v>
          </cell>
          <cell r="L1928" t="str">
            <v>EHA-5104A</v>
          </cell>
          <cell r="M1928" t="str">
            <v>个</v>
          </cell>
          <cell r="N1928">
            <v>353.5</v>
          </cell>
          <cell r="O1928">
            <v>899</v>
          </cell>
          <cell r="P1928">
            <v>0.60289210233592905</v>
          </cell>
        </row>
        <row r="1929">
          <cell r="F1929" t="str">
            <v>70574334</v>
          </cell>
          <cell r="G1929" t="str">
            <v>膳魔师</v>
          </cell>
          <cell r="H1929" t="str">
            <v>膳魔师</v>
          </cell>
          <cell r="I1929" t="str">
            <v>日用品</v>
          </cell>
          <cell r="J1929" t="str">
            <v>小家电</v>
          </cell>
          <cell r="K1929" t="str">
            <v>膳魔师 EHA5311早餐机 1个</v>
          </cell>
          <cell r="L1929" t="str">
            <v>EHA-5311A-B</v>
          </cell>
          <cell r="M1929" t="str">
            <v>个</v>
          </cell>
          <cell r="N1929">
            <v>472.68</v>
          </cell>
          <cell r="O1929">
            <v>1249</v>
          </cell>
          <cell r="P1929">
            <v>0.61780624499599701</v>
          </cell>
        </row>
        <row r="1930">
          <cell r="F1930" t="str">
            <v>70574339</v>
          </cell>
          <cell r="G1930" t="str">
            <v>膳魔师</v>
          </cell>
          <cell r="H1930" t="str">
            <v>膳魔师</v>
          </cell>
          <cell r="I1930" t="str">
            <v>日用品</v>
          </cell>
          <cell r="J1930" t="str">
            <v>小家电</v>
          </cell>
          <cell r="K1930" t="str">
            <v>膳魔师 EHA1123E极速开水机白色 1个</v>
          </cell>
          <cell r="L1930" t="str">
            <v>EHA-1123E</v>
          </cell>
          <cell r="M1930" t="str">
            <v>个</v>
          </cell>
          <cell r="N1930">
            <v>525.20000000000005</v>
          </cell>
          <cell r="O1930">
            <v>1079</v>
          </cell>
          <cell r="P1930">
            <v>0.50843373493975896</v>
          </cell>
        </row>
        <row r="1931">
          <cell r="F1931" t="str">
            <v>70574580</v>
          </cell>
          <cell r="G1931" t="str">
            <v>膳魔师</v>
          </cell>
          <cell r="H1931" t="str">
            <v>膳魔师</v>
          </cell>
          <cell r="I1931" t="str">
            <v>日用品</v>
          </cell>
          <cell r="J1931" t="str">
            <v>小家电</v>
          </cell>
          <cell r="K1931" t="str">
            <v>膳魔师 EHA4124E多功能双胆饭煲 1个</v>
          </cell>
          <cell r="L1931" t="str">
            <v>EHA-4124E</v>
          </cell>
          <cell r="M1931" t="str">
            <v>个</v>
          </cell>
          <cell r="N1931">
            <v>705.99</v>
          </cell>
          <cell r="O1931">
            <v>1519</v>
          </cell>
          <cell r="P1931">
            <v>0.53062541145490405</v>
          </cell>
        </row>
        <row r="1932">
          <cell r="F1932" t="str">
            <v>70574691</v>
          </cell>
          <cell r="G1932" t="str">
            <v>米技miji</v>
          </cell>
          <cell r="H1932" t="str">
            <v>米技miji</v>
          </cell>
          <cell r="I1932" t="str">
            <v>日用品</v>
          </cell>
          <cell r="J1932" t="str">
            <v>小家电</v>
          </cell>
          <cell r="K1932" t="str">
            <v>米技miji 电饭煲2L 1个</v>
          </cell>
          <cell r="L1932" t="str">
            <v>EC-L2020 2L</v>
          </cell>
          <cell r="M1932" t="str">
            <v>个</v>
          </cell>
          <cell r="N1932">
            <v>464.6</v>
          </cell>
          <cell r="O1932">
            <v>782</v>
          </cell>
          <cell r="P1932">
            <v>0.4</v>
          </cell>
        </row>
        <row r="1933">
          <cell r="F1933" t="str">
            <v>70521365</v>
          </cell>
          <cell r="G1933" t="str">
            <v>米技miji</v>
          </cell>
          <cell r="H1933" t="str">
            <v>米技miji</v>
          </cell>
          <cell r="I1933" t="str">
            <v>日用品</v>
          </cell>
          <cell r="J1933" t="str">
            <v>小家电</v>
          </cell>
          <cell r="K1933" t="str">
            <v>米技miji 多功能锅电煮锅 ECE-gS30</v>
          </cell>
          <cell r="L1933" t="str">
            <v>ECE-gS30</v>
          </cell>
          <cell r="M1933" t="str">
            <v>个</v>
          </cell>
          <cell r="N1933">
            <v>555.5</v>
          </cell>
          <cell r="O1933">
            <v>920</v>
          </cell>
          <cell r="P1933">
            <v>0.39021739130434802</v>
          </cell>
        </row>
        <row r="1934">
          <cell r="F1934" t="str">
            <v>70501135</v>
          </cell>
          <cell r="G1934" t="str">
            <v>米技miji</v>
          </cell>
          <cell r="H1934" t="str">
            <v>米技miji</v>
          </cell>
          <cell r="I1934" t="str">
            <v>日用品</v>
          </cell>
          <cell r="J1934" t="str">
            <v>小家电</v>
          </cell>
          <cell r="K1934" t="str">
            <v>米技miji 多功能锅鸳鸯电火锅一锅多用 EMP-L4501</v>
          </cell>
          <cell r="L1934" t="str">
            <v>EMP-L4501</v>
          </cell>
          <cell r="M1934" t="str">
            <v>个</v>
          </cell>
          <cell r="N1934">
            <v>464.6</v>
          </cell>
          <cell r="O1934">
            <v>782</v>
          </cell>
          <cell r="P1934">
            <v>0.4</v>
          </cell>
        </row>
        <row r="1935">
          <cell r="F1935" t="str">
            <v>70501137</v>
          </cell>
          <cell r="G1935" t="str">
            <v>米技miji</v>
          </cell>
          <cell r="H1935" t="str">
            <v>米技miji</v>
          </cell>
          <cell r="I1935" t="str">
            <v>日用品</v>
          </cell>
          <cell r="J1935" t="str">
            <v>小家电</v>
          </cell>
          <cell r="K1935" t="str">
            <v>米技miji空气炸锅AF-L3012</v>
          </cell>
          <cell r="L1935" t="str">
            <v>AF-L3012</v>
          </cell>
          <cell r="M1935" t="str">
            <v>个</v>
          </cell>
          <cell r="N1935">
            <v>464.6</v>
          </cell>
          <cell r="O1935">
            <v>809</v>
          </cell>
          <cell r="P1935">
            <v>0.42002472187886303</v>
          </cell>
        </row>
        <row r="1936">
          <cell r="F1936" t="str">
            <v>70574692</v>
          </cell>
          <cell r="G1936" t="str">
            <v>米技miji</v>
          </cell>
          <cell r="H1936" t="str">
            <v>米技miji</v>
          </cell>
          <cell r="I1936" t="str">
            <v>日用品</v>
          </cell>
          <cell r="J1936" t="str">
            <v>小家电</v>
          </cell>
          <cell r="K1936" t="str">
            <v>米技miji PB-L1619破壁机 1个</v>
          </cell>
          <cell r="L1936" t="str">
            <v>PB-L1619</v>
          </cell>
          <cell r="M1936" t="str">
            <v>个</v>
          </cell>
          <cell r="N1936">
            <v>574.69000000000005</v>
          </cell>
          <cell r="O1936">
            <v>1259</v>
          </cell>
          <cell r="P1936">
            <v>0.53901509134233505</v>
          </cell>
        </row>
        <row r="1937">
          <cell r="F1937" t="str">
            <v>70521364</v>
          </cell>
          <cell r="G1937" t="str">
            <v>米技miji</v>
          </cell>
          <cell r="H1937" t="str">
            <v>米技miji</v>
          </cell>
          <cell r="I1937" t="str">
            <v>日用品</v>
          </cell>
          <cell r="J1937" t="str">
            <v>小家电</v>
          </cell>
          <cell r="K1937" t="str">
            <v>米技miji咖啡机 ACM-252</v>
          </cell>
          <cell r="L1937" t="str">
            <v>ACM-252</v>
          </cell>
          <cell r="M1937" t="str">
            <v>个</v>
          </cell>
          <cell r="N1937">
            <v>338.35</v>
          </cell>
          <cell r="O1937">
            <v>629</v>
          </cell>
          <cell r="P1937">
            <v>0.45675675675675698</v>
          </cell>
        </row>
        <row r="1938">
          <cell r="F1938" t="str">
            <v>70574581</v>
          </cell>
          <cell r="G1938" t="str">
            <v>温仑山Velosan</v>
          </cell>
          <cell r="H1938" t="str">
            <v>温仑山Velosan</v>
          </cell>
          <cell r="I1938" t="str">
            <v>日用品</v>
          </cell>
          <cell r="J1938" t="str">
            <v>小家电</v>
          </cell>
          <cell r="K1938" t="str">
            <v>温仑山 Velosan多功能电饭煲 1个</v>
          </cell>
          <cell r="L1938" t="str">
            <v>VELP012</v>
          </cell>
          <cell r="M1938" t="str">
            <v>个</v>
          </cell>
          <cell r="N1938">
            <v>170.69</v>
          </cell>
          <cell r="O1938">
            <v>449</v>
          </cell>
          <cell r="P1938">
            <v>0.61608017817371896</v>
          </cell>
        </row>
        <row r="1939">
          <cell r="F1939" t="str">
            <v>70574582</v>
          </cell>
          <cell r="G1939" t="str">
            <v>温仑山Velosan</v>
          </cell>
          <cell r="H1939" t="str">
            <v>温仑山Velosan</v>
          </cell>
          <cell r="I1939" t="str">
            <v>日用品</v>
          </cell>
          <cell r="J1939" t="str">
            <v>小家电</v>
          </cell>
          <cell r="K1939" t="str">
            <v>温仑山 Velosan电热水壶 1个</v>
          </cell>
          <cell r="L1939" t="str">
            <v>VELP013</v>
          </cell>
          <cell r="M1939" t="str">
            <v>个</v>
          </cell>
          <cell r="N1939">
            <v>139.38</v>
          </cell>
          <cell r="O1939">
            <v>269</v>
          </cell>
          <cell r="P1939">
            <v>0.476728624535316</v>
          </cell>
        </row>
        <row r="1940">
          <cell r="F1940" t="str">
            <v>70574404</v>
          </cell>
          <cell r="G1940" t="str">
            <v>傲胜</v>
          </cell>
          <cell r="H1940" t="str">
            <v>傲胜</v>
          </cell>
          <cell r="I1940" t="str">
            <v>日用品</v>
          </cell>
          <cell r="J1940" t="str">
            <v>小家电</v>
          </cell>
          <cell r="K1940" t="str">
            <v>傲胜 OS7247暖暖小腹机腹部按摩器 1个</v>
          </cell>
          <cell r="L1940" t="str">
            <v>OS-7247</v>
          </cell>
          <cell r="M1940" t="str">
            <v>个</v>
          </cell>
          <cell r="N1940">
            <v>272.7</v>
          </cell>
          <cell r="O1940">
            <v>332</v>
          </cell>
          <cell r="P1940">
            <v>0.170481927710843</v>
          </cell>
        </row>
        <row r="1941">
          <cell r="F1941" t="str">
            <v>70574388</v>
          </cell>
          <cell r="G1941" t="str">
            <v>傲胜</v>
          </cell>
          <cell r="H1941" t="str">
            <v>傲胜</v>
          </cell>
          <cell r="I1941" t="str">
            <v>日用品</v>
          </cell>
          <cell r="J1941" t="str">
            <v>小家电</v>
          </cell>
          <cell r="K1941" t="str">
            <v>傲胜 OS7242颈摩枕Lite颈部按摩器 1个</v>
          </cell>
          <cell r="L1941" t="str">
            <v>OS-7242</v>
          </cell>
          <cell r="M1941" t="str">
            <v>个</v>
          </cell>
          <cell r="N1941">
            <v>402.99</v>
          </cell>
          <cell r="O1941">
            <v>512</v>
          </cell>
          <cell r="P1941">
            <v>0.20511718749999999</v>
          </cell>
        </row>
        <row r="1942">
          <cell r="F1942" t="str">
            <v>70574455</v>
          </cell>
          <cell r="G1942" t="str">
            <v>傲胜</v>
          </cell>
          <cell r="H1942" t="str">
            <v>傲胜</v>
          </cell>
          <cell r="I1942" t="str">
            <v>日用品</v>
          </cell>
          <cell r="J1942" t="str">
            <v>小家电</v>
          </cell>
          <cell r="K1942" t="str">
            <v>傲胜 OS724A暖暖护眼乐眼部按摩器 1个</v>
          </cell>
          <cell r="L1942" t="str">
            <v>OS-724A</v>
          </cell>
          <cell r="M1942" t="str">
            <v>个</v>
          </cell>
          <cell r="N1942">
            <v>434.3</v>
          </cell>
          <cell r="O1942">
            <v>629</v>
          </cell>
          <cell r="P1942">
            <v>0.302702702702703</v>
          </cell>
        </row>
        <row r="1943">
          <cell r="F1943" t="str">
            <v>70574398</v>
          </cell>
          <cell r="G1943" t="str">
            <v>傲胜</v>
          </cell>
          <cell r="H1943" t="str">
            <v>傲胜</v>
          </cell>
          <cell r="I1943" t="str">
            <v>日用品</v>
          </cell>
          <cell r="J1943" t="str">
            <v>小家电</v>
          </cell>
          <cell r="K1943" t="str">
            <v>傲胜 OS7245摩力抓抓头部按摩器 1个</v>
          </cell>
          <cell r="L1943" t="str">
            <v>OS-7245</v>
          </cell>
          <cell r="M1943" t="str">
            <v>个</v>
          </cell>
          <cell r="N1943">
            <v>429.25</v>
          </cell>
          <cell r="O1943">
            <v>539</v>
          </cell>
          <cell r="P1943">
            <v>0.195732838589981</v>
          </cell>
        </row>
        <row r="1944">
          <cell r="F1944" t="str">
            <v>70574415</v>
          </cell>
          <cell r="G1944" t="str">
            <v>傲胜</v>
          </cell>
          <cell r="H1944" t="str">
            <v>傲胜</v>
          </cell>
          <cell r="I1944" t="str">
            <v>日用品</v>
          </cell>
          <cell r="J1944" t="str">
            <v>小家电</v>
          </cell>
          <cell r="K1944" t="str">
            <v>傲胜 OS7240暖摩枕Plus揉捏按摩器 1个</v>
          </cell>
          <cell r="L1944" t="str">
            <v>OS-7240</v>
          </cell>
          <cell r="M1944" t="str">
            <v>个</v>
          </cell>
          <cell r="N1944">
            <v>604.99</v>
          </cell>
          <cell r="O1944">
            <v>1799</v>
          </cell>
          <cell r="P1944">
            <v>0.660377987770984</v>
          </cell>
        </row>
        <row r="1945">
          <cell r="F1945" t="str">
            <v>70574410</v>
          </cell>
          <cell r="G1945" t="str">
            <v>傲胜</v>
          </cell>
          <cell r="H1945" t="str">
            <v>傲胜</v>
          </cell>
          <cell r="I1945" t="str">
            <v>日用品</v>
          </cell>
          <cell r="J1945" t="str">
            <v>小家电</v>
          </cell>
          <cell r="K1945" t="str">
            <v>傲胜 OS7249气动腰枕腰部按摩器 1个</v>
          </cell>
          <cell r="L1945" t="str">
            <v>OS-7249</v>
          </cell>
          <cell r="M1945" t="str">
            <v>个</v>
          </cell>
          <cell r="N1945">
            <v>666.6</v>
          </cell>
          <cell r="O1945">
            <v>809</v>
          </cell>
          <cell r="P1945">
            <v>0.16786155747836801</v>
          </cell>
        </row>
        <row r="1946">
          <cell r="F1946" t="str">
            <v>70523398</v>
          </cell>
          <cell r="G1946" t="str">
            <v>乐扣</v>
          </cell>
          <cell r="H1946" t="str">
            <v>乐扣</v>
          </cell>
          <cell r="I1946" t="str">
            <v>日用品</v>
          </cell>
          <cell r="J1946" t="str">
            <v>小家电</v>
          </cell>
          <cell r="K1946" t="str">
            <v>乐扣 多功能电煮锅EJP1567gRN</v>
          </cell>
          <cell r="L1946" t="str">
            <v>EJP1567gRN</v>
          </cell>
          <cell r="M1946" t="str">
            <v>个</v>
          </cell>
          <cell r="N1946">
            <v>363.6</v>
          </cell>
          <cell r="O1946">
            <v>761</v>
          </cell>
          <cell r="P1946">
            <v>0.51747700394218099</v>
          </cell>
        </row>
        <row r="1947">
          <cell r="F1947" t="str">
            <v>70574693</v>
          </cell>
          <cell r="G1947" t="str">
            <v>乐扣</v>
          </cell>
          <cell r="H1947" t="str">
            <v>乐扣</v>
          </cell>
          <cell r="I1947" t="str">
            <v>日用品</v>
          </cell>
          <cell r="J1947" t="str">
            <v>小家电</v>
          </cell>
          <cell r="K1947" t="str">
            <v>乐扣 EJP1347WHT电火锅白色 1个</v>
          </cell>
          <cell r="L1947" t="str">
            <v>EJP1347WHT</v>
          </cell>
          <cell r="M1947" t="str">
            <v>个</v>
          </cell>
          <cell r="N1947">
            <v>353.5</v>
          </cell>
          <cell r="O1947">
            <v>727</v>
          </cell>
          <cell r="P1947">
            <v>0.50894085281980705</v>
          </cell>
        </row>
        <row r="1948">
          <cell r="F1948" t="str">
            <v>70574694</v>
          </cell>
          <cell r="G1948" t="str">
            <v>乐扣</v>
          </cell>
          <cell r="H1948" t="str">
            <v>乐扣</v>
          </cell>
          <cell r="I1948" t="str">
            <v>日用品</v>
          </cell>
          <cell r="J1948" t="str">
            <v>小家电</v>
          </cell>
          <cell r="K1948" t="str">
            <v>乐扣 EJK3425WHT养生壶 1个</v>
          </cell>
          <cell r="L1948" t="str">
            <v>EJK3425WHT</v>
          </cell>
          <cell r="M1948" t="str">
            <v>个</v>
          </cell>
          <cell r="N1948">
            <v>186.85</v>
          </cell>
          <cell r="O1948">
            <v>350</v>
          </cell>
          <cell r="P1948">
            <v>0.46085714285714302</v>
          </cell>
        </row>
        <row r="1949">
          <cell r="F1949" t="str">
            <v>70523402</v>
          </cell>
          <cell r="G1949" t="str">
            <v>乐扣</v>
          </cell>
          <cell r="H1949" t="str">
            <v>乐扣</v>
          </cell>
          <cell r="I1949" t="str">
            <v>日用品</v>
          </cell>
          <cell r="J1949" t="str">
            <v>小家电</v>
          </cell>
          <cell r="K1949" t="str">
            <v>乐扣 迷你豆浆机EJS1217YEL</v>
          </cell>
          <cell r="L1949" t="str">
            <v>EJS1217YEL</v>
          </cell>
          <cell r="M1949" t="str">
            <v>个</v>
          </cell>
          <cell r="N1949">
            <v>281.79000000000002</v>
          </cell>
          <cell r="O1949">
            <v>601</v>
          </cell>
          <cell r="P1949">
            <v>0.52648918469217998</v>
          </cell>
        </row>
        <row r="1950">
          <cell r="F1950" t="str">
            <v>70574457</v>
          </cell>
          <cell r="G1950" t="str">
            <v>格兰仕</v>
          </cell>
          <cell r="H1950" t="str">
            <v>格兰仕</v>
          </cell>
          <cell r="I1950" t="str">
            <v>日用品</v>
          </cell>
          <cell r="J1950" t="str">
            <v>小家电</v>
          </cell>
          <cell r="K1950" t="str">
            <v>格兰仕 P70J17LV7微波炉 1个</v>
          </cell>
          <cell r="L1950" t="str">
            <v>P70J17L-V7(B0)</v>
          </cell>
          <cell r="M1950" t="str">
            <v>个</v>
          </cell>
          <cell r="N1950">
            <v>454.5</v>
          </cell>
          <cell r="O1950">
            <v>799</v>
          </cell>
          <cell r="P1950">
            <v>9.34233518665607E-2</v>
          </cell>
        </row>
        <row r="1951">
          <cell r="F1951" t="str">
            <v>70574449</v>
          </cell>
          <cell r="G1951" t="str">
            <v>格兰仕</v>
          </cell>
          <cell r="H1951" t="str">
            <v>格兰仕</v>
          </cell>
          <cell r="I1951" t="str">
            <v>日用品</v>
          </cell>
          <cell r="J1951" t="str">
            <v>小家电</v>
          </cell>
          <cell r="K1951" t="str">
            <v>格兰仕 D4WS20微波炉 1个</v>
          </cell>
          <cell r="L1951" t="str">
            <v>D4W-S20</v>
          </cell>
          <cell r="M1951" t="str">
            <v>个</v>
          </cell>
          <cell r="N1951">
            <v>454.5</v>
          </cell>
          <cell r="O1951">
            <v>799</v>
          </cell>
          <cell r="P1951">
            <v>9.34233518665607E-2</v>
          </cell>
        </row>
        <row r="1952">
          <cell r="F1952" t="str">
            <v>70574395</v>
          </cell>
          <cell r="G1952" t="str">
            <v>格兰仕</v>
          </cell>
          <cell r="H1952" t="str">
            <v>格兰仕</v>
          </cell>
          <cell r="I1952" t="str">
            <v>日用品</v>
          </cell>
          <cell r="J1952" t="str">
            <v>小家电</v>
          </cell>
          <cell r="K1952" t="str">
            <v>格兰仕 TQW33YS30烤箱 1个</v>
          </cell>
          <cell r="L1952" t="str">
            <v>TQW33-YS30</v>
          </cell>
          <cell r="M1952" t="str">
            <v>个</v>
          </cell>
          <cell r="N1952">
            <v>353.5</v>
          </cell>
          <cell r="O1952">
            <v>629</v>
          </cell>
          <cell r="P1952">
            <v>0.43243243243243201</v>
          </cell>
        </row>
        <row r="1953">
          <cell r="F1953" t="str">
            <v>70574389</v>
          </cell>
          <cell r="G1953" t="str">
            <v>格兰仕</v>
          </cell>
          <cell r="H1953" t="str">
            <v>格兰仕</v>
          </cell>
          <cell r="I1953" t="str">
            <v>日用品</v>
          </cell>
          <cell r="J1953" t="str">
            <v>小家电</v>
          </cell>
          <cell r="K1953" t="str">
            <v>格兰仕 TQH42B烤箱 1个</v>
          </cell>
          <cell r="L1953" t="str">
            <v>TQH-42B</v>
          </cell>
          <cell r="M1953" t="str">
            <v>个</v>
          </cell>
          <cell r="N1953">
            <v>414.1</v>
          </cell>
          <cell r="O1953">
            <v>629</v>
          </cell>
          <cell r="P1953">
            <v>0.33513513513513499</v>
          </cell>
        </row>
        <row r="1954">
          <cell r="F1954" t="str">
            <v>70574445</v>
          </cell>
          <cell r="G1954" t="str">
            <v>格兰仕</v>
          </cell>
          <cell r="H1954" t="str">
            <v>格兰仕</v>
          </cell>
          <cell r="I1954" t="str">
            <v>日用品</v>
          </cell>
          <cell r="J1954" t="str">
            <v>小家电</v>
          </cell>
          <cell r="K1954" t="str">
            <v>格兰仕 WS1504水壶 1个</v>
          </cell>
          <cell r="L1954" t="str">
            <v>WS1504</v>
          </cell>
          <cell r="M1954" t="str">
            <v>个</v>
          </cell>
          <cell r="N1954">
            <v>176.75</v>
          </cell>
          <cell r="O1954">
            <v>449</v>
          </cell>
          <cell r="P1954">
            <v>0.60244988864142501</v>
          </cell>
        </row>
        <row r="1955">
          <cell r="F1955" t="str">
            <v>70574453</v>
          </cell>
          <cell r="G1955" t="str">
            <v>格兰仕</v>
          </cell>
          <cell r="H1955" t="str">
            <v>格兰仕</v>
          </cell>
          <cell r="I1955" t="str">
            <v>日用品</v>
          </cell>
          <cell r="J1955" t="str">
            <v>小家电</v>
          </cell>
          <cell r="K1955" t="str">
            <v>格兰仕 XFR4012电饭煲 1个</v>
          </cell>
          <cell r="L1955" t="str">
            <v>XFR4012</v>
          </cell>
          <cell r="M1955" t="str">
            <v>个</v>
          </cell>
          <cell r="N1955">
            <v>281.79000000000002</v>
          </cell>
          <cell r="O1955">
            <v>539</v>
          </cell>
          <cell r="P1955">
            <v>0.47202226345083498</v>
          </cell>
        </row>
        <row r="1956">
          <cell r="F1956" t="str">
            <v>70518752</v>
          </cell>
          <cell r="G1956" t="str">
            <v>格兰仕</v>
          </cell>
          <cell r="H1956" t="str">
            <v>格兰仕</v>
          </cell>
          <cell r="I1956" t="str">
            <v>日用品</v>
          </cell>
          <cell r="J1956" t="str">
            <v>小家电</v>
          </cell>
          <cell r="K1956" t="str">
            <v>格兰仕电磁炉C2201TQ</v>
          </cell>
          <cell r="L1956" t="str">
            <v>C2201TQ</v>
          </cell>
          <cell r="M1956" t="str">
            <v>个</v>
          </cell>
          <cell r="N1956">
            <v>301.99</v>
          </cell>
          <cell r="O1956">
            <v>629</v>
          </cell>
          <cell r="P1956">
            <v>0.51513513513513498</v>
          </cell>
        </row>
        <row r="1957">
          <cell r="F1957" t="str">
            <v>70574695</v>
          </cell>
          <cell r="G1957" t="str">
            <v>亚都</v>
          </cell>
          <cell r="H1957" t="str">
            <v>亚都</v>
          </cell>
          <cell r="I1957" t="str">
            <v>日用品</v>
          </cell>
          <cell r="J1957" t="str">
            <v>小家电</v>
          </cell>
          <cell r="K1957" t="str">
            <v>亚都 YDC812g除湿机 1个</v>
          </cell>
          <cell r="L1957" t="str">
            <v>YD-C812g</v>
          </cell>
          <cell r="M1957" t="str">
            <v>个</v>
          </cell>
          <cell r="N1957">
            <v>1614.99</v>
          </cell>
          <cell r="O1957">
            <v>1799</v>
          </cell>
          <cell r="P1957">
            <v>9.3396331295164003E-2</v>
          </cell>
        </row>
        <row r="1958">
          <cell r="F1958" t="str">
            <v>70574696</v>
          </cell>
          <cell r="G1958" t="str">
            <v>亚都</v>
          </cell>
          <cell r="H1958" t="str">
            <v>亚都</v>
          </cell>
          <cell r="I1958" t="str">
            <v>日用品</v>
          </cell>
          <cell r="J1958" t="str">
            <v>小家电</v>
          </cell>
          <cell r="K1958" t="str">
            <v>亚都 YD-C253BgW除湿机 1个</v>
          </cell>
          <cell r="L1958" t="str">
            <v>YD-C253BgW(Hi)</v>
          </cell>
          <cell r="M1958" t="str">
            <v>个</v>
          </cell>
          <cell r="N1958">
            <v>1378.65</v>
          </cell>
          <cell r="O1958">
            <v>2429</v>
          </cell>
          <cell r="P1958">
            <v>0.42680115273775199</v>
          </cell>
        </row>
        <row r="1959">
          <cell r="F1959" t="str">
            <v>70574697</v>
          </cell>
          <cell r="G1959" t="str">
            <v>亚都</v>
          </cell>
          <cell r="H1959" t="str">
            <v>亚都</v>
          </cell>
          <cell r="I1959" t="str">
            <v>日用品</v>
          </cell>
          <cell r="J1959" t="str">
            <v>小家电</v>
          </cell>
          <cell r="K1959" t="str">
            <v>亚都 KJ350FC01净化器 1个</v>
          </cell>
          <cell r="L1959" t="str">
            <v>KJ350F-C01</v>
          </cell>
          <cell r="M1959" t="str">
            <v>个</v>
          </cell>
          <cell r="N1959">
            <v>1534.19</v>
          </cell>
          <cell r="O1959">
            <v>1709</v>
          </cell>
          <cell r="P1959">
            <v>9.3399648917495595E-2</v>
          </cell>
        </row>
        <row r="1960">
          <cell r="F1960" t="str">
            <v>70574698</v>
          </cell>
          <cell r="G1960" t="str">
            <v>亚都</v>
          </cell>
          <cell r="H1960" t="str">
            <v>亚都</v>
          </cell>
          <cell r="I1960" t="str">
            <v>日用品</v>
          </cell>
          <cell r="J1960" t="str">
            <v>小家电</v>
          </cell>
          <cell r="K1960" t="str">
            <v>亚都 SZ650M9S无雾加湿器白色 1个</v>
          </cell>
          <cell r="L1960" t="str">
            <v>SZ650-M9S</v>
          </cell>
          <cell r="M1960" t="str">
            <v>个</v>
          </cell>
          <cell r="N1960">
            <v>454.5</v>
          </cell>
          <cell r="O1960">
            <v>629</v>
          </cell>
          <cell r="P1960">
            <v>0.27027027027027001</v>
          </cell>
        </row>
        <row r="1961">
          <cell r="F1961" t="str">
            <v>70574699</v>
          </cell>
          <cell r="G1961" t="str">
            <v>亚都</v>
          </cell>
          <cell r="H1961" t="str">
            <v>亚都</v>
          </cell>
          <cell r="I1961" t="str">
            <v>日用品</v>
          </cell>
          <cell r="J1961" t="str">
            <v>小家电</v>
          </cell>
          <cell r="K1961" t="str">
            <v>亚都 SZ750TJK800无雾加湿器白色 1个</v>
          </cell>
          <cell r="L1961" t="str">
            <v>SZ750-TJK800(Hi)</v>
          </cell>
          <cell r="M1961" t="str">
            <v>个</v>
          </cell>
          <cell r="N1961">
            <v>676.7</v>
          </cell>
          <cell r="O1961">
            <v>809</v>
          </cell>
          <cell r="P1961">
            <v>0.155253399258344</v>
          </cell>
        </row>
        <row r="1962">
          <cell r="F1962" t="str">
            <v>70574700</v>
          </cell>
          <cell r="G1962" t="str">
            <v>亚都</v>
          </cell>
          <cell r="H1962" t="str">
            <v>亚都</v>
          </cell>
          <cell r="I1962" t="str">
            <v>日用品</v>
          </cell>
          <cell r="J1962" t="str">
            <v>小家电</v>
          </cell>
          <cell r="K1962" t="str">
            <v>亚都 SZM1100-V12净化加湿一体机白色 1个</v>
          </cell>
          <cell r="L1962" t="str">
            <v>SZM1100-V12(Hi)</v>
          </cell>
          <cell r="M1962" t="str">
            <v>个</v>
          </cell>
          <cell r="N1962">
            <v>1161.5</v>
          </cell>
          <cell r="O1962">
            <v>1529</v>
          </cell>
          <cell r="P1962">
            <v>0.23283191628515401</v>
          </cell>
        </row>
        <row r="1963">
          <cell r="F1963" t="str">
            <v>70574583</v>
          </cell>
          <cell r="G1963" t="str">
            <v>海尔</v>
          </cell>
          <cell r="H1963" t="str">
            <v>海尔</v>
          </cell>
          <cell r="I1963" t="str">
            <v>日用品</v>
          </cell>
          <cell r="J1963" t="str">
            <v>小家电</v>
          </cell>
          <cell r="K1963" t="str">
            <v>海尔 ZL605B吸尘器 1个</v>
          </cell>
          <cell r="L1963" t="str">
            <v>ZL605B</v>
          </cell>
          <cell r="M1963" t="str">
            <v>个</v>
          </cell>
          <cell r="N1963">
            <v>112.11</v>
          </cell>
          <cell r="O1963">
            <v>125</v>
          </cell>
          <cell r="P1963">
            <v>9.4240000000000004E-2</v>
          </cell>
        </row>
        <row r="1964">
          <cell r="F1964" t="str">
            <v>70574584</v>
          </cell>
          <cell r="G1964" t="str">
            <v>海尔</v>
          </cell>
          <cell r="H1964" t="str">
            <v>海尔</v>
          </cell>
          <cell r="I1964" t="str">
            <v>日用品</v>
          </cell>
          <cell r="J1964" t="str">
            <v>小家电</v>
          </cell>
          <cell r="K1964" t="str">
            <v>海尔 HZC602除螨仪 1个</v>
          </cell>
          <cell r="L1964" t="str">
            <v>HZ-C602</v>
          </cell>
          <cell r="M1964" t="str">
            <v>个</v>
          </cell>
          <cell r="N1964">
            <v>192.91</v>
          </cell>
          <cell r="O1964">
            <v>215</v>
          </cell>
          <cell r="P1964">
            <v>9.3860465116279101E-2</v>
          </cell>
        </row>
        <row r="1965">
          <cell r="F1965" t="str">
            <v>70574585</v>
          </cell>
          <cell r="G1965" t="str">
            <v>海尔</v>
          </cell>
          <cell r="H1965" t="str">
            <v>海尔</v>
          </cell>
          <cell r="I1965" t="str">
            <v>日用品</v>
          </cell>
          <cell r="J1965" t="str">
            <v>小家电</v>
          </cell>
          <cell r="K1965" t="str">
            <v>海尔 HZCL715R除螨仪 1个</v>
          </cell>
          <cell r="L1965" t="str">
            <v>HZ-CL715R</v>
          </cell>
          <cell r="M1965" t="str">
            <v>个</v>
          </cell>
          <cell r="N1965">
            <v>346.43</v>
          </cell>
          <cell r="O1965">
            <v>386</v>
          </cell>
          <cell r="P1965">
            <v>9.3626943005181304E-2</v>
          </cell>
        </row>
        <row r="1966">
          <cell r="F1966" t="str">
            <v>70574586</v>
          </cell>
          <cell r="G1966" t="str">
            <v>海尔</v>
          </cell>
          <cell r="H1966" t="str">
            <v>海尔</v>
          </cell>
          <cell r="I1966" t="str">
            <v>日用品</v>
          </cell>
          <cell r="J1966" t="str">
            <v>小家电</v>
          </cell>
          <cell r="K1966" t="str">
            <v>海尔 MZ57W升级微波炉 1个</v>
          </cell>
          <cell r="L1966" t="str">
            <v>MZ-57W升级</v>
          </cell>
          <cell r="M1966" t="str">
            <v>个</v>
          </cell>
          <cell r="N1966">
            <v>726.19</v>
          </cell>
          <cell r="O1966">
            <v>809</v>
          </cell>
          <cell r="P1966">
            <v>9.34734239802225E-2</v>
          </cell>
        </row>
        <row r="1967">
          <cell r="F1967" t="str">
            <v>70574587</v>
          </cell>
          <cell r="G1967" t="str">
            <v>海尔</v>
          </cell>
          <cell r="H1967" t="str">
            <v>海尔</v>
          </cell>
          <cell r="I1967" t="str">
            <v>日用品</v>
          </cell>
          <cell r="J1967" t="str">
            <v>小家电</v>
          </cell>
          <cell r="K1967" t="str">
            <v>海尔 HRCF5292N专供电饭煲 1个</v>
          </cell>
          <cell r="L1967" t="str">
            <v>HRC-F5292N(专供）</v>
          </cell>
          <cell r="M1967" t="str">
            <v>个</v>
          </cell>
          <cell r="N1967">
            <v>292.89999999999998</v>
          </cell>
          <cell r="O1967">
            <v>332</v>
          </cell>
          <cell r="P1967">
            <v>0.109036144578313</v>
          </cell>
        </row>
        <row r="1968">
          <cell r="F1968" t="str">
            <v>70574366</v>
          </cell>
          <cell r="G1968" t="str">
            <v>海尔</v>
          </cell>
          <cell r="H1968" t="str">
            <v>海尔</v>
          </cell>
          <cell r="I1968" t="str">
            <v>日用品</v>
          </cell>
          <cell r="J1968" t="str">
            <v>小家电</v>
          </cell>
          <cell r="K1968" t="str">
            <v>海尔 HRCC130ADZ电饭煲 1个</v>
          </cell>
          <cell r="L1968" t="str">
            <v>HRC-C130ADZ</v>
          </cell>
          <cell r="M1968" t="str">
            <v>个</v>
          </cell>
          <cell r="N1968">
            <v>249.47</v>
          </cell>
          <cell r="O1968">
            <v>278</v>
          </cell>
          <cell r="P1968">
            <v>9.3741007194244594E-2</v>
          </cell>
        </row>
        <row r="1969">
          <cell r="F1969" t="str">
            <v>70574372</v>
          </cell>
          <cell r="G1969" t="str">
            <v>海尔</v>
          </cell>
          <cell r="H1969" t="str">
            <v>海尔</v>
          </cell>
          <cell r="I1969" t="str">
            <v>日用品</v>
          </cell>
          <cell r="J1969" t="str">
            <v>小家电</v>
          </cell>
          <cell r="K1969" t="str">
            <v>海尔 HRCC140ADZ电饭煲 1个</v>
          </cell>
          <cell r="L1969" t="str">
            <v>HRC-C140ADZ</v>
          </cell>
          <cell r="M1969" t="str">
            <v>个</v>
          </cell>
          <cell r="N1969">
            <v>328.25</v>
          </cell>
          <cell r="O1969">
            <v>394</v>
          </cell>
          <cell r="P1969">
            <v>0.15862944162436499</v>
          </cell>
        </row>
        <row r="1970">
          <cell r="F1970" t="str">
            <v>70574374</v>
          </cell>
          <cell r="G1970" t="str">
            <v>海尔</v>
          </cell>
          <cell r="H1970" t="str">
            <v>海尔</v>
          </cell>
          <cell r="I1970" t="str">
            <v>日用品</v>
          </cell>
          <cell r="J1970" t="str">
            <v>小家电</v>
          </cell>
          <cell r="K1970" t="str">
            <v>海尔 HPCM150ADZ电压力锅 1个</v>
          </cell>
          <cell r="L1970" t="str">
            <v>HPC-M150ADZ</v>
          </cell>
          <cell r="M1970" t="str">
            <v>个</v>
          </cell>
          <cell r="N1970">
            <v>402.99</v>
          </cell>
          <cell r="O1970">
            <v>449</v>
          </cell>
          <cell r="P1970">
            <v>9.3585746102449893E-2</v>
          </cell>
        </row>
        <row r="1971">
          <cell r="F1971" t="str">
            <v>70574378</v>
          </cell>
          <cell r="G1971" t="str">
            <v>海尔</v>
          </cell>
          <cell r="H1971" t="str">
            <v>海尔</v>
          </cell>
          <cell r="I1971" t="str">
            <v>日用品</v>
          </cell>
          <cell r="J1971" t="str">
            <v>小家电</v>
          </cell>
          <cell r="K1971" t="str">
            <v>海尔 HPCM160ADZ电压力锅 1个</v>
          </cell>
          <cell r="L1971" t="str">
            <v>HPC-M160ADZ</v>
          </cell>
          <cell r="M1971" t="str">
            <v>个</v>
          </cell>
          <cell r="N1971">
            <v>473.69</v>
          </cell>
          <cell r="O1971">
            <v>539</v>
          </cell>
          <cell r="P1971">
            <v>0.11246753246753199</v>
          </cell>
        </row>
        <row r="1972">
          <cell r="F1972" t="str">
            <v>70574380</v>
          </cell>
          <cell r="G1972" t="str">
            <v>海尔</v>
          </cell>
          <cell r="H1972" t="str">
            <v>海尔</v>
          </cell>
          <cell r="I1972" t="str">
            <v>日用品</v>
          </cell>
          <cell r="J1972" t="str">
            <v>小家电</v>
          </cell>
          <cell r="K1972" t="str">
            <v>海尔 HD50XY3R电火锅 1个</v>
          </cell>
          <cell r="L1972" t="str">
            <v>HD-50XY3R</v>
          </cell>
          <cell r="M1972" t="str">
            <v>个</v>
          </cell>
          <cell r="N1972">
            <v>209.07</v>
          </cell>
          <cell r="O1972">
            <v>233</v>
          </cell>
          <cell r="P1972">
            <v>9.38197424892704E-2</v>
          </cell>
        </row>
        <row r="1973">
          <cell r="F1973" t="str">
            <v>70574381</v>
          </cell>
          <cell r="G1973" t="str">
            <v>海尔</v>
          </cell>
          <cell r="H1973" t="str">
            <v>海尔</v>
          </cell>
          <cell r="I1973" t="str">
            <v>日用品</v>
          </cell>
          <cell r="J1973" t="str">
            <v>小家电</v>
          </cell>
          <cell r="K1973" t="str">
            <v>海尔 HKTTK1S1712电水壶 1个</v>
          </cell>
          <cell r="L1973" t="str">
            <v>HKT-TK1S1712</v>
          </cell>
          <cell r="M1973" t="str">
            <v>个</v>
          </cell>
          <cell r="N1973">
            <v>141.4</v>
          </cell>
          <cell r="O1973">
            <v>178</v>
          </cell>
          <cell r="P1973">
            <v>0.19775280898876399</v>
          </cell>
        </row>
        <row r="1974">
          <cell r="F1974" t="str">
            <v>70574382</v>
          </cell>
          <cell r="G1974" t="str">
            <v>海尔</v>
          </cell>
          <cell r="H1974" t="str">
            <v>海尔</v>
          </cell>
          <cell r="I1974" t="str">
            <v>日用品</v>
          </cell>
          <cell r="J1974" t="str">
            <v>小家电</v>
          </cell>
          <cell r="K1974" t="str">
            <v>海尔 HZC10W除螨仪 1个</v>
          </cell>
          <cell r="L1974" t="str">
            <v>HZ-C10W</v>
          </cell>
          <cell r="M1974" t="str">
            <v>个</v>
          </cell>
          <cell r="N1974">
            <v>427.23</v>
          </cell>
          <cell r="O1974">
            <v>476</v>
          </cell>
          <cell r="P1974">
            <v>9.3571428571428597E-2</v>
          </cell>
        </row>
        <row r="1975">
          <cell r="F1975" t="str">
            <v>70574384</v>
          </cell>
          <cell r="G1975" t="str">
            <v>海尔</v>
          </cell>
          <cell r="H1975" t="str">
            <v>海尔</v>
          </cell>
          <cell r="I1975" t="str">
            <v>日用品</v>
          </cell>
          <cell r="J1975" t="str">
            <v>小家电</v>
          </cell>
          <cell r="K1975" t="str">
            <v>海尔 MZC2070M1升级微波炉 1个</v>
          </cell>
          <cell r="L1975" t="str">
            <v>MZC-2070M1升级</v>
          </cell>
          <cell r="M1975" t="str">
            <v>个</v>
          </cell>
          <cell r="N1975">
            <v>473.69</v>
          </cell>
          <cell r="O1975">
            <v>809</v>
          </cell>
          <cell r="P1975">
            <v>0.40867737948084099</v>
          </cell>
        </row>
        <row r="1976">
          <cell r="F1976" t="str">
            <v>70574386</v>
          </cell>
          <cell r="G1976" t="str">
            <v>海尔</v>
          </cell>
          <cell r="H1976" t="str">
            <v>海尔</v>
          </cell>
          <cell r="I1976" t="str">
            <v>日用品</v>
          </cell>
          <cell r="J1976" t="str">
            <v>小家电</v>
          </cell>
          <cell r="K1976" t="str">
            <v>海尔 MZ2017W升级微波炉 1个</v>
          </cell>
          <cell r="L1976" t="str">
            <v>MZ-2017W升级</v>
          </cell>
          <cell r="M1976" t="str">
            <v>个</v>
          </cell>
          <cell r="N1976">
            <v>370.67</v>
          </cell>
          <cell r="O1976">
            <v>413</v>
          </cell>
          <cell r="P1976">
            <v>9.3607748184019401E-2</v>
          </cell>
        </row>
        <row r="1977">
          <cell r="F1977" t="str">
            <v>70574400</v>
          </cell>
          <cell r="G1977" t="str">
            <v>海尔</v>
          </cell>
          <cell r="H1977" t="str">
            <v>海尔</v>
          </cell>
          <cell r="I1977" t="str">
            <v>日用品</v>
          </cell>
          <cell r="J1977" t="str">
            <v>小家电</v>
          </cell>
          <cell r="K1977" t="str">
            <v>海尔 HAE45DKS空气炸锅 1个</v>
          </cell>
          <cell r="L1977" t="str">
            <v>HA-E45DKS</v>
          </cell>
          <cell r="M1977" t="str">
            <v>个</v>
          </cell>
          <cell r="N1977">
            <v>338.35</v>
          </cell>
          <cell r="O1977">
            <v>413</v>
          </cell>
          <cell r="P1977">
            <v>0.17263922518159799</v>
          </cell>
        </row>
        <row r="1978">
          <cell r="F1978" t="str">
            <v>70574588</v>
          </cell>
          <cell r="G1978" t="str">
            <v>海尔</v>
          </cell>
          <cell r="H1978" t="str">
            <v>海尔</v>
          </cell>
          <cell r="I1978" t="str">
            <v>日用品</v>
          </cell>
          <cell r="J1978" t="str">
            <v>小家电</v>
          </cell>
          <cell r="K1978" t="str">
            <v>海尔 HAM45DKS空气炸锅 1个</v>
          </cell>
          <cell r="L1978" t="str">
            <v>HA-M45DKS</v>
          </cell>
          <cell r="M1978" t="str">
            <v>个</v>
          </cell>
          <cell r="N1978">
            <v>323.2</v>
          </cell>
          <cell r="O1978">
            <v>395</v>
          </cell>
          <cell r="P1978">
            <v>0.17367088607594899</v>
          </cell>
        </row>
        <row r="1979">
          <cell r="F1979" t="str">
            <v>70574589</v>
          </cell>
          <cell r="G1979" t="str">
            <v>海尔</v>
          </cell>
          <cell r="H1979" t="str">
            <v>海尔</v>
          </cell>
          <cell r="I1979" t="str">
            <v>日用品</v>
          </cell>
          <cell r="J1979" t="str">
            <v>小家电</v>
          </cell>
          <cell r="K1979" t="str">
            <v>海尔 HAE4510S空气炸锅 1个</v>
          </cell>
          <cell r="L1979" t="str">
            <v>HA-E4510S</v>
          </cell>
          <cell r="M1979" t="str">
            <v>个</v>
          </cell>
          <cell r="N1979">
            <v>272.7</v>
          </cell>
          <cell r="O1979">
            <v>323</v>
          </cell>
          <cell r="P1979">
            <v>0.14736842105263201</v>
          </cell>
        </row>
        <row r="1980">
          <cell r="F1980" t="str">
            <v>70574590</v>
          </cell>
          <cell r="G1980" t="str">
            <v>海尔</v>
          </cell>
          <cell r="H1980" t="str">
            <v>海尔</v>
          </cell>
          <cell r="I1980" t="str">
            <v>日用品</v>
          </cell>
          <cell r="J1980" t="str">
            <v>小家电</v>
          </cell>
          <cell r="K1980" t="str">
            <v>海尔 C21H3101A电磁炉 1个</v>
          </cell>
          <cell r="L1980" t="str">
            <v>C21-H3101A</v>
          </cell>
          <cell r="M1980" t="str">
            <v>个</v>
          </cell>
          <cell r="N1980">
            <v>308.05</v>
          </cell>
          <cell r="O1980">
            <v>359</v>
          </cell>
          <cell r="P1980">
            <v>0.133426183844011</v>
          </cell>
        </row>
        <row r="1981">
          <cell r="F1981" t="str">
            <v>70574591</v>
          </cell>
          <cell r="G1981" t="str">
            <v>海尔</v>
          </cell>
          <cell r="H1981" t="str">
            <v>海尔</v>
          </cell>
          <cell r="I1981" t="str">
            <v>日用品</v>
          </cell>
          <cell r="J1981" t="str">
            <v>小家电</v>
          </cell>
          <cell r="K1981" t="str">
            <v>海尔 HPBH01免手洗破壁机 1个</v>
          </cell>
          <cell r="L1981" t="str">
            <v>HPB-H01</v>
          </cell>
          <cell r="M1981" t="str">
            <v>个</v>
          </cell>
          <cell r="N1981">
            <v>989.8</v>
          </cell>
          <cell r="O1981">
            <v>1169</v>
          </cell>
          <cell r="P1981">
            <v>0.14491017964071901</v>
          </cell>
        </row>
        <row r="1982">
          <cell r="F1982" t="str">
            <v>70574592</v>
          </cell>
          <cell r="G1982" t="str">
            <v>海尔</v>
          </cell>
          <cell r="H1982" t="str">
            <v>海尔</v>
          </cell>
          <cell r="I1982" t="str">
            <v>日用品</v>
          </cell>
          <cell r="J1982" t="str">
            <v>小家电</v>
          </cell>
          <cell r="K1982" t="str">
            <v>海尔 HPBTC1W1211轻音破壁机 1个</v>
          </cell>
          <cell r="L1982" t="str">
            <v>HPB-TC1W1211</v>
          </cell>
          <cell r="M1982" t="str">
            <v>个</v>
          </cell>
          <cell r="N1982">
            <v>414.1</v>
          </cell>
          <cell r="O1982">
            <v>503</v>
          </cell>
          <cell r="P1982">
            <v>0.16858846918489101</v>
          </cell>
        </row>
        <row r="1983">
          <cell r="F1983" t="str">
            <v>70574593</v>
          </cell>
          <cell r="G1983" t="str">
            <v>海尔</v>
          </cell>
          <cell r="H1983" t="str">
            <v>海尔</v>
          </cell>
          <cell r="I1983" t="str">
            <v>日用品</v>
          </cell>
          <cell r="J1983" t="str">
            <v>小家电</v>
          </cell>
          <cell r="K1983" t="str">
            <v>海尔 HDKPBAX12801破壁机 1个</v>
          </cell>
          <cell r="L1983" t="str">
            <v>HDKPBAX12801</v>
          </cell>
          <cell r="M1983" t="str">
            <v>个</v>
          </cell>
          <cell r="N1983">
            <v>454.5</v>
          </cell>
          <cell r="O1983">
            <v>2696</v>
          </cell>
          <cell r="P1983">
            <v>0.82974777448071202</v>
          </cell>
        </row>
        <row r="1984">
          <cell r="F1984" t="str">
            <v>70574595</v>
          </cell>
          <cell r="G1984" t="str">
            <v>海尔</v>
          </cell>
          <cell r="H1984" t="str">
            <v>海尔</v>
          </cell>
          <cell r="I1984" t="str">
            <v>日用品</v>
          </cell>
          <cell r="J1984" t="str">
            <v>小家电</v>
          </cell>
          <cell r="K1984" t="str">
            <v>海尔 HKTK5M17W电水壶 1个</v>
          </cell>
          <cell r="L1984" t="str">
            <v>HKT-K5M17W</v>
          </cell>
          <cell r="M1984" t="str">
            <v>个</v>
          </cell>
          <cell r="N1984">
            <v>95.95</v>
          </cell>
          <cell r="O1984">
            <v>125</v>
          </cell>
          <cell r="P1984">
            <v>0.2248</v>
          </cell>
        </row>
        <row r="1985">
          <cell r="F1985" t="str">
            <v>70574596</v>
          </cell>
          <cell r="G1985" t="str">
            <v>海尔</v>
          </cell>
          <cell r="H1985" t="str">
            <v>海尔</v>
          </cell>
          <cell r="I1985" t="str">
            <v>日用品</v>
          </cell>
          <cell r="J1985" t="str">
            <v>小家电</v>
          </cell>
          <cell r="K1985" t="str">
            <v>海尔 K301A电烤箱 1个</v>
          </cell>
          <cell r="L1985" t="str">
            <v>K-301A</v>
          </cell>
          <cell r="M1985" t="str">
            <v>个</v>
          </cell>
          <cell r="N1985">
            <v>280.77999999999997</v>
          </cell>
          <cell r="O1985">
            <v>449</v>
          </cell>
          <cell r="P1985">
            <v>0.36846325167037902</v>
          </cell>
        </row>
        <row r="1986">
          <cell r="F1986" t="str">
            <v>70574393</v>
          </cell>
          <cell r="G1986" t="str">
            <v>海尔</v>
          </cell>
          <cell r="H1986" t="str">
            <v>海尔</v>
          </cell>
          <cell r="I1986" t="str">
            <v>日用品</v>
          </cell>
          <cell r="J1986" t="str">
            <v>小家电</v>
          </cell>
          <cell r="K1986" t="str">
            <v>海尔 DYg-MX5001A多功能锅 1个</v>
          </cell>
          <cell r="L1986" t="str">
            <v>DYg-MX5001A(大礼包)</v>
          </cell>
          <cell r="M1986" t="str">
            <v>个</v>
          </cell>
          <cell r="N1986">
            <v>313.10000000000002</v>
          </cell>
          <cell r="O1986">
            <v>395</v>
          </cell>
          <cell r="P1986">
            <v>0.199493670886076</v>
          </cell>
        </row>
        <row r="1987">
          <cell r="F1987" t="str">
            <v>70574385</v>
          </cell>
          <cell r="G1987" t="str">
            <v>海尔</v>
          </cell>
          <cell r="H1987" t="str">
            <v>海尔</v>
          </cell>
          <cell r="I1987" t="str">
            <v>日用品</v>
          </cell>
          <cell r="J1987" t="str">
            <v>小家电</v>
          </cell>
          <cell r="K1987" t="str">
            <v>海尔 高速电吹风HF71Air灵境紫 1个</v>
          </cell>
          <cell r="L1987" t="str">
            <v>HF71 Air灵境紫</v>
          </cell>
          <cell r="M1987" t="str">
            <v>个</v>
          </cell>
          <cell r="N1987">
            <v>200.99</v>
          </cell>
          <cell r="O1987">
            <v>224</v>
          </cell>
          <cell r="P1987">
            <v>9.3839285714285806E-2</v>
          </cell>
        </row>
        <row r="1988">
          <cell r="F1988" t="str">
            <v>70574383</v>
          </cell>
          <cell r="G1988" t="str">
            <v>海尔</v>
          </cell>
          <cell r="H1988" t="str">
            <v>海尔</v>
          </cell>
          <cell r="I1988" t="str">
            <v>日用品</v>
          </cell>
          <cell r="J1988" t="str">
            <v>小家电</v>
          </cell>
          <cell r="K1988" t="str">
            <v>海尔 高速电吹风HF71Air流云粉 1个</v>
          </cell>
          <cell r="L1988" t="str">
            <v>HF71 Air流云粉</v>
          </cell>
          <cell r="M1988" t="str">
            <v>个</v>
          </cell>
          <cell r="N1988">
            <v>200.99</v>
          </cell>
          <cell r="O1988">
            <v>224</v>
          </cell>
          <cell r="P1988">
            <v>9.3839285714285806E-2</v>
          </cell>
        </row>
        <row r="1989">
          <cell r="F1989" t="str">
            <v>70574379</v>
          </cell>
          <cell r="G1989" t="str">
            <v>海尔</v>
          </cell>
          <cell r="H1989" t="str">
            <v>海尔</v>
          </cell>
          <cell r="I1989" t="str">
            <v>日用品</v>
          </cell>
          <cell r="J1989" t="str">
            <v>小家电</v>
          </cell>
          <cell r="K1989" t="str">
            <v>海尔 KJ216FA600空气净化器 1个</v>
          </cell>
          <cell r="L1989" t="str">
            <v>KJ216F-A600</v>
          </cell>
          <cell r="M1989" t="str">
            <v>个</v>
          </cell>
          <cell r="N1989">
            <v>424.2</v>
          </cell>
          <cell r="O1989">
            <v>3059</v>
          </cell>
          <cell r="P1989">
            <v>0.85995423340961097</v>
          </cell>
        </row>
        <row r="1990">
          <cell r="F1990" t="str">
            <v>70574376</v>
          </cell>
          <cell r="G1990" t="str">
            <v>海尔</v>
          </cell>
          <cell r="H1990" t="str">
            <v>海尔</v>
          </cell>
          <cell r="I1990" t="str">
            <v>日用品</v>
          </cell>
          <cell r="J1990" t="str">
            <v>小家电</v>
          </cell>
          <cell r="K1990" t="str">
            <v>海尔 ZKJg60TA1桌面净化器 1个</v>
          </cell>
          <cell r="L1990" t="str">
            <v>ZKJ-g60TA1</v>
          </cell>
          <cell r="M1990" t="str">
            <v>个</v>
          </cell>
          <cell r="N1990">
            <v>227.25</v>
          </cell>
          <cell r="O1990">
            <v>269</v>
          </cell>
          <cell r="P1990">
            <v>0.14684014869888501</v>
          </cell>
        </row>
        <row r="1991">
          <cell r="F1991" t="str">
            <v>70574369</v>
          </cell>
          <cell r="G1991" t="str">
            <v>海尔</v>
          </cell>
          <cell r="H1991" t="str">
            <v>海尔</v>
          </cell>
          <cell r="I1991" t="str">
            <v>日用品</v>
          </cell>
          <cell r="J1991" t="str">
            <v>小家电</v>
          </cell>
          <cell r="K1991" t="str">
            <v>海尔 HFXJ20桌面循环扇 1个</v>
          </cell>
          <cell r="L1991" t="str">
            <v>HFX-J20</v>
          </cell>
          <cell r="M1991" t="str">
            <v>个</v>
          </cell>
          <cell r="N1991">
            <v>141.4</v>
          </cell>
          <cell r="O1991">
            <v>269</v>
          </cell>
          <cell r="P1991">
            <v>0.46914498141263899</v>
          </cell>
        </row>
        <row r="1992">
          <cell r="F1992" t="str">
            <v>70574597</v>
          </cell>
          <cell r="G1992" t="str">
            <v>海尔</v>
          </cell>
          <cell r="H1992" t="str">
            <v>海尔</v>
          </cell>
          <cell r="I1992" t="str">
            <v>日用品</v>
          </cell>
          <cell r="J1992" t="str">
            <v>小家电</v>
          </cell>
          <cell r="K1992" t="str">
            <v>海尔 HNKS2223B踢脚线 1个</v>
          </cell>
          <cell r="L1992" t="str">
            <v>HNK-S2223B</v>
          </cell>
          <cell r="M1992" t="str">
            <v>个</v>
          </cell>
          <cell r="N1992">
            <v>454.5</v>
          </cell>
          <cell r="O1992">
            <v>989</v>
          </cell>
          <cell r="P1992">
            <v>0.53589484327603598</v>
          </cell>
        </row>
        <row r="1993">
          <cell r="F1993" t="str">
            <v>70574598</v>
          </cell>
          <cell r="G1993" t="str">
            <v>海尔</v>
          </cell>
          <cell r="H1993" t="str">
            <v>海尔</v>
          </cell>
          <cell r="I1993" t="str">
            <v>日用品</v>
          </cell>
          <cell r="J1993" t="str">
            <v>小家电</v>
          </cell>
          <cell r="K1993" t="str">
            <v>海尔 HNK2223B踢脚线 1个</v>
          </cell>
          <cell r="L1993" t="str">
            <v>HNK-2223B</v>
          </cell>
          <cell r="M1993" t="str">
            <v>个</v>
          </cell>
          <cell r="N1993">
            <v>383.8</v>
          </cell>
          <cell r="O1993">
            <v>899</v>
          </cell>
          <cell r="P1993">
            <v>0.568854282536151</v>
          </cell>
        </row>
        <row r="1994">
          <cell r="F1994" t="str">
            <v>70574599</v>
          </cell>
          <cell r="G1994" t="str">
            <v>海尔</v>
          </cell>
          <cell r="H1994" t="str">
            <v>海尔</v>
          </cell>
          <cell r="I1994" t="str">
            <v>日用品</v>
          </cell>
          <cell r="J1994" t="str">
            <v>小家电</v>
          </cell>
          <cell r="K1994" t="str">
            <v>海尔 HK2219踢脚线 1个</v>
          </cell>
          <cell r="L1994" t="str">
            <v>HK2219</v>
          </cell>
          <cell r="M1994" t="str">
            <v>个</v>
          </cell>
          <cell r="N1994">
            <v>303</v>
          </cell>
          <cell r="O1994">
            <v>719</v>
          </cell>
          <cell r="P1994">
            <v>0.57440890125173805</v>
          </cell>
        </row>
        <row r="1995">
          <cell r="F1995" t="str">
            <v>70574600</v>
          </cell>
          <cell r="G1995" t="str">
            <v>海尔</v>
          </cell>
          <cell r="H1995" t="str">
            <v>海尔</v>
          </cell>
          <cell r="I1995" t="str">
            <v>日用品</v>
          </cell>
          <cell r="J1995" t="str">
            <v>小家电</v>
          </cell>
          <cell r="K1995" t="str">
            <v>海尔 HKS2219踢脚线 1个</v>
          </cell>
          <cell r="L1995" t="str">
            <v>HKS2219</v>
          </cell>
          <cell r="M1995" t="str">
            <v>个</v>
          </cell>
          <cell r="N1995">
            <v>353.5</v>
          </cell>
          <cell r="O1995">
            <v>809</v>
          </cell>
          <cell r="P1995">
            <v>0.55871446229913502</v>
          </cell>
        </row>
        <row r="1996">
          <cell r="F1996" t="str">
            <v>70574601</v>
          </cell>
          <cell r="G1996" t="str">
            <v>海尔</v>
          </cell>
          <cell r="H1996" t="str">
            <v>海尔</v>
          </cell>
          <cell r="I1996" t="str">
            <v>日用品</v>
          </cell>
          <cell r="J1996" t="str">
            <v>小家电</v>
          </cell>
          <cell r="K1996" t="str">
            <v>海尔 HYgSU1挂烫机 1个</v>
          </cell>
          <cell r="L1996" t="str">
            <v>HY-gSU1</v>
          </cell>
          <cell r="M1996" t="str">
            <v>个</v>
          </cell>
          <cell r="N1996">
            <v>2020</v>
          </cell>
          <cell r="O1996">
            <v>2429</v>
          </cell>
          <cell r="P1996">
            <v>0.16014820913956401</v>
          </cell>
        </row>
        <row r="1997">
          <cell r="F1997" t="str">
            <v>70574435</v>
          </cell>
          <cell r="G1997" t="str">
            <v>海尔</v>
          </cell>
          <cell r="H1997" t="str">
            <v>海尔</v>
          </cell>
          <cell r="I1997" t="str">
            <v>日用品</v>
          </cell>
          <cell r="J1997" t="str">
            <v>小家电</v>
          </cell>
          <cell r="K1997" t="str">
            <v>海尔 SZM1600AC5U1加湿净化一体机 1个</v>
          </cell>
          <cell r="L1997" t="str">
            <v>SZM1600A-C5U1</v>
          </cell>
          <cell r="M1997" t="str">
            <v>个</v>
          </cell>
          <cell r="N1997">
            <v>3838</v>
          </cell>
          <cell r="O1997">
            <v>4499</v>
          </cell>
          <cell r="P1997">
            <v>0.13847521671482599</v>
          </cell>
        </row>
        <row r="1998">
          <cell r="F1998" t="str">
            <v>70574602</v>
          </cell>
          <cell r="G1998" t="str">
            <v>海尔</v>
          </cell>
          <cell r="H1998" t="str">
            <v>海尔</v>
          </cell>
          <cell r="I1998" t="str">
            <v>日用品</v>
          </cell>
          <cell r="J1998" t="str">
            <v>小家电</v>
          </cell>
          <cell r="K1998" t="str">
            <v>海尔 HKZE3SQDU1蒸烤一体机 1个</v>
          </cell>
          <cell r="L1998" t="str">
            <v>HK-ZE3SQDU1</v>
          </cell>
          <cell r="M1998" t="str">
            <v>个</v>
          </cell>
          <cell r="N1998">
            <v>1595.8</v>
          </cell>
          <cell r="O1998">
            <v>1799</v>
          </cell>
          <cell r="P1998">
            <v>0.10416898276820501</v>
          </cell>
        </row>
        <row r="1999">
          <cell r="F1999" t="str">
            <v>70574442</v>
          </cell>
          <cell r="G1999" t="str">
            <v>霍尼韦尔</v>
          </cell>
          <cell r="H1999" t="str">
            <v>霍尼韦尔</v>
          </cell>
          <cell r="I1999" t="str">
            <v>日用品</v>
          </cell>
          <cell r="J1999" t="str">
            <v>小家电</v>
          </cell>
          <cell r="K1999" t="str">
            <v>霍尼韦尔 KJ250FJ11W空气净化器 1个</v>
          </cell>
          <cell r="L1999" t="str">
            <v>KJ250F-J11W</v>
          </cell>
          <cell r="M1999" t="str">
            <v>个</v>
          </cell>
          <cell r="N1999">
            <v>1210.99</v>
          </cell>
          <cell r="O1999">
            <v>1286</v>
          </cell>
          <cell r="P1999">
            <v>4.900466562986E-2</v>
          </cell>
        </row>
        <row r="2000">
          <cell r="F2000" t="str">
            <v>70574438</v>
          </cell>
          <cell r="G2000" t="str">
            <v>霍尼韦尔</v>
          </cell>
          <cell r="H2000" t="str">
            <v>霍尼韦尔</v>
          </cell>
          <cell r="I2000" t="str">
            <v>日用品</v>
          </cell>
          <cell r="J2000" t="str">
            <v>小家电</v>
          </cell>
          <cell r="K2000" t="str">
            <v>霍尼韦尔 KJ400FP21W空气净化器 1个</v>
          </cell>
          <cell r="L2000" t="str">
            <v>KJ400F-P21W</v>
          </cell>
          <cell r="M2000" t="str">
            <v>个</v>
          </cell>
          <cell r="N2000">
            <v>1917.99</v>
          </cell>
          <cell r="O2000">
            <v>1916</v>
          </cell>
          <cell r="P2000">
            <v>-1.0949895615866401E-2</v>
          </cell>
        </row>
        <row r="2001">
          <cell r="F2001" t="str">
            <v>70574434</v>
          </cell>
          <cell r="G2001" t="str">
            <v>霍尼韦尔</v>
          </cell>
          <cell r="H2001" t="str">
            <v>霍尼韦尔</v>
          </cell>
          <cell r="I2001" t="str">
            <v>日用品</v>
          </cell>
          <cell r="J2001" t="str">
            <v>小家电</v>
          </cell>
          <cell r="K2001" t="str">
            <v>霍尼韦尔 KJ460FP21W空气净化器 1个</v>
          </cell>
          <cell r="L2001" t="str">
            <v>KJ460F-P21W</v>
          </cell>
          <cell r="M2001" t="str">
            <v>个</v>
          </cell>
          <cell r="N2001">
            <v>2453.29</v>
          </cell>
          <cell r="O2001">
            <v>2999</v>
          </cell>
          <cell r="P2001">
            <v>0.17386462154051399</v>
          </cell>
        </row>
        <row r="2002">
          <cell r="F2002" t="str">
            <v>70574603</v>
          </cell>
          <cell r="G2002" t="str">
            <v>超人</v>
          </cell>
          <cell r="H2002" t="str">
            <v>超人</v>
          </cell>
          <cell r="I2002" t="str">
            <v>日用品</v>
          </cell>
          <cell r="J2002" t="str">
            <v>小家电</v>
          </cell>
          <cell r="K2002" t="str">
            <v>超人 RS218迷你便携电动剃须刀 1个</v>
          </cell>
          <cell r="L2002" t="str">
            <v>1个</v>
          </cell>
          <cell r="M2002" t="str">
            <v>个</v>
          </cell>
          <cell r="N2002">
            <v>65.349999999999994</v>
          </cell>
          <cell r="O2002">
            <v>89</v>
          </cell>
          <cell r="P2002">
            <v>0.25853932584269701</v>
          </cell>
        </row>
        <row r="2003">
          <cell r="F2003" t="str">
            <v>70574618</v>
          </cell>
          <cell r="G2003" t="str">
            <v>超人</v>
          </cell>
          <cell r="H2003" t="str">
            <v>超人</v>
          </cell>
          <cell r="I2003" t="str">
            <v>日用品</v>
          </cell>
          <cell r="J2003" t="str">
            <v>小家电</v>
          </cell>
          <cell r="K2003" t="str">
            <v>超人 RS7375智能数显便携剃须刀 1个</v>
          </cell>
          <cell r="L2003" t="str">
            <v>1个</v>
          </cell>
          <cell r="M2003" t="str">
            <v>个</v>
          </cell>
          <cell r="N2003">
            <v>100.86</v>
          </cell>
          <cell r="O2003">
            <v>159</v>
          </cell>
          <cell r="P2003">
            <v>0.35937106918238998</v>
          </cell>
        </row>
        <row r="2004">
          <cell r="F2004" t="str">
            <v>70513673</v>
          </cell>
          <cell r="G2004" t="str">
            <v>超人</v>
          </cell>
          <cell r="H2004" t="str">
            <v>超人</v>
          </cell>
          <cell r="I2004" t="str">
            <v>日用品</v>
          </cell>
          <cell r="J2004" t="str">
            <v>小家电</v>
          </cell>
          <cell r="K2004" t="str">
            <v>超人 智能电动全身水洗剃须刀RS7368 1个</v>
          </cell>
          <cell r="L2004" t="str">
            <v>1个</v>
          </cell>
          <cell r="M2004" t="str">
            <v>个</v>
          </cell>
          <cell r="N2004">
            <v>171.3</v>
          </cell>
          <cell r="O2004">
            <v>219</v>
          </cell>
          <cell r="P2004">
            <v>0.210091324200913</v>
          </cell>
        </row>
        <row r="2005">
          <cell r="F2005" t="str">
            <v>70574619</v>
          </cell>
          <cell r="G2005" t="str">
            <v>超人</v>
          </cell>
          <cell r="H2005" t="str">
            <v>超人</v>
          </cell>
          <cell r="I2005" t="str">
            <v>日用品</v>
          </cell>
          <cell r="J2005" t="str">
            <v>小家电</v>
          </cell>
          <cell r="K2005" t="str">
            <v>超人 RS7372剃须刀 1个</v>
          </cell>
          <cell r="L2005" t="str">
            <v>1个</v>
          </cell>
          <cell r="M2005" t="str">
            <v>个</v>
          </cell>
          <cell r="N2005">
            <v>74.84</v>
          </cell>
          <cell r="O2005">
            <v>99</v>
          </cell>
          <cell r="P2005">
            <v>0.23656565656565701</v>
          </cell>
        </row>
        <row r="2006">
          <cell r="F2006" t="str">
            <v>70574620</v>
          </cell>
          <cell r="G2006" t="str">
            <v>超人</v>
          </cell>
          <cell r="H2006" t="str">
            <v>超人</v>
          </cell>
          <cell r="I2006" t="str">
            <v>日用品</v>
          </cell>
          <cell r="J2006" t="str">
            <v>小家电</v>
          </cell>
          <cell r="K2006" t="str">
            <v>超人 RS357剃须刀 1个</v>
          </cell>
          <cell r="L2006" t="str">
            <v>1个</v>
          </cell>
          <cell r="M2006" t="str">
            <v>个</v>
          </cell>
          <cell r="N2006">
            <v>82.52</v>
          </cell>
          <cell r="O2006">
            <v>112</v>
          </cell>
          <cell r="P2006">
            <v>0.25598214285714299</v>
          </cell>
        </row>
        <row r="2007">
          <cell r="F2007" t="str">
            <v>70574701</v>
          </cell>
          <cell r="G2007" t="str">
            <v>暴龙</v>
          </cell>
          <cell r="H2007" t="str">
            <v>暴龙</v>
          </cell>
          <cell r="I2007" t="str">
            <v>日用品</v>
          </cell>
          <cell r="J2007" t="str">
            <v>太阳镜</v>
          </cell>
          <cell r="K2007" t="str">
            <v>暴龙 BL3151C10太阳镜 1个</v>
          </cell>
          <cell r="L2007" t="str">
            <v>BL3151C10</v>
          </cell>
          <cell r="M2007" t="str">
            <v>个</v>
          </cell>
          <cell r="N2007">
            <v>543.38</v>
          </cell>
          <cell r="O2007">
            <v>700</v>
          </cell>
          <cell r="P2007">
            <v>0.216057142857143</v>
          </cell>
        </row>
        <row r="2008">
          <cell r="F2008" t="str">
            <v>70574702</v>
          </cell>
          <cell r="G2008" t="str">
            <v>暴龙</v>
          </cell>
          <cell r="H2008" t="str">
            <v>暴龙</v>
          </cell>
          <cell r="I2008" t="str">
            <v>日用品</v>
          </cell>
          <cell r="J2008" t="str">
            <v>太阳镜</v>
          </cell>
          <cell r="K2008" t="str">
            <v>暴龙 BL7200A63太阳镜 1个</v>
          </cell>
          <cell r="L2008" t="str">
            <v>BL7200A63</v>
          </cell>
          <cell r="M2008" t="str">
            <v>个</v>
          </cell>
          <cell r="N2008">
            <v>543.38</v>
          </cell>
          <cell r="O2008">
            <v>700</v>
          </cell>
          <cell r="P2008">
            <v>0.216057142857143</v>
          </cell>
        </row>
        <row r="2009">
          <cell r="F2009" t="str">
            <v>70574703</v>
          </cell>
          <cell r="G2009" t="str">
            <v>暴龙</v>
          </cell>
          <cell r="H2009" t="str">
            <v>暴龙</v>
          </cell>
          <cell r="I2009" t="str">
            <v>日用品</v>
          </cell>
          <cell r="J2009" t="str">
            <v>太阳镜</v>
          </cell>
          <cell r="K2009" t="str">
            <v>暴龙 BL8109C10太阳镜 1个</v>
          </cell>
          <cell r="L2009" t="str">
            <v>BL8109C10</v>
          </cell>
          <cell r="M2009" t="str">
            <v>个</v>
          </cell>
          <cell r="N2009">
            <v>543.38</v>
          </cell>
          <cell r="O2009">
            <v>700</v>
          </cell>
          <cell r="P2009">
            <v>0.216057142857143</v>
          </cell>
        </row>
        <row r="2010">
          <cell r="F2010" t="str">
            <v>70468786</v>
          </cell>
          <cell r="G2010" t="str">
            <v>gERM</v>
          </cell>
          <cell r="H2010" t="str">
            <v>gERM</v>
          </cell>
          <cell r="I2010" t="str">
            <v>日用品</v>
          </cell>
          <cell r="J2010" t="str">
            <v>水具</v>
          </cell>
          <cell r="K2010" t="str">
            <v>gERM 可口可乐联名款菱形咖啡杯红 390mL</v>
          </cell>
          <cell r="L2010" t="str">
            <v>390mL</v>
          </cell>
          <cell r="M2010" t="str">
            <v>个</v>
          </cell>
          <cell r="N2010">
            <v>98.98</v>
          </cell>
          <cell r="O2010">
            <v>127</v>
          </cell>
          <cell r="P2010">
            <v>0.21291338582677199</v>
          </cell>
        </row>
        <row r="2011">
          <cell r="F2011" t="str">
            <v>70532582</v>
          </cell>
          <cell r="G2011" t="str">
            <v>gERM</v>
          </cell>
          <cell r="H2011" t="str">
            <v>gERM</v>
          </cell>
          <cell r="I2011" t="str">
            <v>日用品</v>
          </cell>
          <cell r="J2011" t="str">
            <v>水具</v>
          </cell>
          <cell r="K2011" t="str">
            <v>gERM 可口可乐联名款闪耀保温杯暮色黑 500mL</v>
          </cell>
          <cell r="L2011" t="str">
            <v>500mL</v>
          </cell>
          <cell r="M2011" t="str">
            <v>个</v>
          </cell>
          <cell r="N2011">
            <v>106.05</v>
          </cell>
          <cell r="O2011">
            <v>136</v>
          </cell>
          <cell r="P2011">
            <v>0.21249999999999999</v>
          </cell>
        </row>
        <row r="2012">
          <cell r="F2012" t="str">
            <v>70532585</v>
          </cell>
          <cell r="G2012" t="str">
            <v>gERM</v>
          </cell>
          <cell r="H2012" t="str">
            <v>gERM</v>
          </cell>
          <cell r="I2012" t="str">
            <v>日用品</v>
          </cell>
          <cell r="J2012" t="str">
            <v>水具</v>
          </cell>
          <cell r="K2012" t="str">
            <v>gERM 可口可乐联名款闪耀保温杯奶霜白 500mL</v>
          </cell>
          <cell r="L2012" t="str">
            <v>500mL</v>
          </cell>
          <cell r="M2012" t="str">
            <v>个</v>
          </cell>
          <cell r="N2012">
            <v>106.05</v>
          </cell>
          <cell r="O2012">
            <v>136</v>
          </cell>
          <cell r="P2012">
            <v>0.21249999999999999</v>
          </cell>
        </row>
        <row r="2013">
          <cell r="F2013" t="str">
            <v>70574621</v>
          </cell>
          <cell r="G2013" t="str">
            <v>趣游帮</v>
          </cell>
          <cell r="H2013" t="str">
            <v>趣游帮</v>
          </cell>
          <cell r="I2013" t="str">
            <v>日用品</v>
          </cell>
          <cell r="J2013" t="str">
            <v>体育用品户外</v>
          </cell>
          <cell r="K2013" t="str">
            <v>趣游帮 Y056液压速开两门双层公园帐篷 1个</v>
          </cell>
          <cell r="L2013" t="str">
            <v>Y056</v>
          </cell>
          <cell r="M2013" t="str">
            <v>个</v>
          </cell>
          <cell r="N2013">
            <v>399.96</v>
          </cell>
          <cell r="O2013">
            <v>512</v>
          </cell>
          <cell r="P2013">
            <v>0.21109375</v>
          </cell>
        </row>
        <row r="2014">
          <cell r="F2014" t="str">
            <v>70574622</v>
          </cell>
          <cell r="G2014" t="str">
            <v>趣游帮</v>
          </cell>
          <cell r="H2014" t="str">
            <v>趣游帮</v>
          </cell>
          <cell r="I2014" t="str">
            <v>日用品</v>
          </cell>
          <cell r="J2014" t="str">
            <v>体育用品户外</v>
          </cell>
          <cell r="K2014" t="str">
            <v>趣游帮 Q311户外折叠便携高背月亮椅 1个</v>
          </cell>
          <cell r="L2014" t="str">
            <v>Q311</v>
          </cell>
          <cell r="M2014" t="str">
            <v>个</v>
          </cell>
          <cell r="N2014">
            <v>90.9</v>
          </cell>
          <cell r="O2014">
            <v>261</v>
          </cell>
          <cell r="P2014">
            <v>0.64827586206896504</v>
          </cell>
        </row>
        <row r="2015">
          <cell r="F2015" t="str">
            <v>70574623</v>
          </cell>
          <cell r="G2015" t="str">
            <v>趣游帮</v>
          </cell>
          <cell r="H2015" t="str">
            <v>趣游帮</v>
          </cell>
          <cell r="I2015" t="str">
            <v>日用品</v>
          </cell>
          <cell r="J2015" t="str">
            <v>体育用品户外</v>
          </cell>
          <cell r="K2015" t="str">
            <v>趣游帮 Q320带头枕可调节坐躺两用午休躺椅 1个</v>
          </cell>
          <cell r="L2015" t="str">
            <v>Q320</v>
          </cell>
          <cell r="M2015" t="str">
            <v>个</v>
          </cell>
          <cell r="N2015">
            <v>240.38</v>
          </cell>
          <cell r="O2015">
            <v>435</v>
          </cell>
          <cell r="P2015">
            <v>0.441931034482759</v>
          </cell>
        </row>
        <row r="2016">
          <cell r="F2016" t="str">
            <v>70539434</v>
          </cell>
          <cell r="G2016" t="str">
            <v>趣游帮</v>
          </cell>
          <cell r="H2016" t="str">
            <v>趣游帮</v>
          </cell>
          <cell r="I2016" t="str">
            <v>日用品</v>
          </cell>
          <cell r="J2016" t="str">
            <v>体育用品户外</v>
          </cell>
          <cell r="K2016" t="str">
            <v>趣游帮 炫彩铝膜防潮野餐垫 1个</v>
          </cell>
          <cell r="L2016" t="str">
            <v>Y33</v>
          </cell>
          <cell r="M2016" t="str">
            <v>个</v>
          </cell>
          <cell r="N2016">
            <v>54.54</v>
          </cell>
          <cell r="O2016">
            <v>70</v>
          </cell>
          <cell r="P2016">
            <v>0.213142857142857</v>
          </cell>
        </row>
        <row r="2017">
          <cell r="F2017" t="str">
            <v>70574624</v>
          </cell>
          <cell r="G2017" t="str">
            <v>趣游帮</v>
          </cell>
          <cell r="H2017" t="str">
            <v>趣游帮</v>
          </cell>
          <cell r="I2017" t="str">
            <v>日用品</v>
          </cell>
          <cell r="J2017" t="str">
            <v>体育用品户外</v>
          </cell>
          <cell r="K2017" t="str">
            <v>趣游帮 YBL800S复古照明手提马灯 1个</v>
          </cell>
          <cell r="L2017" t="str">
            <v>YB-L800S</v>
          </cell>
          <cell r="M2017" t="str">
            <v>个</v>
          </cell>
          <cell r="N2017">
            <v>48.48</v>
          </cell>
          <cell r="O2017">
            <v>84</v>
          </cell>
          <cell r="P2017">
            <v>0.41714285714285698</v>
          </cell>
        </row>
        <row r="2018">
          <cell r="F2018" t="str">
            <v>70574625</v>
          </cell>
          <cell r="G2018" t="str">
            <v>趣游帮</v>
          </cell>
          <cell r="H2018" t="str">
            <v>趣游帮</v>
          </cell>
          <cell r="I2018" t="str">
            <v>日用品</v>
          </cell>
          <cell r="J2018" t="str">
            <v>体育用品户外</v>
          </cell>
          <cell r="K2018" t="str">
            <v>趣游帮 Q515-15木盖款折叠收纳箱 1个</v>
          </cell>
          <cell r="L2018" t="str">
            <v>Q515-15L</v>
          </cell>
          <cell r="M2018" t="str">
            <v>个</v>
          </cell>
          <cell r="N2018">
            <v>53.53</v>
          </cell>
          <cell r="O2018">
            <v>88</v>
          </cell>
          <cell r="P2018">
            <v>0.38568181818181801</v>
          </cell>
        </row>
        <row r="2019">
          <cell r="F2019" t="str">
            <v>70574626</v>
          </cell>
          <cell r="G2019" t="str">
            <v>趣游帮</v>
          </cell>
          <cell r="H2019" t="str">
            <v>趣游帮</v>
          </cell>
          <cell r="I2019" t="str">
            <v>日用品</v>
          </cell>
          <cell r="J2019" t="str">
            <v>体育用品户外</v>
          </cell>
          <cell r="K2019" t="str">
            <v>趣游帮 Q51530L木盖款折叠收纳箱30L白色 1个</v>
          </cell>
          <cell r="L2019" t="str">
            <v>Q515-30L</v>
          </cell>
          <cell r="M2019" t="str">
            <v>个</v>
          </cell>
          <cell r="N2019">
            <v>86.86</v>
          </cell>
          <cell r="O2019">
            <v>148</v>
          </cell>
          <cell r="P2019">
            <v>0.40729729729729702</v>
          </cell>
        </row>
        <row r="2020">
          <cell r="F2020" t="str">
            <v>70574627</v>
          </cell>
          <cell r="G2020" t="str">
            <v>趣游帮</v>
          </cell>
          <cell r="H2020" t="str">
            <v>趣游帮</v>
          </cell>
          <cell r="I2020" t="str">
            <v>日用品</v>
          </cell>
          <cell r="J2020" t="str">
            <v>体育用品户外</v>
          </cell>
          <cell r="K2020" t="str">
            <v>趣游帮 YB06迷你款营地车60L 1个</v>
          </cell>
          <cell r="L2020" t="str">
            <v>YB06</v>
          </cell>
          <cell r="M2020" t="str">
            <v>个</v>
          </cell>
          <cell r="N2020">
            <v>181.8</v>
          </cell>
          <cell r="O2020">
            <v>350</v>
          </cell>
          <cell r="P2020">
            <v>0.47542857142857098</v>
          </cell>
        </row>
        <row r="2021">
          <cell r="F2021" t="str">
            <v>70574704</v>
          </cell>
          <cell r="G2021" t="str">
            <v>公爵</v>
          </cell>
          <cell r="H2021" t="str">
            <v>公爵</v>
          </cell>
          <cell r="I2021" t="str">
            <v>办公图书音像</v>
          </cell>
          <cell r="J2021" t="str">
            <v>办公用品</v>
          </cell>
          <cell r="K2021" t="str">
            <v>公爵 至尊钢笔 1个</v>
          </cell>
          <cell r="L2021" t="str">
            <v>至尊</v>
          </cell>
          <cell r="M2021" t="str">
            <v>个</v>
          </cell>
          <cell r="N2021">
            <v>73.73</v>
          </cell>
          <cell r="O2021">
            <v>95</v>
          </cell>
          <cell r="P2021">
            <v>0.21621052631578999</v>
          </cell>
        </row>
        <row r="2022">
          <cell r="F2022" t="str">
            <v>70574705</v>
          </cell>
          <cell r="G2022" t="str">
            <v>公爵</v>
          </cell>
          <cell r="H2022" t="str">
            <v>公爵</v>
          </cell>
          <cell r="I2022" t="str">
            <v>办公图书音像</v>
          </cell>
          <cell r="J2022" t="str">
            <v>办公用品</v>
          </cell>
          <cell r="K2022" t="str">
            <v>公爵 孔子美工 1个</v>
          </cell>
          <cell r="L2022" t="str">
            <v>孔子</v>
          </cell>
          <cell r="M2022" t="str">
            <v>个</v>
          </cell>
          <cell r="N2022">
            <v>273.70999999999998</v>
          </cell>
          <cell r="O2022">
            <v>350</v>
          </cell>
          <cell r="P2022">
            <v>0.21022857142857099</v>
          </cell>
        </row>
        <row r="2023">
          <cell r="F2023" t="str">
            <v>70574712</v>
          </cell>
          <cell r="G2023" t="str">
            <v>公爵</v>
          </cell>
          <cell r="H2023" t="str">
            <v>公爵</v>
          </cell>
          <cell r="I2023" t="str">
            <v>办公图书音像</v>
          </cell>
          <cell r="J2023" t="str">
            <v>办公用品</v>
          </cell>
          <cell r="K2023" t="str">
            <v>公爵 女神钢笔礼盒 1个</v>
          </cell>
          <cell r="L2023" t="str">
            <v>女神钢笔</v>
          </cell>
          <cell r="M2023" t="str">
            <v>个</v>
          </cell>
          <cell r="N2023">
            <v>108.07</v>
          </cell>
          <cell r="O2023">
            <v>138</v>
          </cell>
          <cell r="P2023">
            <v>0.20913043478260901</v>
          </cell>
        </row>
        <row r="2024">
          <cell r="F2024" t="str">
            <v>70574713</v>
          </cell>
          <cell r="G2024" t="str">
            <v>公爵</v>
          </cell>
          <cell r="H2024" t="str">
            <v>公爵</v>
          </cell>
          <cell r="I2024" t="str">
            <v>办公图书音像</v>
          </cell>
          <cell r="J2024" t="str">
            <v>办公用品</v>
          </cell>
          <cell r="K2024" t="str">
            <v>公爵 大将军14K金笔礼盒 1个</v>
          </cell>
          <cell r="L2024" t="str">
            <v>14K金笔</v>
          </cell>
          <cell r="M2024" t="str">
            <v>个</v>
          </cell>
          <cell r="N2024">
            <v>410.06</v>
          </cell>
          <cell r="O2024">
            <v>525</v>
          </cell>
          <cell r="P2024">
            <v>0.2112</v>
          </cell>
        </row>
        <row r="2025">
          <cell r="F2025" t="str">
            <v>70574714</v>
          </cell>
          <cell r="G2025" t="str">
            <v>公爵</v>
          </cell>
          <cell r="H2025" t="str">
            <v>公爵</v>
          </cell>
          <cell r="I2025" t="str">
            <v>办公图书音像</v>
          </cell>
          <cell r="J2025" t="str">
            <v>办公用品</v>
          </cell>
          <cell r="K2025" t="str">
            <v>公爵 金公子礼盒 1个</v>
          </cell>
          <cell r="L2025" t="str">
            <v>金公子</v>
          </cell>
          <cell r="M2025" t="str">
            <v>个</v>
          </cell>
          <cell r="N2025">
            <v>171.7</v>
          </cell>
          <cell r="O2025">
            <v>220</v>
          </cell>
          <cell r="P2025">
            <v>0.21181818181818199</v>
          </cell>
        </row>
        <row r="2026">
          <cell r="F2026" t="str">
            <v>70500846</v>
          </cell>
          <cell r="G2026" t="str">
            <v>美厨</v>
          </cell>
          <cell r="H2026" t="str">
            <v>美厨</v>
          </cell>
          <cell r="I2026" t="str">
            <v>日用品</v>
          </cell>
          <cell r="J2026" t="str">
            <v>锅具</v>
          </cell>
          <cell r="K2026" t="str">
            <v>美厨304不粘煎炒多用锅28cm</v>
          </cell>
          <cell r="L2026" t="str">
            <v>MCLP-612</v>
          </cell>
          <cell r="M2026" t="str">
            <v>个</v>
          </cell>
          <cell r="N2026">
            <v>107.06</v>
          </cell>
          <cell r="O2026">
            <v>166</v>
          </cell>
          <cell r="P2026">
            <v>0.34867469879518098</v>
          </cell>
        </row>
        <row r="2027">
          <cell r="F2027" t="str">
            <v>70500851</v>
          </cell>
          <cell r="G2027" t="str">
            <v>美厨</v>
          </cell>
          <cell r="H2027" t="str">
            <v>美厨</v>
          </cell>
          <cell r="I2027" t="str">
            <v>日用品</v>
          </cell>
          <cell r="J2027" t="str">
            <v>锅具</v>
          </cell>
          <cell r="K2027" t="str">
            <v>美厨悦享双层蒸锅28cm MCLP-604</v>
          </cell>
          <cell r="L2027" t="str">
            <v>MCLP-604</v>
          </cell>
          <cell r="M2027" t="str">
            <v>个</v>
          </cell>
          <cell r="N2027">
            <v>169.68</v>
          </cell>
          <cell r="O2027">
            <v>245</v>
          </cell>
          <cell r="P2027">
            <v>0.30057142857142799</v>
          </cell>
        </row>
        <row r="2028">
          <cell r="F2028" t="str">
            <v>70500852</v>
          </cell>
          <cell r="G2028" t="str">
            <v>美厨</v>
          </cell>
          <cell r="H2028" t="str">
            <v>美厨</v>
          </cell>
          <cell r="I2028" t="str">
            <v>日用品</v>
          </cell>
          <cell r="J2028" t="str">
            <v>锅具</v>
          </cell>
          <cell r="K2028" t="str">
            <v>美厨悦享精铁氮化不粘炒锅30cmMCLP-606</v>
          </cell>
          <cell r="L2028" t="str">
            <v>MCLP-606</v>
          </cell>
          <cell r="M2028" t="str">
            <v>个</v>
          </cell>
          <cell r="N2028">
            <v>96.96</v>
          </cell>
          <cell r="O2028">
            <v>165</v>
          </cell>
          <cell r="P2028">
            <v>0.40654545454545499</v>
          </cell>
        </row>
        <row r="2029">
          <cell r="F2029" t="str">
            <v>70500854</v>
          </cell>
          <cell r="G2029" t="str">
            <v>美厨</v>
          </cell>
          <cell r="H2029" t="str">
            <v>美厨</v>
          </cell>
          <cell r="I2029" t="str">
            <v>日用品</v>
          </cell>
          <cell r="J2029" t="str">
            <v>锅具</v>
          </cell>
          <cell r="K2029" t="str">
            <v>美厨优质不锈钢火锅勺两件套 MCLP-608</v>
          </cell>
          <cell r="L2029" t="str">
            <v>MCLP-608</v>
          </cell>
          <cell r="M2029" t="str">
            <v>个</v>
          </cell>
          <cell r="N2029">
            <v>25.25</v>
          </cell>
          <cell r="O2029">
            <v>42</v>
          </cell>
          <cell r="P2029">
            <v>0.39285714285714302</v>
          </cell>
        </row>
        <row r="2030">
          <cell r="F2030" t="str">
            <v>70500723</v>
          </cell>
          <cell r="G2030" t="str">
            <v>美厨</v>
          </cell>
          <cell r="H2030" t="str">
            <v>美厨</v>
          </cell>
          <cell r="I2030" t="str">
            <v>日用品</v>
          </cell>
          <cell r="J2030" t="str">
            <v>锅具</v>
          </cell>
          <cell r="K2030" t="str">
            <v>美厨304不锈钢炫彩碗三件套12CM MCWA853</v>
          </cell>
          <cell r="L2030" t="str">
            <v>MCWA853</v>
          </cell>
          <cell r="M2030" t="str">
            <v>个</v>
          </cell>
          <cell r="N2030">
            <v>45.45</v>
          </cell>
          <cell r="O2030">
            <v>69</v>
          </cell>
          <cell r="P2030">
            <v>0.33478260869565202</v>
          </cell>
        </row>
        <row r="2031">
          <cell r="F2031" t="str">
            <v>70574421</v>
          </cell>
          <cell r="G2031" t="str">
            <v>皇冠</v>
          </cell>
          <cell r="H2031" t="str">
            <v>皇冠</v>
          </cell>
          <cell r="I2031" t="str">
            <v>日用品</v>
          </cell>
          <cell r="J2031" t="str">
            <v>箱包</v>
          </cell>
          <cell r="K2031" t="str">
            <v>皇冠 CROWN双肩背包 1个</v>
          </cell>
          <cell r="L2031" t="str">
            <v>E-P1135S/16</v>
          </cell>
          <cell r="M2031" t="str">
            <v>个</v>
          </cell>
          <cell r="N2031">
            <v>237.35</v>
          </cell>
          <cell r="O2031">
            <v>552</v>
          </cell>
          <cell r="P2031">
            <v>0.56576086956521698</v>
          </cell>
        </row>
        <row r="2032">
          <cell r="F2032" t="str">
            <v>70488529</v>
          </cell>
          <cell r="G2032" t="str">
            <v>皇冠</v>
          </cell>
          <cell r="H2032" t="str">
            <v>皇冠</v>
          </cell>
          <cell r="I2032" t="str">
            <v>日用品</v>
          </cell>
          <cell r="J2032" t="str">
            <v>箱包</v>
          </cell>
          <cell r="K2032" t="str">
            <v>皇冠 CROWN手提箱C-F2022H/12</v>
          </cell>
          <cell r="L2032" t="str">
            <v>C-F2022H/12</v>
          </cell>
          <cell r="M2032" t="str">
            <v>个</v>
          </cell>
          <cell r="N2032">
            <v>119.18</v>
          </cell>
          <cell r="O2032">
            <v>209</v>
          </cell>
          <cell r="P2032">
            <v>0.424114832535885</v>
          </cell>
        </row>
        <row r="2033">
          <cell r="F2033" t="str">
            <v>70574426</v>
          </cell>
          <cell r="G2033" t="str">
            <v>皇冠</v>
          </cell>
          <cell r="H2033" t="str">
            <v>皇冠</v>
          </cell>
          <cell r="I2033" t="str">
            <v>日用品</v>
          </cell>
          <cell r="J2033" t="str">
            <v>箱包</v>
          </cell>
          <cell r="K2033" t="str">
            <v>皇冠 CF2029H20拉杆箱 1个</v>
          </cell>
          <cell r="L2033" t="str">
            <v>C-F2029H/20</v>
          </cell>
          <cell r="M2033" t="str">
            <v>个</v>
          </cell>
          <cell r="N2033">
            <v>348.45</v>
          </cell>
          <cell r="O2033">
            <v>905</v>
          </cell>
          <cell r="P2033">
            <v>0.61116022099447498</v>
          </cell>
        </row>
        <row r="2034">
          <cell r="F2034" t="str">
            <v>70574430</v>
          </cell>
          <cell r="G2034" t="str">
            <v>皇冠</v>
          </cell>
          <cell r="H2034" t="str">
            <v>皇冠</v>
          </cell>
          <cell r="I2034" t="str">
            <v>日用品</v>
          </cell>
          <cell r="J2034" t="str">
            <v>箱包</v>
          </cell>
          <cell r="K2034" t="str">
            <v>皇冠 CF5502H20拉杆箱 1个</v>
          </cell>
          <cell r="L2034" t="str">
            <v>C-F5502H/20</v>
          </cell>
          <cell r="M2034" t="str">
            <v>个</v>
          </cell>
          <cell r="N2034">
            <v>616.1</v>
          </cell>
          <cell r="O2034">
            <v>1580</v>
          </cell>
          <cell r="P2034">
            <v>0.60620253164557003</v>
          </cell>
        </row>
        <row r="2035">
          <cell r="F2035" t="str">
            <v>70574715</v>
          </cell>
          <cell r="G2035" t="str">
            <v>物生物</v>
          </cell>
          <cell r="H2035" t="str">
            <v>物生物</v>
          </cell>
          <cell r="I2035" t="str">
            <v>日用品</v>
          </cell>
          <cell r="J2035" t="str">
            <v>水具</v>
          </cell>
          <cell r="K2035" t="str">
            <v>物生物 慕钛保温杯 420mL</v>
          </cell>
          <cell r="L2035" t="str">
            <v>420mL</v>
          </cell>
          <cell r="M2035" t="str">
            <v>个</v>
          </cell>
          <cell r="N2035">
            <v>150.49</v>
          </cell>
          <cell r="O2035">
            <v>193</v>
          </cell>
          <cell r="P2035">
            <v>0.21253886010362699</v>
          </cell>
        </row>
        <row r="2036">
          <cell r="F2036" t="str">
            <v>70574716</v>
          </cell>
          <cell r="G2036" t="str">
            <v>物生物</v>
          </cell>
          <cell r="H2036" t="str">
            <v>物生物</v>
          </cell>
          <cell r="I2036" t="str">
            <v>日用品</v>
          </cell>
          <cell r="J2036" t="str">
            <v>水具</v>
          </cell>
          <cell r="K2036" t="str">
            <v>物生物 行意保温杯 950mL</v>
          </cell>
          <cell r="L2036" t="str">
            <v>950mL</v>
          </cell>
          <cell r="M2036" t="str">
            <v>个</v>
          </cell>
          <cell r="N2036">
            <v>81.81</v>
          </cell>
          <cell r="O2036">
            <v>105</v>
          </cell>
          <cell r="P2036">
            <v>0.213142857142857</v>
          </cell>
        </row>
        <row r="2037">
          <cell r="F2037" t="str">
            <v>70574717</v>
          </cell>
          <cell r="G2037" t="str">
            <v>物生物</v>
          </cell>
          <cell r="H2037" t="str">
            <v>物生物</v>
          </cell>
          <cell r="I2037" t="str">
            <v>日用品</v>
          </cell>
          <cell r="J2037" t="str">
            <v>水具</v>
          </cell>
          <cell r="K2037" t="str">
            <v>物生物 UU悠悠运动水杯 660mL</v>
          </cell>
          <cell r="L2037" t="str">
            <v>660mL</v>
          </cell>
          <cell r="M2037" t="str">
            <v>个</v>
          </cell>
          <cell r="N2037">
            <v>44.44</v>
          </cell>
          <cell r="O2037">
            <v>57</v>
          </cell>
          <cell r="P2037">
            <v>0.21263157894736801</v>
          </cell>
        </row>
        <row r="2038">
          <cell r="F2038" t="str">
            <v>70574365</v>
          </cell>
          <cell r="G2038" t="str">
            <v>TKK</v>
          </cell>
          <cell r="H2038" t="str">
            <v>TKK</v>
          </cell>
          <cell r="I2038" t="str">
            <v>日用品</v>
          </cell>
          <cell r="J2038" t="str">
            <v>水具</v>
          </cell>
          <cell r="K2038" t="str">
            <v>TKK 哈仑火山黑随手杯 500mL</v>
          </cell>
          <cell r="L2038" t="str">
            <v>500mL</v>
          </cell>
          <cell r="M2038" t="str">
            <v>个</v>
          </cell>
          <cell r="N2038">
            <v>33.33</v>
          </cell>
          <cell r="O2038">
            <v>42</v>
          </cell>
          <cell r="P2038">
            <v>0.19857142857142901</v>
          </cell>
        </row>
        <row r="2039">
          <cell r="F2039" t="str">
            <v>70574718</v>
          </cell>
          <cell r="G2039" t="str">
            <v>TKK</v>
          </cell>
          <cell r="H2039" t="str">
            <v>TKK</v>
          </cell>
          <cell r="I2039" t="str">
            <v>日用品</v>
          </cell>
          <cell r="J2039" t="str">
            <v>水具</v>
          </cell>
          <cell r="K2039" t="str">
            <v>TKK 大运动水杯电光白 1200mL</v>
          </cell>
          <cell r="L2039" t="str">
            <v>1200mL</v>
          </cell>
          <cell r="M2039" t="str">
            <v>个</v>
          </cell>
          <cell r="N2039">
            <v>67.67</v>
          </cell>
          <cell r="O2039">
            <v>86</v>
          </cell>
          <cell r="P2039">
            <v>0.205348837209302</v>
          </cell>
        </row>
        <row r="2040">
          <cell r="F2040" t="str">
            <v>70574364</v>
          </cell>
          <cell r="G2040" t="str">
            <v>TKK</v>
          </cell>
          <cell r="H2040" t="str">
            <v>TKK</v>
          </cell>
          <cell r="I2040" t="str">
            <v>日用品</v>
          </cell>
          <cell r="J2040" t="str">
            <v>水具</v>
          </cell>
          <cell r="K2040" t="str">
            <v>TKK 大容量运动水杯火山黑 2000mL</v>
          </cell>
          <cell r="L2040" t="str">
            <v>2000mL</v>
          </cell>
          <cell r="M2040" t="str">
            <v>个</v>
          </cell>
          <cell r="N2040">
            <v>102.01</v>
          </cell>
          <cell r="O2040">
            <v>130</v>
          </cell>
          <cell r="P2040">
            <v>0.207538461538462</v>
          </cell>
        </row>
        <row r="2041">
          <cell r="F2041" t="str">
            <v>70574719</v>
          </cell>
          <cell r="G2041" t="str">
            <v>TKK</v>
          </cell>
          <cell r="H2041" t="str">
            <v>TKK</v>
          </cell>
          <cell r="I2041" t="str">
            <v>日用品</v>
          </cell>
          <cell r="J2041" t="str">
            <v>水具</v>
          </cell>
          <cell r="K2041" t="str">
            <v>TKK 运动水杯电光白 600mL</v>
          </cell>
          <cell r="L2041" t="str">
            <v>600mL</v>
          </cell>
          <cell r="M2041" t="str">
            <v>个</v>
          </cell>
          <cell r="N2041">
            <v>46.46</v>
          </cell>
          <cell r="O2041">
            <v>60</v>
          </cell>
          <cell r="P2041">
            <v>0.218</v>
          </cell>
        </row>
        <row r="2042">
          <cell r="F2042" t="str">
            <v>70574720</v>
          </cell>
          <cell r="G2042" t="str">
            <v>TKK</v>
          </cell>
          <cell r="H2042" t="str">
            <v>TKK</v>
          </cell>
          <cell r="I2042" t="str">
            <v>日用品</v>
          </cell>
          <cell r="J2042" t="str">
            <v>水具</v>
          </cell>
          <cell r="K2042" t="str">
            <v>TKK 运动水杯火山黑 1500mL</v>
          </cell>
          <cell r="L2042" t="str">
            <v>1500mL</v>
          </cell>
          <cell r="M2042" t="str">
            <v>个</v>
          </cell>
          <cell r="N2042">
            <v>60.6</v>
          </cell>
          <cell r="O2042">
            <v>78</v>
          </cell>
          <cell r="P2042">
            <v>0.21538461538461501</v>
          </cell>
        </row>
        <row r="2043">
          <cell r="F2043" t="str">
            <v>70574324</v>
          </cell>
          <cell r="G2043" t="str">
            <v>美丽雅</v>
          </cell>
          <cell r="H2043" t="str">
            <v>美丽雅</v>
          </cell>
          <cell r="I2043" t="str">
            <v>日用品</v>
          </cell>
          <cell r="J2043" t="str">
            <v>家居清洁</v>
          </cell>
          <cell r="K2043" t="str">
            <v>美丽雅 免手洗一拖净对折挤水胶棉拖把38CM 1个</v>
          </cell>
          <cell r="L2043" t="str">
            <v>38CM</v>
          </cell>
          <cell r="M2043" t="str">
            <v>个</v>
          </cell>
          <cell r="N2043">
            <v>47.47</v>
          </cell>
          <cell r="O2043">
            <v>61</v>
          </cell>
          <cell r="P2043">
            <v>0.21409836065573801</v>
          </cell>
        </row>
        <row r="2044">
          <cell r="F2044" t="str">
            <v>70574628</v>
          </cell>
          <cell r="G2044" t="str">
            <v>美丽雅</v>
          </cell>
          <cell r="H2044" t="str">
            <v>美丽雅</v>
          </cell>
          <cell r="I2044" t="str">
            <v>日用品</v>
          </cell>
          <cell r="J2044" t="str">
            <v>家居清洁</v>
          </cell>
          <cell r="K2044" t="str">
            <v>美丽雅 HC067073双子星甩水拖 1个</v>
          </cell>
          <cell r="L2044" t="str">
            <v>HC067073</v>
          </cell>
          <cell r="M2044" t="str">
            <v>个</v>
          </cell>
          <cell r="N2044">
            <v>170.69</v>
          </cell>
          <cell r="O2044">
            <v>218</v>
          </cell>
          <cell r="P2044">
            <v>0.20926605504587201</v>
          </cell>
        </row>
        <row r="2045">
          <cell r="F2045" t="str">
            <v>70515605</v>
          </cell>
          <cell r="G2045" t="str">
            <v>美丽雅</v>
          </cell>
          <cell r="H2045" t="str">
            <v>美丽雅</v>
          </cell>
          <cell r="I2045" t="str">
            <v>日用品</v>
          </cell>
          <cell r="J2045" t="str">
            <v>家居清洁</v>
          </cell>
          <cell r="K2045" t="str">
            <v>美丽雅 绿行星甩水拖 1个</v>
          </cell>
          <cell r="L2045" t="str">
            <v>HC064898</v>
          </cell>
          <cell r="M2045" t="str">
            <v>个</v>
          </cell>
          <cell r="N2045">
            <v>129.28</v>
          </cell>
          <cell r="O2045">
            <v>166</v>
          </cell>
          <cell r="P2045">
            <v>0.21349397590361399</v>
          </cell>
        </row>
        <row r="2046">
          <cell r="F2046" t="str">
            <v>70574315</v>
          </cell>
          <cell r="G2046" t="str">
            <v>美丽雅</v>
          </cell>
          <cell r="H2046" t="str">
            <v>美丽雅</v>
          </cell>
          <cell r="I2046" t="str">
            <v>日用品</v>
          </cell>
          <cell r="J2046" t="str">
            <v>卫浴用品</v>
          </cell>
          <cell r="K2046" t="str">
            <v>美丽雅 双层沥水皂盒 1个</v>
          </cell>
          <cell r="L2046" t="str">
            <v>水皂盒</v>
          </cell>
          <cell r="M2046" t="str">
            <v>个</v>
          </cell>
          <cell r="N2046">
            <v>11.11</v>
          </cell>
          <cell r="O2046">
            <v>14</v>
          </cell>
          <cell r="P2046">
            <v>0.19857142857142901</v>
          </cell>
        </row>
        <row r="2047">
          <cell r="F2047" t="str">
            <v>70574629</v>
          </cell>
          <cell r="G2047" t="str">
            <v>美丽雅</v>
          </cell>
          <cell r="H2047" t="str">
            <v>美丽雅</v>
          </cell>
          <cell r="I2047" t="str">
            <v>日用品</v>
          </cell>
          <cell r="J2047" t="str">
            <v>厨房配件</v>
          </cell>
          <cell r="K2047" t="str">
            <v>美丽雅 大大卷强韧型保鲜袋450入 1个</v>
          </cell>
          <cell r="L2047" t="str">
            <v>450个入</v>
          </cell>
          <cell r="M2047" t="str">
            <v>包</v>
          </cell>
          <cell r="N2047">
            <v>22.22</v>
          </cell>
          <cell r="O2047">
            <v>28</v>
          </cell>
          <cell r="P2047">
            <v>0.19857142857142901</v>
          </cell>
        </row>
        <row r="2048">
          <cell r="F2048" t="str">
            <v>70574320</v>
          </cell>
          <cell r="G2048" t="str">
            <v>美丽雅</v>
          </cell>
          <cell r="H2048" t="str">
            <v>美丽雅</v>
          </cell>
          <cell r="I2048" t="str">
            <v>日用品</v>
          </cell>
          <cell r="J2048" t="str">
            <v>厨房配件</v>
          </cell>
          <cell r="K2048" t="str">
            <v>美丽雅 空气炸锅铝箔盘10只 1个</v>
          </cell>
          <cell r="L2048" t="str">
            <v>10只入</v>
          </cell>
          <cell r="M2048" t="str">
            <v>包</v>
          </cell>
          <cell r="N2048">
            <v>11.11</v>
          </cell>
          <cell r="O2048">
            <v>14</v>
          </cell>
          <cell r="P2048">
            <v>0.19857142857142901</v>
          </cell>
        </row>
        <row r="2049">
          <cell r="F2049" t="str">
            <v>70574306</v>
          </cell>
          <cell r="G2049" t="str">
            <v>美丽雅</v>
          </cell>
          <cell r="H2049" t="str">
            <v>美丽雅</v>
          </cell>
          <cell r="I2049" t="str">
            <v>日用品</v>
          </cell>
          <cell r="J2049" t="str">
            <v>厨房配件</v>
          </cell>
          <cell r="K2049" t="str">
            <v>美丽雅 穿绳袋 1个</v>
          </cell>
          <cell r="L2049" t="str">
            <v>50*55*40</v>
          </cell>
          <cell r="M2049" t="str">
            <v>个</v>
          </cell>
          <cell r="N2049">
            <v>7.07</v>
          </cell>
          <cell r="O2049">
            <v>9</v>
          </cell>
          <cell r="P2049">
            <v>0.206666666666667</v>
          </cell>
        </row>
        <row r="2050">
          <cell r="F2050" t="str">
            <v>70574630</v>
          </cell>
          <cell r="G2050" t="str">
            <v>美丽雅</v>
          </cell>
          <cell r="H2050" t="str">
            <v>美丽雅</v>
          </cell>
          <cell r="I2050" t="str">
            <v>日用品</v>
          </cell>
          <cell r="J2050" t="str">
            <v>厨房配件</v>
          </cell>
          <cell r="K2050" t="str">
            <v>美丽雅 美衣坊系列花瓣形晒架 1个</v>
          </cell>
          <cell r="L2050" t="str">
            <v>24头</v>
          </cell>
          <cell r="M2050" t="str">
            <v>个</v>
          </cell>
          <cell r="N2050">
            <v>14.14</v>
          </cell>
          <cell r="O2050">
            <v>18</v>
          </cell>
          <cell r="P2050">
            <v>0.206666666666667</v>
          </cell>
        </row>
        <row r="2051">
          <cell r="F2051" t="str">
            <v>70574310</v>
          </cell>
          <cell r="G2051" t="str">
            <v>美丽雅</v>
          </cell>
          <cell r="H2051" t="str">
            <v>美丽雅</v>
          </cell>
          <cell r="I2051" t="str">
            <v>日用品</v>
          </cell>
          <cell r="J2051" t="str">
            <v>厨房配件</v>
          </cell>
          <cell r="K2051" t="str">
            <v>美丽雅 铝合金晒架20头方型 1个</v>
          </cell>
          <cell r="L2051" t="str">
            <v>20头方型</v>
          </cell>
          <cell r="M2051" t="str">
            <v>个</v>
          </cell>
          <cell r="N2051">
            <v>30.3</v>
          </cell>
          <cell r="O2051">
            <v>39</v>
          </cell>
          <cell r="P2051">
            <v>0.21538461538461501</v>
          </cell>
        </row>
        <row r="2052">
          <cell r="F2052" t="str">
            <v>70574721</v>
          </cell>
          <cell r="G2052" t="str">
            <v>喜图</v>
          </cell>
          <cell r="H2052" t="str">
            <v>喜图</v>
          </cell>
          <cell r="I2052" t="str">
            <v>日用品</v>
          </cell>
          <cell r="J2052" t="str">
            <v>雨伞雨衣</v>
          </cell>
          <cell r="K2052" t="str">
            <v>喜图 XT-1512A弹击式汽车安全伞 1个</v>
          </cell>
          <cell r="L2052" t="str">
            <v>XT-1512A</v>
          </cell>
          <cell r="M2052" t="str">
            <v>个</v>
          </cell>
          <cell r="N2052">
            <v>116.15</v>
          </cell>
          <cell r="O2052">
            <v>176</v>
          </cell>
          <cell r="P2052">
            <v>0.33352272727272703</v>
          </cell>
        </row>
        <row r="2053">
          <cell r="F2053" t="str">
            <v>70575229</v>
          </cell>
          <cell r="G2053" t="str">
            <v>喜图</v>
          </cell>
          <cell r="H2053" t="str">
            <v>喜图</v>
          </cell>
          <cell r="I2053" t="str">
            <v>日用品</v>
          </cell>
          <cell r="J2053" t="str">
            <v>雨伞雨衣</v>
          </cell>
          <cell r="K2053" t="str">
            <v>喜图 XT-1512D汽车安全反向伞 1个</v>
          </cell>
          <cell r="L2053" t="str">
            <v>XT-1512D</v>
          </cell>
          <cell r="M2053" t="str">
            <v>个</v>
          </cell>
          <cell r="N2053">
            <v>114.13</v>
          </cell>
          <cell r="O2053">
            <v>148</v>
          </cell>
          <cell r="P2053">
            <v>0.22121621621621601</v>
          </cell>
        </row>
        <row r="2054">
          <cell r="F2054" t="str">
            <v>70574722</v>
          </cell>
          <cell r="G2054" t="str">
            <v>喜图</v>
          </cell>
          <cell r="H2054" t="str">
            <v>喜图</v>
          </cell>
          <cell r="I2054" t="str">
            <v>日用品</v>
          </cell>
          <cell r="J2054" t="str">
            <v>雨伞雨衣</v>
          </cell>
          <cell r="K2054" t="str">
            <v>喜图 XT-1602A多功能商务伞 1个</v>
          </cell>
          <cell r="L2054" t="str">
            <v>XT-1602A</v>
          </cell>
          <cell r="M2054" t="str">
            <v>个</v>
          </cell>
          <cell r="N2054">
            <v>161.6</v>
          </cell>
          <cell r="O2054">
            <v>264</v>
          </cell>
          <cell r="P2054">
            <v>0.381818181818182</v>
          </cell>
        </row>
        <row r="2055">
          <cell r="F2055" t="str">
            <v>70574723</v>
          </cell>
          <cell r="G2055" t="str">
            <v>喜图</v>
          </cell>
          <cell r="H2055" t="str">
            <v>喜图</v>
          </cell>
          <cell r="I2055" t="str">
            <v>日用品</v>
          </cell>
          <cell r="J2055" t="str">
            <v>雨伞雨衣</v>
          </cell>
          <cell r="K2055" t="str">
            <v>喜图 XT-1801光子防晒伞 1个</v>
          </cell>
          <cell r="L2055" t="str">
            <v>XT-1801</v>
          </cell>
          <cell r="M2055" t="str">
            <v>个</v>
          </cell>
          <cell r="N2055">
            <v>117.16</v>
          </cell>
          <cell r="O2055">
            <v>176</v>
          </cell>
          <cell r="P2055">
            <v>0.32772727272727298</v>
          </cell>
        </row>
        <row r="2056">
          <cell r="F2056" t="str">
            <v>70574631</v>
          </cell>
          <cell r="G2056" t="str">
            <v>哈尔斯</v>
          </cell>
          <cell r="H2056" t="str">
            <v>哈尔斯</v>
          </cell>
          <cell r="I2056" t="str">
            <v>日用品</v>
          </cell>
          <cell r="J2056" t="str">
            <v>水具</v>
          </cell>
          <cell r="K2056" t="str">
            <v>哈尔斯 HgD-950-016双饮拎拎杯珍珠 1个</v>
          </cell>
          <cell r="L2056" t="str">
            <v>HgD-950-016</v>
          </cell>
          <cell r="M2056" t="str">
            <v>个</v>
          </cell>
          <cell r="N2056">
            <v>95.95</v>
          </cell>
          <cell r="O2056">
            <v>149</v>
          </cell>
          <cell r="P2056">
            <v>0.34966442953020099</v>
          </cell>
        </row>
        <row r="2057">
          <cell r="F2057" t="str">
            <v>70574642</v>
          </cell>
          <cell r="G2057" t="str">
            <v>哈尔斯</v>
          </cell>
          <cell r="H2057" t="str">
            <v>哈尔斯</v>
          </cell>
          <cell r="I2057" t="str">
            <v>日用品</v>
          </cell>
          <cell r="J2057" t="str">
            <v>水具</v>
          </cell>
          <cell r="K2057" t="str">
            <v>哈尔斯 HgB-1000-001元气拎拎壶山野 1个</v>
          </cell>
          <cell r="L2057" t="str">
            <v>HgB-1000-001</v>
          </cell>
          <cell r="M2057" t="str">
            <v>个</v>
          </cell>
          <cell r="N2057">
            <v>95.95</v>
          </cell>
          <cell r="O2057">
            <v>149</v>
          </cell>
          <cell r="P2057">
            <v>0.34966442953020099</v>
          </cell>
        </row>
        <row r="2058">
          <cell r="F2058" t="str">
            <v>70574643</v>
          </cell>
          <cell r="G2058" t="str">
            <v>哈尔斯</v>
          </cell>
          <cell r="H2058" t="str">
            <v>哈尔斯</v>
          </cell>
          <cell r="I2058" t="str">
            <v>日用品</v>
          </cell>
          <cell r="J2058" t="str">
            <v>水具</v>
          </cell>
          <cell r="K2058" t="str">
            <v>哈尔斯 HgY-2000-002征途旅行壶 1个</v>
          </cell>
          <cell r="L2058" t="str">
            <v>HgY-2000-002</v>
          </cell>
          <cell r="M2058" t="str">
            <v>个</v>
          </cell>
          <cell r="N2058">
            <v>177.76</v>
          </cell>
          <cell r="O2058">
            <v>264</v>
          </cell>
          <cell r="P2058">
            <v>0.32</v>
          </cell>
        </row>
        <row r="2059">
          <cell r="F2059" t="str">
            <v>70574644</v>
          </cell>
          <cell r="G2059" t="str">
            <v>哈尔斯</v>
          </cell>
          <cell r="H2059" t="str">
            <v>哈尔斯</v>
          </cell>
          <cell r="I2059" t="str">
            <v>日用品</v>
          </cell>
          <cell r="J2059" t="str">
            <v>水具</v>
          </cell>
          <cell r="K2059" t="str">
            <v>哈尔斯 HgK-2000-001家居壶 1个</v>
          </cell>
          <cell r="L2059" t="str">
            <v>HgK-2000-001</v>
          </cell>
          <cell r="M2059" t="str">
            <v>个</v>
          </cell>
          <cell r="N2059">
            <v>127.26</v>
          </cell>
          <cell r="O2059">
            <v>193</v>
          </cell>
          <cell r="P2059">
            <v>0.334093264248705</v>
          </cell>
        </row>
        <row r="2060">
          <cell r="F2060" t="str">
            <v>70574645</v>
          </cell>
          <cell r="G2060" t="str">
            <v>哈尔斯</v>
          </cell>
          <cell r="H2060" t="str">
            <v>哈尔斯</v>
          </cell>
          <cell r="I2060" t="str">
            <v>日用品</v>
          </cell>
          <cell r="J2060" t="str">
            <v>水具</v>
          </cell>
          <cell r="K2060" t="str">
            <v>哈尔斯 HBL-400B-46乐享双层办公杯 1个</v>
          </cell>
          <cell r="L2060" t="str">
            <v>HBL-400B-46</v>
          </cell>
          <cell r="M2060" t="str">
            <v>个</v>
          </cell>
          <cell r="N2060">
            <v>24.24</v>
          </cell>
          <cell r="O2060">
            <v>31</v>
          </cell>
          <cell r="P2060">
            <v>0.21032258064516099</v>
          </cell>
        </row>
        <row r="2061">
          <cell r="F2061" t="str">
            <v>70574329</v>
          </cell>
          <cell r="G2061" t="str">
            <v>哈尔斯</v>
          </cell>
          <cell r="H2061" t="str">
            <v>哈尔斯</v>
          </cell>
          <cell r="I2061" t="str">
            <v>日用品</v>
          </cell>
          <cell r="J2061" t="str">
            <v>水具</v>
          </cell>
          <cell r="K2061" t="str">
            <v>哈尔斯 HBL-B-400-9明系列商务玻璃杯 1个</v>
          </cell>
          <cell r="L2061" t="str">
            <v>HBL-B-400-9</v>
          </cell>
          <cell r="M2061" t="str">
            <v>个</v>
          </cell>
          <cell r="N2061">
            <v>34.340000000000003</v>
          </cell>
          <cell r="O2061">
            <v>44</v>
          </cell>
          <cell r="P2061">
            <v>0.21181818181818199</v>
          </cell>
        </row>
        <row r="2062">
          <cell r="F2062" t="str">
            <v>70574646</v>
          </cell>
          <cell r="G2062" t="str">
            <v>哈尔斯</v>
          </cell>
          <cell r="H2062" t="str">
            <v>哈尔斯</v>
          </cell>
          <cell r="I2062" t="str">
            <v>日用品</v>
          </cell>
          <cell r="J2062" t="str">
            <v>水具</v>
          </cell>
          <cell r="K2062" t="str">
            <v>哈尔斯 卓系列HD-420-110真空弹跳杯 1个</v>
          </cell>
          <cell r="L2062" t="str">
            <v>HD-420-110</v>
          </cell>
          <cell r="M2062" t="str">
            <v>个</v>
          </cell>
          <cell r="N2062">
            <v>66.66</v>
          </cell>
          <cell r="O2062">
            <v>105</v>
          </cell>
          <cell r="P2062">
            <v>0.35885714285714299</v>
          </cell>
        </row>
        <row r="2063">
          <cell r="F2063" t="str">
            <v>70014037</v>
          </cell>
          <cell r="G2063" t="str">
            <v>得力</v>
          </cell>
          <cell r="H2063" t="str">
            <v>得力</v>
          </cell>
          <cell r="I2063" t="str">
            <v>办公图书音像</v>
          </cell>
          <cell r="J2063" t="str">
            <v>办公用品</v>
          </cell>
          <cell r="K2063" t="str">
            <v>得力0018回形针(100枚/盒)</v>
          </cell>
          <cell r="L2063" t="str">
            <v>100枚/盒</v>
          </cell>
          <cell r="M2063" t="str">
            <v>盒</v>
          </cell>
          <cell r="N2063">
            <v>1.33</v>
          </cell>
          <cell r="O2063">
            <v>2</v>
          </cell>
          <cell r="P2063">
            <v>0.32500000000000001</v>
          </cell>
        </row>
        <row r="2064">
          <cell r="F2064" t="str">
            <v>70147794</v>
          </cell>
          <cell r="G2064" t="str">
            <v>得力</v>
          </cell>
          <cell r="H2064" t="str">
            <v>得力</v>
          </cell>
          <cell r="I2064" t="str">
            <v>办公图书音像</v>
          </cell>
          <cell r="J2064" t="str">
            <v>办公用品</v>
          </cell>
          <cell r="K2064" t="str">
            <v>得力思达6881记号笔(黑)(支)</v>
          </cell>
          <cell r="L2064" t="str">
            <v>146mm</v>
          </cell>
          <cell r="M2064" t="str">
            <v>个</v>
          </cell>
          <cell r="N2064">
            <v>0.77</v>
          </cell>
          <cell r="O2064">
            <v>1.5</v>
          </cell>
          <cell r="P2064">
            <v>0.48</v>
          </cell>
        </row>
        <row r="2065">
          <cell r="F2065" t="str">
            <v>70285194</v>
          </cell>
          <cell r="G2065" t="str">
            <v>得力</v>
          </cell>
          <cell r="H2065" t="str">
            <v>得力</v>
          </cell>
          <cell r="I2065" t="str">
            <v>办公图书音像</v>
          </cell>
          <cell r="J2065" t="str">
            <v>办公用品</v>
          </cell>
          <cell r="K2065" t="str">
            <v>得力9560纸杯(混)(50个/袋)250mL五星纸240g纸+18gPE膜</v>
          </cell>
          <cell r="L2065" t="str">
            <v>50个/袋 250mL</v>
          </cell>
          <cell r="M2065" t="str">
            <v>个</v>
          </cell>
          <cell r="N2065">
            <v>7.61</v>
          </cell>
          <cell r="O2065">
            <v>13</v>
          </cell>
          <cell r="P2065">
            <v>0.40923076923076901</v>
          </cell>
        </row>
        <row r="2066">
          <cell r="F2066" t="str">
            <v>70282713</v>
          </cell>
          <cell r="G2066" t="str">
            <v>得力</v>
          </cell>
          <cell r="H2066" t="str">
            <v>得力</v>
          </cell>
          <cell r="I2066" t="str">
            <v>办公图书音像</v>
          </cell>
          <cell r="J2066" t="str">
            <v>办公用品</v>
          </cell>
          <cell r="K2066" t="str">
            <v>得力5840手提式双层收纳袋(黑)(只)</v>
          </cell>
          <cell r="L2066" t="str">
            <v>手提式双层</v>
          </cell>
          <cell r="M2066" t="str">
            <v>个</v>
          </cell>
          <cell r="N2066">
            <v>10.79</v>
          </cell>
          <cell r="O2066">
            <v>19</v>
          </cell>
          <cell r="P2066">
            <v>0.42631578947368398</v>
          </cell>
        </row>
        <row r="2067">
          <cell r="F2067" t="str">
            <v>70562336</v>
          </cell>
          <cell r="G2067" t="str">
            <v>得力</v>
          </cell>
          <cell r="H2067" t="str">
            <v>得力</v>
          </cell>
          <cell r="I2067" t="str">
            <v>办公图书音像</v>
          </cell>
          <cell r="J2067" t="str">
            <v>办公用品</v>
          </cell>
          <cell r="K2067" t="str">
            <v>得力9076记事贴(黄色)76*76mm(包)</v>
          </cell>
          <cell r="L2067" t="str">
            <v>76×76mm</v>
          </cell>
          <cell r="M2067" t="str">
            <v>袋</v>
          </cell>
          <cell r="N2067">
            <v>1.66</v>
          </cell>
          <cell r="O2067">
            <v>2</v>
          </cell>
          <cell r="P2067">
            <v>0.16500000000000001</v>
          </cell>
        </row>
        <row r="2068">
          <cell r="F2068" t="str">
            <v>70476702</v>
          </cell>
          <cell r="G2068" t="str">
            <v>得力</v>
          </cell>
          <cell r="H2068" t="str">
            <v>得力</v>
          </cell>
          <cell r="I2068" t="str">
            <v>办公图书音像</v>
          </cell>
          <cell r="J2068" t="str">
            <v>办公用品</v>
          </cell>
          <cell r="K2068" t="str">
            <v>得力18168-03插座_6组_3米_PVC袋装(白)(只)</v>
          </cell>
          <cell r="L2068" t="str">
            <v>6组 3米</v>
          </cell>
          <cell r="M2068" t="str">
            <v>个</v>
          </cell>
          <cell r="N2068">
            <v>33.76</v>
          </cell>
          <cell r="O2068">
            <v>55</v>
          </cell>
          <cell r="P2068">
            <v>0.38</v>
          </cell>
        </row>
        <row r="2069">
          <cell r="F2069" t="str">
            <v>70493472</v>
          </cell>
          <cell r="G2069" t="str">
            <v>得力</v>
          </cell>
          <cell r="H2069" t="str">
            <v>得力</v>
          </cell>
          <cell r="I2069" t="str">
            <v>办公图书音像</v>
          </cell>
          <cell r="J2069" t="str">
            <v>办公用品</v>
          </cell>
          <cell r="K2069" t="str">
            <v>得力S73中性笔1.0mm子弹头(黑)</v>
          </cell>
          <cell r="L2069" t="str">
            <v>1.0mm子弹头</v>
          </cell>
          <cell r="M2069" t="str">
            <v>个</v>
          </cell>
          <cell r="N2069">
            <v>1.3</v>
          </cell>
          <cell r="O2069">
            <v>2.5</v>
          </cell>
          <cell r="P2069">
            <v>0.47199999999999998</v>
          </cell>
        </row>
        <row r="2070">
          <cell r="F2070" t="str">
            <v>70574359</v>
          </cell>
          <cell r="G2070" t="str">
            <v>得力</v>
          </cell>
          <cell r="H2070" t="str">
            <v>得力</v>
          </cell>
          <cell r="I2070" t="str">
            <v>办公图书音像</v>
          </cell>
          <cell r="J2070" t="str">
            <v>办公用品</v>
          </cell>
          <cell r="K2070" t="str">
            <v>得力30203封箱胶带48mm*60y*50um(6卷/筒)(高透)</v>
          </cell>
          <cell r="L2070" t="str">
            <v>48mm×60y×50um 6卷/筒</v>
          </cell>
          <cell r="M2070" t="str">
            <v>个</v>
          </cell>
          <cell r="N2070">
            <v>21.59</v>
          </cell>
          <cell r="O2070">
            <v>30</v>
          </cell>
          <cell r="P2070">
            <v>0.27300000000000002</v>
          </cell>
        </row>
        <row r="2071">
          <cell r="F2071" t="str">
            <v>70282710</v>
          </cell>
          <cell r="G2071" t="str">
            <v>得力</v>
          </cell>
          <cell r="H2071" t="str">
            <v>得力</v>
          </cell>
          <cell r="I2071" t="str">
            <v>办公图书音像</v>
          </cell>
          <cell r="J2071" t="str">
            <v>办公用品</v>
          </cell>
          <cell r="K2071" t="str">
            <v>得力0466省力订书机(黑)</v>
          </cell>
          <cell r="L2071" t="str">
            <v>135×93×40mm</v>
          </cell>
          <cell r="M2071" t="str">
            <v>个</v>
          </cell>
          <cell r="N2071">
            <v>14.09</v>
          </cell>
          <cell r="O2071">
            <v>22</v>
          </cell>
          <cell r="P2071">
            <v>0.35363636363636403</v>
          </cell>
        </row>
        <row r="2072">
          <cell r="F2072" t="str">
            <v>70028100</v>
          </cell>
          <cell r="G2072" t="str">
            <v>得力</v>
          </cell>
          <cell r="H2072" t="str">
            <v>得力</v>
          </cell>
          <cell r="I2072" t="str">
            <v>办公图书音像</v>
          </cell>
          <cell r="J2072" t="str">
            <v>办公用品</v>
          </cell>
          <cell r="K2072" t="str">
            <v>得力0024彩色回形针(混)(100枚/盒)</v>
          </cell>
          <cell r="L2072" t="str">
            <v>100枚/盒</v>
          </cell>
          <cell r="M2072" t="str">
            <v>个</v>
          </cell>
          <cell r="N2072">
            <v>1.78</v>
          </cell>
          <cell r="O2072">
            <v>3</v>
          </cell>
          <cell r="P2072">
            <v>0.4</v>
          </cell>
        </row>
        <row r="2073">
          <cell r="F2073" t="str">
            <v>70574724</v>
          </cell>
          <cell r="G2073" t="str">
            <v>得力</v>
          </cell>
          <cell r="H2073" t="str">
            <v>得力</v>
          </cell>
          <cell r="I2073" t="str">
            <v>办公图书音像</v>
          </cell>
          <cell r="J2073" t="str">
            <v>办公用品</v>
          </cell>
          <cell r="K2073" t="str">
            <v>得力19209双层纸杯(棕)(280mL,50只/袋)</v>
          </cell>
          <cell r="L2073" t="str">
            <v>280mL 50只/袋</v>
          </cell>
          <cell r="M2073" t="str">
            <v>个</v>
          </cell>
          <cell r="N2073">
            <v>18.239999999999998</v>
          </cell>
          <cell r="O2073">
            <v>27.5</v>
          </cell>
          <cell r="P2073">
            <v>0.33018181818181802</v>
          </cell>
        </row>
        <row r="2074">
          <cell r="F2074" t="str">
            <v>70221643</v>
          </cell>
          <cell r="G2074" t="str">
            <v>得力</v>
          </cell>
          <cell r="H2074" t="str">
            <v>得力</v>
          </cell>
          <cell r="I2074" t="str">
            <v>办公图书音像</v>
          </cell>
          <cell r="J2074" t="str">
            <v>办公用品</v>
          </cell>
          <cell r="K2074" t="str">
            <v>得力S02中性笔0.7mm弹簧头(黑)(支</v>
          </cell>
          <cell r="L2074" t="str">
            <v>0.7mm弹簧头</v>
          </cell>
          <cell r="M2074" t="str">
            <v>个</v>
          </cell>
          <cell r="N2074">
            <v>1.49</v>
          </cell>
          <cell r="O2074">
            <v>2.5</v>
          </cell>
          <cell r="P2074">
            <v>0.39600000000000002</v>
          </cell>
        </row>
        <row r="2075">
          <cell r="F2075" t="str">
            <v>70023245</v>
          </cell>
          <cell r="G2075" t="str">
            <v>得力</v>
          </cell>
          <cell r="H2075" t="str">
            <v>得力</v>
          </cell>
          <cell r="I2075" t="str">
            <v>办公图书音像</v>
          </cell>
          <cell r="J2075" t="str">
            <v>办公用品</v>
          </cell>
          <cell r="K2075" t="str">
            <v>得力7901皮面笔记本(黑)-80张-25K(本)</v>
          </cell>
          <cell r="L2075" t="str">
            <v>80张-25K</v>
          </cell>
          <cell r="M2075" t="str">
            <v>个</v>
          </cell>
          <cell r="N2075">
            <v>6.51</v>
          </cell>
          <cell r="O2075">
            <v>10.8</v>
          </cell>
          <cell r="P2075">
            <v>0.390740740740741</v>
          </cell>
        </row>
        <row r="2076">
          <cell r="F2076" t="str">
            <v>70160702</v>
          </cell>
          <cell r="G2076" t="str">
            <v>资生堂</v>
          </cell>
          <cell r="H2076" t="str">
            <v>资生堂</v>
          </cell>
          <cell r="I2076" t="str">
            <v>个人护理用品（进口）</v>
          </cell>
          <cell r="J2076" t="str">
            <v>洗发水</v>
          </cell>
          <cell r="K2076" t="str">
            <v>资生堂惠润柔净洗发露(绿野芳香600mL</v>
          </cell>
          <cell r="L2076" t="str">
            <v>600mL</v>
          </cell>
          <cell r="M2076" t="str">
            <v>瓶</v>
          </cell>
          <cell r="N2076">
            <v>48.84</v>
          </cell>
          <cell r="O2076">
            <v>78</v>
          </cell>
          <cell r="P2076">
            <v>0.36756410256410299</v>
          </cell>
        </row>
        <row r="2077">
          <cell r="F2077" t="str">
            <v>70160703</v>
          </cell>
          <cell r="G2077" t="str">
            <v>资生堂</v>
          </cell>
          <cell r="H2077" t="str">
            <v>资生堂</v>
          </cell>
          <cell r="I2077" t="str">
            <v>个人护理用品（进口）</v>
          </cell>
          <cell r="J2077" t="str">
            <v>护发素</v>
          </cell>
          <cell r="K2077" t="str">
            <v>资生堂惠润柔净护发素(绿野芳香)600mL</v>
          </cell>
          <cell r="L2077" t="str">
            <v>600mL</v>
          </cell>
          <cell r="M2077" t="str">
            <v>瓶</v>
          </cell>
          <cell r="N2077">
            <v>48.84</v>
          </cell>
          <cell r="O2077">
            <v>78</v>
          </cell>
          <cell r="P2077">
            <v>0.36756410256410299</v>
          </cell>
        </row>
        <row r="2078">
          <cell r="F2078" t="str">
            <v>70092679</v>
          </cell>
          <cell r="G2078" t="str">
            <v>资生堂</v>
          </cell>
          <cell r="H2078" t="str">
            <v>资生堂</v>
          </cell>
          <cell r="I2078" t="str">
            <v>个人护理用品（进口）</v>
          </cell>
          <cell r="J2078" t="str">
            <v>洗发水</v>
          </cell>
          <cell r="K2078" t="str">
            <v>资生堂惠润柔净洗发露(鲜花芳香)600mL</v>
          </cell>
          <cell r="L2078" t="str">
            <v>600mL</v>
          </cell>
          <cell r="M2078" t="str">
            <v>瓶</v>
          </cell>
          <cell r="N2078">
            <v>48.84</v>
          </cell>
          <cell r="O2078">
            <v>78</v>
          </cell>
          <cell r="P2078">
            <v>0.36756410256410299</v>
          </cell>
        </row>
        <row r="2079">
          <cell r="F2079" t="str">
            <v>70179089</v>
          </cell>
          <cell r="G2079" t="str">
            <v>资生堂</v>
          </cell>
          <cell r="H2079" t="str">
            <v>资生堂</v>
          </cell>
          <cell r="I2079" t="str">
            <v>个人护理用品（进口）</v>
          </cell>
          <cell r="J2079" t="str">
            <v>护发素</v>
          </cell>
          <cell r="K2079" t="str">
            <v>资生堂惠润柔净护发素(鲜花芳香)600mL</v>
          </cell>
          <cell r="L2079" t="str">
            <v>600mL</v>
          </cell>
          <cell r="M2079" t="str">
            <v>瓶</v>
          </cell>
          <cell r="N2079">
            <v>48.84</v>
          </cell>
          <cell r="O2079">
            <v>78</v>
          </cell>
          <cell r="P2079">
            <v>0.36756410256410299</v>
          </cell>
        </row>
        <row r="2080">
          <cell r="F2080" t="str">
            <v>70044400</v>
          </cell>
          <cell r="G2080" t="str">
            <v>资生堂</v>
          </cell>
          <cell r="H2080" t="str">
            <v>资生堂</v>
          </cell>
          <cell r="I2080" t="str">
            <v>个人护理用品（进口）</v>
          </cell>
          <cell r="J2080" t="str">
            <v>洗发水</v>
          </cell>
          <cell r="K2080" t="str">
            <v>资生堂惠润柔净洗发露(绿野芳香)220mL</v>
          </cell>
          <cell r="L2080" t="str">
            <v>220mL</v>
          </cell>
          <cell r="M2080" t="str">
            <v>瓶</v>
          </cell>
          <cell r="N2080">
            <v>22.54</v>
          </cell>
          <cell r="O2080">
            <v>36</v>
          </cell>
          <cell r="P2080">
            <v>0.36749999999999999</v>
          </cell>
        </row>
        <row r="2081">
          <cell r="F2081" t="str">
            <v>70044401</v>
          </cell>
          <cell r="G2081" t="str">
            <v>资生堂</v>
          </cell>
          <cell r="H2081" t="str">
            <v>资生堂</v>
          </cell>
          <cell r="I2081" t="str">
            <v>个人护理用品（进口）</v>
          </cell>
          <cell r="J2081" t="str">
            <v>护发素</v>
          </cell>
          <cell r="K2081" t="str">
            <v>资生堂惠润柔净护发素(绿野芳香)220mL</v>
          </cell>
          <cell r="L2081" t="str">
            <v>220mL</v>
          </cell>
          <cell r="M2081" t="str">
            <v>瓶</v>
          </cell>
          <cell r="N2081">
            <v>22.54</v>
          </cell>
          <cell r="O2081">
            <v>36</v>
          </cell>
          <cell r="P2081">
            <v>0.36749999999999999</v>
          </cell>
        </row>
        <row r="2082">
          <cell r="F2082" t="str">
            <v>70183402</v>
          </cell>
          <cell r="G2082" t="str">
            <v>资生堂</v>
          </cell>
          <cell r="H2082" t="str">
            <v>资生堂</v>
          </cell>
          <cell r="I2082" t="str">
            <v>个人护理用品（进口）</v>
          </cell>
          <cell r="J2082" t="str">
            <v>洗发水</v>
          </cell>
          <cell r="K2082" t="str">
            <v>资生堂惠润柔净洗发露(鲜花芳香)220mL</v>
          </cell>
          <cell r="L2082" t="str">
            <v>220mL</v>
          </cell>
          <cell r="M2082" t="str">
            <v>瓶</v>
          </cell>
          <cell r="N2082">
            <v>22.54</v>
          </cell>
          <cell r="O2082">
            <v>36</v>
          </cell>
          <cell r="P2082">
            <v>0.36749999999999999</v>
          </cell>
        </row>
        <row r="2083">
          <cell r="F2083" t="str">
            <v>70183403</v>
          </cell>
          <cell r="G2083" t="str">
            <v>资生堂</v>
          </cell>
          <cell r="H2083" t="str">
            <v>资生堂</v>
          </cell>
          <cell r="I2083" t="str">
            <v>个人护理用品（进口）</v>
          </cell>
          <cell r="J2083" t="str">
            <v>护发素</v>
          </cell>
          <cell r="K2083" t="str">
            <v>资生堂惠润柔净护发素(鲜花芳香)220mL</v>
          </cell>
          <cell r="L2083" t="str">
            <v>220mL</v>
          </cell>
          <cell r="M2083" t="str">
            <v>瓶</v>
          </cell>
          <cell r="N2083">
            <v>22.54</v>
          </cell>
          <cell r="O2083">
            <v>36</v>
          </cell>
          <cell r="P2083">
            <v>0.36749999999999999</v>
          </cell>
        </row>
        <row r="2084">
          <cell r="F2084" t="str">
            <v>70105629</v>
          </cell>
          <cell r="G2084" t="str">
            <v>资生堂</v>
          </cell>
          <cell r="H2084" t="str">
            <v>资生堂</v>
          </cell>
          <cell r="I2084" t="str">
            <v>个人护理用品（进口）</v>
          </cell>
          <cell r="J2084" t="str">
            <v>沐浴液</v>
          </cell>
          <cell r="K2084" t="str">
            <v>资生堂 惠润沐浴露(淡雅柑桔香) 590mL</v>
          </cell>
          <cell r="L2084" t="str">
            <v>590mL</v>
          </cell>
          <cell r="M2084" t="str">
            <v>瓶</v>
          </cell>
          <cell r="N2084">
            <v>41.89</v>
          </cell>
          <cell r="O2084">
            <v>68</v>
          </cell>
          <cell r="P2084">
            <v>0.377794117647059</v>
          </cell>
        </row>
        <row r="2085">
          <cell r="F2085" t="str">
            <v>70100043</v>
          </cell>
          <cell r="G2085" t="str">
            <v>资生堂</v>
          </cell>
          <cell r="H2085" t="str">
            <v>资生堂</v>
          </cell>
          <cell r="I2085" t="str">
            <v>个人护理用品（进口）</v>
          </cell>
          <cell r="J2085" t="str">
            <v>沐浴液</v>
          </cell>
          <cell r="K2085" t="str">
            <v>资生堂 惠润沐浴露(淡雅果味香) 590mL</v>
          </cell>
          <cell r="L2085" t="str">
            <v>590mL</v>
          </cell>
          <cell r="M2085" t="str">
            <v>个</v>
          </cell>
          <cell r="N2085">
            <v>41.89</v>
          </cell>
          <cell r="O2085">
            <v>68</v>
          </cell>
          <cell r="P2085">
            <v>0.377794117647059</v>
          </cell>
        </row>
        <row r="2086">
          <cell r="F2086" t="str">
            <v>70047408</v>
          </cell>
          <cell r="G2086" t="str">
            <v>资生堂</v>
          </cell>
          <cell r="H2086" t="str">
            <v>资生堂</v>
          </cell>
          <cell r="I2086" t="str">
            <v>个人护理用品（进口）</v>
          </cell>
          <cell r="J2086" t="str">
            <v>沐浴液</v>
          </cell>
          <cell r="K2086" t="str">
            <v>资生堂可悠然美肌沐浴露(恬静清香)550mL</v>
          </cell>
          <cell r="L2086" t="str">
            <v>550mL</v>
          </cell>
          <cell r="M2086" t="str">
            <v>瓶</v>
          </cell>
          <cell r="N2086">
            <v>45.45</v>
          </cell>
          <cell r="O2086">
            <v>78</v>
          </cell>
          <cell r="P2086">
            <v>0.41153846153846202</v>
          </cell>
        </row>
        <row r="2087">
          <cell r="F2087" t="str">
            <v>70160701</v>
          </cell>
          <cell r="G2087" t="str">
            <v>资生堂</v>
          </cell>
          <cell r="H2087" t="str">
            <v>资生堂</v>
          </cell>
          <cell r="I2087" t="str">
            <v>个人护理用品（进口）</v>
          </cell>
          <cell r="J2087" t="str">
            <v>沐浴液</v>
          </cell>
          <cell r="K2087" t="str">
            <v>资生堂可悠然美肌沐浴露(欣怡幽香)550mL</v>
          </cell>
          <cell r="L2087" t="str">
            <v>550mL</v>
          </cell>
          <cell r="M2087" t="str">
            <v>瓶</v>
          </cell>
          <cell r="N2087">
            <v>45.45</v>
          </cell>
          <cell r="O2087">
            <v>78</v>
          </cell>
          <cell r="P2087">
            <v>0.41153846153846202</v>
          </cell>
        </row>
        <row r="2088">
          <cell r="F2088" t="str">
            <v>70317759</v>
          </cell>
          <cell r="G2088" t="str">
            <v>资生堂</v>
          </cell>
          <cell r="H2088" t="str">
            <v>资生堂</v>
          </cell>
          <cell r="I2088" t="str">
            <v>个人护理用品（进口）</v>
          </cell>
          <cell r="J2088" t="str">
            <v>沐浴液</v>
          </cell>
          <cell r="K2088" t="str">
            <v>资生堂可悠然美肌沐浴露（碧野悠悠）550mL</v>
          </cell>
          <cell r="L2088" t="str">
            <v>550mL</v>
          </cell>
          <cell r="M2088" t="str">
            <v>瓶</v>
          </cell>
          <cell r="N2088">
            <v>45.45</v>
          </cell>
          <cell r="O2088">
            <v>78</v>
          </cell>
          <cell r="P2088">
            <v>0.41153846153846202</v>
          </cell>
        </row>
        <row r="2089">
          <cell r="F2089" t="str">
            <v>70305116</v>
          </cell>
          <cell r="G2089" t="str">
            <v>资生堂</v>
          </cell>
          <cell r="H2089" t="str">
            <v>资生堂</v>
          </cell>
          <cell r="I2089" t="str">
            <v>个人护理用品（进口）</v>
          </cell>
          <cell r="J2089" t="str">
            <v>沐浴液</v>
          </cell>
          <cell r="K2089" t="str">
            <v>资生堂可悠然美肌沐浴露（花漾之恋 ）550mL</v>
          </cell>
          <cell r="L2089" t="str">
            <v>550mL</v>
          </cell>
          <cell r="M2089" t="str">
            <v>瓶</v>
          </cell>
          <cell r="N2089">
            <v>45.45</v>
          </cell>
          <cell r="O2089">
            <v>78</v>
          </cell>
          <cell r="P2089">
            <v>0.41153846153846202</v>
          </cell>
        </row>
        <row r="2090">
          <cell r="F2090" t="str">
            <v>70454625</v>
          </cell>
          <cell r="G2090" t="str">
            <v>资生堂</v>
          </cell>
          <cell r="H2090" t="str">
            <v>资生堂</v>
          </cell>
          <cell r="I2090" t="str">
            <v>个人护理用品（进口）</v>
          </cell>
          <cell r="J2090" t="str">
            <v>沐浴液</v>
          </cell>
          <cell r="K2090" t="str">
            <v>资生堂可悠然奢宠美肌沐浴露（宁澄馨香）400mL</v>
          </cell>
          <cell r="L2090" t="str">
            <v>400mL</v>
          </cell>
          <cell r="M2090" t="str">
            <v>个</v>
          </cell>
          <cell r="N2090">
            <v>56.42</v>
          </cell>
          <cell r="O2090">
            <v>98</v>
          </cell>
          <cell r="P2090">
            <v>0.41857142857142898</v>
          </cell>
        </row>
        <row r="2091">
          <cell r="F2091" t="str">
            <v>70454612</v>
          </cell>
          <cell r="G2091" t="str">
            <v>资生堂</v>
          </cell>
          <cell r="H2091" t="str">
            <v>资生堂</v>
          </cell>
          <cell r="I2091" t="str">
            <v>个人护理用品（进口）</v>
          </cell>
          <cell r="J2091" t="str">
            <v>沐浴液</v>
          </cell>
          <cell r="K2091" t="str">
            <v>资生堂可悠然奢宠美肌沐浴露（蜜恋馨语）400mL</v>
          </cell>
          <cell r="L2091" t="str">
            <v>400mL</v>
          </cell>
          <cell r="M2091" t="str">
            <v>个</v>
          </cell>
          <cell r="N2091">
            <v>56.42</v>
          </cell>
          <cell r="O2091">
            <v>98</v>
          </cell>
          <cell r="P2091">
            <v>0.41857142857142898</v>
          </cell>
        </row>
        <row r="2092">
          <cell r="F2092" t="str">
            <v>70461072</v>
          </cell>
          <cell r="G2092" t="str">
            <v>资生堂</v>
          </cell>
          <cell r="H2092" t="str">
            <v>资生堂</v>
          </cell>
          <cell r="I2092" t="str">
            <v>个人护理用品（进口）</v>
          </cell>
          <cell r="J2092" t="str">
            <v>身体护理</v>
          </cell>
          <cell r="K2092" t="str">
            <v>资生堂可悠然奢宠美肌身体乳（宁澄馨香）300mL</v>
          </cell>
          <cell r="L2092" t="str">
            <v>300mL</v>
          </cell>
          <cell r="M2092" t="str">
            <v>瓶</v>
          </cell>
          <cell r="N2092">
            <v>67.930000000000007</v>
          </cell>
          <cell r="O2092">
            <v>118</v>
          </cell>
          <cell r="P2092">
            <v>0.41855932203389801</v>
          </cell>
        </row>
        <row r="2093">
          <cell r="F2093" t="str">
            <v>70454615</v>
          </cell>
          <cell r="G2093" t="str">
            <v>资生堂</v>
          </cell>
          <cell r="H2093" t="str">
            <v>资生堂</v>
          </cell>
          <cell r="I2093" t="str">
            <v>个人护理用品（进口）</v>
          </cell>
          <cell r="J2093" t="str">
            <v>身体护理</v>
          </cell>
          <cell r="K2093" t="str">
            <v>资生堂可悠然奢宠美肌身体乳（蜜恋馨语）300mL</v>
          </cell>
          <cell r="L2093" t="str">
            <v>300mL</v>
          </cell>
          <cell r="M2093" t="str">
            <v>个</v>
          </cell>
          <cell r="N2093">
            <v>67.930000000000007</v>
          </cell>
          <cell r="O2093">
            <v>118</v>
          </cell>
          <cell r="P2093">
            <v>0.41855932203389801</v>
          </cell>
        </row>
        <row r="2094">
          <cell r="F2094" t="str">
            <v>70288241</v>
          </cell>
          <cell r="G2094" t="str">
            <v>资生堂</v>
          </cell>
          <cell r="H2094" t="str">
            <v>资生堂</v>
          </cell>
          <cell r="I2094" t="str">
            <v>个人护理用品（进口）</v>
          </cell>
          <cell r="J2094" t="str">
            <v>沐浴液</v>
          </cell>
          <cell r="K2094" t="str">
            <v>资生堂 水之密语嘭润保湿沐浴露 600mL</v>
          </cell>
          <cell r="L2094" t="str">
            <v>600mL</v>
          </cell>
          <cell r="M2094" t="str">
            <v>瓶</v>
          </cell>
          <cell r="N2094">
            <v>43.27</v>
          </cell>
          <cell r="O2094">
            <v>68</v>
          </cell>
          <cell r="P2094">
            <v>0.35735294117647098</v>
          </cell>
        </row>
        <row r="2095">
          <cell r="F2095" t="str">
            <v>70395767</v>
          </cell>
          <cell r="G2095" t="str">
            <v>资生堂</v>
          </cell>
          <cell r="H2095" t="str">
            <v>资生堂</v>
          </cell>
          <cell r="I2095" t="str">
            <v>个人护理用品（进口）</v>
          </cell>
          <cell r="J2095" t="str">
            <v>洗发水</v>
          </cell>
          <cell r="K2095" t="str">
            <v>资生堂 水之密语净润臻养洗发露(控油型) 600mL</v>
          </cell>
          <cell r="L2095" t="str">
            <v>600mL</v>
          </cell>
          <cell r="M2095" t="str">
            <v>瓶</v>
          </cell>
          <cell r="N2095">
            <v>49.63</v>
          </cell>
          <cell r="O2095">
            <v>78</v>
          </cell>
          <cell r="P2095">
            <v>0.35743589743589699</v>
          </cell>
        </row>
        <row r="2096">
          <cell r="F2096" t="str">
            <v>70392275</v>
          </cell>
          <cell r="G2096" t="str">
            <v>资生堂</v>
          </cell>
          <cell r="H2096" t="str">
            <v>资生堂</v>
          </cell>
          <cell r="I2096" t="str">
            <v>个人护理用品（进口）</v>
          </cell>
          <cell r="J2096" t="str">
            <v>洗发水</v>
          </cell>
          <cell r="K2096" t="str">
            <v>资生堂 水之密语净润臻养洗发露（倍润型) 600mL</v>
          </cell>
          <cell r="L2096" t="str">
            <v>600mL</v>
          </cell>
          <cell r="M2096" t="str">
            <v>瓶</v>
          </cell>
          <cell r="N2096">
            <v>47.15</v>
          </cell>
          <cell r="O2096">
            <v>78</v>
          </cell>
          <cell r="P2096">
            <v>0.38961538461538497</v>
          </cell>
        </row>
        <row r="2097">
          <cell r="F2097" t="str">
            <v>70395768</v>
          </cell>
          <cell r="G2097" t="str">
            <v>资生堂</v>
          </cell>
          <cell r="H2097" t="str">
            <v>资生堂</v>
          </cell>
          <cell r="I2097" t="str">
            <v>个人护理用品（进口）</v>
          </cell>
          <cell r="J2097" t="str">
            <v>护发素</v>
          </cell>
          <cell r="K2097" t="str">
            <v>资生堂 水之密语净润臻养护发素 600mL</v>
          </cell>
          <cell r="L2097" t="str">
            <v>600mL</v>
          </cell>
          <cell r="M2097" t="str">
            <v>瓶</v>
          </cell>
          <cell r="N2097">
            <v>47.15</v>
          </cell>
          <cell r="O2097">
            <v>78</v>
          </cell>
          <cell r="P2097">
            <v>0.38961538461538497</v>
          </cell>
        </row>
        <row r="2098">
          <cell r="F2098" t="str">
            <v>70461076</v>
          </cell>
          <cell r="G2098" t="str">
            <v>资生堂</v>
          </cell>
          <cell r="H2098" t="str">
            <v>资生堂</v>
          </cell>
          <cell r="I2098" t="str">
            <v>个人护理用品（进口）</v>
          </cell>
          <cell r="J2098" t="str">
            <v>洗发水</v>
          </cell>
          <cell r="K2098" t="str">
            <v>资生堂 芬浓透润美容液洗发露 550mL</v>
          </cell>
          <cell r="L2098" t="str">
            <v>550mL</v>
          </cell>
          <cell r="M2098" t="str">
            <v>瓶</v>
          </cell>
          <cell r="N2098">
            <v>59.39</v>
          </cell>
          <cell r="O2098">
            <v>106</v>
          </cell>
          <cell r="P2098">
            <v>0.43415094339622601</v>
          </cell>
        </row>
        <row r="2099">
          <cell r="F2099" t="str">
            <v>70461077</v>
          </cell>
          <cell r="G2099" t="str">
            <v>资生堂</v>
          </cell>
          <cell r="H2099" t="str">
            <v>资生堂</v>
          </cell>
          <cell r="I2099" t="str">
            <v>个人护理用品（进口）</v>
          </cell>
          <cell r="J2099" t="str">
            <v>护发素</v>
          </cell>
          <cell r="K2099" t="str">
            <v>资生堂 芬浓透润美容液护发素 550mL</v>
          </cell>
          <cell r="L2099" t="str">
            <v>550mL</v>
          </cell>
          <cell r="M2099" t="str">
            <v>瓶</v>
          </cell>
          <cell r="N2099">
            <v>59.39</v>
          </cell>
          <cell r="O2099">
            <v>106</v>
          </cell>
          <cell r="P2099">
            <v>0.43415094339622601</v>
          </cell>
        </row>
        <row r="2100">
          <cell r="F2100" t="str">
            <v>70319354</v>
          </cell>
          <cell r="G2100" t="str">
            <v>资生堂</v>
          </cell>
          <cell r="H2100" t="str">
            <v>资生堂</v>
          </cell>
          <cell r="I2100" t="str">
            <v>个人护理用品（进口）</v>
          </cell>
          <cell r="J2100" t="str">
            <v>护发素</v>
          </cell>
          <cell r="K2100" t="str">
            <v>资生堂芬浓透润美容液发膜230g</v>
          </cell>
          <cell r="L2100" t="str">
            <v>230g</v>
          </cell>
          <cell r="M2100" t="str">
            <v>瓶</v>
          </cell>
          <cell r="N2100">
            <v>52.11</v>
          </cell>
          <cell r="O2100">
            <v>80</v>
          </cell>
          <cell r="P2100">
            <v>0.34225</v>
          </cell>
        </row>
        <row r="2101">
          <cell r="F2101" t="str">
            <v>70421659</v>
          </cell>
          <cell r="G2101" t="str">
            <v>资生堂</v>
          </cell>
          <cell r="H2101" t="str">
            <v>资生堂</v>
          </cell>
          <cell r="I2101" t="str">
            <v>个人护理用品（进口）</v>
          </cell>
          <cell r="J2101" t="str">
            <v>护肤/化妆品</v>
          </cell>
          <cell r="K2101" t="str">
            <v>资生堂润可霖美润护手霜滋养型（盒装）100g</v>
          </cell>
          <cell r="L2101" t="str">
            <v>100g</v>
          </cell>
          <cell r="M2101" t="str">
            <v>盒</v>
          </cell>
          <cell r="N2101">
            <v>32.83</v>
          </cell>
          <cell r="O2101">
            <v>56</v>
          </cell>
          <cell r="P2101">
            <v>0.408035714285714</v>
          </cell>
        </row>
        <row r="2102">
          <cell r="F2102" t="str">
            <v>70308258</v>
          </cell>
          <cell r="G2102" t="str">
            <v>资生堂</v>
          </cell>
          <cell r="H2102" t="str">
            <v>资生堂</v>
          </cell>
          <cell r="I2102" t="str">
            <v>个人护理用品（进口）</v>
          </cell>
          <cell r="J2102" t="str">
            <v>洁面</v>
          </cell>
          <cell r="K2102" t="str">
            <v>资生堂 吾诺洁面膏（炭活）130g</v>
          </cell>
          <cell r="L2102" t="str">
            <v>130g</v>
          </cell>
          <cell r="M2102" t="str">
            <v>个</v>
          </cell>
          <cell r="N2102">
            <v>31.82</v>
          </cell>
          <cell r="O2102">
            <v>55</v>
          </cell>
          <cell r="P2102">
            <v>0.41581818181818198</v>
          </cell>
        </row>
        <row r="2103">
          <cell r="F2103" t="str">
            <v>70454560</v>
          </cell>
          <cell r="G2103" t="str">
            <v>资生堂</v>
          </cell>
          <cell r="H2103" t="str">
            <v>资生堂</v>
          </cell>
          <cell r="I2103" t="str">
            <v>个人护理用品（进口）</v>
          </cell>
          <cell r="J2103" t="str">
            <v>洁面</v>
          </cell>
          <cell r="K2103" t="str">
            <v>资生堂 珊珂蚕丝保湿泡沫洁面膏 120g</v>
          </cell>
          <cell r="L2103" t="str">
            <v>120g</v>
          </cell>
          <cell r="M2103" t="str">
            <v>瓶</v>
          </cell>
          <cell r="N2103">
            <v>30.81</v>
          </cell>
          <cell r="O2103">
            <v>52</v>
          </cell>
          <cell r="P2103">
            <v>0.401730769230769</v>
          </cell>
        </row>
        <row r="2104">
          <cell r="F2104" t="str">
            <v>70369299</v>
          </cell>
          <cell r="G2104" t="str">
            <v>吕</v>
          </cell>
          <cell r="H2104" t="str">
            <v>吕</v>
          </cell>
          <cell r="I2104" t="str">
            <v>个人护理用品（进口）</v>
          </cell>
          <cell r="J2104" t="str">
            <v>洗发水</v>
          </cell>
          <cell r="K2104" t="str">
            <v>吕 臻参焕活御时昇机洗发水400mL</v>
          </cell>
          <cell r="L2104" t="str">
            <v>400mL</v>
          </cell>
          <cell r="M2104" t="str">
            <v>瓶</v>
          </cell>
          <cell r="N2104">
            <v>67.34</v>
          </cell>
          <cell r="O2104">
            <v>128</v>
          </cell>
          <cell r="P2104">
            <v>0.46875</v>
          </cell>
        </row>
        <row r="2105">
          <cell r="F2105" t="str">
            <v>70369301</v>
          </cell>
          <cell r="G2105" t="str">
            <v>吕</v>
          </cell>
          <cell r="H2105" t="str">
            <v>吕</v>
          </cell>
          <cell r="I2105" t="str">
            <v>个人护理用品（进口）</v>
          </cell>
          <cell r="J2105" t="str">
            <v>护发素</v>
          </cell>
          <cell r="K2105" t="str">
            <v>吕 臻参焕活御时昇机护发乳400mL</v>
          </cell>
          <cell r="L2105" t="str">
            <v>400mL</v>
          </cell>
          <cell r="M2105" t="str">
            <v>瓶</v>
          </cell>
          <cell r="N2105">
            <v>67.34</v>
          </cell>
          <cell r="O2105">
            <v>128</v>
          </cell>
          <cell r="P2105">
            <v>0.46875</v>
          </cell>
        </row>
        <row r="2106">
          <cell r="F2106" t="str">
            <v>70510912</v>
          </cell>
          <cell r="G2106" t="str">
            <v>吕</v>
          </cell>
          <cell r="H2106" t="str">
            <v>吕</v>
          </cell>
          <cell r="I2106" t="str">
            <v>个人护理用品（进口）</v>
          </cell>
          <cell r="J2106" t="str">
            <v>洗发水</v>
          </cell>
          <cell r="K2106" t="str">
            <v>吕 含光耀护莹润修护洗发水400mL</v>
          </cell>
          <cell r="L2106" t="str">
            <v>400mL</v>
          </cell>
          <cell r="M2106" t="str">
            <v>瓶</v>
          </cell>
          <cell r="N2106">
            <v>44.54</v>
          </cell>
          <cell r="O2106">
            <v>88</v>
          </cell>
          <cell r="P2106">
            <v>0.488863636363636</v>
          </cell>
        </row>
        <row r="2107">
          <cell r="F2107" t="str">
            <v>70510913</v>
          </cell>
          <cell r="G2107" t="str">
            <v>吕</v>
          </cell>
          <cell r="H2107" t="str">
            <v>吕</v>
          </cell>
          <cell r="I2107" t="str">
            <v>个人护理用品（进口）</v>
          </cell>
          <cell r="J2107" t="str">
            <v>护发素</v>
          </cell>
          <cell r="K2107" t="str">
            <v>吕 含光耀护莹润修护护发乳400mL</v>
          </cell>
          <cell r="L2107" t="str">
            <v>400mL</v>
          </cell>
          <cell r="M2107" t="str">
            <v>瓶</v>
          </cell>
          <cell r="N2107">
            <v>44.54</v>
          </cell>
          <cell r="O2107">
            <v>88</v>
          </cell>
          <cell r="P2107">
            <v>0.488863636363636</v>
          </cell>
        </row>
        <row r="2108">
          <cell r="F2108" t="str">
            <v>70510914</v>
          </cell>
          <cell r="G2108" t="str">
            <v>吕</v>
          </cell>
          <cell r="H2108" t="str">
            <v>吕</v>
          </cell>
          <cell r="I2108" t="str">
            <v>个人护理用品（进口）</v>
          </cell>
          <cell r="J2108" t="str">
            <v>洗发水</v>
          </cell>
          <cell r="K2108" t="str">
            <v>吕 舒爽清润净澈控油洗发水400mL</v>
          </cell>
          <cell r="L2108" t="str">
            <v>400mL</v>
          </cell>
          <cell r="M2108" t="str">
            <v>瓶</v>
          </cell>
          <cell r="N2108">
            <v>44.54</v>
          </cell>
          <cell r="O2108">
            <v>88</v>
          </cell>
          <cell r="P2108">
            <v>0.488863636363636</v>
          </cell>
        </row>
        <row r="2109">
          <cell r="F2109" t="str">
            <v>70251909</v>
          </cell>
          <cell r="G2109" t="str">
            <v>Lg</v>
          </cell>
          <cell r="H2109" t="str">
            <v>Lg</v>
          </cell>
          <cell r="I2109" t="str">
            <v>个人护理用品（进口）</v>
          </cell>
          <cell r="J2109" t="str">
            <v>沐浴液</v>
          </cell>
          <cell r="K2109" t="str">
            <v>Lg 安宝笛甜蜜之恋香水沐浴露 500g</v>
          </cell>
          <cell r="L2109" t="str">
            <v>500g</v>
          </cell>
          <cell r="M2109" t="str">
            <v>瓶</v>
          </cell>
          <cell r="N2109">
            <v>24.32</v>
          </cell>
          <cell r="O2109">
            <v>45</v>
          </cell>
          <cell r="P2109">
            <v>0.45422222222222203</v>
          </cell>
        </row>
        <row r="2110">
          <cell r="F2110" t="str">
            <v>70251910</v>
          </cell>
          <cell r="G2110" t="str">
            <v>Lg</v>
          </cell>
          <cell r="H2110" t="str">
            <v>Lg</v>
          </cell>
          <cell r="I2110" t="str">
            <v>个人护理用品（进口）</v>
          </cell>
          <cell r="J2110" t="str">
            <v>沐浴液</v>
          </cell>
          <cell r="K2110" t="str">
            <v>Lg 安宝笛快乐微风香水沐浴露 500g</v>
          </cell>
          <cell r="L2110" t="str">
            <v>500g</v>
          </cell>
          <cell r="M2110" t="str">
            <v>瓶</v>
          </cell>
          <cell r="N2110">
            <v>24.32</v>
          </cell>
          <cell r="O2110">
            <v>45</v>
          </cell>
          <cell r="P2110">
            <v>0.45422222222222203</v>
          </cell>
        </row>
        <row r="2111">
          <cell r="F2111" t="str">
            <v>70251911</v>
          </cell>
          <cell r="G2111" t="str">
            <v>Lg</v>
          </cell>
          <cell r="H2111" t="str">
            <v>Lg</v>
          </cell>
          <cell r="I2111" t="str">
            <v>个人护理用品（进口）</v>
          </cell>
          <cell r="J2111" t="str">
            <v>沐浴液</v>
          </cell>
          <cell r="K2111" t="str">
            <v>Lg 安宝笛清新田园香水沐浴露 500g</v>
          </cell>
          <cell r="L2111" t="str">
            <v>500g</v>
          </cell>
          <cell r="M2111" t="str">
            <v>瓶</v>
          </cell>
          <cell r="N2111">
            <v>24.32</v>
          </cell>
          <cell r="O2111">
            <v>45</v>
          </cell>
          <cell r="P2111">
            <v>0.45422222222222203</v>
          </cell>
        </row>
        <row r="2112">
          <cell r="F2112" t="str">
            <v>70565857</v>
          </cell>
          <cell r="G2112" t="str">
            <v>Lg</v>
          </cell>
          <cell r="H2112" t="str">
            <v>Lg</v>
          </cell>
          <cell r="I2112" t="str">
            <v>个人护理用品（进口）</v>
          </cell>
          <cell r="J2112" t="str">
            <v>身体护理</v>
          </cell>
          <cell r="K2112" t="str">
            <v>Lg 安宝笛甜蜜爱恋丝绒香水身体乳400mL</v>
          </cell>
          <cell r="L2112" t="str">
            <v>400mL</v>
          </cell>
          <cell r="M2112" t="str">
            <v>瓶</v>
          </cell>
          <cell r="N2112">
            <v>35.75</v>
          </cell>
          <cell r="O2112">
            <v>59</v>
          </cell>
          <cell r="P2112">
            <v>0.38796610169491502</v>
          </cell>
        </row>
        <row r="2113">
          <cell r="F2113" t="str">
            <v>70574412</v>
          </cell>
          <cell r="G2113" t="str">
            <v>Lg</v>
          </cell>
          <cell r="H2113" t="str">
            <v>Lg</v>
          </cell>
          <cell r="I2113" t="str">
            <v>个人护理用品（进口）</v>
          </cell>
          <cell r="J2113" t="str">
            <v>身体护理</v>
          </cell>
          <cell r="K2113" t="str">
            <v>Lg 安宝笛浪漫邂逅丝绒香水身体乳 400mL</v>
          </cell>
          <cell r="L2113" t="str">
            <v>400mL</v>
          </cell>
          <cell r="M2113" t="str">
            <v>瓶</v>
          </cell>
          <cell r="N2113">
            <v>35.75</v>
          </cell>
          <cell r="O2113">
            <v>59</v>
          </cell>
          <cell r="P2113">
            <v>0.38796610169491502</v>
          </cell>
        </row>
        <row r="2114">
          <cell r="F2114" t="str">
            <v>70574416</v>
          </cell>
          <cell r="G2114" t="str">
            <v>Lg</v>
          </cell>
          <cell r="H2114" t="str">
            <v>Lg</v>
          </cell>
          <cell r="I2114" t="str">
            <v>个人护理用品（进口）</v>
          </cell>
          <cell r="J2114" t="str">
            <v>身体护理</v>
          </cell>
          <cell r="K2114" t="str">
            <v>Lg 安宝笛闪耀梦幻丝绒香水身体乳 400mL</v>
          </cell>
          <cell r="L2114" t="str">
            <v>400mL</v>
          </cell>
          <cell r="M2114" t="str">
            <v>瓶</v>
          </cell>
          <cell r="N2114">
            <v>35.75</v>
          </cell>
          <cell r="O2114">
            <v>59</v>
          </cell>
          <cell r="P2114">
            <v>0.38796610169491502</v>
          </cell>
        </row>
        <row r="2115">
          <cell r="F2115" t="str">
            <v>70407513</v>
          </cell>
          <cell r="G2115" t="str">
            <v>爱敬</v>
          </cell>
          <cell r="H2115" t="str">
            <v>爱敬</v>
          </cell>
          <cell r="I2115" t="str">
            <v>个人护理用品（进口）</v>
          </cell>
          <cell r="J2115" t="str">
            <v>洗发水</v>
          </cell>
          <cell r="K2115" t="str">
            <v>爱敬科娜洗丝优雅香氛洗发露600mL</v>
          </cell>
          <cell r="L2115" t="str">
            <v>600mL</v>
          </cell>
          <cell r="M2115" t="str">
            <v>瓶</v>
          </cell>
          <cell r="N2115">
            <v>25.76</v>
          </cell>
          <cell r="O2115">
            <v>49</v>
          </cell>
          <cell r="P2115">
            <v>0.469183673469388</v>
          </cell>
        </row>
        <row r="2116">
          <cell r="F2116" t="str">
            <v>70407514</v>
          </cell>
          <cell r="G2116" t="str">
            <v>爱敬</v>
          </cell>
          <cell r="H2116" t="str">
            <v>爱敬</v>
          </cell>
          <cell r="I2116" t="str">
            <v>个人护理用品（进口）</v>
          </cell>
          <cell r="J2116" t="str">
            <v>护发素</v>
          </cell>
          <cell r="K2116" t="str">
            <v>爱敬科娜洗丝优雅香氛护发素600mL</v>
          </cell>
          <cell r="L2116" t="str">
            <v>600mL</v>
          </cell>
          <cell r="M2116" t="str">
            <v>瓶</v>
          </cell>
          <cell r="N2116">
            <v>25.76</v>
          </cell>
          <cell r="O2116">
            <v>49</v>
          </cell>
          <cell r="P2116">
            <v>0.469183673469388</v>
          </cell>
        </row>
        <row r="2117">
          <cell r="F2117" t="str">
            <v>70407515</v>
          </cell>
          <cell r="G2117" t="str">
            <v>爱敬</v>
          </cell>
          <cell r="H2117" t="str">
            <v>爱敬</v>
          </cell>
          <cell r="I2117" t="str">
            <v>个人护理用品（进口）</v>
          </cell>
          <cell r="J2117" t="str">
            <v>洗发水</v>
          </cell>
          <cell r="K2117" t="str">
            <v>爱敬科娜洗丝弹性滋养洗发水600mL</v>
          </cell>
          <cell r="L2117" t="str">
            <v>600mL</v>
          </cell>
          <cell r="M2117" t="str">
            <v>瓶</v>
          </cell>
          <cell r="N2117">
            <v>25.76</v>
          </cell>
          <cell r="O2117">
            <v>49</v>
          </cell>
          <cell r="P2117">
            <v>0.469183673469388</v>
          </cell>
        </row>
        <row r="2118">
          <cell r="F2118" t="str">
            <v>70407516</v>
          </cell>
          <cell r="G2118" t="str">
            <v>爱敬</v>
          </cell>
          <cell r="H2118" t="str">
            <v>爱敬</v>
          </cell>
          <cell r="I2118" t="str">
            <v>个人护理用品（进口）</v>
          </cell>
          <cell r="J2118" t="str">
            <v>护发素</v>
          </cell>
          <cell r="K2118" t="str">
            <v>爱敬科娜洗丝弹性滋养护发素600mL</v>
          </cell>
          <cell r="L2118" t="str">
            <v>600mL</v>
          </cell>
          <cell r="M2118" t="str">
            <v>瓶</v>
          </cell>
          <cell r="N2118">
            <v>25.76</v>
          </cell>
          <cell r="O2118">
            <v>49</v>
          </cell>
          <cell r="P2118">
            <v>0.469183673469388</v>
          </cell>
        </row>
        <row r="2119">
          <cell r="F2119" t="str">
            <v>70053511</v>
          </cell>
          <cell r="G2119" t="str">
            <v>爱敬</v>
          </cell>
          <cell r="H2119" t="str">
            <v>爱敬</v>
          </cell>
          <cell r="I2119" t="str">
            <v>个人护理用品（进口）</v>
          </cell>
          <cell r="J2119" t="str">
            <v>厨房清洁</v>
          </cell>
          <cell r="K2119" t="str">
            <v>爱敬特里奥谷物米糠洗涤剂 750mL</v>
          </cell>
          <cell r="L2119" t="str">
            <v>750mL</v>
          </cell>
          <cell r="M2119" t="str">
            <v>瓶</v>
          </cell>
          <cell r="N2119">
            <v>22.07</v>
          </cell>
          <cell r="O2119">
            <v>39</v>
          </cell>
          <cell r="P2119">
            <v>0.428461538461539</v>
          </cell>
        </row>
        <row r="2120">
          <cell r="F2120" t="str">
            <v>70574291</v>
          </cell>
          <cell r="G2120" t="str">
            <v>发玛21</v>
          </cell>
          <cell r="H2120" t="str">
            <v>发玛21</v>
          </cell>
          <cell r="I2120" t="str">
            <v>个人护理用品（进口）</v>
          </cell>
          <cell r="J2120" t="str">
            <v>洗发水</v>
          </cell>
          <cell r="K2120" t="str">
            <v>发玛21 顺滑盈润洗发水 600mL</v>
          </cell>
          <cell r="L2120" t="str">
            <v>600mL</v>
          </cell>
          <cell r="M2120" t="str">
            <v>瓶</v>
          </cell>
          <cell r="N2120">
            <v>62.62</v>
          </cell>
          <cell r="O2120">
            <v>139</v>
          </cell>
          <cell r="P2120">
            <v>0.54503597122302105</v>
          </cell>
        </row>
        <row r="2121">
          <cell r="F2121" t="str">
            <v>70574293</v>
          </cell>
          <cell r="G2121" t="str">
            <v>发玛21</v>
          </cell>
          <cell r="H2121" t="str">
            <v>发玛21</v>
          </cell>
          <cell r="I2121" t="str">
            <v>个人护理用品（进口）</v>
          </cell>
          <cell r="J2121" t="str">
            <v>护发素</v>
          </cell>
          <cell r="K2121" t="str">
            <v>发玛21 顺滑盈润护发精华乳 600mL</v>
          </cell>
          <cell r="L2121" t="str">
            <v>600mL</v>
          </cell>
          <cell r="M2121" t="str">
            <v>瓶</v>
          </cell>
          <cell r="N2121">
            <v>62.62</v>
          </cell>
          <cell r="O2121">
            <v>139</v>
          </cell>
          <cell r="P2121">
            <v>0.54503597122302105</v>
          </cell>
        </row>
        <row r="2122">
          <cell r="F2122" t="str">
            <v>70574295</v>
          </cell>
          <cell r="G2122" t="str">
            <v>发玛21</v>
          </cell>
          <cell r="H2122" t="str">
            <v>发玛21</v>
          </cell>
          <cell r="I2122" t="str">
            <v>个人护理用品（进口）</v>
          </cell>
          <cell r="J2122" t="str">
            <v>洗发水</v>
          </cell>
          <cell r="K2122" t="str">
            <v>发玛21 蓬松控油轻盈洗发水 600mL</v>
          </cell>
          <cell r="L2122" t="str">
            <v>600mL</v>
          </cell>
          <cell r="M2122" t="str">
            <v>瓶</v>
          </cell>
          <cell r="N2122">
            <v>62.62</v>
          </cell>
          <cell r="O2122">
            <v>139</v>
          </cell>
          <cell r="P2122">
            <v>0.54503597122302105</v>
          </cell>
        </row>
        <row r="2123">
          <cell r="F2123" t="str">
            <v>70497488</v>
          </cell>
          <cell r="G2123" t="str">
            <v>发玛21</v>
          </cell>
          <cell r="H2123" t="str">
            <v>发玛21</v>
          </cell>
          <cell r="I2123" t="str">
            <v>个人护理用品（进口）</v>
          </cell>
          <cell r="J2123" t="str">
            <v>洗发水</v>
          </cell>
          <cell r="K2123" t="str">
            <v>发玛21 固韧丰盈洗发水600mL</v>
          </cell>
          <cell r="L2123" t="str">
            <v>600mL</v>
          </cell>
          <cell r="M2123" t="str">
            <v>瓶</v>
          </cell>
          <cell r="N2123">
            <v>62.62</v>
          </cell>
          <cell r="O2123">
            <v>139</v>
          </cell>
          <cell r="P2123">
            <v>0.54503597122302105</v>
          </cell>
        </row>
        <row r="2124">
          <cell r="F2124" t="str">
            <v>70497489</v>
          </cell>
          <cell r="G2124" t="str">
            <v>发玛21</v>
          </cell>
          <cell r="H2124" t="str">
            <v>发玛21</v>
          </cell>
          <cell r="I2124" t="str">
            <v>个人护理用品（进口）</v>
          </cell>
          <cell r="J2124" t="str">
            <v>护发素</v>
          </cell>
          <cell r="K2124" t="str">
            <v>发玛21 固韧丰盈护发精华乳 600mL</v>
          </cell>
          <cell r="L2124" t="str">
            <v>600mL</v>
          </cell>
          <cell r="M2124" t="str">
            <v>瓶</v>
          </cell>
          <cell r="N2124">
            <v>62.62</v>
          </cell>
          <cell r="O2124">
            <v>139</v>
          </cell>
          <cell r="P2124">
            <v>0.54503597122302105</v>
          </cell>
        </row>
        <row r="2125">
          <cell r="F2125" t="str">
            <v>70401000</v>
          </cell>
          <cell r="G2125" t="str">
            <v>芝芙莲</v>
          </cell>
          <cell r="H2125" t="str">
            <v>芝芙莲</v>
          </cell>
          <cell r="I2125" t="str">
            <v>清洁用品（进口）</v>
          </cell>
          <cell r="J2125" t="str">
            <v>衣物清洁</v>
          </cell>
          <cell r="K2125" t="str">
            <v>芝芙莲内衣洗衣液芬芳莲香500mL</v>
          </cell>
          <cell r="L2125" t="str">
            <v>500mL</v>
          </cell>
          <cell r="M2125" t="str">
            <v>瓶</v>
          </cell>
          <cell r="N2125">
            <v>21.58</v>
          </cell>
          <cell r="O2125">
            <v>39</v>
          </cell>
          <cell r="P2125">
            <v>0.44102564102564101</v>
          </cell>
        </row>
        <row r="2126">
          <cell r="F2126" t="str">
            <v>70500226</v>
          </cell>
          <cell r="G2126" t="str">
            <v>芝芙莲</v>
          </cell>
          <cell r="H2126" t="str">
            <v>芝芙莲</v>
          </cell>
          <cell r="I2126" t="str">
            <v>清洁用品（进口）</v>
          </cell>
          <cell r="J2126" t="str">
            <v>衣物清洁</v>
          </cell>
          <cell r="K2126" t="str">
            <v>芝芙莲内衣洗衣液蜜桃玫瑰500mL</v>
          </cell>
          <cell r="L2126" t="str">
            <v>500mL</v>
          </cell>
          <cell r="M2126" t="str">
            <v>个</v>
          </cell>
          <cell r="N2126">
            <v>21.58</v>
          </cell>
          <cell r="O2126">
            <v>39</v>
          </cell>
          <cell r="P2126">
            <v>0.44102564102564101</v>
          </cell>
        </row>
        <row r="2127">
          <cell r="F2127" t="str">
            <v>70381681</v>
          </cell>
          <cell r="G2127" t="str">
            <v>诞兴薇</v>
          </cell>
          <cell r="H2127" t="str">
            <v>诞兴薇</v>
          </cell>
          <cell r="I2127" t="str">
            <v>个人护理用品（进口）</v>
          </cell>
          <cell r="J2127" t="str">
            <v>面膜</v>
          </cell>
          <cell r="K2127" t="str">
            <v>诞兴薇小鲸鱼补水面膜28g</v>
          </cell>
          <cell r="L2127" t="str">
            <v>28g</v>
          </cell>
          <cell r="M2127" t="str">
            <v>个</v>
          </cell>
          <cell r="N2127">
            <v>4.99</v>
          </cell>
          <cell r="O2127">
            <v>8.8000000000000007</v>
          </cell>
          <cell r="P2127">
            <v>0.42727272727272703</v>
          </cell>
        </row>
        <row r="2128">
          <cell r="F2128" t="str">
            <v>70353359</v>
          </cell>
          <cell r="G2128" t="str">
            <v>诞兴薇</v>
          </cell>
          <cell r="H2128" t="str">
            <v>诞兴薇</v>
          </cell>
          <cell r="I2128" t="str">
            <v>个人护理用品（进口）</v>
          </cell>
          <cell r="J2128" t="str">
            <v>面膜</v>
          </cell>
          <cell r="K2128" t="str">
            <v>诞兴薇小鲸鱼焕颜面膜28g</v>
          </cell>
          <cell r="L2128" t="str">
            <v>28g</v>
          </cell>
          <cell r="M2128" t="str">
            <v>个</v>
          </cell>
          <cell r="N2128">
            <v>4.99</v>
          </cell>
          <cell r="O2128">
            <v>8.8000000000000007</v>
          </cell>
          <cell r="P2128">
            <v>0.42727272727272703</v>
          </cell>
        </row>
        <row r="2129">
          <cell r="F2129" t="str">
            <v>70574423</v>
          </cell>
          <cell r="G2129" t="str">
            <v>诞兴薇</v>
          </cell>
          <cell r="H2129" t="str">
            <v>诞兴薇</v>
          </cell>
          <cell r="I2129" t="str">
            <v>个人护理用品（进口）</v>
          </cell>
          <cell r="J2129" t="str">
            <v>面膜</v>
          </cell>
          <cell r="K2129" t="str">
            <v>诞兴薇 小鲸鱼水润面膜 28g</v>
          </cell>
          <cell r="L2129" t="str">
            <v>28g</v>
          </cell>
          <cell r="M2129" t="str">
            <v>个</v>
          </cell>
          <cell r="N2129">
            <v>4.99</v>
          </cell>
          <cell r="O2129">
            <v>8.8000000000000007</v>
          </cell>
          <cell r="P2129">
            <v>0.42727272727272703</v>
          </cell>
        </row>
        <row r="2130">
          <cell r="F2130" t="str">
            <v>70574427</v>
          </cell>
          <cell r="G2130" t="str">
            <v>诞兴薇</v>
          </cell>
          <cell r="H2130" t="str">
            <v>诞兴薇</v>
          </cell>
          <cell r="I2130" t="str">
            <v>个人护理用品（进口）</v>
          </cell>
          <cell r="J2130" t="str">
            <v>面膜</v>
          </cell>
          <cell r="K2130" t="str">
            <v>诞兴薇 小鲸鱼滋润面膜 28g</v>
          </cell>
          <cell r="L2130" t="str">
            <v>28g</v>
          </cell>
          <cell r="M2130" t="str">
            <v>个</v>
          </cell>
          <cell r="N2130">
            <v>4.99</v>
          </cell>
          <cell r="O2130">
            <v>8.8000000000000007</v>
          </cell>
          <cell r="P2130">
            <v>0.42727272727272703</v>
          </cell>
        </row>
        <row r="2131">
          <cell r="F2131" t="str">
            <v>70574319</v>
          </cell>
          <cell r="G2131" t="str">
            <v>可果美</v>
          </cell>
          <cell r="H2131" t="str">
            <v>可果美</v>
          </cell>
          <cell r="I2131" t="str">
            <v>包装饮料（进口）</v>
          </cell>
          <cell r="J2131" t="str">
            <v>果汁</v>
          </cell>
          <cell r="K2131" t="str">
            <v>可果美 番茄汁 200mL</v>
          </cell>
          <cell r="L2131" t="str">
            <v>200mL</v>
          </cell>
          <cell r="M2131" t="str">
            <v>瓶</v>
          </cell>
          <cell r="N2131">
            <v>7.37</v>
          </cell>
          <cell r="O2131">
            <v>9.9</v>
          </cell>
          <cell r="P2131">
            <v>0.24747474747474699</v>
          </cell>
        </row>
        <row r="2132">
          <cell r="F2132" t="str">
            <v>70574323</v>
          </cell>
          <cell r="G2132" t="str">
            <v>可果美</v>
          </cell>
          <cell r="H2132" t="str">
            <v>可果美</v>
          </cell>
          <cell r="I2132" t="str">
            <v>包装饮料（进口）</v>
          </cell>
          <cell r="J2132" t="str">
            <v>果汁</v>
          </cell>
          <cell r="K2132" t="str">
            <v>可果美 复合果蔬汁 200mL</v>
          </cell>
          <cell r="L2132" t="str">
            <v>200mL</v>
          </cell>
          <cell r="M2132" t="str">
            <v>瓶</v>
          </cell>
          <cell r="N2132">
            <v>7.37</v>
          </cell>
          <cell r="O2132">
            <v>9.9</v>
          </cell>
          <cell r="P2132">
            <v>0.24747474747474699</v>
          </cell>
        </row>
        <row r="2133">
          <cell r="F2133" t="str">
            <v>70429919</v>
          </cell>
          <cell r="G2133" t="str">
            <v>可果美</v>
          </cell>
          <cell r="H2133" t="str">
            <v>可果美</v>
          </cell>
          <cell r="I2133" t="str">
            <v>包装饮料（进口）</v>
          </cell>
          <cell r="J2133" t="str">
            <v>果汁饮料</v>
          </cell>
          <cell r="K2133" t="str">
            <v>可果美 复合果蔬汁饮料（胡萝卜和橙风味） 200mL</v>
          </cell>
          <cell r="L2133" t="str">
            <v>200mL</v>
          </cell>
          <cell r="M2133" t="str">
            <v>瓶</v>
          </cell>
          <cell r="N2133">
            <v>7.37</v>
          </cell>
          <cell r="O2133">
            <v>9.9</v>
          </cell>
          <cell r="P2133">
            <v>0.24747474747474699</v>
          </cell>
        </row>
        <row r="2134">
          <cell r="F2134" t="str">
            <v>70429428</v>
          </cell>
          <cell r="G2134" t="str">
            <v>可果美</v>
          </cell>
          <cell r="H2134" t="str">
            <v>可果美</v>
          </cell>
          <cell r="I2134" t="str">
            <v>包装饮料（进口）</v>
          </cell>
          <cell r="J2134" t="str">
            <v>果汁饮料</v>
          </cell>
          <cell r="K2134" t="str">
            <v>可果美 复合果蔬汁饮料（胡萝卜和芒果风味）200mL</v>
          </cell>
          <cell r="L2134" t="str">
            <v>200mL</v>
          </cell>
          <cell r="M2134" t="str">
            <v>包</v>
          </cell>
          <cell r="N2134">
            <v>7.37</v>
          </cell>
          <cell r="O2134">
            <v>9.9</v>
          </cell>
          <cell r="P2134">
            <v>0.24747474747474699</v>
          </cell>
        </row>
        <row r="2135">
          <cell r="F2135" t="str">
            <v>70429920</v>
          </cell>
          <cell r="G2135" t="str">
            <v>可果美</v>
          </cell>
          <cell r="H2135" t="str">
            <v>可果美</v>
          </cell>
          <cell r="I2135" t="str">
            <v>包装饮料（进口）</v>
          </cell>
          <cell r="J2135" t="str">
            <v>果汁饮料</v>
          </cell>
          <cell r="K2135" t="str">
            <v>可果美 复合果蔬汁饮料（胡萝卜和葡萄风味） 200mL</v>
          </cell>
          <cell r="L2135" t="str">
            <v>200mL</v>
          </cell>
          <cell r="M2135" t="str">
            <v>瓶</v>
          </cell>
          <cell r="N2135">
            <v>7.37</v>
          </cell>
          <cell r="O2135">
            <v>9.9</v>
          </cell>
          <cell r="P2135">
            <v>0.24747474747474699</v>
          </cell>
        </row>
        <row r="2136">
          <cell r="F2136" t="str">
            <v>70499363</v>
          </cell>
          <cell r="G2136" t="str">
            <v>if</v>
          </cell>
          <cell r="H2136" t="str">
            <v>if</v>
          </cell>
          <cell r="I2136" t="str">
            <v>包装饮料（进口）</v>
          </cell>
          <cell r="J2136" t="str">
            <v>果汁饮料</v>
          </cell>
          <cell r="K2136" t="str">
            <v>if 香水椰子水 350mL</v>
          </cell>
          <cell r="L2136" t="str">
            <v>350mL</v>
          </cell>
          <cell r="M2136" t="str">
            <v>瓶</v>
          </cell>
          <cell r="N2136">
            <v>6.22</v>
          </cell>
          <cell r="O2136">
            <v>9.9</v>
          </cell>
          <cell r="P2136">
            <v>0.36565656565656601</v>
          </cell>
        </row>
        <row r="2137">
          <cell r="F2137" t="str">
            <v>70011285</v>
          </cell>
          <cell r="G2137" t="str">
            <v>花王</v>
          </cell>
          <cell r="H2137" t="str">
            <v>花王</v>
          </cell>
          <cell r="I2137" t="str">
            <v>个人护理用品</v>
          </cell>
          <cell r="J2137" t="str">
            <v>卫生用品</v>
          </cell>
          <cell r="K2137" t="str">
            <v>花王 乐而雅零触感超丝薄30cm卫生巾夜用8片</v>
          </cell>
          <cell r="L2137" t="str">
            <v>8片</v>
          </cell>
          <cell r="M2137" t="str">
            <v>包</v>
          </cell>
          <cell r="N2137">
            <v>10.86</v>
          </cell>
          <cell r="O2137">
            <v>13.5</v>
          </cell>
          <cell r="P2137">
            <v>0.187407407407407</v>
          </cell>
        </row>
        <row r="2138">
          <cell r="F2138" t="str">
            <v>70308860</v>
          </cell>
          <cell r="G2138" t="str">
            <v>花王</v>
          </cell>
          <cell r="H2138" t="str">
            <v>花王</v>
          </cell>
          <cell r="I2138" t="str">
            <v>个人护理用品</v>
          </cell>
          <cell r="J2138" t="str">
            <v>卫生用品</v>
          </cell>
          <cell r="K2138" t="str">
            <v>花王 乐而雅零触感超丝薄25cm卫生巾日用8片</v>
          </cell>
          <cell r="L2138" t="str">
            <v>8片</v>
          </cell>
          <cell r="M2138" t="str">
            <v>包</v>
          </cell>
          <cell r="N2138">
            <v>10.25</v>
          </cell>
          <cell r="O2138">
            <v>12.9</v>
          </cell>
          <cell r="P2138">
            <v>0.19767441860465099</v>
          </cell>
        </row>
        <row r="2139">
          <cell r="F2139" t="str">
            <v>70076248</v>
          </cell>
          <cell r="G2139" t="str">
            <v>花王</v>
          </cell>
          <cell r="H2139" t="str">
            <v>花王</v>
          </cell>
          <cell r="I2139" t="str">
            <v>个人护理用品</v>
          </cell>
          <cell r="J2139" t="str">
            <v>卫生用品</v>
          </cell>
          <cell r="K2139" t="str">
            <v>花王 乐而雅零触感超丝薄22.5cm卫生巾10片</v>
          </cell>
          <cell r="L2139" t="str">
            <v>10片</v>
          </cell>
          <cell r="M2139" t="str">
            <v>包</v>
          </cell>
          <cell r="N2139">
            <v>11.5</v>
          </cell>
          <cell r="O2139">
            <v>14.5</v>
          </cell>
          <cell r="P2139">
            <v>0.19862068965517199</v>
          </cell>
        </row>
        <row r="2140">
          <cell r="F2140" t="str">
            <v>70403831</v>
          </cell>
          <cell r="G2140" t="str">
            <v>花王</v>
          </cell>
          <cell r="H2140" t="str">
            <v>花王</v>
          </cell>
          <cell r="I2140" t="str">
            <v>个人护理用品</v>
          </cell>
          <cell r="J2140" t="str">
            <v>卫生用品</v>
          </cell>
          <cell r="K2140" t="str">
            <v>花王 乐而雅零触感超丝薄17cm迷你卫生巾16片</v>
          </cell>
          <cell r="L2140" t="str">
            <v>16片</v>
          </cell>
          <cell r="M2140" t="str">
            <v>包</v>
          </cell>
          <cell r="N2140">
            <v>10.050000000000001</v>
          </cell>
          <cell r="O2140">
            <v>12.9</v>
          </cell>
          <cell r="P2140">
            <v>0.21317829457364301</v>
          </cell>
        </row>
        <row r="2141">
          <cell r="F2141" t="str">
            <v>70483948</v>
          </cell>
          <cell r="G2141" t="str">
            <v>花王</v>
          </cell>
          <cell r="H2141" t="str">
            <v>花王</v>
          </cell>
          <cell r="I2141" t="str">
            <v>个人护理用品</v>
          </cell>
          <cell r="J2141" t="str">
            <v>卫生用品</v>
          </cell>
          <cell r="K2141" t="str">
            <v>花王 乐而雅晚安裤裤型卫生巾2片(M-L码)</v>
          </cell>
          <cell r="L2141" t="str">
            <v>2片</v>
          </cell>
          <cell r="M2141" t="str">
            <v>包</v>
          </cell>
          <cell r="N2141">
            <v>11</v>
          </cell>
          <cell r="O2141">
            <v>14.5</v>
          </cell>
          <cell r="P2141">
            <v>0.233793103448276</v>
          </cell>
        </row>
        <row r="2142">
          <cell r="F2142" t="str">
            <v>70349404</v>
          </cell>
          <cell r="G2142" t="str">
            <v>花王</v>
          </cell>
          <cell r="H2142" t="str">
            <v>花王</v>
          </cell>
          <cell r="I2142" t="str">
            <v>个人护理用品</v>
          </cell>
          <cell r="J2142" t="str">
            <v>护肤/化妆品</v>
          </cell>
          <cell r="K2142" t="str">
            <v>花王 碧柔轻透倍护防晒乳 40mL</v>
          </cell>
          <cell r="L2142" t="str">
            <v>40mL</v>
          </cell>
          <cell r="M2142" t="str">
            <v>瓶</v>
          </cell>
          <cell r="N2142">
            <v>59.89</v>
          </cell>
          <cell r="O2142">
            <v>79</v>
          </cell>
          <cell r="P2142">
            <v>0.234303797468354</v>
          </cell>
        </row>
        <row r="2143">
          <cell r="F2143" t="str">
            <v>70574316</v>
          </cell>
          <cell r="G2143" t="str">
            <v>花王</v>
          </cell>
          <cell r="H2143" t="str">
            <v>花王</v>
          </cell>
          <cell r="I2143" t="str">
            <v>清洁用品</v>
          </cell>
          <cell r="J2143" t="str">
            <v>厨房清洁</v>
          </cell>
          <cell r="K2143" t="str">
            <v>花王 洗洁精西柚香型 220mL</v>
          </cell>
          <cell r="L2143" t="str">
            <v>220mL</v>
          </cell>
          <cell r="M2143" t="str">
            <v>瓶</v>
          </cell>
          <cell r="N2143">
            <v>27</v>
          </cell>
          <cell r="O2143">
            <v>35.799999999999997</v>
          </cell>
          <cell r="P2143">
            <v>0.238547486033519</v>
          </cell>
        </row>
        <row r="2144">
          <cell r="F2144" t="str">
            <v>70456478</v>
          </cell>
          <cell r="G2144" t="str">
            <v>滴露</v>
          </cell>
          <cell r="H2144" t="str">
            <v>滴露</v>
          </cell>
          <cell r="I2144" t="str">
            <v>清洁用品</v>
          </cell>
          <cell r="J2144" t="str">
            <v>家居清洁</v>
          </cell>
          <cell r="K2144" t="str">
            <v>滴露 消毒液 750mL</v>
          </cell>
          <cell r="L2144" t="str">
            <v>750mL</v>
          </cell>
          <cell r="M2144" t="str">
            <v>瓶</v>
          </cell>
          <cell r="N2144">
            <v>48.28</v>
          </cell>
          <cell r="O2144">
            <v>59.9</v>
          </cell>
          <cell r="P2144">
            <v>0.185976627712855</v>
          </cell>
        </row>
        <row r="2145">
          <cell r="F2145" t="str">
            <v>70456471</v>
          </cell>
          <cell r="G2145" t="str">
            <v>滴露</v>
          </cell>
          <cell r="H2145" t="str">
            <v>滴露</v>
          </cell>
          <cell r="I2145" t="str">
            <v>清洁用品</v>
          </cell>
          <cell r="J2145" t="str">
            <v>衣物清洁</v>
          </cell>
          <cell r="K2145" t="str">
            <v>滴露 衣物除菌液清新柠檬 1.5L</v>
          </cell>
          <cell r="L2145" t="str">
            <v>1.5L</v>
          </cell>
          <cell r="M2145" t="str">
            <v>瓶</v>
          </cell>
          <cell r="N2145">
            <v>43.13</v>
          </cell>
          <cell r="O2145">
            <v>53.9</v>
          </cell>
          <cell r="P2145">
            <v>0.19202226345083501</v>
          </cell>
        </row>
        <row r="2146">
          <cell r="F2146" t="str">
            <v>70489886</v>
          </cell>
          <cell r="G2146" t="str">
            <v>滴露</v>
          </cell>
          <cell r="H2146" t="str">
            <v>滴露</v>
          </cell>
          <cell r="I2146" t="str">
            <v>个人护理用品</v>
          </cell>
          <cell r="J2146" t="str">
            <v>洗手液</v>
          </cell>
          <cell r="K2146" t="str">
            <v>滴露 健康抑菌洗手液植物呵护(两支装） 450g+450g</v>
          </cell>
          <cell r="L2146" t="str">
            <v>450g+450g</v>
          </cell>
          <cell r="M2146" t="str">
            <v>瓶</v>
          </cell>
          <cell r="N2146">
            <v>30.63</v>
          </cell>
          <cell r="O2146">
            <v>39.9</v>
          </cell>
          <cell r="P2146">
            <v>0.22456140350877199</v>
          </cell>
        </row>
        <row r="2147">
          <cell r="F2147" t="str">
            <v>70484361</v>
          </cell>
          <cell r="G2147" t="str">
            <v>滴露</v>
          </cell>
          <cell r="H2147" t="str">
            <v>滴露</v>
          </cell>
          <cell r="I2147" t="str">
            <v>个人护理用品</v>
          </cell>
          <cell r="J2147" t="str">
            <v>洗手液</v>
          </cell>
          <cell r="K2147" t="str">
            <v>滴露 泡沫抑菌洗手液花香型 250mL</v>
          </cell>
          <cell r="L2147" t="str">
            <v>250mL</v>
          </cell>
          <cell r="M2147" t="str">
            <v>瓶</v>
          </cell>
          <cell r="N2147">
            <v>23.8</v>
          </cell>
          <cell r="O2147">
            <v>29.9</v>
          </cell>
          <cell r="P2147">
            <v>0.19632107023411399</v>
          </cell>
        </row>
        <row r="2148">
          <cell r="F2148" t="str">
            <v>70484362</v>
          </cell>
          <cell r="G2148" t="str">
            <v>滴露</v>
          </cell>
          <cell r="H2148" t="str">
            <v>滴露</v>
          </cell>
          <cell r="I2148" t="str">
            <v>个人护理用品</v>
          </cell>
          <cell r="J2148" t="str">
            <v>洗手液</v>
          </cell>
          <cell r="K2148" t="str">
            <v>滴露 泡沫抑菌洗手液青柠香型 250mL</v>
          </cell>
          <cell r="L2148" t="str">
            <v>250mL</v>
          </cell>
          <cell r="M2148" t="str">
            <v>瓶</v>
          </cell>
          <cell r="N2148">
            <v>23.8</v>
          </cell>
          <cell r="O2148">
            <v>29.9</v>
          </cell>
          <cell r="P2148">
            <v>0.19632107023411399</v>
          </cell>
        </row>
        <row r="2149">
          <cell r="F2149" t="str">
            <v>70456995</v>
          </cell>
          <cell r="G2149" t="str">
            <v>滴露</v>
          </cell>
          <cell r="H2149" t="str">
            <v>滴露</v>
          </cell>
          <cell r="I2149" t="str">
            <v>个人护理用品</v>
          </cell>
          <cell r="J2149" t="str">
            <v>洗手液</v>
          </cell>
          <cell r="K2149" t="str">
            <v>滴露 泡沫抑菌洗手液西柚香型 250mL</v>
          </cell>
          <cell r="L2149" t="str">
            <v>250mL</v>
          </cell>
          <cell r="M2149" t="str">
            <v>瓶</v>
          </cell>
          <cell r="N2149">
            <v>23.91</v>
          </cell>
          <cell r="O2149">
            <v>29.9</v>
          </cell>
          <cell r="P2149">
            <v>0.192642140468227</v>
          </cell>
        </row>
        <row r="2150">
          <cell r="F2150" t="str">
            <v>70456475</v>
          </cell>
          <cell r="G2150" t="str">
            <v>滴露</v>
          </cell>
          <cell r="H2150" t="str">
            <v>滴露</v>
          </cell>
          <cell r="I2150" t="str">
            <v>清洁用品</v>
          </cell>
          <cell r="J2150" t="str">
            <v>衣物清洁</v>
          </cell>
          <cell r="K2150" t="str">
            <v>滴露 衣物除菌液舒缓薰衣草 1.5L</v>
          </cell>
          <cell r="L2150" t="str">
            <v>1.5L</v>
          </cell>
          <cell r="M2150" t="str">
            <v>瓶</v>
          </cell>
          <cell r="N2150">
            <v>38.39</v>
          </cell>
          <cell r="O2150">
            <v>64.900000000000006</v>
          </cell>
          <cell r="P2150">
            <v>0.40261941448382099</v>
          </cell>
        </row>
        <row r="2151">
          <cell r="F2151" t="str">
            <v>70481285</v>
          </cell>
          <cell r="G2151" t="str">
            <v>滴露</v>
          </cell>
          <cell r="H2151" t="str">
            <v>滴露</v>
          </cell>
          <cell r="I2151" t="str">
            <v>个人护理用品</v>
          </cell>
          <cell r="J2151" t="str">
            <v>洗手液</v>
          </cell>
          <cell r="K2151" t="str">
            <v>滴露 健康抑菌洗手液滋润倍护 500克</v>
          </cell>
          <cell r="L2151" t="str">
            <v>500g</v>
          </cell>
          <cell r="M2151" t="str">
            <v>瓶</v>
          </cell>
          <cell r="N2151">
            <v>19.61</v>
          </cell>
          <cell r="O2151">
            <v>23.9</v>
          </cell>
          <cell r="P2151">
            <v>0.17112970711297101</v>
          </cell>
        </row>
        <row r="2152">
          <cell r="F2152" t="str">
            <v>70473432</v>
          </cell>
          <cell r="G2152" t="str">
            <v>滴露</v>
          </cell>
          <cell r="H2152" t="str">
            <v>滴露</v>
          </cell>
          <cell r="I2152" t="str">
            <v>个人护理用品</v>
          </cell>
          <cell r="J2152" t="str">
            <v>沐浴液</v>
          </cell>
          <cell r="K2152" t="str">
            <v>滴露 清爽保湿沐浴露茉莉与绿茶清香 950g</v>
          </cell>
          <cell r="L2152" t="str">
            <v>950g</v>
          </cell>
          <cell r="M2152" t="str">
            <v>瓶</v>
          </cell>
          <cell r="N2152">
            <v>46</v>
          </cell>
          <cell r="O2152">
            <v>63.8</v>
          </cell>
          <cell r="P2152">
            <v>0.27194357366771199</v>
          </cell>
        </row>
        <row r="2153">
          <cell r="F2153" t="str">
            <v>70493734</v>
          </cell>
          <cell r="G2153" t="str">
            <v>滴露</v>
          </cell>
          <cell r="H2153" t="str">
            <v>滴露</v>
          </cell>
          <cell r="I2153" t="str">
            <v>个人护理用品</v>
          </cell>
          <cell r="J2153" t="str">
            <v>湿巾</v>
          </cell>
          <cell r="K2153" t="str">
            <v>滴露 卫生湿巾 50片</v>
          </cell>
          <cell r="L2153" t="str">
            <v>50片</v>
          </cell>
          <cell r="M2153" t="str">
            <v>包</v>
          </cell>
          <cell r="N2153">
            <v>18.63</v>
          </cell>
          <cell r="O2153">
            <v>23.9</v>
          </cell>
          <cell r="P2153">
            <v>0.21255230125523</v>
          </cell>
        </row>
        <row r="2154">
          <cell r="F2154" t="str">
            <v>70484271</v>
          </cell>
          <cell r="G2154" t="str">
            <v>滴露</v>
          </cell>
          <cell r="H2154" t="str">
            <v>滴露</v>
          </cell>
          <cell r="I2154" t="str">
            <v>清洁用品</v>
          </cell>
          <cell r="J2154" t="str">
            <v>衣物清洁</v>
          </cell>
          <cell r="K2154" t="str">
            <v>滴露 4合1除菌洗衣凝珠 18颗</v>
          </cell>
          <cell r="L2154" t="str">
            <v>18颗</v>
          </cell>
          <cell r="M2154" t="str">
            <v>袋</v>
          </cell>
          <cell r="N2154">
            <v>49.44</v>
          </cell>
          <cell r="O2154">
            <v>83.9</v>
          </cell>
          <cell r="P2154">
            <v>0.404886769964243</v>
          </cell>
        </row>
        <row r="2155">
          <cell r="F2155" t="str">
            <v>70066300</v>
          </cell>
          <cell r="G2155" t="str">
            <v>滴露</v>
          </cell>
          <cell r="H2155" t="str">
            <v>滴露</v>
          </cell>
          <cell r="I2155" t="str">
            <v>个人护理用品</v>
          </cell>
          <cell r="J2155" t="str">
            <v>沐浴液</v>
          </cell>
          <cell r="K2155" t="str">
            <v>滴露 健康沐浴露薄荷冰爽 950g</v>
          </cell>
          <cell r="L2155" t="str">
            <v>950g</v>
          </cell>
          <cell r="M2155" t="str">
            <v>瓶</v>
          </cell>
          <cell r="N2155">
            <v>37.22</v>
          </cell>
          <cell r="O2155">
            <v>49.9</v>
          </cell>
          <cell r="P2155">
            <v>0.24669338677354699</v>
          </cell>
        </row>
        <row r="2156">
          <cell r="F2156" t="str">
            <v>70347584</v>
          </cell>
          <cell r="G2156" t="str">
            <v>滴露</v>
          </cell>
          <cell r="H2156" t="str">
            <v>滴露</v>
          </cell>
          <cell r="I2156" t="str">
            <v>个人护理用品</v>
          </cell>
          <cell r="J2156" t="str">
            <v>洗手液</v>
          </cell>
          <cell r="K2156" t="str">
            <v>滴露 免洗抑菌洗手液经典松木 50mL</v>
          </cell>
          <cell r="L2156" t="str">
            <v>50mL</v>
          </cell>
          <cell r="M2156" t="str">
            <v>瓶</v>
          </cell>
          <cell r="N2156">
            <v>12</v>
          </cell>
          <cell r="O2156">
            <v>14.9</v>
          </cell>
          <cell r="P2156">
            <v>0.186577181208054</v>
          </cell>
        </row>
        <row r="2157">
          <cell r="F2157" t="str">
            <v>70235737</v>
          </cell>
          <cell r="G2157" t="str">
            <v>Frosch</v>
          </cell>
          <cell r="H2157" t="str">
            <v>Frosch</v>
          </cell>
          <cell r="I2157" t="str">
            <v>清洁用品</v>
          </cell>
          <cell r="J2157" t="str">
            <v>家居清洁</v>
          </cell>
          <cell r="K2157" t="str">
            <v>Frosch 柠檬便器清洁剂 750mL</v>
          </cell>
          <cell r="L2157" t="str">
            <v>750mL</v>
          </cell>
          <cell r="M2157" t="str">
            <v>瓶</v>
          </cell>
          <cell r="N2157">
            <v>23.97</v>
          </cell>
          <cell r="O2157">
            <v>63</v>
          </cell>
          <cell r="P2157">
            <v>0.61587301587301602</v>
          </cell>
        </row>
        <row r="2158">
          <cell r="F2158" t="str">
            <v>70071898</v>
          </cell>
          <cell r="G2158" t="str">
            <v>杜蕾斯</v>
          </cell>
          <cell r="H2158" t="str">
            <v>杜蕾斯</v>
          </cell>
          <cell r="I2158" t="str">
            <v>药品/计生/保健</v>
          </cell>
          <cell r="J2158" t="str">
            <v>计生用品</v>
          </cell>
          <cell r="K2158" t="str">
            <v>杜蕾斯love大胆爱吧3只</v>
          </cell>
          <cell r="L2158" t="str">
            <v>3只</v>
          </cell>
          <cell r="M2158" t="str">
            <v>盒</v>
          </cell>
          <cell r="N2158">
            <v>8.39</v>
          </cell>
          <cell r="O2158">
            <v>11.19</v>
          </cell>
          <cell r="P2158">
            <v>0.24242424242424199</v>
          </cell>
        </row>
        <row r="2159">
          <cell r="F2159" t="str">
            <v>70000772</v>
          </cell>
          <cell r="G2159" t="str">
            <v>杜蕾斯</v>
          </cell>
          <cell r="H2159" t="str">
            <v>杜蕾斯</v>
          </cell>
          <cell r="I2159" t="str">
            <v>药品/计生/保健</v>
          </cell>
          <cell r="J2159" t="str">
            <v>计生用品</v>
          </cell>
          <cell r="K2159" t="str">
            <v>杜蕾斯love大胆爱吧10只</v>
          </cell>
          <cell r="L2159" t="str">
            <v>10只</v>
          </cell>
          <cell r="M2159" t="str">
            <v>盒</v>
          </cell>
          <cell r="N2159">
            <v>23.63</v>
          </cell>
          <cell r="O2159">
            <v>31.53</v>
          </cell>
          <cell r="P2159">
            <v>0.24301075268817199</v>
          </cell>
        </row>
        <row r="2160">
          <cell r="F2160" t="str">
            <v>70000773</v>
          </cell>
          <cell r="G2160" t="str">
            <v>杜蕾斯</v>
          </cell>
          <cell r="H2160" t="str">
            <v>杜蕾斯</v>
          </cell>
          <cell r="I2160" t="str">
            <v>药品/计生/保健</v>
          </cell>
          <cell r="J2160" t="str">
            <v>计生用品</v>
          </cell>
          <cell r="K2160" t="str">
            <v>杜蕾斯活力装3只</v>
          </cell>
          <cell r="L2160" t="str">
            <v>3只</v>
          </cell>
          <cell r="M2160" t="str">
            <v>盒</v>
          </cell>
          <cell r="N2160">
            <v>12.63</v>
          </cell>
          <cell r="O2160">
            <v>16.84</v>
          </cell>
          <cell r="P2160">
            <v>0.24295302013422801</v>
          </cell>
        </row>
        <row r="2161">
          <cell r="F2161" t="str">
            <v>70071899</v>
          </cell>
          <cell r="G2161" t="str">
            <v>杜蕾斯</v>
          </cell>
          <cell r="H2161" t="str">
            <v>杜蕾斯</v>
          </cell>
          <cell r="I2161" t="str">
            <v>药品/计生/保健</v>
          </cell>
          <cell r="J2161" t="str">
            <v>计生用品</v>
          </cell>
          <cell r="K2161" t="str">
            <v>杜蕾斯活力装12只</v>
          </cell>
          <cell r="L2161" t="str">
            <v>12只</v>
          </cell>
          <cell r="M2161" t="str">
            <v>盒</v>
          </cell>
          <cell r="N2161">
            <v>33.549999999999997</v>
          </cell>
          <cell r="O2161">
            <v>45.09</v>
          </cell>
          <cell r="P2161">
            <v>0.24837092731829599</v>
          </cell>
        </row>
        <row r="2162">
          <cell r="F2162" t="str">
            <v>70024192</v>
          </cell>
          <cell r="G2162" t="str">
            <v>杜蕾斯</v>
          </cell>
          <cell r="H2162" t="str">
            <v>杜蕾斯</v>
          </cell>
          <cell r="I2162" t="str">
            <v>药品/计生/保健</v>
          </cell>
          <cell r="J2162" t="str">
            <v>计生用品</v>
          </cell>
          <cell r="K2162" t="str">
            <v>杜蕾斯挚爱装3只</v>
          </cell>
          <cell r="L2162" t="str">
            <v>3只</v>
          </cell>
          <cell r="M2162" t="str">
            <v>盒</v>
          </cell>
          <cell r="N2162">
            <v>13.46</v>
          </cell>
          <cell r="O2162">
            <v>17.97</v>
          </cell>
          <cell r="P2162">
            <v>0.242767295597484</v>
          </cell>
        </row>
        <row r="2163">
          <cell r="F2163" t="str">
            <v>70024194</v>
          </cell>
          <cell r="G2163" t="str">
            <v>杜蕾斯</v>
          </cell>
          <cell r="H2163" t="str">
            <v>杜蕾斯</v>
          </cell>
          <cell r="I2163" t="str">
            <v>药品/计生/保健</v>
          </cell>
          <cell r="J2163" t="str">
            <v>计生用品</v>
          </cell>
          <cell r="K2163" t="str">
            <v>杜蕾斯激情装12只</v>
          </cell>
          <cell r="L2163" t="str">
            <v>12只</v>
          </cell>
          <cell r="M2163" t="str">
            <v>盒</v>
          </cell>
          <cell r="N2163">
            <v>46.52</v>
          </cell>
          <cell r="O2163">
            <v>62.04</v>
          </cell>
          <cell r="P2163">
            <v>0.242622950819672</v>
          </cell>
        </row>
        <row r="2164">
          <cell r="F2164" t="str">
            <v>70024174</v>
          </cell>
          <cell r="G2164" t="str">
            <v>杜蕾斯</v>
          </cell>
          <cell r="H2164" t="str">
            <v>杜蕾斯</v>
          </cell>
          <cell r="I2164" t="str">
            <v>药品/计生/保健</v>
          </cell>
          <cell r="J2164" t="str">
            <v>计生用品</v>
          </cell>
          <cell r="K2164" t="str">
            <v>杜蕾斯超薄装3只</v>
          </cell>
          <cell r="L2164" t="str">
            <v>3只</v>
          </cell>
          <cell r="M2164" t="str">
            <v>盒</v>
          </cell>
          <cell r="N2164">
            <v>17</v>
          </cell>
          <cell r="O2164">
            <v>22.49</v>
          </cell>
          <cell r="P2164">
            <v>0.23668341708542701</v>
          </cell>
        </row>
        <row r="2165">
          <cell r="F2165" t="str">
            <v>70015107</v>
          </cell>
          <cell r="G2165" t="str">
            <v>杜蕾斯</v>
          </cell>
          <cell r="H2165" t="str">
            <v>杜蕾斯</v>
          </cell>
          <cell r="I2165" t="str">
            <v>药品/计生/保健</v>
          </cell>
          <cell r="J2165" t="str">
            <v>计生用品</v>
          </cell>
          <cell r="K2165" t="str">
            <v>杜蕾斯超薄装12只</v>
          </cell>
          <cell r="L2165" t="str">
            <v>12只</v>
          </cell>
          <cell r="M2165" t="str">
            <v>盒</v>
          </cell>
          <cell r="N2165">
            <v>55.23</v>
          </cell>
          <cell r="O2165">
            <v>73.34</v>
          </cell>
          <cell r="P2165">
            <v>0.23944530046224999</v>
          </cell>
        </row>
        <row r="2166">
          <cell r="F2166" t="str">
            <v>70024189</v>
          </cell>
          <cell r="G2166" t="str">
            <v>杜蕾斯</v>
          </cell>
          <cell r="H2166" t="str">
            <v>杜蕾斯</v>
          </cell>
          <cell r="I2166" t="str">
            <v>药品/计生/保健</v>
          </cell>
          <cell r="J2166" t="str">
            <v>计生用品</v>
          </cell>
          <cell r="K2166" t="str">
            <v>杜蕾斯螺纹装3只</v>
          </cell>
          <cell r="L2166" t="str">
            <v>3只</v>
          </cell>
          <cell r="M2166" t="str">
            <v>盒</v>
          </cell>
          <cell r="N2166">
            <v>16.86</v>
          </cell>
          <cell r="O2166">
            <v>22.49</v>
          </cell>
          <cell r="P2166">
            <v>0.24271356783919601</v>
          </cell>
        </row>
        <row r="2167">
          <cell r="F2167" t="str">
            <v>70179797</v>
          </cell>
          <cell r="G2167" t="str">
            <v>杜蕾斯</v>
          </cell>
          <cell r="H2167" t="str">
            <v>杜蕾斯</v>
          </cell>
          <cell r="I2167" t="str">
            <v>药品/计生/保健</v>
          </cell>
          <cell r="J2167" t="str">
            <v>计生用品</v>
          </cell>
          <cell r="K2167" t="str">
            <v>杜蕾斯凸点螺纹装3只</v>
          </cell>
          <cell r="L2167" t="str">
            <v>3只</v>
          </cell>
          <cell r="M2167" t="str">
            <v>盒</v>
          </cell>
          <cell r="N2167">
            <v>17.73</v>
          </cell>
          <cell r="O2167">
            <v>23.62</v>
          </cell>
          <cell r="P2167">
            <v>0.24210526315789499</v>
          </cell>
        </row>
        <row r="2168">
          <cell r="F2168" t="str">
            <v>70261615</v>
          </cell>
          <cell r="G2168" t="str">
            <v>杜蕾斯</v>
          </cell>
          <cell r="H2168" t="str">
            <v>杜蕾斯</v>
          </cell>
          <cell r="I2168" t="str">
            <v>药品/计生/保健</v>
          </cell>
          <cell r="J2168" t="str">
            <v>计生用品</v>
          </cell>
          <cell r="K2168" t="str">
            <v>杜蕾斯AiR隐薄空气套3只</v>
          </cell>
          <cell r="L2168" t="str">
            <v>3只</v>
          </cell>
          <cell r="M2168" t="str">
            <v>盒</v>
          </cell>
          <cell r="N2168">
            <v>42.6</v>
          </cell>
          <cell r="O2168">
            <v>56.39</v>
          </cell>
          <cell r="P2168">
            <v>0.23687374749498999</v>
          </cell>
        </row>
        <row r="2169">
          <cell r="F2169" t="str">
            <v>70298596</v>
          </cell>
          <cell r="G2169" t="str">
            <v>杜蕾斯</v>
          </cell>
          <cell r="H2169" t="str">
            <v>杜蕾斯</v>
          </cell>
          <cell r="I2169" t="str">
            <v>药品/计生/保健</v>
          </cell>
          <cell r="J2169" t="str">
            <v>计生用品</v>
          </cell>
          <cell r="K2169" t="str">
            <v>杜蕾斯紧型超薄装3只</v>
          </cell>
          <cell r="L2169" t="str">
            <v>3只</v>
          </cell>
          <cell r="M2169" t="str">
            <v>盒</v>
          </cell>
          <cell r="N2169">
            <v>19.48</v>
          </cell>
          <cell r="O2169">
            <v>25.88</v>
          </cell>
          <cell r="P2169">
            <v>0.23973799126637499</v>
          </cell>
        </row>
        <row r="2170">
          <cell r="F2170" t="str">
            <v>70541117</v>
          </cell>
          <cell r="G2170" t="str">
            <v>杜蕾斯</v>
          </cell>
          <cell r="H2170" t="str">
            <v>杜蕾斯</v>
          </cell>
          <cell r="I2170" t="str">
            <v>药品/计生/保健</v>
          </cell>
          <cell r="J2170" t="str">
            <v>计生用品</v>
          </cell>
          <cell r="K2170" t="str">
            <v>杜蕾斯001水性聚氨酯避孕套3只</v>
          </cell>
          <cell r="L2170" t="str">
            <v>3只</v>
          </cell>
          <cell r="M2170" t="str">
            <v>盒</v>
          </cell>
          <cell r="N2170">
            <v>66.19</v>
          </cell>
          <cell r="O2170">
            <v>90.29</v>
          </cell>
          <cell r="P2170">
            <v>0.25969962453066298</v>
          </cell>
        </row>
        <row r="2171">
          <cell r="F2171" t="str">
            <v>70049611</v>
          </cell>
          <cell r="G2171" t="str">
            <v>威露士</v>
          </cell>
          <cell r="H2171" t="str">
            <v>威露士</v>
          </cell>
          <cell r="I2171" t="str">
            <v>清洁用品</v>
          </cell>
          <cell r="J2171" t="str">
            <v>厨房清洁</v>
          </cell>
          <cell r="K2171" t="str">
            <v>威露士 亮净厨房去重油剂(氧漂除菌配方) 1L</v>
          </cell>
          <cell r="L2171" t="str">
            <v>1L</v>
          </cell>
          <cell r="M2171" t="str">
            <v>瓶</v>
          </cell>
          <cell r="N2171">
            <v>18.079999999999998</v>
          </cell>
          <cell r="O2171">
            <v>23</v>
          </cell>
          <cell r="P2171">
            <v>0.206086956521739</v>
          </cell>
        </row>
        <row r="2172">
          <cell r="F2172" t="str">
            <v>70058031</v>
          </cell>
          <cell r="G2172" t="str">
            <v>威露士</v>
          </cell>
          <cell r="H2172" t="str">
            <v>威露士</v>
          </cell>
          <cell r="I2172" t="str">
            <v>个人护理用品</v>
          </cell>
          <cell r="J2172" t="str">
            <v>洗手液</v>
          </cell>
          <cell r="K2172" t="str">
            <v>威露士 健康抑菌洗手液丝蛋白 525mL</v>
          </cell>
          <cell r="L2172" t="str">
            <v>525mL</v>
          </cell>
          <cell r="M2172" t="str">
            <v>瓶</v>
          </cell>
          <cell r="N2172">
            <v>12.07</v>
          </cell>
          <cell r="O2172">
            <v>16.8</v>
          </cell>
          <cell r="P2172">
            <v>0.27440476190476198</v>
          </cell>
        </row>
        <row r="2173">
          <cell r="F2173" t="str">
            <v>70174047</v>
          </cell>
          <cell r="G2173" t="str">
            <v>威露士</v>
          </cell>
          <cell r="H2173" t="str">
            <v>威露士</v>
          </cell>
          <cell r="I2173" t="str">
            <v>清洁用品</v>
          </cell>
          <cell r="J2173" t="str">
            <v>家居清洁</v>
          </cell>
          <cell r="K2173" t="str">
            <v>威露士 亮净洁厕精（强效＋清香）1L</v>
          </cell>
          <cell r="L2173" t="str">
            <v>1L</v>
          </cell>
          <cell r="M2173" t="str">
            <v>瓶</v>
          </cell>
          <cell r="N2173">
            <v>10.199999999999999</v>
          </cell>
          <cell r="O2173">
            <v>13.5</v>
          </cell>
          <cell r="P2173">
            <v>0.23703703703703699</v>
          </cell>
        </row>
        <row r="2174">
          <cell r="F2174" t="str">
            <v>70222217</v>
          </cell>
          <cell r="G2174" t="str">
            <v>威露士</v>
          </cell>
          <cell r="H2174" t="str">
            <v>威露士</v>
          </cell>
          <cell r="I2174" t="str">
            <v>清洁用品</v>
          </cell>
          <cell r="J2174" t="str">
            <v>衣物清洁</v>
          </cell>
          <cell r="K2174" t="str">
            <v>绿劲 妈妈壹选新一代餐具净柚子柠檬 1.28kg</v>
          </cell>
          <cell r="L2174" t="str">
            <v>1.28kg</v>
          </cell>
          <cell r="M2174" t="str">
            <v>桶</v>
          </cell>
          <cell r="N2174">
            <v>12.01</v>
          </cell>
          <cell r="O2174">
            <v>15</v>
          </cell>
          <cell r="P2174">
            <v>0.19133333333333299</v>
          </cell>
        </row>
        <row r="2175">
          <cell r="F2175" t="str">
            <v>70346394</v>
          </cell>
          <cell r="G2175" t="str">
            <v>威露士</v>
          </cell>
          <cell r="H2175" t="str">
            <v>威露士</v>
          </cell>
          <cell r="I2175" t="str">
            <v>清洁用品</v>
          </cell>
          <cell r="J2175" t="str">
            <v>衣物清洁</v>
          </cell>
          <cell r="K2175" t="str">
            <v>威露士 消臭洗衣液 3L</v>
          </cell>
          <cell r="L2175" t="str">
            <v>3L</v>
          </cell>
          <cell r="M2175" t="str">
            <v>桶</v>
          </cell>
          <cell r="N2175">
            <v>56.86</v>
          </cell>
          <cell r="O2175">
            <v>69</v>
          </cell>
          <cell r="P2175">
            <v>0.16768115942028999</v>
          </cell>
        </row>
        <row r="2176">
          <cell r="F2176" t="str">
            <v>70468185</v>
          </cell>
          <cell r="G2176" t="str">
            <v>威露士</v>
          </cell>
          <cell r="H2176" t="str">
            <v>威露士</v>
          </cell>
          <cell r="I2176" t="str">
            <v>清洁用品</v>
          </cell>
          <cell r="J2176" t="str">
            <v>衣物清洁</v>
          </cell>
          <cell r="K2176" t="str">
            <v>威露士3X除菌洗衣液原味3L</v>
          </cell>
          <cell r="L2176" t="str">
            <v>3L</v>
          </cell>
          <cell r="M2176" t="str">
            <v>桶</v>
          </cell>
          <cell r="N2176">
            <v>57.03</v>
          </cell>
          <cell r="O2176">
            <v>69</v>
          </cell>
          <cell r="P2176">
            <v>0.16521739130434801</v>
          </cell>
        </row>
        <row r="2177">
          <cell r="F2177" t="str">
            <v>70244707</v>
          </cell>
          <cell r="G2177" t="str">
            <v>大宝</v>
          </cell>
          <cell r="H2177" t="str">
            <v>大宝</v>
          </cell>
          <cell r="I2177" t="str">
            <v>个人护理用品</v>
          </cell>
          <cell r="J2177" t="str">
            <v>护肤/化妆品</v>
          </cell>
          <cell r="K2177" t="str">
            <v>大宝 SOD清爽保湿露 100mL</v>
          </cell>
          <cell r="L2177" t="str">
            <v>100mL</v>
          </cell>
          <cell r="M2177" t="str">
            <v>瓶</v>
          </cell>
          <cell r="N2177">
            <v>11.26</v>
          </cell>
          <cell r="O2177">
            <v>14.9</v>
          </cell>
          <cell r="P2177">
            <v>0.236912751677852</v>
          </cell>
        </row>
        <row r="2178">
          <cell r="F2178" t="str">
            <v>70011118</v>
          </cell>
          <cell r="G2178" t="str">
            <v>大宝</v>
          </cell>
          <cell r="H2178" t="str">
            <v>大宝</v>
          </cell>
          <cell r="I2178" t="str">
            <v>个人护理用品</v>
          </cell>
          <cell r="J2178" t="str">
            <v>洁面</v>
          </cell>
          <cell r="K2178" t="str">
            <v>大宝 美容洗面奶 220g</v>
          </cell>
          <cell r="L2178" t="str">
            <v>220g</v>
          </cell>
          <cell r="M2178" t="str">
            <v>瓶</v>
          </cell>
          <cell r="N2178">
            <v>15.82</v>
          </cell>
          <cell r="O2178">
            <v>22</v>
          </cell>
          <cell r="P2178">
            <v>0.274090909090909</v>
          </cell>
        </row>
        <row r="2179">
          <cell r="F2179" t="str">
            <v>70574706</v>
          </cell>
          <cell r="G2179" t="str">
            <v>强生</v>
          </cell>
          <cell r="H2179" t="str">
            <v>强生</v>
          </cell>
          <cell r="I2179" t="str">
            <v>个人护理用品</v>
          </cell>
          <cell r="J2179" t="str">
            <v>沐浴液</v>
          </cell>
          <cell r="K2179" t="str">
            <v>强生 婴儿牛奶沐浴露 1kg</v>
          </cell>
          <cell r="L2179" t="str">
            <v>1kg</v>
          </cell>
          <cell r="M2179" t="str">
            <v>瓶</v>
          </cell>
          <cell r="N2179">
            <v>47.27</v>
          </cell>
          <cell r="O2179">
            <v>59.9</v>
          </cell>
          <cell r="P2179">
            <v>0.203005008347245</v>
          </cell>
        </row>
        <row r="2180">
          <cell r="F2180" t="str">
            <v>70027117</v>
          </cell>
          <cell r="G2180" t="str">
            <v>强生</v>
          </cell>
          <cell r="H2180" t="str">
            <v>强生</v>
          </cell>
          <cell r="I2180" t="str">
            <v>个人护理用品</v>
          </cell>
          <cell r="J2180" t="str">
            <v>香皂</v>
          </cell>
          <cell r="K2180" t="str">
            <v>强生 婴儿香皂 125克</v>
          </cell>
          <cell r="L2180" t="str">
            <v>125克</v>
          </cell>
          <cell r="M2180" t="str">
            <v>个</v>
          </cell>
          <cell r="N2180">
            <v>6.83</v>
          </cell>
          <cell r="O2180">
            <v>8.9</v>
          </cell>
          <cell r="P2180">
            <v>0.224719101123595</v>
          </cell>
        </row>
        <row r="2181">
          <cell r="F2181" t="str">
            <v>70139607</v>
          </cell>
          <cell r="G2181" t="str">
            <v>欧莱雅</v>
          </cell>
          <cell r="H2181" t="str">
            <v>欧莱雅</v>
          </cell>
          <cell r="I2181" t="str">
            <v>个人护理用品</v>
          </cell>
          <cell r="J2181" t="str">
            <v>洁面</v>
          </cell>
          <cell r="K2181" t="str">
            <v>欧莱雅男士劲能深层净化洁面膏100mL</v>
          </cell>
          <cell r="L2181" t="str">
            <v>100mL</v>
          </cell>
          <cell r="M2181" t="str">
            <v>瓶</v>
          </cell>
          <cell r="N2181">
            <v>35.86</v>
          </cell>
          <cell r="O2181">
            <v>49</v>
          </cell>
          <cell r="P2181">
            <v>0.26102040816326499</v>
          </cell>
        </row>
        <row r="2182">
          <cell r="F2182" t="str">
            <v>70254576</v>
          </cell>
          <cell r="G2182" t="str">
            <v>欧莱雅</v>
          </cell>
          <cell r="H2182" t="str">
            <v>欧莱雅</v>
          </cell>
          <cell r="I2182" t="str">
            <v>个人护理用品</v>
          </cell>
          <cell r="J2182" t="str">
            <v>化妆工具</v>
          </cell>
          <cell r="K2182" t="str">
            <v>欧莱雅男士控油炭爽双效洁面膏100mL</v>
          </cell>
          <cell r="L2182" t="str">
            <v>100mL</v>
          </cell>
          <cell r="M2182" t="str">
            <v>瓶</v>
          </cell>
          <cell r="N2182">
            <v>35.86</v>
          </cell>
          <cell r="O2182">
            <v>49</v>
          </cell>
          <cell r="P2182">
            <v>0.26102040816326499</v>
          </cell>
        </row>
        <row r="2183">
          <cell r="F2183" t="str">
            <v>70200836</v>
          </cell>
          <cell r="G2183" t="str">
            <v>欧莱雅</v>
          </cell>
          <cell r="H2183" t="str">
            <v>欧莱雅</v>
          </cell>
          <cell r="I2183" t="str">
            <v>个人护理用品</v>
          </cell>
          <cell r="J2183" t="str">
            <v>洁面</v>
          </cell>
          <cell r="K2183" t="str">
            <v>欧莱雅男士控油炭爽冰感洁面膏100mL</v>
          </cell>
          <cell r="L2183" t="str">
            <v>100mL</v>
          </cell>
          <cell r="M2183" t="str">
            <v>个</v>
          </cell>
          <cell r="N2183">
            <v>36.56</v>
          </cell>
          <cell r="O2183">
            <v>49</v>
          </cell>
          <cell r="P2183">
            <v>0.246530612244898</v>
          </cell>
        </row>
        <row r="2184">
          <cell r="F2184" t="str">
            <v>70223253</v>
          </cell>
          <cell r="G2184" t="str">
            <v>欧莱雅</v>
          </cell>
          <cell r="H2184" t="str">
            <v>欧莱雅</v>
          </cell>
          <cell r="I2184" t="str">
            <v>个人护理用品</v>
          </cell>
          <cell r="J2184" t="str">
            <v>洁面</v>
          </cell>
          <cell r="K2184" t="str">
            <v>欧莱雅男士控油炭爽抗黑头洁面膏100mL</v>
          </cell>
          <cell r="L2184" t="str">
            <v>100mL</v>
          </cell>
          <cell r="M2184" t="str">
            <v>个</v>
          </cell>
          <cell r="N2184">
            <v>35.86</v>
          </cell>
          <cell r="O2184">
            <v>49</v>
          </cell>
          <cell r="P2184">
            <v>0.26102040816326499</v>
          </cell>
        </row>
        <row r="2185">
          <cell r="F2185" t="str">
            <v>70319218</v>
          </cell>
          <cell r="G2185" t="str">
            <v>欧莱雅</v>
          </cell>
          <cell r="H2185" t="str">
            <v>欧莱雅</v>
          </cell>
          <cell r="I2185" t="str">
            <v>个人护理用品</v>
          </cell>
          <cell r="J2185" t="str">
            <v>洁面</v>
          </cell>
          <cell r="K2185" t="str">
            <v>欧莱雅男士水能润泽双效洁面膏100mL</v>
          </cell>
          <cell r="L2185" t="str">
            <v>100mL</v>
          </cell>
          <cell r="M2185" t="str">
            <v>个</v>
          </cell>
          <cell r="N2185">
            <v>36.71</v>
          </cell>
          <cell r="O2185">
            <v>49</v>
          </cell>
          <cell r="P2185">
            <v>0.24326530612244901</v>
          </cell>
        </row>
        <row r="2186">
          <cell r="F2186" t="str">
            <v>70233860</v>
          </cell>
          <cell r="G2186" t="str">
            <v>欧莱雅</v>
          </cell>
          <cell r="H2186" t="str">
            <v>欧莱雅</v>
          </cell>
          <cell r="I2186" t="str">
            <v>个人护理用品</v>
          </cell>
          <cell r="J2186" t="str">
            <v>洁面</v>
          </cell>
          <cell r="K2186" t="str">
            <v>欧莱雅男士火山岩控油清痘洁面膏100mL</v>
          </cell>
          <cell r="L2186" t="str">
            <v>100mL</v>
          </cell>
          <cell r="M2186" t="str">
            <v>瓶</v>
          </cell>
          <cell r="N2186">
            <v>35.86</v>
          </cell>
          <cell r="O2186">
            <v>49</v>
          </cell>
          <cell r="P2186">
            <v>0.26102040816326499</v>
          </cell>
        </row>
        <row r="2187">
          <cell r="F2187" t="str">
            <v>70486964</v>
          </cell>
          <cell r="G2187" t="str">
            <v>欧莱雅</v>
          </cell>
          <cell r="H2187" t="str">
            <v>欧莱雅</v>
          </cell>
          <cell r="I2187" t="str">
            <v>个人护理用品</v>
          </cell>
          <cell r="J2187" t="str">
            <v>洗发水</v>
          </cell>
          <cell r="K2187" t="str">
            <v>欧莱雅男士去屑洗发露(活泉劲爽)700mL</v>
          </cell>
          <cell r="L2187" t="str">
            <v>700mL</v>
          </cell>
          <cell r="M2187" t="str">
            <v>瓶</v>
          </cell>
          <cell r="N2187">
            <v>67.37</v>
          </cell>
          <cell r="O2187">
            <v>85</v>
          </cell>
          <cell r="P2187">
            <v>0.19964705882352901</v>
          </cell>
        </row>
        <row r="2188">
          <cell r="F2188" t="str">
            <v>70215847</v>
          </cell>
          <cell r="G2188" t="str">
            <v>欧莱雅</v>
          </cell>
          <cell r="H2188" t="str">
            <v>欧莱雅</v>
          </cell>
          <cell r="I2188" t="str">
            <v>个人护理用品</v>
          </cell>
          <cell r="J2188" t="str">
            <v>护发素</v>
          </cell>
          <cell r="K2188" t="str">
            <v>欧莱雅精油润养润发乳400mL</v>
          </cell>
          <cell r="L2188" t="str">
            <v>400mL</v>
          </cell>
          <cell r="M2188" t="str">
            <v>瓶</v>
          </cell>
          <cell r="N2188">
            <v>37.17</v>
          </cell>
          <cell r="O2188">
            <v>55</v>
          </cell>
          <cell r="P2188">
            <v>0.31745454545454499</v>
          </cell>
        </row>
        <row r="2189">
          <cell r="F2189" t="str">
            <v>70215848</v>
          </cell>
          <cell r="G2189" t="str">
            <v>欧莱雅</v>
          </cell>
          <cell r="H2189" t="str">
            <v>欧莱雅</v>
          </cell>
          <cell r="I2189" t="str">
            <v>个人护理用品</v>
          </cell>
          <cell r="J2189" t="str">
            <v>洗发水</v>
          </cell>
          <cell r="K2189" t="str">
            <v>欧莱雅精油润养洗发露400mL</v>
          </cell>
          <cell r="L2189" t="str">
            <v>400mL</v>
          </cell>
          <cell r="M2189" t="str">
            <v>瓶</v>
          </cell>
          <cell r="N2189">
            <v>33.94</v>
          </cell>
          <cell r="O2189">
            <v>55</v>
          </cell>
          <cell r="P2189">
            <v>0.37690909090909103</v>
          </cell>
        </row>
        <row r="2190">
          <cell r="F2190" t="str">
            <v>70227501</v>
          </cell>
          <cell r="G2190" t="str">
            <v>欧莱雅</v>
          </cell>
          <cell r="H2190" t="str">
            <v>欧莱雅</v>
          </cell>
          <cell r="I2190" t="str">
            <v>个人护理用品</v>
          </cell>
          <cell r="J2190" t="str">
            <v>洗发水</v>
          </cell>
          <cell r="K2190" t="str">
            <v>欧莱雅精油润养洗发露700mL</v>
          </cell>
          <cell r="L2190" t="str">
            <v>700mL</v>
          </cell>
          <cell r="M2190" t="str">
            <v>瓶</v>
          </cell>
          <cell r="N2190">
            <v>64.540000000000006</v>
          </cell>
          <cell r="O2190">
            <v>85</v>
          </cell>
          <cell r="P2190">
            <v>0.23317647058823501</v>
          </cell>
        </row>
        <row r="2191">
          <cell r="F2191" t="str">
            <v>70244100</v>
          </cell>
          <cell r="G2191" t="str">
            <v>欧莱雅</v>
          </cell>
          <cell r="H2191" t="str">
            <v>欧莱雅</v>
          </cell>
          <cell r="I2191" t="str">
            <v>个人护理用品</v>
          </cell>
          <cell r="J2191" t="str">
            <v>洗发水</v>
          </cell>
          <cell r="K2191" t="str">
            <v>欧莱雅透明质酸水润洗发露200mL(2021reno)</v>
          </cell>
          <cell r="L2191" t="str">
            <v>200mL</v>
          </cell>
          <cell r="M2191" t="str">
            <v>瓶</v>
          </cell>
          <cell r="N2191">
            <v>20.170000000000002</v>
          </cell>
          <cell r="O2191">
            <v>30</v>
          </cell>
          <cell r="P2191">
            <v>0.32100000000000001</v>
          </cell>
        </row>
        <row r="2192">
          <cell r="F2192" t="str">
            <v>70244101</v>
          </cell>
          <cell r="G2192" t="str">
            <v>欧莱雅</v>
          </cell>
          <cell r="H2192" t="str">
            <v>欧莱雅</v>
          </cell>
          <cell r="I2192" t="str">
            <v>个人护理用品</v>
          </cell>
          <cell r="J2192" t="str">
            <v>洗发水</v>
          </cell>
          <cell r="K2192" t="str">
            <v>欧莱雅透明质酸水润洗发露400mL(2021reno)</v>
          </cell>
          <cell r="L2192" t="str">
            <v>400mL</v>
          </cell>
          <cell r="M2192" t="str">
            <v>瓶</v>
          </cell>
          <cell r="N2192">
            <v>41.61</v>
          </cell>
          <cell r="O2192">
            <v>55</v>
          </cell>
          <cell r="P2192">
            <v>0.23599999999999999</v>
          </cell>
        </row>
        <row r="2193">
          <cell r="F2193" t="str">
            <v>70244108</v>
          </cell>
          <cell r="G2193" t="str">
            <v>欧莱雅</v>
          </cell>
          <cell r="H2193" t="str">
            <v>欧莱雅</v>
          </cell>
          <cell r="I2193" t="str">
            <v>个人护理用品</v>
          </cell>
          <cell r="J2193" t="str">
            <v>洗发水</v>
          </cell>
          <cell r="K2193" t="str">
            <v>欧莱雅透明质酸水润洗发露700mL(2021reno)</v>
          </cell>
          <cell r="L2193" t="str">
            <v>700mL</v>
          </cell>
          <cell r="M2193" t="str">
            <v>瓶</v>
          </cell>
          <cell r="N2193">
            <v>54.42</v>
          </cell>
          <cell r="O2193">
            <v>85</v>
          </cell>
          <cell r="P2193">
            <v>0.35341176470588198</v>
          </cell>
        </row>
        <row r="2194">
          <cell r="F2194" t="str">
            <v>70334053</v>
          </cell>
          <cell r="G2194" t="str">
            <v>欧莱雅</v>
          </cell>
          <cell r="H2194" t="str">
            <v>欧莱雅</v>
          </cell>
          <cell r="I2194" t="str">
            <v>个人护理用品</v>
          </cell>
          <cell r="J2194" t="str">
            <v>洗发水</v>
          </cell>
          <cell r="K2194" t="str">
            <v>巴黎欧莱雅奇焕精油洗发露(奇焕垂顺)440mL</v>
          </cell>
          <cell r="L2194" t="str">
            <v>440mL</v>
          </cell>
          <cell r="M2194" t="str">
            <v>瓶</v>
          </cell>
          <cell r="N2194">
            <v>84.34</v>
          </cell>
          <cell r="O2194">
            <v>139</v>
          </cell>
          <cell r="P2194">
            <v>0.38726618705035998</v>
          </cell>
        </row>
        <row r="2195">
          <cell r="F2195" t="str">
            <v>70452992</v>
          </cell>
          <cell r="G2195" t="str">
            <v>欧莱雅</v>
          </cell>
          <cell r="H2195" t="str">
            <v>欧莱雅</v>
          </cell>
          <cell r="I2195" t="str">
            <v>个人护理用品</v>
          </cell>
          <cell r="J2195" t="str">
            <v>洗发水</v>
          </cell>
          <cell r="K2195" t="str">
            <v>巴黎欧莱雅玻尿酸水光洗发露440mL</v>
          </cell>
          <cell r="L2195" t="str">
            <v>440mL</v>
          </cell>
          <cell r="M2195" t="str">
            <v>瓶</v>
          </cell>
          <cell r="N2195">
            <v>107.57</v>
          </cell>
          <cell r="O2195">
            <v>139</v>
          </cell>
          <cell r="P2195">
            <v>0.21848920863309401</v>
          </cell>
        </row>
        <row r="2196">
          <cell r="F2196" t="str">
            <v>70458126</v>
          </cell>
          <cell r="G2196" t="str">
            <v>纳宝帝</v>
          </cell>
          <cell r="H2196" t="str">
            <v>纳宝帝</v>
          </cell>
          <cell r="I2196" t="str">
            <v>饼干/糕点</v>
          </cell>
          <cell r="J2196" t="str">
            <v>饼干/糕点</v>
          </cell>
          <cell r="K2196" t="str">
            <v>纳宝帝丽芝士柠檬味威化饼干145g</v>
          </cell>
          <cell r="L2196" t="str">
            <v>145g</v>
          </cell>
          <cell r="M2196" t="str">
            <v>包</v>
          </cell>
          <cell r="N2196">
            <v>5.5</v>
          </cell>
          <cell r="O2196">
            <v>7.5</v>
          </cell>
          <cell r="P2196">
            <v>0.25866666666666699</v>
          </cell>
        </row>
        <row r="2197">
          <cell r="F2197" t="str">
            <v>70233966</v>
          </cell>
          <cell r="G2197" t="str">
            <v>纳宝帝</v>
          </cell>
          <cell r="H2197" t="str">
            <v>纳宝帝</v>
          </cell>
          <cell r="I2197" t="str">
            <v>饼干/糕点</v>
          </cell>
          <cell r="J2197" t="str">
            <v>饼干/糕点</v>
          </cell>
          <cell r="K2197" t="str">
            <v>纳宝帝丽芝士奶酪味威化饼干145g</v>
          </cell>
          <cell r="L2197" t="str">
            <v>145g</v>
          </cell>
          <cell r="M2197" t="str">
            <v>包</v>
          </cell>
          <cell r="N2197">
            <v>5.5</v>
          </cell>
          <cell r="O2197">
            <v>7.5</v>
          </cell>
          <cell r="P2197">
            <v>0.25866666666666699</v>
          </cell>
        </row>
        <row r="2198">
          <cell r="F2198" t="str">
            <v>70407197</v>
          </cell>
          <cell r="G2198" t="str">
            <v>纳宝帝</v>
          </cell>
          <cell r="H2198" t="str">
            <v>纳宝帝</v>
          </cell>
          <cell r="I2198" t="str">
            <v>饼干/糕点</v>
          </cell>
          <cell r="J2198" t="str">
            <v>饼干/糕点</v>
          </cell>
          <cell r="K2198" t="str">
            <v>纳宝帝丽芝士草莓芝士蛋糕味威化饼干145g</v>
          </cell>
          <cell r="L2198" t="str">
            <v>145g</v>
          </cell>
          <cell r="M2198" t="str">
            <v>包</v>
          </cell>
          <cell r="N2198">
            <v>6.01</v>
          </cell>
          <cell r="O2198">
            <v>8.9</v>
          </cell>
          <cell r="P2198">
            <v>0.317977528089888</v>
          </cell>
        </row>
        <row r="2199">
          <cell r="F2199" t="str">
            <v>70233965</v>
          </cell>
          <cell r="G2199" t="str">
            <v>纳宝帝</v>
          </cell>
          <cell r="H2199" t="str">
            <v>纳宝帝</v>
          </cell>
          <cell r="I2199" t="str">
            <v>饼干/糕点</v>
          </cell>
          <cell r="J2199" t="str">
            <v>饼干/糕点</v>
          </cell>
          <cell r="K2199" t="str">
            <v>纳宝帝丽芝士奶酪味威化饼干200g</v>
          </cell>
          <cell r="L2199" t="str">
            <v>200g</v>
          </cell>
          <cell r="M2199" t="str">
            <v>包</v>
          </cell>
          <cell r="N2199">
            <v>10.91</v>
          </cell>
          <cell r="O2199">
            <v>16.5</v>
          </cell>
          <cell r="P2199">
            <v>0.33212121212121198</v>
          </cell>
        </row>
        <row r="2200">
          <cell r="F2200" t="str">
            <v>70559070</v>
          </cell>
          <cell r="G2200" t="str">
            <v>MAXICORN</v>
          </cell>
          <cell r="H2200" t="str">
            <v>MAXICORN</v>
          </cell>
          <cell r="I2200" t="str">
            <v>零食</v>
          </cell>
          <cell r="J2200" t="str">
            <v>膨化食品</v>
          </cell>
          <cell r="K2200" t="str">
            <v>MAXICORN奶酪味玉米片140g</v>
          </cell>
          <cell r="L2200" t="str">
            <v>140g</v>
          </cell>
          <cell r="M2200" t="str">
            <v>袋</v>
          </cell>
          <cell r="N2200">
            <v>8.5</v>
          </cell>
          <cell r="O2200">
            <v>11.5</v>
          </cell>
          <cell r="P2200">
            <v>0.25304347826086998</v>
          </cell>
        </row>
        <row r="2201">
          <cell r="F2201" t="str">
            <v>70559071</v>
          </cell>
          <cell r="G2201" t="str">
            <v>MAXICORN</v>
          </cell>
          <cell r="H2201" t="str">
            <v>MAXICORN</v>
          </cell>
          <cell r="I2201" t="str">
            <v>零食</v>
          </cell>
          <cell r="J2201" t="str">
            <v>膨化食品</v>
          </cell>
          <cell r="K2201" t="str">
            <v>MAXICORN烧烤味玉米片140g</v>
          </cell>
          <cell r="L2201" t="str">
            <v>140g</v>
          </cell>
          <cell r="M2201" t="str">
            <v>包</v>
          </cell>
          <cell r="N2201">
            <v>8.5</v>
          </cell>
          <cell r="O2201">
            <v>11.5</v>
          </cell>
          <cell r="P2201">
            <v>0.25304347826086998</v>
          </cell>
        </row>
        <row r="2202">
          <cell r="F2202" t="str">
            <v>70559072</v>
          </cell>
          <cell r="G2202" t="str">
            <v>MAXICORN</v>
          </cell>
          <cell r="H2202" t="str">
            <v>MAXICORN</v>
          </cell>
          <cell r="I2202" t="str">
            <v>零食</v>
          </cell>
          <cell r="J2202" t="str">
            <v>膨化食品</v>
          </cell>
          <cell r="K2202" t="str">
            <v>MAXICORN原味玉米片140g</v>
          </cell>
          <cell r="L2202" t="str">
            <v>140g</v>
          </cell>
          <cell r="M2202" t="str">
            <v>包</v>
          </cell>
          <cell r="N2202">
            <v>8.5</v>
          </cell>
          <cell r="O2202">
            <v>11.5</v>
          </cell>
          <cell r="P2202">
            <v>0.25304347826086998</v>
          </cell>
        </row>
        <row r="2203">
          <cell r="F2203" t="str">
            <v>70435467</v>
          </cell>
          <cell r="G2203" t="str">
            <v>皇冠</v>
          </cell>
          <cell r="H2203" t="str">
            <v>皇冠</v>
          </cell>
          <cell r="I2203" t="str">
            <v>饼干糕点</v>
          </cell>
          <cell r="J2203" t="str">
            <v>曲奇</v>
          </cell>
          <cell r="K2203" t="str">
            <v>皇冠丹麦曲奇饼干1010g</v>
          </cell>
          <cell r="L2203" t="str">
            <v>1010g</v>
          </cell>
          <cell r="M2203" t="str">
            <v>罐</v>
          </cell>
          <cell r="N2203">
            <v>116.86</v>
          </cell>
          <cell r="O2203">
            <v>168</v>
          </cell>
          <cell r="P2203">
            <v>0.297559523809524</v>
          </cell>
        </row>
        <row r="2204">
          <cell r="F2204" t="str">
            <v>70045946</v>
          </cell>
          <cell r="G2204" t="str">
            <v>皇冠</v>
          </cell>
          <cell r="H2204" t="str">
            <v>皇冠</v>
          </cell>
          <cell r="I2204" t="str">
            <v>饼干糕点</v>
          </cell>
          <cell r="J2204" t="str">
            <v>饼干/糕点</v>
          </cell>
          <cell r="K2204" t="str">
            <v>皇冠丹麦曲奇饼干908g</v>
          </cell>
          <cell r="L2204" t="str">
            <v>908g</v>
          </cell>
          <cell r="M2204" t="str">
            <v>包</v>
          </cell>
          <cell r="N2204">
            <v>110.9</v>
          </cell>
          <cell r="O2204">
            <v>148</v>
          </cell>
          <cell r="P2204">
            <v>0.24324324324324301</v>
          </cell>
        </row>
        <row r="2205">
          <cell r="F2205" t="str">
            <v>70033572</v>
          </cell>
          <cell r="G2205" t="str">
            <v>皇冠</v>
          </cell>
          <cell r="H2205" t="str">
            <v>皇冠</v>
          </cell>
          <cell r="I2205" t="str">
            <v>饼干糕点</v>
          </cell>
          <cell r="J2205" t="str">
            <v>饼干/糕点</v>
          </cell>
          <cell r="K2205" t="str">
            <v>皇冠丹麦曲奇饼干454g</v>
          </cell>
          <cell r="L2205" t="str">
            <v>454g</v>
          </cell>
          <cell r="M2205" t="str">
            <v>包</v>
          </cell>
          <cell r="N2205">
            <v>60.46</v>
          </cell>
          <cell r="O2205">
            <v>89</v>
          </cell>
          <cell r="P2205">
            <v>0.31393258426966297</v>
          </cell>
        </row>
        <row r="2206">
          <cell r="F2206" t="str">
            <v>70186245</v>
          </cell>
          <cell r="G2206" t="str">
            <v>皇冠</v>
          </cell>
          <cell r="H2206" t="str">
            <v>皇冠</v>
          </cell>
          <cell r="I2206" t="str">
            <v>饼干糕点</v>
          </cell>
          <cell r="J2206" t="str">
            <v>饼干/糕点</v>
          </cell>
          <cell r="K2206" t="str">
            <v>皇冠丹麦曲奇饼干200g</v>
          </cell>
          <cell r="L2206" t="str">
            <v>200g</v>
          </cell>
          <cell r="M2206" t="str">
            <v>包</v>
          </cell>
          <cell r="N2206">
            <v>24.63</v>
          </cell>
          <cell r="O2206">
            <v>32</v>
          </cell>
          <cell r="P2206">
            <v>0.2225</v>
          </cell>
        </row>
        <row r="2207">
          <cell r="F2207" t="str">
            <v>70014253</v>
          </cell>
          <cell r="G2207" t="str">
            <v>皇冠</v>
          </cell>
          <cell r="H2207" t="str">
            <v>皇冠</v>
          </cell>
          <cell r="I2207" t="str">
            <v>饼干糕点</v>
          </cell>
          <cell r="J2207" t="str">
            <v>饼干/糕点</v>
          </cell>
          <cell r="K2207" t="str">
            <v>皇冠丹麦曲奇饼干163g</v>
          </cell>
          <cell r="L2207" t="str">
            <v>163g</v>
          </cell>
          <cell r="M2207" t="str">
            <v>包</v>
          </cell>
          <cell r="N2207">
            <v>14.15</v>
          </cell>
          <cell r="O2207">
            <v>18.899999999999999</v>
          </cell>
          <cell r="P2207">
            <v>0.243915343915344</v>
          </cell>
        </row>
        <row r="2208">
          <cell r="F2208" t="str">
            <v>70092660</v>
          </cell>
          <cell r="G2208" t="str">
            <v>皇冠</v>
          </cell>
          <cell r="H2208" t="str">
            <v>皇冠</v>
          </cell>
          <cell r="I2208" t="str">
            <v>饼干糕点</v>
          </cell>
          <cell r="J2208" t="str">
            <v>饼干/糕点</v>
          </cell>
          <cell r="K2208" t="str">
            <v>皇冠丹麦曲奇饼干原味90g</v>
          </cell>
          <cell r="L2208" t="str">
            <v>90g</v>
          </cell>
          <cell r="M2208" t="str">
            <v>袋</v>
          </cell>
          <cell r="N2208">
            <v>8.07</v>
          </cell>
          <cell r="O2208">
            <v>12.9</v>
          </cell>
          <cell r="P2208">
            <v>0.36821705426356599</v>
          </cell>
        </row>
        <row r="2209">
          <cell r="F2209" t="str">
            <v>70174080</v>
          </cell>
          <cell r="G2209" t="str">
            <v>皇冠</v>
          </cell>
          <cell r="H2209" t="str">
            <v>皇冠</v>
          </cell>
          <cell r="I2209" t="str">
            <v>饼干糕点</v>
          </cell>
          <cell r="J2209" t="str">
            <v>饼干/糕点</v>
          </cell>
          <cell r="K2209" t="str">
            <v>皇冠丹麦曲奇饼干葡萄干味90g</v>
          </cell>
          <cell r="L2209" t="str">
            <v>90g</v>
          </cell>
          <cell r="M2209" t="str">
            <v>包</v>
          </cell>
          <cell r="N2209">
            <v>9.06</v>
          </cell>
          <cell r="O2209">
            <v>12.9</v>
          </cell>
          <cell r="P2209">
            <v>0.290697674418605</v>
          </cell>
        </row>
        <row r="2210">
          <cell r="F2210" t="str">
            <v>70232817</v>
          </cell>
          <cell r="G2210" t="str">
            <v>皇冠</v>
          </cell>
          <cell r="H2210" t="str">
            <v>皇冠</v>
          </cell>
          <cell r="I2210" t="str">
            <v>饼干糕点</v>
          </cell>
          <cell r="J2210" t="str">
            <v>饼干/糕点</v>
          </cell>
          <cell r="K2210" t="str">
            <v>皇冠丹麦曲奇饼干礼盒装750g</v>
          </cell>
          <cell r="L2210" t="str">
            <v>750g</v>
          </cell>
          <cell r="M2210" t="str">
            <v>盒</v>
          </cell>
          <cell r="N2210">
            <v>92.11</v>
          </cell>
          <cell r="O2210">
            <v>128</v>
          </cell>
          <cell r="P2210">
            <v>0.27328124999999998</v>
          </cell>
        </row>
        <row r="2211">
          <cell r="F2211" t="str">
            <v>70264248</v>
          </cell>
          <cell r="G2211" t="str">
            <v>钙芝</v>
          </cell>
          <cell r="H2211" t="str">
            <v>钙芝</v>
          </cell>
          <cell r="I2211" t="str">
            <v>饼干/糕点</v>
          </cell>
          <cell r="J2211" t="str">
            <v>威化饼</v>
          </cell>
          <cell r="K2211" t="str">
            <v>钙芝奶酪味威化饼干58.5g</v>
          </cell>
          <cell r="L2211" t="str">
            <v>58.5g</v>
          </cell>
          <cell r="M2211" t="str">
            <v>包</v>
          </cell>
          <cell r="N2211">
            <v>2.92</v>
          </cell>
          <cell r="O2211">
            <v>3.8</v>
          </cell>
          <cell r="P2211">
            <v>0.22368421052631601</v>
          </cell>
        </row>
        <row r="2212">
          <cell r="F2212" t="str">
            <v>70262999</v>
          </cell>
          <cell r="G2212" t="str">
            <v>钙芝</v>
          </cell>
          <cell r="H2212" t="str">
            <v>钙芝</v>
          </cell>
          <cell r="I2212" t="str">
            <v>饼干/糕点</v>
          </cell>
          <cell r="J2212" t="str">
            <v>威化饼</v>
          </cell>
          <cell r="K2212" t="str">
            <v>钙芝奶酪味威化饼干135g</v>
          </cell>
          <cell r="L2212" t="str">
            <v>135g</v>
          </cell>
          <cell r="M2212" t="str">
            <v>包</v>
          </cell>
          <cell r="N2212">
            <v>5.98</v>
          </cell>
          <cell r="O2212">
            <v>7.9</v>
          </cell>
          <cell r="P2212">
            <v>0.23544303797468399</v>
          </cell>
        </row>
        <row r="2213">
          <cell r="F2213" t="str">
            <v>70329087</v>
          </cell>
          <cell r="G2213" t="str">
            <v>钙芝</v>
          </cell>
          <cell r="H2213" t="str">
            <v>钙芝</v>
          </cell>
          <cell r="I2213" t="str">
            <v>饼干糕点</v>
          </cell>
          <cell r="J2213" t="str">
            <v>威化饼</v>
          </cell>
          <cell r="K2213" t="str">
            <v>钙芝奶酪味威化饼干351g</v>
          </cell>
          <cell r="L2213" t="str">
            <v>351g</v>
          </cell>
          <cell r="M2213" t="str">
            <v>罐</v>
          </cell>
          <cell r="N2213">
            <v>23.12</v>
          </cell>
          <cell r="O2213">
            <v>29.8</v>
          </cell>
          <cell r="P2213">
            <v>0.216442953020134</v>
          </cell>
        </row>
        <row r="2214">
          <cell r="F2214" t="str">
            <v>70574448</v>
          </cell>
          <cell r="G2214" t="str">
            <v>贝蒂斯</v>
          </cell>
          <cell r="H2214" t="str">
            <v>贝蒂斯</v>
          </cell>
          <cell r="I2214" t="str">
            <v>家庭食品</v>
          </cell>
          <cell r="J2214" t="str">
            <v>油</v>
          </cell>
          <cell r="K2214" t="str">
            <v>贝蒂斯 食用植物调和油(亚麻橄榄)礼盒 500mL*2</v>
          </cell>
          <cell r="L2214" t="str">
            <v>500mL*2</v>
          </cell>
          <cell r="M2214" t="str">
            <v>盒</v>
          </cell>
          <cell r="N2214">
            <v>92.99</v>
          </cell>
          <cell r="O2214">
            <v>128</v>
          </cell>
          <cell r="P2214">
            <v>0.26632812500000003</v>
          </cell>
        </row>
        <row r="2215">
          <cell r="F2215" t="str">
            <v>70242608</v>
          </cell>
          <cell r="G2215" t="str">
            <v>贝蒂斯</v>
          </cell>
          <cell r="H2215" t="str">
            <v>贝蒂斯</v>
          </cell>
          <cell r="I2215" t="str">
            <v>家庭食品</v>
          </cell>
          <cell r="J2215" t="str">
            <v>油</v>
          </cell>
          <cell r="K2215" t="str">
            <v>贝蒂斯特级初榨橄榄油瓶装500mL*2礼盒</v>
          </cell>
          <cell r="L2215" t="str">
            <v>500mL*2</v>
          </cell>
          <cell r="M2215" t="str">
            <v>盒</v>
          </cell>
          <cell r="N2215">
            <v>262.2</v>
          </cell>
          <cell r="O2215">
            <v>368</v>
          </cell>
          <cell r="P2215">
            <v>0.280461956521739</v>
          </cell>
        </row>
        <row r="2216">
          <cell r="F2216" t="str">
            <v>70289299</v>
          </cell>
          <cell r="G2216" t="str">
            <v>雪花</v>
          </cell>
          <cell r="H2216" t="str">
            <v>雪花</v>
          </cell>
          <cell r="I2216" t="str">
            <v>酒类</v>
          </cell>
          <cell r="J2216" t="str">
            <v>啤酒</v>
          </cell>
          <cell r="K2216" t="str">
            <v>雪花 脸谱啤酒花脸概念系列11.5度 500mL</v>
          </cell>
          <cell r="L2216" t="str">
            <v>500mL</v>
          </cell>
          <cell r="M2216" t="str">
            <v>罐</v>
          </cell>
          <cell r="N2216">
            <v>9.09</v>
          </cell>
          <cell r="O2216">
            <v>14.5</v>
          </cell>
          <cell r="P2216">
            <v>0.36689655172413799</v>
          </cell>
        </row>
        <row r="2217">
          <cell r="F2217" t="str">
            <v>70289300</v>
          </cell>
          <cell r="G2217" t="str">
            <v>雪花</v>
          </cell>
          <cell r="H2217" t="str">
            <v>雪花</v>
          </cell>
          <cell r="I2217" t="str">
            <v>酒类</v>
          </cell>
          <cell r="J2217" t="str">
            <v>啤酒</v>
          </cell>
          <cell r="K2217" t="str">
            <v>雪花 8度脸谱啤酒花旦概念系列 500mL</v>
          </cell>
          <cell r="L2217" t="str">
            <v>500mL</v>
          </cell>
          <cell r="M2217" t="str">
            <v>罐</v>
          </cell>
          <cell r="N2217">
            <v>9.09</v>
          </cell>
          <cell r="O2217">
            <v>14.5</v>
          </cell>
          <cell r="P2217">
            <v>0.36689655172413799</v>
          </cell>
        </row>
        <row r="2218">
          <cell r="F2218" t="str">
            <v>70231298</v>
          </cell>
          <cell r="G2218" t="str">
            <v>雪花</v>
          </cell>
          <cell r="H2218" t="str">
            <v>雪花</v>
          </cell>
          <cell r="I2218" t="str">
            <v>酒类</v>
          </cell>
          <cell r="J2218" t="str">
            <v>啤酒</v>
          </cell>
          <cell r="K2218" t="str">
            <v>雪花 纯生8度 500mL</v>
          </cell>
          <cell r="L2218" t="str">
            <v>500mL</v>
          </cell>
          <cell r="M2218" t="str">
            <v>瓶</v>
          </cell>
          <cell r="N2218">
            <v>5.71</v>
          </cell>
          <cell r="O2218">
            <v>7.9</v>
          </cell>
          <cell r="P2218">
            <v>0.27088607594936698</v>
          </cell>
        </row>
        <row r="2219">
          <cell r="F2219" t="str">
            <v>70410728</v>
          </cell>
          <cell r="G2219" t="str">
            <v>雪花</v>
          </cell>
          <cell r="H2219" t="str">
            <v>雪花</v>
          </cell>
          <cell r="I2219" t="str">
            <v>酒类</v>
          </cell>
          <cell r="J2219" t="str">
            <v>啤酒</v>
          </cell>
          <cell r="K2219" t="str">
            <v>雪花 勇闯天涯8度Super X啤酒 500mL</v>
          </cell>
          <cell r="L2219" t="str">
            <v>500mL</v>
          </cell>
          <cell r="M2219" t="str">
            <v>罐</v>
          </cell>
          <cell r="N2219">
            <v>4.8</v>
          </cell>
          <cell r="O2219">
            <v>6.9</v>
          </cell>
          <cell r="P2219">
            <v>0.29710144927536197</v>
          </cell>
        </row>
        <row r="2220">
          <cell r="F2220" t="str">
            <v>70190359</v>
          </cell>
          <cell r="G2220" t="str">
            <v>雪花</v>
          </cell>
          <cell r="H2220" t="str">
            <v>雪花</v>
          </cell>
          <cell r="I2220" t="str">
            <v>酒类</v>
          </cell>
          <cell r="J2220" t="str">
            <v>啤酒</v>
          </cell>
          <cell r="K2220" t="str">
            <v>雪花 勇闯天涯8度 500mL</v>
          </cell>
          <cell r="L2220" t="str">
            <v>500mL</v>
          </cell>
          <cell r="M2220" t="str">
            <v>罐</v>
          </cell>
          <cell r="N2220">
            <v>3.89</v>
          </cell>
          <cell r="O2220">
            <v>5.9</v>
          </cell>
          <cell r="P2220">
            <v>0.33389830508474599</v>
          </cell>
        </row>
        <row r="2221">
          <cell r="F2221" t="str">
            <v>70186321</v>
          </cell>
          <cell r="G2221" t="str">
            <v>雪花</v>
          </cell>
          <cell r="H2221" t="str">
            <v>雪花</v>
          </cell>
          <cell r="I2221" t="str">
            <v>酒类</v>
          </cell>
          <cell r="J2221" t="str">
            <v>啤酒</v>
          </cell>
          <cell r="K2221" t="str">
            <v>雪花 勇闯天涯8度 330mL</v>
          </cell>
          <cell r="L2221" t="str">
            <v>330mL</v>
          </cell>
          <cell r="M2221" t="str">
            <v>罐</v>
          </cell>
          <cell r="N2221">
            <v>3.54</v>
          </cell>
          <cell r="O2221">
            <v>4.9000000000000004</v>
          </cell>
          <cell r="P2221">
            <v>0.27142857142857202</v>
          </cell>
        </row>
        <row r="2222">
          <cell r="F2222" t="str">
            <v>70171873</v>
          </cell>
          <cell r="G2222" t="str">
            <v>雪花</v>
          </cell>
          <cell r="H2222" t="str">
            <v>雪花</v>
          </cell>
          <cell r="I2222" t="str">
            <v>酒类</v>
          </cell>
          <cell r="J2222" t="str">
            <v>啤酒</v>
          </cell>
          <cell r="K2222" t="str">
            <v>雪花 清爽8度 330mL</v>
          </cell>
          <cell r="L2222" t="str">
            <v>330mL</v>
          </cell>
          <cell r="M2222" t="str">
            <v>罐</v>
          </cell>
          <cell r="N2222">
            <v>1.92</v>
          </cell>
          <cell r="O2222">
            <v>2.5</v>
          </cell>
          <cell r="P2222">
            <v>0.224</v>
          </cell>
        </row>
        <row r="2223">
          <cell r="F2223" t="str">
            <v>70199632</v>
          </cell>
          <cell r="G2223" t="str">
            <v>雪花</v>
          </cell>
          <cell r="H2223" t="str">
            <v>雪花</v>
          </cell>
          <cell r="I2223" t="str">
            <v>酒类</v>
          </cell>
          <cell r="J2223" t="str">
            <v>啤酒</v>
          </cell>
          <cell r="K2223" t="str">
            <v>喜力 经典11.4度 500mL</v>
          </cell>
          <cell r="L2223" t="str">
            <v>500mL</v>
          </cell>
          <cell r="M2223" t="str">
            <v>瓶</v>
          </cell>
          <cell r="N2223">
            <v>7.27</v>
          </cell>
          <cell r="O2223">
            <v>10</v>
          </cell>
          <cell r="P2223">
            <v>0.26600000000000001</v>
          </cell>
        </row>
        <row r="2224">
          <cell r="F2224" t="str">
            <v>70486021</v>
          </cell>
          <cell r="G2224" t="str">
            <v>雪花</v>
          </cell>
          <cell r="H2224" t="str">
            <v>雪花</v>
          </cell>
          <cell r="I2224" t="str">
            <v>酒类</v>
          </cell>
          <cell r="J2224" t="str">
            <v>啤酒</v>
          </cell>
          <cell r="K2224" t="str">
            <v>雪花 经典（老雪）12度 640mL</v>
          </cell>
          <cell r="L2224" t="str">
            <v>640mL</v>
          </cell>
          <cell r="M2224" t="str">
            <v>罐</v>
          </cell>
          <cell r="N2224">
            <v>6.26</v>
          </cell>
          <cell r="O2224">
            <v>9</v>
          </cell>
          <cell r="P2224">
            <v>0.29777777777777797</v>
          </cell>
        </row>
        <row r="2225">
          <cell r="F2225" t="str">
            <v>70340877</v>
          </cell>
          <cell r="G2225" t="str">
            <v>雪花</v>
          </cell>
          <cell r="H2225" t="str">
            <v>雪花</v>
          </cell>
          <cell r="I2225" t="str">
            <v>酒类</v>
          </cell>
          <cell r="J2225" t="str">
            <v>啤酒</v>
          </cell>
          <cell r="K2225" t="str">
            <v>雪花 黑狮白啤11.8度 500mL</v>
          </cell>
          <cell r="L2225" t="str">
            <v>500mL</v>
          </cell>
          <cell r="M2225" t="str">
            <v>瓶</v>
          </cell>
          <cell r="N2225">
            <v>6.97</v>
          </cell>
          <cell r="O2225">
            <v>10</v>
          </cell>
          <cell r="P2225">
            <v>0.29599999999999999</v>
          </cell>
        </row>
        <row r="2226">
          <cell r="F2226" t="str">
            <v>70200730</v>
          </cell>
          <cell r="G2226" t="str">
            <v>雪花</v>
          </cell>
          <cell r="H2226" t="str">
            <v>雪花</v>
          </cell>
          <cell r="I2226" t="str">
            <v>酒类</v>
          </cell>
          <cell r="J2226" t="str">
            <v>啤酒</v>
          </cell>
          <cell r="K2226" t="str">
            <v>雪花 清爽8度 500mL</v>
          </cell>
          <cell r="L2226" t="str">
            <v>500mL</v>
          </cell>
          <cell r="M2226" t="str">
            <v>罐</v>
          </cell>
          <cell r="N2226">
            <v>3.03</v>
          </cell>
          <cell r="O2226">
            <v>4.5</v>
          </cell>
          <cell r="P2226">
            <v>0.32</v>
          </cell>
        </row>
        <row r="2227">
          <cell r="F2227" t="str">
            <v>70575295</v>
          </cell>
          <cell r="G2227" t="str">
            <v>蒙牛</v>
          </cell>
          <cell r="H2227" t="str">
            <v>蒙牛</v>
          </cell>
          <cell r="I2227" t="str">
            <v>奶类</v>
          </cell>
          <cell r="J2227" t="str">
            <v>乳酸菌饮品</v>
          </cell>
          <cell r="K2227" t="str">
            <v>蒙牛 真果粒花果奶昔洛神花草莓风味酸奶饮品PET瓶230g</v>
          </cell>
          <cell r="L2227" t="str">
            <v>230g</v>
          </cell>
          <cell r="M2227" t="str">
            <v>瓶</v>
          </cell>
          <cell r="N2227">
            <v>4.1900000000000004</v>
          </cell>
          <cell r="O2227">
            <v>6</v>
          </cell>
          <cell r="P2227">
            <v>0.29499999999999998</v>
          </cell>
        </row>
        <row r="2228">
          <cell r="F2228" t="str">
            <v>70575291</v>
          </cell>
          <cell r="G2228" t="str">
            <v>蒙牛</v>
          </cell>
          <cell r="H2228" t="str">
            <v>蒙牛</v>
          </cell>
          <cell r="I2228" t="str">
            <v>奶类</v>
          </cell>
          <cell r="J2228" t="str">
            <v>乳酸菌饮品</v>
          </cell>
          <cell r="K2228" t="str">
            <v>蒙牛 真果粒花果奶昔洛神花草莓风味酸奶饮品PET瓶 230g*10</v>
          </cell>
          <cell r="L2228" t="str">
            <v>230g×10</v>
          </cell>
          <cell r="M2228" t="str">
            <v>箱</v>
          </cell>
          <cell r="N2228">
            <v>41.92</v>
          </cell>
          <cell r="O2228">
            <v>59.9</v>
          </cell>
          <cell r="P2228">
            <v>0.293322203672788</v>
          </cell>
        </row>
        <row r="2229">
          <cell r="F2229" t="str">
            <v>70575289</v>
          </cell>
          <cell r="G2229" t="str">
            <v>蒙牛</v>
          </cell>
          <cell r="H2229" t="str">
            <v>蒙牛</v>
          </cell>
          <cell r="I2229" t="str">
            <v>奶类</v>
          </cell>
          <cell r="J2229" t="str">
            <v>乳酸菌饮品</v>
          </cell>
          <cell r="K2229" t="str">
            <v>蒙牛 真果粒花果奶昔接骨木花蓝莓风味酸奶饮品PET瓶 230g</v>
          </cell>
          <cell r="L2229" t="str">
            <v>230g</v>
          </cell>
          <cell r="M2229" t="str">
            <v>瓶</v>
          </cell>
          <cell r="N2229">
            <v>4.1900000000000004</v>
          </cell>
          <cell r="O2229">
            <v>6</v>
          </cell>
          <cell r="P2229">
            <v>0.29499999999999998</v>
          </cell>
        </row>
        <row r="2230">
          <cell r="F2230" t="str">
            <v>70575290</v>
          </cell>
          <cell r="G2230" t="str">
            <v>蒙牛</v>
          </cell>
          <cell r="H2230" t="str">
            <v>蒙牛</v>
          </cell>
          <cell r="I2230" t="str">
            <v>奶类</v>
          </cell>
          <cell r="J2230" t="str">
            <v>乳酸菌饮品</v>
          </cell>
          <cell r="K2230" t="str">
            <v>蒙牛 真果粒花果奶昔接骨木花蓝莓风味酸奶饮品PET瓶 230g*10</v>
          </cell>
          <cell r="L2230" t="str">
            <v>230g×10</v>
          </cell>
          <cell r="M2230" t="str">
            <v>箱</v>
          </cell>
          <cell r="N2230">
            <v>41.92</v>
          </cell>
          <cell r="O2230">
            <v>59.9</v>
          </cell>
          <cell r="P2230">
            <v>0.293322203672788</v>
          </cell>
        </row>
        <row r="2231">
          <cell r="F2231" t="str">
            <v>70388787</v>
          </cell>
          <cell r="G2231" t="str">
            <v>冈本</v>
          </cell>
          <cell r="H2231" t="str">
            <v>冈本</v>
          </cell>
          <cell r="I2231" t="str">
            <v>药品/计生/保健</v>
          </cell>
          <cell r="J2231" t="str">
            <v>计生用品</v>
          </cell>
          <cell r="K2231" t="str">
            <v>冈本聚氨酯避孕套-0.01 2片装</v>
          </cell>
          <cell r="L2231" t="str">
            <v>2片</v>
          </cell>
          <cell r="M2231" t="str">
            <v>盒</v>
          </cell>
          <cell r="N2231">
            <v>49.42</v>
          </cell>
          <cell r="O2231">
            <v>84.75</v>
          </cell>
          <cell r="P2231">
            <v>0.38946666666666702</v>
          </cell>
        </row>
        <row r="2232">
          <cell r="F2232" t="str">
            <v>70197628</v>
          </cell>
          <cell r="G2232" t="str">
            <v>冈本</v>
          </cell>
          <cell r="H2232" t="str">
            <v>冈本</v>
          </cell>
          <cell r="I2232" t="str">
            <v>药品/计生/保健</v>
          </cell>
          <cell r="J2232" t="str">
            <v>计生用品</v>
          </cell>
          <cell r="K2232" t="str">
            <v>冈本OK避孕套-0.03白金超薄 3片装</v>
          </cell>
          <cell r="L2232" t="str">
            <v>3片</v>
          </cell>
          <cell r="M2232" t="str">
            <v>盒</v>
          </cell>
          <cell r="N2232">
            <v>34.4</v>
          </cell>
          <cell r="O2232">
            <v>62.15</v>
          </cell>
          <cell r="P2232">
            <v>0.420363636363636</v>
          </cell>
        </row>
        <row r="2233">
          <cell r="F2233" t="str">
            <v>70197627</v>
          </cell>
          <cell r="G2233" t="str">
            <v>冈本</v>
          </cell>
          <cell r="H2233" t="str">
            <v>冈本</v>
          </cell>
          <cell r="I2233" t="str">
            <v>药品/计生/保健</v>
          </cell>
          <cell r="J2233" t="str">
            <v>计生用品</v>
          </cell>
          <cell r="K2233" t="str">
            <v>冈本OK避孕套-0.03白金超薄 10片装</v>
          </cell>
          <cell r="L2233" t="str">
            <v>10片</v>
          </cell>
          <cell r="M2233" t="str">
            <v>盒</v>
          </cell>
          <cell r="N2233">
            <v>87.01</v>
          </cell>
          <cell r="O2233">
            <v>157.07</v>
          </cell>
          <cell r="P2233">
            <v>0.42</v>
          </cell>
        </row>
        <row r="2234">
          <cell r="F2234" t="str">
            <v>70566299</v>
          </cell>
          <cell r="G2234" t="str">
            <v>冈本</v>
          </cell>
          <cell r="H2234" t="str">
            <v>冈本</v>
          </cell>
          <cell r="I2234" t="str">
            <v>药品/计生/保健</v>
          </cell>
          <cell r="J2234" t="str">
            <v>计生用品</v>
          </cell>
          <cell r="K2234" t="str">
            <v>冈本OK避孕套-0.03玻尿酸 2片装</v>
          </cell>
          <cell r="L2234" t="str">
            <v>2片</v>
          </cell>
          <cell r="M2234" t="str">
            <v>盒</v>
          </cell>
          <cell r="N2234">
            <v>32.950000000000003</v>
          </cell>
          <cell r="O2234">
            <v>50.85</v>
          </cell>
          <cell r="P2234">
            <v>0.32155555555555598</v>
          </cell>
        </row>
        <row r="2235">
          <cell r="F2235" t="str">
            <v>70524247</v>
          </cell>
          <cell r="G2235" t="str">
            <v>冈本</v>
          </cell>
          <cell r="H2235" t="str">
            <v>冈本</v>
          </cell>
          <cell r="I2235" t="str">
            <v>药品/计生/保健</v>
          </cell>
          <cell r="J2235" t="str">
            <v>计生用品</v>
          </cell>
          <cell r="K2235" t="str">
            <v>冈本避孕套-粉润超薄 3片装</v>
          </cell>
          <cell r="L2235" t="str">
            <v>3片</v>
          </cell>
          <cell r="M2235" t="str">
            <v>盒</v>
          </cell>
          <cell r="N2235">
            <v>15.66</v>
          </cell>
          <cell r="O2235">
            <v>28.25</v>
          </cell>
          <cell r="P2235">
            <v>0.42</v>
          </cell>
        </row>
        <row r="2236">
          <cell r="F2236" t="str">
            <v>70257049</v>
          </cell>
          <cell r="G2236" t="str">
            <v>冈本</v>
          </cell>
          <cell r="H2236" t="str">
            <v>冈本</v>
          </cell>
          <cell r="I2236" t="str">
            <v>药品/计生/保健</v>
          </cell>
          <cell r="J2236" t="str">
            <v>计生用品</v>
          </cell>
          <cell r="K2236" t="str">
            <v>冈本避孕套-质感超薄 3片装</v>
          </cell>
          <cell r="L2236" t="str">
            <v>3片</v>
          </cell>
          <cell r="M2236" t="str">
            <v>盒</v>
          </cell>
          <cell r="N2236">
            <v>10.46</v>
          </cell>
          <cell r="O2236">
            <v>19.21</v>
          </cell>
          <cell r="P2236">
            <v>0.43</v>
          </cell>
        </row>
        <row r="2237">
          <cell r="F2237" t="str">
            <v>70524246</v>
          </cell>
          <cell r="G2237" t="str">
            <v>冈本</v>
          </cell>
          <cell r="H2237" t="str">
            <v>冈本</v>
          </cell>
          <cell r="I2237" t="str">
            <v>药品/计生/保健</v>
          </cell>
          <cell r="J2237" t="str">
            <v>计生用品</v>
          </cell>
          <cell r="K2237" t="str">
            <v>冈本003透明质酸钠润滑液15mL</v>
          </cell>
          <cell r="L2237" t="str">
            <v>15mL</v>
          </cell>
          <cell r="M2237" t="str">
            <v>盒</v>
          </cell>
          <cell r="N2237">
            <v>13.43</v>
          </cell>
          <cell r="O2237">
            <v>24.9</v>
          </cell>
          <cell r="P2237">
            <v>0.45502008032128499</v>
          </cell>
        </row>
        <row r="2238">
          <cell r="F2238" t="str">
            <v>70575306</v>
          </cell>
          <cell r="G2238" t="str">
            <v>杰士邦</v>
          </cell>
          <cell r="H2238" t="str">
            <v>杰士邦</v>
          </cell>
          <cell r="I2238" t="str">
            <v>药品/计生/保健</v>
          </cell>
          <cell r="J2238" t="str">
            <v>计生用品</v>
          </cell>
          <cell r="K2238" t="str">
            <v>杰士邦 超润玻尿酸安全套 3只</v>
          </cell>
          <cell r="L2238" t="str">
            <v>3只</v>
          </cell>
          <cell r="M2238" t="str">
            <v>盒</v>
          </cell>
          <cell r="N2238">
            <v>12.22</v>
          </cell>
          <cell r="O2238">
            <v>22.49</v>
          </cell>
          <cell r="P2238">
            <v>0.446231155778894</v>
          </cell>
        </row>
        <row r="2239">
          <cell r="F2239" t="str">
            <v>70554468</v>
          </cell>
          <cell r="G2239" t="str">
            <v>杰士邦</v>
          </cell>
          <cell r="H2239" t="str">
            <v>杰士邦</v>
          </cell>
          <cell r="I2239" t="str">
            <v>药品/计生/保健</v>
          </cell>
          <cell r="J2239" t="str">
            <v>计生用品</v>
          </cell>
          <cell r="K2239" t="str">
            <v>杰士邦 零感超薄玻尿酸安全套 3只</v>
          </cell>
          <cell r="L2239" t="str">
            <v>3只</v>
          </cell>
          <cell r="M2239" t="str">
            <v>盒</v>
          </cell>
          <cell r="N2239">
            <v>16.02</v>
          </cell>
          <cell r="O2239">
            <v>29.27</v>
          </cell>
          <cell r="P2239">
            <v>0.44247104247104202</v>
          </cell>
        </row>
        <row r="2240">
          <cell r="F2240" t="str">
            <v>70575307</v>
          </cell>
          <cell r="G2240" t="str">
            <v>杰士邦</v>
          </cell>
          <cell r="H2240" t="str">
            <v>第6感</v>
          </cell>
          <cell r="I2240" t="str">
            <v>药品/计生/保健</v>
          </cell>
          <cell r="J2240" t="str">
            <v>计生用品</v>
          </cell>
          <cell r="K2240" t="str">
            <v>第6感 水润玻尿酸安全套 10只</v>
          </cell>
          <cell r="L2240" t="str">
            <v>10只</v>
          </cell>
          <cell r="M2240" t="str">
            <v>盒</v>
          </cell>
          <cell r="N2240">
            <v>13.41</v>
          </cell>
          <cell r="O2240">
            <v>24.75</v>
          </cell>
          <cell r="P2240">
            <v>0.44748858447488599</v>
          </cell>
        </row>
        <row r="2241">
          <cell r="F2241" t="str">
            <v>70575308</v>
          </cell>
          <cell r="G2241" t="str">
            <v>杰士邦</v>
          </cell>
          <cell r="H2241" t="str">
            <v>第6感</v>
          </cell>
          <cell r="I2241" t="str">
            <v>药品/计生/保健</v>
          </cell>
          <cell r="J2241" t="str">
            <v>计生用品</v>
          </cell>
          <cell r="K2241" t="str">
            <v>第6感 超薄玻尿酸安全套 10只</v>
          </cell>
          <cell r="L2241" t="str">
            <v>10只</v>
          </cell>
          <cell r="M2241" t="str">
            <v>盒</v>
          </cell>
          <cell r="N2241">
            <v>12.22</v>
          </cell>
          <cell r="O2241">
            <v>22.49</v>
          </cell>
          <cell r="P2241">
            <v>0.446231155778894</v>
          </cell>
        </row>
        <row r="2242">
          <cell r="F2242" t="str">
            <v>70575309</v>
          </cell>
          <cell r="G2242" t="str">
            <v>杰士邦</v>
          </cell>
          <cell r="H2242" t="str">
            <v>第6感</v>
          </cell>
          <cell r="I2242" t="str">
            <v>药品/计生/保健</v>
          </cell>
          <cell r="J2242" t="str">
            <v>计生用品</v>
          </cell>
          <cell r="K2242" t="str">
            <v>第6感 超薄超润滑安全套 3只</v>
          </cell>
          <cell r="L2242" t="str">
            <v>3只</v>
          </cell>
          <cell r="M2242" t="str">
            <v>盒</v>
          </cell>
          <cell r="N2242">
            <v>10.4</v>
          </cell>
          <cell r="O2242">
            <v>19.100000000000001</v>
          </cell>
          <cell r="P2242">
            <v>0.444970414201183</v>
          </cell>
        </row>
        <row r="2243">
          <cell r="F2243" t="str">
            <v>70024751</v>
          </cell>
          <cell r="G2243" t="str">
            <v>维他</v>
          </cell>
          <cell r="H2243" t="str">
            <v>维他奶</v>
          </cell>
          <cell r="I2243" t="str">
            <v>奶类</v>
          </cell>
          <cell r="J2243" t="str">
            <v>豆奶</v>
          </cell>
          <cell r="K2243" t="str">
            <v>维他奶原味豆奶 250mL</v>
          </cell>
          <cell r="L2243" t="str">
            <v>250mL</v>
          </cell>
          <cell r="M2243" t="str">
            <v>瓶</v>
          </cell>
          <cell r="N2243">
            <v>2.19</v>
          </cell>
          <cell r="O2243">
            <v>3.5</v>
          </cell>
          <cell r="P2243">
            <v>0.36857142857142899</v>
          </cell>
        </row>
        <row r="2244">
          <cell r="F2244" t="str">
            <v>70206775</v>
          </cell>
          <cell r="G2244" t="str">
            <v>维他</v>
          </cell>
          <cell r="H2244" t="str">
            <v>维他奶</v>
          </cell>
          <cell r="I2244" t="str">
            <v>奶类</v>
          </cell>
          <cell r="J2244" t="str">
            <v>豆奶</v>
          </cell>
          <cell r="K2244" t="str">
            <v>维他奶巧克力豆奶 250mL</v>
          </cell>
          <cell r="L2244" t="str">
            <v>250mL</v>
          </cell>
          <cell r="M2244" t="str">
            <v>瓶</v>
          </cell>
          <cell r="N2244">
            <v>2.3199999999999998</v>
          </cell>
          <cell r="O2244">
            <v>3.5</v>
          </cell>
          <cell r="P2244">
            <v>0.32857142857142901</v>
          </cell>
        </row>
        <row r="2245">
          <cell r="F2245" t="str">
            <v>70206776</v>
          </cell>
          <cell r="G2245" t="str">
            <v>维他</v>
          </cell>
          <cell r="H2245" t="str">
            <v>维他奶</v>
          </cell>
          <cell r="I2245" t="str">
            <v>奶类</v>
          </cell>
          <cell r="J2245" t="str">
            <v>豆奶</v>
          </cell>
          <cell r="K2245" t="str">
            <v>维他奶黑豆豆奶 250mL</v>
          </cell>
          <cell r="L2245" t="str">
            <v>250mL</v>
          </cell>
          <cell r="M2245" t="str">
            <v>瓶</v>
          </cell>
          <cell r="N2245">
            <v>2.3199999999999998</v>
          </cell>
          <cell r="O2245">
            <v>3.5</v>
          </cell>
          <cell r="P2245">
            <v>0.32857142857142901</v>
          </cell>
        </row>
        <row r="2246">
          <cell r="F2246" t="str">
            <v>70326399</v>
          </cell>
          <cell r="G2246" t="str">
            <v>维他</v>
          </cell>
          <cell r="H2246" t="str">
            <v>维他奶</v>
          </cell>
          <cell r="I2246" t="str">
            <v>奶类</v>
          </cell>
          <cell r="J2246" t="str">
            <v>豆奶</v>
          </cell>
          <cell r="K2246" t="str">
            <v>维他奶低糖原味豆奶 250mL</v>
          </cell>
          <cell r="L2246" t="str">
            <v>250mL</v>
          </cell>
          <cell r="M2246" t="str">
            <v>瓶</v>
          </cell>
          <cell r="N2246">
            <v>2.3199999999999998</v>
          </cell>
          <cell r="O2246">
            <v>3.5</v>
          </cell>
          <cell r="P2246">
            <v>0.32857142857142901</v>
          </cell>
        </row>
        <row r="2247">
          <cell r="F2247" t="str">
            <v>70265930</v>
          </cell>
          <cell r="G2247" t="str">
            <v>中粮粮谷</v>
          </cell>
          <cell r="H2247" t="str">
            <v>香雪</v>
          </cell>
          <cell r="I2247" t="str">
            <v>家庭食品</v>
          </cell>
          <cell r="J2247" t="str">
            <v>粮</v>
          </cell>
          <cell r="K2247" t="str">
            <v>香雪高筋特精粉25kg</v>
          </cell>
          <cell r="L2247" t="str">
            <v>25kg</v>
          </cell>
          <cell r="M2247" t="str">
            <v>袋</v>
          </cell>
          <cell r="N2247">
            <v>95.95</v>
          </cell>
          <cell r="O2247">
            <v>108</v>
          </cell>
          <cell r="P2247">
            <v>0.102777777777778</v>
          </cell>
        </row>
        <row r="2248">
          <cell r="F2248" t="str">
            <v>70042098</v>
          </cell>
          <cell r="G2248" t="str">
            <v>中粮粮谷</v>
          </cell>
          <cell r="H2248" t="str">
            <v>福临门</v>
          </cell>
          <cell r="I2248" t="str">
            <v>家庭食品</v>
          </cell>
          <cell r="J2248" t="str">
            <v>粮</v>
          </cell>
          <cell r="K2248" t="str">
            <v>福临门稻花香5kg</v>
          </cell>
          <cell r="L2248" t="str">
            <v>5kg</v>
          </cell>
          <cell r="M2248" t="str">
            <v>袋</v>
          </cell>
          <cell r="N2248">
            <v>76.05</v>
          </cell>
          <cell r="O2248">
            <v>89.9</v>
          </cell>
          <cell r="P2248">
            <v>0.145606229143493</v>
          </cell>
        </row>
        <row r="2249">
          <cell r="F2249" t="str">
            <v>70228921</v>
          </cell>
          <cell r="G2249" t="str">
            <v>中粮粮谷</v>
          </cell>
          <cell r="H2249" t="str">
            <v>福临门</v>
          </cell>
          <cell r="I2249" t="str">
            <v>家庭食品</v>
          </cell>
          <cell r="J2249" t="str">
            <v>粮</v>
          </cell>
          <cell r="K2249" t="str">
            <v>福临门油粘米15kg</v>
          </cell>
          <cell r="L2249" t="str">
            <v>15kg</v>
          </cell>
          <cell r="M2249" t="str">
            <v>袋</v>
          </cell>
          <cell r="N2249">
            <v>88.88</v>
          </cell>
          <cell r="O2249">
            <v>103</v>
          </cell>
          <cell r="P2249">
            <v>0.12854368932038801</v>
          </cell>
        </row>
        <row r="2250">
          <cell r="F2250" t="str">
            <v>70181410</v>
          </cell>
          <cell r="G2250" t="str">
            <v>中粮粮谷</v>
          </cell>
          <cell r="H2250" t="str">
            <v>福临门</v>
          </cell>
          <cell r="I2250" t="str">
            <v>家庭食品</v>
          </cell>
          <cell r="J2250" t="str">
            <v>粮</v>
          </cell>
          <cell r="K2250" t="str">
            <v>福临门金粳稻5kg</v>
          </cell>
          <cell r="L2250" t="str">
            <v>5kg</v>
          </cell>
          <cell r="M2250" t="str">
            <v>袋</v>
          </cell>
          <cell r="N2250">
            <v>30.3</v>
          </cell>
          <cell r="O2250">
            <v>36.9</v>
          </cell>
          <cell r="P2250">
            <v>0.17073170731707299</v>
          </cell>
        </row>
        <row r="2251">
          <cell r="F2251" t="str">
            <v>70312971</v>
          </cell>
          <cell r="G2251" t="str">
            <v>中粮粮谷</v>
          </cell>
          <cell r="H2251" t="str">
            <v>福临门</v>
          </cell>
          <cell r="I2251" t="str">
            <v>家庭食品</v>
          </cell>
          <cell r="J2251" t="str">
            <v>粮</v>
          </cell>
          <cell r="K2251" t="str">
            <v>福临门鹭栖珍米5kg</v>
          </cell>
          <cell r="L2251" t="str">
            <v>5kg</v>
          </cell>
          <cell r="M2251" t="str">
            <v>袋</v>
          </cell>
          <cell r="N2251">
            <v>36.36</v>
          </cell>
          <cell r="O2251">
            <v>44.9</v>
          </cell>
          <cell r="P2251">
            <v>0.18218262806236099</v>
          </cell>
        </row>
        <row r="2252">
          <cell r="F2252" t="str">
            <v>70220559</v>
          </cell>
          <cell r="G2252" t="str">
            <v>中粮粮谷</v>
          </cell>
          <cell r="H2252" t="str">
            <v>香雪</v>
          </cell>
          <cell r="I2252" t="str">
            <v>家庭食品</v>
          </cell>
          <cell r="J2252" t="str">
            <v>粮</v>
          </cell>
          <cell r="K2252" t="str">
            <v>香雪雪花粉10kg</v>
          </cell>
          <cell r="L2252" t="str">
            <v>10kg</v>
          </cell>
          <cell r="M2252" t="str">
            <v>袋</v>
          </cell>
          <cell r="N2252">
            <v>61.61</v>
          </cell>
          <cell r="O2252">
            <v>75</v>
          </cell>
          <cell r="P2252">
            <v>0.1704</v>
          </cell>
        </row>
        <row r="2253">
          <cell r="F2253" t="str">
            <v>70260848</v>
          </cell>
          <cell r="G2253" t="str">
            <v>中粮粮谷</v>
          </cell>
          <cell r="H2253" t="str">
            <v>香雪</v>
          </cell>
          <cell r="I2253" t="str">
            <v>家庭食品</v>
          </cell>
          <cell r="J2253" t="str">
            <v>粮</v>
          </cell>
          <cell r="K2253" t="str">
            <v>香雪饺子粉5kg</v>
          </cell>
          <cell r="L2253" t="str">
            <v>5kg</v>
          </cell>
          <cell r="M2253" t="str">
            <v>袋</v>
          </cell>
          <cell r="N2253">
            <v>24.24</v>
          </cell>
          <cell r="O2253">
            <v>30</v>
          </cell>
          <cell r="P2253">
            <v>0.184</v>
          </cell>
        </row>
        <row r="2254">
          <cell r="F2254" t="str">
            <v>70283113</v>
          </cell>
          <cell r="G2254" t="str">
            <v>中粮粮谷</v>
          </cell>
          <cell r="H2254" t="str">
            <v>福临门</v>
          </cell>
          <cell r="I2254" t="str">
            <v>家庭食品</v>
          </cell>
          <cell r="J2254" t="str">
            <v>粮</v>
          </cell>
          <cell r="K2254" t="str">
            <v>福临门河套平原雪花小麦粉5kg</v>
          </cell>
          <cell r="L2254" t="str">
            <v>5kg</v>
          </cell>
          <cell r="M2254" t="str">
            <v>袋</v>
          </cell>
          <cell r="N2254">
            <v>77.77</v>
          </cell>
          <cell r="O2254">
            <v>108</v>
          </cell>
          <cell r="P2254">
            <v>0.27277777777777801</v>
          </cell>
        </row>
        <row r="2255">
          <cell r="F2255" t="str">
            <v>70258816</v>
          </cell>
          <cell r="G2255" t="str">
            <v>中粮粮谷</v>
          </cell>
          <cell r="H2255" t="str">
            <v>福临门</v>
          </cell>
          <cell r="I2255" t="str">
            <v>家庭食品</v>
          </cell>
          <cell r="J2255" t="str">
            <v>粮</v>
          </cell>
          <cell r="K2255" t="str">
            <v>福临门五常长粒香5kg</v>
          </cell>
          <cell r="L2255" t="str">
            <v>5kg</v>
          </cell>
          <cell r="M2255" t="str">
            <v>袋</v>
          </cell>
          <cell r="N2255">
            <v>48.48</v>
          </cell>
          <cell r="O2255">
            <v>58.9</v>
          </cell>
          <cell r="P2255">
            <v>0.16876061120543301</v>
          </cell>
        </row>
        <row r="2256">
          <cell r="F2256" t="str">
            <v>70322221</v>
          </cell>
          <cell r="G2256" t="str">
            <v>中粮粮谷</v>
          </cell>
          <cell r="H2256" t="str">
            <v>福临门</v>
          </cell>
          <cell r="I2256" t="str">
            <v>家庭食品</v>
          </cell>
          <cell r="J2256" t="str">
            <v>粮</v>
          </cell>
          <cell r="K2256" t="str">
            <v>福临门麦芯通用小麦粉25kg</v>
          </cell>
          <cell r="L2256" t="str">
            <v>25kg</v>
          </cell>
          <cell r="M2256" t="str">
            <v>袋</v>
          </cell>
          <cell r="N2256">
            <v>98.98</v>
          </cell>
          <cell r="O2256">
            <v>125</v>
          </cell>
          <cell r="P2256">
            <v>0.20032</v>
          </cell>
        </row>
        <row r="2257">
          <cell r="F2257" t="str">
            <v>70381863</v>
          </cell>
          <cell r="G2257" t="str">
            <v>中粮粮谷</v>
          </cell>
          <cell r="H2257" t="str">
            <v>福临门</v>
          </cell>
          <cell r="I2257" t="str">
            <v>家庭食品</v>
          </cell>
          <cell r="J2257" t="str">
            <v>粮</v>
          </cell>
          <cell r="K2257" t="str">
            <v>福临门自然香五常香米5kg</v>
          </cell>
          <cell r="L2257" t="str">
            <v>5kg</v>
          </cell>
          <cell r="M2257" t="str">
            <v>袋</v>
          </cell>
          <cell r="N2257">
            <v>60.6</v>
          </cell>
          <cell r="O2257">
            <v>78</v>
          </cell>
          <cell r="P2257">
            <v>0.21538461538461501</v>
          </cell>
        </row>
        <row r="2258">
          <cell r="F2258" t="str">
            <v>70277940</v>
          </cell>
          <cell r="G2258" t="str">
            <v>中粮粮谷</v>
          </cell>
          <cell r="H2258" t="str">
            <v>福临门</v>
          </cell>
          <cell r="I2258" t="str">
            <v>家庭食品</v>
          </cell>
          <cell r="J2258" t="str">
            <v>粮</v>
          </cell>
          <cell r="K2258" t="str">
            <v>福临门柬埔寨苏马里香米5kg</v>
          </cell>
          <cell r="L2258" t="str">
            <v>5kg</v>
          </cell>
          <cell r="M2258" t="str">
            <v>袋</v>
          </cell>
          <cell r="N2258">
            <v>56.56</v>
          </cell>
          <cell r="O2258">
            <v>73.900000000000006</v>
          </cell>
          <cell r="P2258">
            <v>0.227063599458728</v>
          </cell>
        </row>
        <row r="2259">
          <cell r="F2259" t="str">
            <v>70116092</v>
          </cell>
          <cell r="G2259" t="str">
            <v>中粮粮谷</v>
          </cell>
          <cell r="H2259" t="str">
            <v>福临门</v>
          </cell>
          <cell r="I2259" t="str">
            <v>家庭食品</v>
          </cell>
          <cell r="J2259" t="str">
            <v>粮</v>
          </cell>
          <cell r="K2259" t="str">
            <v>福临门油粘米5kg</v>
          </cell>
          <cell r="L2259" t="str">
            <v>5kg</v>
          </cell>
          <cell r="M2259" t="str">
            <v>袋</v>
          </cell>
          <cell r="N2259">
            <v>34.85</v>
          </cell>
          <cell r="O2259">
            <v>42.9</v>
          </cell>
          <cell r="P2259">
            <v>0.17972027972028001</v>
          </cell>
        </row>
        <row r="2260">
          <cell r="F2260" t="str">
            <v>70047169</v>
          </cell>
          <cell r="G2260" t="str">
            <v>中粮粮谷</v>
          </cell>
          <cell r="H2260" t="str">
            <v>五湖</v>
          </cell>
          <cell r="I2260" t="str">
            <v>家庭食品</v>
          </cell>
          <cell r="J2260" t="str">
            <v>粮</v>
          </cell>
          <cell r="K2260" t="str">
            <v>五湖东北长粒香25kg</v>
          </cell>
          <cell r="L2260" t="str">
            <v>25kg</v>
          </cell>
          <cell r="M2260" t="str">
            <v>袋</v>
          </cell>
          <cell r="N2260">
            <v>146.44999999999999</v>
          </cell>
          <cell r="O2260">
            <v>160</v>
          </cell>
          <cell r="P2260">
            <v>7.5624999999999998E-2</v>
          </cell>
        </row>
        <row r="2261">
          <cell r="F2261" t="str">
            <v>70452798</v>
          </cell>
          <cell r="G2261" t="str">
            <v>中粮粮谷</v>
          </cell>
          <cell r="H2261" t="str">
            <v>福临门</v>
          </cell>
          <cell r="I2261" t="str">
            <v>家庭食品</v>
          </cell>
          <cell r="J2261" t="str">
            <v>粮</v>
          </cell>
          <cell r="K2261" t="str">
            <v>中粮粮谷福临门泰玉香优品茉莉香5kg</v>
          </cell>
          <cell r="L2261" t="str">
            <v>5kg</v>
          </cell>
          <cell r="M2261" t="str">
            <v>袋</v>
          </cell>
          <cell r="N2261">
            <v>30.3</v>
          </cell>
          <cell r="O2261">
            <v>39.9</v>
          </cell>
          <cell r="P2261">
            <v>0.233082706766917</v>
          </cell>
        </row>
        <row r="2262">
          <cell r="F2262" t="str">
            <v>70211698</v>
          </cell>
          <cell r="G2262" t="str">
            <v>中粮粮谷</v>
          </cell>
          <cell r="H2262" t="str">
            <v>香雪</v>
          </cell>
          <cell r="I2262" t="str">
            <v>家庭食品</v>
          </cell>
          <cell r="J2262" t="str">
            <v>粮</v>
          </cell>
          <cell r="K2262" t="str">
            <v>香雪高筋特精粉5kg</v>
          </cell>
          <cell r="L2262" t="str">
            <v>5kg</v>
          </cell>
          <cell r="M2262" t="str">
            <v>袋</v>
          </cell>
          <cell r="N2262">
            <v>25.25</v>
          </cell>
          <cell r="O2262">
            <v>33</v>
          </cell>
          <cell r="P2262">
            <v>0.22727272727272699</v>
          </cell>
        </row>
        <row r="2263">
          <cell r="F2263" t="str">
            <v>70282955</v>
          </cell>
          <cell r="G2263" t="str">
            <v>中粮粮谷</v>
          </cell>
          <cell r="H2263" t="str">
            <v>香雪</v>
          </cell>
          <cell r="I2263" t="str">
            <v>家庭食品</v>
          </cell>
          <cell r="J2263" t="str">
            <v>粮</v>
          </cell>
          <cell r="K2263" t="str">
            <v>香雪高筋特精粉10kg</v>
          </cell>
          <cell r="L2263" t="str">
            <v>10kg</v>
          </cell>
          <cell r="M2263" t="str">
            <v>袋</v>
          </cell>
          <cell r="N2263">
            <v>52.02</v>
          </cell>
          <cell r="O2263">
            <v>66.8</v>
          </cell>
          <cell r="P2263">
            <v>0.213622754491018</v>
          </cell>
        </row>
        <row r="2264">
          <cell r="F2264" t="str">
            <v>70260680</v>
          </cell>
          <cell r="G2264" t="str">
            <v>中粮粮谷</v>
          </cell>
          <cell r="H2264" t="str">
            <v>福临门</v>
          </cell>
          <cell r="I2264" t="str">
            <v>家庭食品</v>
          </cell>
          <cell r="J2264" t="str">
            <v>粮</v>
          </cell>
          <cell r="K2264" t="str">
            <v>福临门自然香软糯香米5kg</v>
          </cell>
          <cell r="L2264" t="str">
            <v>5kg</v>
          </cell>
          <cell r="M2264" t="str">
            <v>袋</v>
          </cell>
          <cell r="N2264">
            <v>48.48</v>
          </cell>
          <cell r="O2264">
            <v>69.900000000000006</v>
          </cell>
          <cell r="P2264">
            <v>0.29957081545064401</v>
          </cell>
        </row>
        <row r="2265">
          <cell r="F2265" t="str">
            <v>70116100</v>
          </cell>
          <cell r="G2265" t="str">
            <v>中粮粮谷</v>
          </cell>
          <cell r="H2265" t="str">
            <v>五湖</v>
          </cell>
          <cell r="I2265" t="str">
            <v>家庭食品</v>
          </cell>
          <cell r="J2265" t="str">
            <v>粮</v>
          </cell>
          <cell r="K2265" t="str">
            <v>五湖优质桂香软米5kg</v>
          </cell>
          <cell r="L2265" t="str">
            <v>5kg</v>
          </cell>
          <cell r="M2265" t="str">
            <v>袋</v>
          </cell>
          <cell r="N2265">
            <v>31.31</v>
          </cell>
          <cell r="O2265">
            <v>37.9</v>
          </cell>
          <cell r="P2265">
            <v>0.16569920844327199</v>
          </cell>
        </row>
        <row r="2266">
          <cell r="F2266" t="str">
            <v>70116093</v>
          </cell>
          <cell r="G2266" t="str">
            <v>中粮粮谷</v>
          </cell>
          <cell r="H2266" t="str">
            <v>福临门</v>
          </cell>
          <cell r="I2266" t="str">
            <v>家庭食品</v>
          </cell>
          <cell r="J2266" t="str">
            <v>粮</v>
          </cell>
          <cell r="K2266" t="str">
            <v>福临门丝苗米10kg</v>
          </cell>
          <cell r="L2266" t="str">
            <v>10kg</v>
          </cell>
          <cell r="M2266" t="str">
            <v>袋</v>
          </cell>
          <cell r="N2266">
            <v>59.59</v>
          </cell>
          <cell r="O2266">
            <v>72</v>
          </cell>
          <cell r="P2266">
            <v>0.16416666666666699</v>
          </cell>
        </row>
        <row r="2267">
          <cell r="F2267" t="str">
            <v>70251437</v>
          </cell>
          <cell r="G2267" t="str">
            <v>中粮粮谷</v>
          </cell>
          <cell r="H2267" t="str">
            <v>福临门</v>
          </cell>
          <cell r="I2267" t="str">
            <v>家庭食品</v>
          </cell>
          <cell r="J2267" t="str">
            <v>粮</v>
          </cell>
          <cell r="K2267" t="str">
            <v>福临门香粘米10kg</v>
          </cell>
          <cell r="L2267" t="str">
            <v>10kg</v>
          </cell>
          <cell r="M2267" t="str">
            <v>袋</v>
          </cell>
          <cell r="N2267">
            <v>54.54</v>
          </cell>
          <cell r="O2267">
            <v>69.900000000000006</v>
          </cell>
          <cell r="P2267">
            <v>0.18923076923076901</v>
          </cell>
        </row>
        <row r="2268">
          <cell r="F2268" t="str">
            <v>70256582</v>
          </cell>
          <cell r="G2268" t="str">
            <v>中粮粮谷</v>
          </cell>
          <cell r="H2268" t="str">
            <v>香雪</v>
          </cell>
          <cell r="I2268" t="str">
            <v>家庭食品</v>
          </cell>
          <cell r="J2268" t="str">
            <v>粮</v>
          </cell>
          <cell r="K2268" t="str">
            <v>香雪麦芯龙须面1kg</v>
          </cell>
          <cell r="L2268" t="str">
            <v>1kg</v>
          </cell>
          <cell r="M2268" t="str">
            <v>袋</v>
          </cell>
          <cell r="N2268">
            <v>7.68</v>
          </cell>
          <cell r="O2268">
            <v>10</v>
          </cell>
          <cell r="P2268">
            <v>0.22500000000000001</v>
          </cell>
        </row>
        <row r="2269">
          <cell r="F2269" t="str">
            <v>70104652</v>
          </cell>
          <cell r="G2269" t="str">
            <v>中粮粮谷</v>
          </cell>
          <cell r="H2269" t="str">
            <v>福临门</v>
          </cell>
          <cell r="I2269" t="str">
            <v>家庭食品</v>
          </cell>
          <cell r="J2269" t="str">
            <v>粮</v>
          </cell>
          <cell r="K2269" t="str">
            <v>KINgFOOD皇玛丽泰国茉莉香米5kg</v>
          </cell>
          <cell r="L2269" t="str">
            <v>5kg</v>
          </cell>
          <cell r="M2269" t="str">
            <v>袋</v>
          </cell>
          <cell r="N2269">
            <v>75.75</v>
          </cell>
          <cell r="O2269">
            <v>99.9</v>
          </cell>
          <cell r="P2269">
            <v>0.23423423423423401</v>
          </cell>
        </row>
        <row r="2270">
          <cell r="F2270" t="str">
            <v>70414587</v>
          </cell>
          <cell r="G2270" t="str">
            <v>中粮粮谷</v>
          </cell>
          <cell r="H2270" t="str">
            <v>福临门</v>
          </cell>
          <cell r="I2270" t="str">
            <v>家庭食品</v>
          </cell>
          <cell r="J2270" t="str">
            <v>粮</v>
          </cell>
          <cell r="K2270" t="str">
            <v>福临门高筋麦芯小麦粉5kg</v>
          </cell>
          <cell r="L2270" t="str">
            <v>5kg</v>
          </cell>
          <cell r="M2270" t="str">
            <v>袋</v>
          </cell>
          <cell r="N2270">
            <v>29.29</v>
          </cell>
          <cell r="O2270">
            <v>39.9</v>
          </cell>
          <cell r="P2270">
            <v>0.25864661654135301</v>
          </cell>
        </row>
        <row r="2271">
          <cell r="F2271" t="str">
            <v>70260859</v>
          </cell>
          <cell r="G2271" t="str">
            <v>中粮粮谷</v>
          </cell>
          <cell r="H2271" t="str">
            <v>福临门</v>
          </cell>
          <cell r="I2271" t="str">
            <v>家庭食品</v>
          </cell>
          <cell r="J2271" t="str">
            <v>粮</v>
          </cell>
          <cell r="K2271" t="str">
            <v>福临门珍珠香米5kg</v>
          </cell>
          <cell r="L2271" t="str">
            <v>5kg</v>
          </cell>
          <cell r="M2271" t="str">
            <v>袋</v>
          </cell>
          <cell r="N2271">
            <v>26.26</v>
          </cell>
          <cell r="O2271">
            <v>55</v>
          </cell>
          <cell r="P2271">
            <v>0.51781818181818196</v>
          </cell>
        </row>
        <row r="2272">
          <cell r="F2272" t="str">
            <v>70092750</v>
          </cell>
          <cell r="G2272" t="str">
            <v>中粮粮谷</v>
          </cell>
          <cell r="H2272" t="str">
            <v>香雪</v>
          </cell>
          <cell r="I2272" t="str">
            <v>家庭食品</v>
          </cell>
          <cell r="J2272" t="str">
            <v>粮</v>
          </cell>
          <cell r="K2272" t="str">
            <v>香雪雪花粉5kg</v>
          </cell>
          <cell r="L2272" t="str">
            <v>5kg</v>
          </cell>
          <cell r="M2272" t="str">
            <v>袋</v>
          </cell>
          <cell r="N2272">
            <v>33.33</v>
          </cell>
          <cell r="O2272">
            <v>42</v>
          </cell>
          <cell r="P2272">
            <v>0.19857142857142901</v>
          </cell>
        </row>
        <row r="2273">
          <cell r="F2273" t="str">
            <v>70259878</v>
          </cell>
          <cell r="G2273" t="str">
            <v>中粮粮谷</v>
          </cell>
          <cell r="H2273" t="str">
            <v>香雪</v>
          </cell>
          <cell r="I2273" t="str">
            <v>家庭食品</v>
          </cell>
          <cell r="J2273" t="str">
            <v>粮</v>
          </cell>
          <cell r="K2273" t="str">
            <v>香雪麦纯富强粉5kg</v>
          </cell>
          <cell r="L2273" t="str">
            <v>5kg</v>
          </cell>
          <cell r="M2273" t="str">
            <v>袋</v>
          </cell>
          <cell r="N2273">
            <v>22.73</v>
          </cell>
          <cell r="O2273">
            <v>29.9</v>
          </cell>
          <cell r="P2273">
            <v>0.23244147157190601</v>
          </cell>
        </row>
        <row r="2274">
          <cell r="F2274" t="str">
            <v>70260645</v>
          </cell>
          <cell r="G2274" t="str">
            <v>中粮粮谷</v>
          </cell>
          <cell r="H2274" t="str">
            <v>福临门</v>
          </cell>
          <cell r="I2274" t="str">
            <v>家庭食品</v>
          </cell>
          <cell r="J2274" t="str">
            <v>粮</v>
          </cell>
          <cell r="K2274" t="str">
            <v>福临门东北优质大米25kg</v>
          </cell>
          <cell r="L2274" t="str">
            <v>25kg</v>
          </cell>
          <cell r="M2274" t="str">
            <v>袋</v>
          </cell>
          <cell r="N2274">
            <v>156.55000000000001</v>
          </cell>
          <cell r="O2274">
            <v>185</v>
          </cell>
          <cell r="P2274">
            <v>0.145405405405405</v>
          </cell>
        </row>
        <row r="2275">
          <cell r="F2275" t="str">
            <v>70270673</v>
          </cell>
          <cell r="G2275" t="str">
            <v>中粮粮谷</v>
          </cell>
          <cell r="H2275" t="str">
            <v>福临门</v>
          </cell>
          <cell r="I2275" t="str">
            <v>家庭食品</v>
          </cell>
          <cell r="J2275" t="str">
            <v>粮</v>
          </cell>
          <cell r="K2275" t="str">
            <v>福临门油粘米25kg</v>
          </cell>
          <cell r="L2275" t="str">
            <v>25kg</v>
          </cell>
          <cell r="M2275" t="str">
            <v>袋</v>
          </cell>
          <cell r="N2275">
            <v>127.77</v>
          </cell>
          <cell r="O2275">
            <v>152</v>
          </cell>
          <cell r="P2275">
            <v>0.15111842105263201</v>
          </cell>
        </row>
        <row r="2276">
          <cell r="F2276" t="str">
            <v>70250088</v>
          </cell>
          <cell r="G2276" t="str">
            <v>中粮粮谷</v>
          </cell>
          <cell r="H2276" t="str">
            <v>香雪</v>
          </cell>
          <cell r="I2276" t="str">
            <v>家庭食品</v>
          </cell>
          <cell r="J2276" t="str">
            <v>粮</v>
          </cell>
          <cell r="K2276" t="str">
            <v>香雪多用途麦芯粉5kg</v>
          </cell>
          <cell r="L2276" t="str">
            <v>5kg</v>
          </cell>
          <cell r="M2276" t="str">
            <v>袋</v>
          </cell>
          <cell r="N2276">
            <v>28.79</v>
          </cell>
          <cell r="O2276">
            <v>39</v>
          </cell>
          <cell r="P2276">
            <v>0.25461538461538502</v>
          </cell>
        </row>
        <row r="2277">
          <cell r="F2277" t="str">
            <v>70261565</v>
          </cell>
          <cell r="G2277" t="str">
            <v>中粮粮谷</v>
          </cell>
          <cell r="H2277" t="str">
            <v>福临门</v>
          </cell>
          <cell r="I2277" t="str">
            <v>家庭食品</v>
          </cell>
          <cell r="J2277" t="str">
            <v>粮</v>
          </cell>
          <cell r="K2277" t="str">
            <v>福临门寒香米10kg</v>
          </cell>
          <cell r="L2277" t="str">
            <v>10kg</v>
          </cell>
          <cell r="M2277" t="str">
            <v>袋</v>
          </cell>
          <cell r="N2277">
            <v>72.72</v>
          </cell>
          <cell r="O2277">
            <v>94.9</v>
          </cell>
          <cell r="P2277">
            <v>0.22613277133825099</v>
          </cell>
        </row>
        <row r="2278">
          <cell r="F2278" t="str">
            <v>70096923</v>
          </cell>
          <cell r="G2278" t="str">
            <v>中粮粮谷</v>
          </cell>
          <cell r="H2278" t="str">
            <v>香雪</v>
          </cell>
          <cell r="I2278" t="str">
            <v>家庭食品</v>
          </cell>
          <cell r="J2278" t="str">
            <v>粮</v>
          </cell>
          <cell r="K2278" t="str">
            <v>香雪精粉5kg</v>
          </cell>
          <cell r="L2278" t="str">
            <v>5kg</v>
          </cell>
          <cell r="M2278" t="str">
            <v>袋</v>
          </cell>
          <cell r="N2278">
            <v>22.07</v>
          </cell>
          <cell r="O2278">
            <v>28</v>
          </cell>
          <cell r="P2278">
            <v>0.20392857142857099</v>
          </cell>
        </row>
        <row r="2279">
          <cell r="F2279" t="str">
            <v>70414603</v>
          </cell>
          <cell r="G2279" t="str">
            <v>中粮粮谷</v>
          </cell>
          <cell r="H2279" t="str">
            <v>福临门</v>
          </cell>
          <cell r="I2279" t="str">
            <v>家庭食品</v>
          </cell>
          <cell r="J2279" t="str">
            <v>粮</v>
          </cell>
          <cell r="K2279" t="str">
            <v>福临门甄选东北长粒香米5kg</v>
          </cell>
          <cell r="L2279" t="str">
            <v>5kg</v>
          </cell>
          <cell r="M2279" t="str">
            <v>袋</v>
          </cell>
          <cell r="N2279">
            <v>38.89</v>
          </cell>
          <cell r="O2279">
            <v>49.9</v>
          </cell>
          <cell r="P2279">
            <v>0.213026052104208</v>
          </cell>
        </row>
        <row r="2280">
          <cell r="F2280" t="str">
            <v>70259781</v>
          </cell>
          <cell r="G2280" t="str">
            <v>中粮粮谷</v>
          </cell>
          <cell r="H2280" t="str">
            <v>福临门</v>
          </cell>
          <cell r="I2280" t="str">
            <v>家庭食品</v>
          </cell>
          <cell r="J2280" t="str">
            <v>粮</v>
          </cell>
          <cell r="K2280" t="str">
            <v>福临门三江家宴米10kg</v>
          </cell>
          <cell r="L2280" t="str">
            <v>10kg</v>
          </cell>
          <cell r="M2280" t="str">
            <v>袋</v>
          </cell>
          <cell r="N2280">
            <v>71.709999999999994</v>
          </cell>
          <cell r="O2280">
            <v>88.9</v>
          </cell>
          <cell r="P2280">
            <v>0.185376827896513</v>
          </cell>
        </row>
        <row r="2281">
          <cell r="F2281" t="str">
            <v>70261105</v>
          </cell>
          <cell r="G2281" t="str">
            <v>中粮粮谷</v>
          </cell>
          <cell r="H2281" t="str">
            <v>香雪</v>
          </cell>
          <cell r="I2281" t="str">
            <v>家庭食品</v>
          </cell>
          <cell r="J2281" t="str">
            <v>粮</v>
          </cell>
          <cell r="K2281" t="str">
            <v>香雪麦芯阳春面1kg</v>
          </cell>
          <cell r="L2281" t="str">
            <v>1kg</v>
          </cell>
          <cell r="M2281" t="str">
            <v>袋</v>
          </cell>
          <cell r="N2281">
            <v>7.68</v>
          </cell>
          <cell r="O2281">
            <v>10</v>
          </cell>
          <cell r="P2281">
            <v>0.22500000000000001</v>
          </cell>
        </row>
        <row r="2282">
          <cell r="F2282" t="str">
            <v>70282125</v>
          </cell>
          <cell r="G2282" t="str">
            <v>中粮粮谷</v>
          </cell>
          <cell r="H2282" t="str">
            <v>福临门</v>
          </cell>
          <cell r="I2282" t="str">
            <v>家庭食品</v>
          </cell>
          <cell r="J2282" t="str">
            <v>粮</v>
          </cell>
          <cell r="K2282" t="str">
            <v>福临门麦芯高筋雪花小麦粉5kg</v>
          </cell>
          <cell r="L2282" t="str">
            <v>5kg</v>
          </cell>
          <cell r="M2282" t="str">
            <v>袋</v>
          </cell>
          <cell r="N2282">
            <v>56.56</v>
          </cell>
          <cell r="O2282">
            <v>69.900000000000006</v>
          </cell>
          <cell r="P2282">
            <v>0.18283261802575099</v>
          </cell>
        </row>
        <row r="2283">
          <cell r="F2283" t="str">
            <v>70088828</v>
          </cell>
          <cell r="G2283" t="str">
            <v>中粮粮谷</v>
          </cell>
          <cell r="H2283" t="str">
            <v>香雪</v>
          </cell>
          <cell r="I2283" t="str">
            <v>家庭食品</v>
          </cell>
          <cell r="J2283" t="str">
            <v>粮</v>
          </cell>
          <cell r="K2283" t="str">
            <v>香雪高级饺子粉5kg</v>
          </cell>
          <cell r="L2283" t="str">
            <v>5kg</v>
          </cell>
          <cell r="M2283" t="str">
            <v>袋</v>
          </cell>
          <cell r="N2283">
            <v>30.2</v>
          </cell>
          <cell r="O2283">
            <v>40</v>
          </cell>
          <cell r="P2283">
            <v>0.23749999999999999</v>
          </cell>
        </row>
        <row r="2284">
          <cell r="F2284" t="str">
            <v>70262562</v>
          </cell>
          <cell r="G2284" t="str">
            <v>中粮粮谷</v>
          </cell>
          <cell r="H2284" t="str">
            <v>福临门</v>
          </cell>
          <cell r="I2284" t="str">
            <v>家庭食品</v>
          </cell>
          <cell r="J2284" t="str">
            <v>粮</v>
          </cell>
          <cell r="K2284" t="str">
            <v>福临门秋田小町25kg</v>
          </cell>
          <cell r="L2284" t="str">
            <v>25kg</v>
          </cell>
          <cell r="M2284" t="str">
            <v>袋</v>
          </cell>
          <cell r="N2284">
            <v>134.33000000000001</v>
          </cell>
          <cell r="O2284">
            <v>220</v>
          </cell>
          <cell r="P2284">
            <v>0.38336363636363602</v>
          </cell>
        </row>
        <row r="2285">
          <cell r="F2285" t="str">
            <v>70259779</v>
          </cell>
          <cell r="G2285" t="str">
            <v>中粮粮谷</v>
          </cell>
          <cell r="H2285" t="str">
            <v>福临门</v>
          </cell>
          <cell r="I2285" t="str">
            <v>家庭食品</v>
          </cell>
          <cell r="J2285" t="str">
            <v>粮</v>
          </cell>
          <cell r="K2285" t="str">
            <v>福临门赋香稻10kg</v>
          </cell>
          <cell r="L2285" t="str">
            <v>10kg</v>
          </cell>
          <cell r="M2285" t="str">
            <v>袋</v>
          </cell>
          <cell r="N2285">
            <v>104.03</v>
          </cell>
          <cell r="O2285">
            <v>124.9</v>
          </cell>
          <cell r="P2285">
            <v>0.15884707766212999</v>
          </cell>
        </row>
        <row r="2286">
          <cell r="F2286" t="str">
            <v>70265254</v>
          </cell>
          <cell r="G2286" t="str">
            <v>中粮粮谷</v>
          </cell>
          <cell r="H2286" t="str">
            <v>香雪</v>
          </cell>
          <cell r="I2286" t="str">
            <v>家庭食品</v>
          </cell>
          <cell r="J2286" t="str">
            <v>粮</v>
          </cell>
          <cell r="K2286" t="str">
            <v>香雪麦纯高筋特精粉25kg</v>
          </cell>
          <cell r="L2286" t="str">
            <v>25kg</v>
          </cell>
          <cell r="M2286" t="str">
            <v>袋</v>
          </cell>
          <cell r="N2286">
            <v>101</v>
          </cell>
          <cell r="O2286">
            <v>115</v>
          </cell>
          <cell r="P2286">
            <v>0.11304347826087</v>
          </cell>
        </row>
        <row r="2287">
          <cell r="F2287" t="str">
            <v>70237218</v>
          </cell>
          <cell r="G2287" t="str">
            <v>中粮粮谷</v>
          </cell>
          <cell r="H2287" t="str">
            <v>福临门</v>
          </cell>
          <cell r="I2287" t="str">
            <v>家庭食品</v>
          </cell>
          <cell r="J2287" t="str">
            <v>粮</v>
          </cell>
          <cell r="K2287" t="str">
            <v>福临门赋香稻5kg</v>
          </cell>
          <cell r="L2287" t="str">
            <v>5kg</v>
          </cell>
          <cell r="M2287" t="str">
            <v>袋</v>
          </cell>
          <cell r="N2287">
            <v>56.56</v>
          </cell>
          <cell r="O2287">
            <v>69.900000000000006</v>
          </cell>
          <cell r="P2287">
            <v>0.18283261802575099</v>
          </cell>
        </row>
        <row r="2288">
          <cell r="F2288" t="str">
            <v>70283114</v>
          </cell>
          <cell r="G2288" t="str">
            <v>中粮粮谷</v>
          </cell>
          <cell r="H2288" t="str">
            <v>福临门</v>
          </cell>
          <cell r="I2288" t="str">
            <v>家庭食品</v>
          </cell>
          <cell r="J2288" t="str">
            <v>粮</v>
          </cell>
          <cell r="K2288" t="str">
            <v>福临门河套平原雪花小麦粉10kg</v>
          </cell>
          <cell r="L2288" t="str">
            <v>10kg</v>
          </cell>
          <cell r="M2288" t="str">
            <v>袋</v>
          </cell>
          <cell r="N2288">
            <v>128.27000000000001</v>
          </cell>
          <cell r="O2288">
            <v>168</v>
          </cell>
          <cell r="P2288">
            <v>0.22892857142857101</v>
          </cell>
        </row>
        <row r="2289">
          <cell r="F2289" t="str">
            <v>70297800</v>
          </cell>
          <cell r="G2289" t="str">
            <v>中粮粮谷</v>
          </cell>
          <cell r="H2289" t="str">
            <v>福临门</v>
          </cell>
          <cell r="I2289" t="str">
            <v>家庭食品</v>
          </cell>
          <cell r="J2289" t="str">
            <v>粮</v>
          </cell>
          <cell r="K2289" t="str">
            <v>福临门新疆麦芯小麦粉(无纺布)5kg</v>
          </cell>
          <cell r="L2289" t="str">
            <v>5kg</v>
          </cell>
          <cell r="M2289" t="str">
            <v>袋</v>
          </cell>
          <cell r="N2289">
            <v>34.340000000000003</v>
          </cell>
          <cell r="O2289">
            <v>49.9</v>
          </cell>
          <cell r="P2289">
            <v>0.30501002004007999</v>
          </cell>
        </row>
        <row r="2290">
          <cell r="F2290" t="str">
            <v>70260682</v>
          </cell>
          <cell r="G2290" t="str">
            <v>中粮粮谷</v>
          </cell>
          <cell r="H2290" t="str">
            <v>福临门</v>
          </cell>
          <cell r="I2290" t="str">
            <v>家庭食品</v>
          </cell>
          <cell r="J2290" t="str">
            <v>粮</v>
          </cell>
          <cell r="K2290" t="str">
            <v>福临门中粮乌汶府泰国茉莉香米5kg</v>
          </cell>
          <cell r="L2290" t="str">
            <v>5kg</v>
          </cell>
          <cell r="M2290" t="str">
            <v>袋</v>
          </cell>
          <cell r="N2290">
            <v>76.760000000000005</v>
          </cell>
          <cell r="O2290">
            <v>119.9</v>
          </cell>
          <cell r="P2290">
            <v>0.35346121768140099</v>
          </cell>
        </row>
        <row r="2291">
          <cell r="F2291" t="str">
            <v>70261659</v>
          </cell>
          <cell r="G2291" t="str">
            <v>中粮粮谷</v>
          </cell>
          <cell r="H2291" t="str">
            <v>福临门</v>
          </cell>
          <cell r="I2291" t="str">
            <v>家庭食品</v>
          </cell>
          <cell r="J2291" t="str">
            <v>粮</v>
          </cell>
          <cell r="K2291" t="str">
            <v>福临门尚品兰花香米5kg</v>
          </cell>
          <cell r="L2291" t="str">
            <v>5kg</v>
          </cell>
          <cell r="M2291" t="str">
            <v>袋</v>
          </cell>
          <cell r="N2291">
            <v>35.35</v>
          </cell>
          <cell r="O2291">
            <v>43.9</v>
          </cell>
          <cell r="P2291">
            <v>0.18678815489749401</v>
          </cell>
        </row>
        <row r="2292">
          <cell r="F2292" t="str">
            <v>70116094</v>
          </cell>
          <cell r="G2292" t="str">
            <v>中粮粮谷</v>
          </cell>
          <cell r="H2292" t="str">
            <v>福临门</v>
          </cell>
          <cell r="I2292" t="str">
            <v>家庭食品</v>
          </cell>
          <cell r="J2292" t="str">
            <v>粮</v>
          </cell>
          <cell r="K2292" t="str">
            <v>福临门油粘米10kg</v>
          </cell>
          <cell r="L2292" t="str">
            <v>10kg</v>
          </cell>
          <cell r="M2292" t="str">
            <v>袋</v>
          </cell>
          <cell r="N2292">
            <v>65.650000000000006</v>
          </cell>
          <cell r="O2292">
            <v>79.900000000000006</v>
          </cell>
          <cell r="P2292">
            <v>0.170212765957447</v>
          </cell>
        </row>
        <row r="2293">
          <cell r="F2293" t="str">
            <v>70258809</v>
          </cell>
          <cell r="G2293" t="str">
            <v>中粮粮谷</v>
          </cell>
          <cell r="H2293" t="str">
            <v>香雪</v>
          </cell>
          <cell r="I2293" t="str">
            <v>家庭食品</v>
          </cell>
          <cell r="J2293" t="str">
            <v>粮</v>
          </cell>
          <cell r="K2293" t="str">
            <v>香雪金麦芯擀面800g</v>
          </cell>
          <cell r="L2293" t="str">
            <v>0.8kg</v>
          </cell>
          <cell r="M2293" t="str">
            <v>袋</v>
          </cell>
          <cell r="N2293">
            <v>10.61</v>
          </cell>
          <cell r="O2293">
            <v>12</v>
          </cell>
          <cell r="P2293">
            <v>0.1075</v>
          </cell>
        </row>
        <row r="2294">
          <cell r="F2294" t="str">
            <v>70226460</v>
          </cell>
          <cell r="G2294" t="str">
            <v>中粮粮谷</v>
          </cell>
          <cell r="H2294" t="str">
            <v>香雪</v>
          </cell>
          <cell r="I2294" t="str">
            <v>家庭食品</v>
          </cell>
          <cell r="J2294" t="str">
            <v>粮</v>
          </cell>
          <cell r="K2294" t="str">
            <v>香雪饺子粉5kg</v>
          </cell>
          <cell r="L2294" t="str">
            <v>5kg</v>
          </cell>
          <cell r="M2294" t="str">
            <v>袋</v>
          </cell>
          <cell r="N2294">
            <v>25.25</v>
          </cell>
          <cell r="O2294">
            <v>30</v>
          </cell>
          <cell r="P2294">
            <v>0.15</v>
          </cell>
        </row>
        <row r="2295">
          <cell r="F2295" t="str">
            <v>70260431</v>
          </cell>
          <cell r="G2295" t="str">
            <v>中粮粮谷</v>
          </cell>
          <cell r="H2295" t="str">
            <v>香雪</v>
          </cell>
          <cell r="I2295" t="str">
            <v>家庭食品</v>
          </cell>
          <cell r="J2295" t="str">
            <v>粮</v>
          </cell>
          <cell r="K2295" t="str">
            <v>香雪麦芯鸡蛋面1kg</v>
          </cell>
          <cell r="L2295" t="str">
            <v>1kg</v>
          </cell>
          <cell r="M2295" t="str">
            <v>袋</v>
          </cell>
          <cell r="N2295">
            <v>7.68</v>
          </cell>
          <cell r="O2295">
            <v>10</v>
          </cell>
          <cell r="P2295">
            <v>0.22500000000000001</v>
          </cell>
        </row>
        <row r="2296">
          <cell r="F2296" t="str">
            <v>70258808</v>
          </cell>
          <cell r="G2296" t="str">
            <v>中粮粮谷</v>
          </cell>
          <cell r="H2296" t="str">
            <v>香雪</v>
          </cell>
          <cell r="I2296" t="str">
            <v>家庭食品</v>
          </cell>
          <cell r="J2296" t="str">
            <v>粮</v>
          </cell>
          <cell r="K2296" t="str">
            <v>香雪金麦芯素面800g</v>
          </cell>
          <cell r="L2296" t="str">
            <v>0.8kg</v>
          </cell>
          <cell r="M2296" t="str">
            <v>袋</v>
          </cell>
          <cell r="N2296">
            <v>10.61</v>
          </cell>
          <cell r="O2296">
            <v>12</v>
          </cell>
          <cell r="P2296">
            <v>0.1075</v>
          </cell>
        </row>
        <row r="2297">
          <cell r="F2297" t="str">
            <v>70246428</v>
          </cell>
          <cell r="G2297" t="str">
            <v>中粮粮谷</v>
          </cell>
          <cell r="H2297" t="str">
            <v>福临门</v>
          </cell>
          <cell r="I2297" t="str">
            <v>家庭食品</v>
          </cell>
          <cell r="J2297" t="str">
            <v>粮</v>
          </cell>
          <cell r="K2297" t="str">
            <v>福临门宁夏贡米10kg</v>
          </cell>
          <cell r="L2297" t="str">
            <v>10kg</v>
          </cell>
          <cell r="M2297" t="str">
            <v>袋</v>
          </cell>
          <cell r="N2297">
            <v>63.13</v>
          </cell>
          <cell r="O2297">
            <v>84.9</v>
          </cell>
          <cell r="P2297">
            <v>0.249116607773852</v>
          </cell>
        </row>
        <row r="2298">
          <cell r="F2298" t="str">
            <v>70269729</v>
          </cell>
          <cell r="G2298" t="str">
            <v>中粮粮谷</v>
          </cell>
          <cell r="H2298" t="str">
            <v>福临门</v>
          </cell>
          <cell r="I2298" t="str">
            <v>家庭食品</v>
          </cell>
          <cell r="J2298" t="str">
            <v>粮</v>
          </cell>
          <cell r="K2298" t="str">
            <v>福临门五常长粒香10kg</v>
          </cell>
          <cell r="L2298" t="str">
            <v>10kg</v>
          </cell>
          <cell r="M2298" t="str">
            <v>袋</v>
          </cell>
          <cell r="N2298">
            <v>86.36</v>
          </cell>
          <cell r="O2298">
            <v>133</v>
          </cell>
          <cell r="P2298">
            <v>0.34428571428571397</v>
          </cell>
        </row>
        <row r="2299">
          <cell r="F2299" t="str">
            <v>70180237</v>
          </cell>
          <cell r="G2299" t="str">
            <v>中粮粮谷</v>
          </cell>
          <cell r="H2299" t="str">
            <v>香雪</v>
          </cell>
          <cell r="I2299" t="str">
            <v>家庭食品</v>
          </cell>
          <cell r="J2299" t="str">
            <v>粮</v>
          </cell>
          <cell r="K2299" t="str">
            <v>香雪雪花粉25kg</v>
          </cell>
          <cell r="L2299" t="str">
            <v>25kg</v>
          </cell>
          <cell r="M2299" t="str">
            <v>袋</v>
          </cell>
          <cell r="N2299">
            <v>124.74</v>
          </cell>
          <cell r="O2299">
            <v>142</v>
          </cell>
          <cell r="P2299">
            <v>0.11288732394366199</v>
          </cell>
        </row>
        <row r="2300">
          <cell r="F2300" t="str">
            <v>70322220</v>
          </cell>
          <cell r="G2300" t="str">
            <v>中粮粮谷</v>
          </cell>
          <cell r="H2300" t="str">
            <v>香雪</v>
          </cell>
          <cell r="I2300" t="str">
            <v>家庭食品</v>
          </cell>
          <cell r="J2300" t="str">
            <v>粮</v>
          </cell>
          <cell r="K2300" t="str">
            <v>香雪巴盟多用途小麦粉10kg</v>
          </cell>
          <cell r="L2300" t="str">
            <v>10kg</v>
          </cell>
          <cell r="M2300" t="str">
            <v>袋</v>
          </cell>
          <cell r="N2300">
            <v>61.11</v>
          </cell>
          <cell r="O2300">
            <v>77.599999999999994</v>
          </cell>
          <cell r="P2300">
            <v>0.20476804123711301</v>
          </cell>
        </row>
        <row r="2301">
          <cell r="F2301" t="str">
            <v>70281997</v>
          </cell>
          <cell r="G2301" t="str">
            <v>中粮粮谷</v>
          </cell>
          <cell r="H2301" t="str">
            <v>福临门</v>
          </cell>
          <cell r="I2301" t="str">
            <v>家庭食品</v>
          </cell>
          <cell r="J2301" t="str">
            <v>粮</v>
          </cell>
          <cell r="K2301" t="str">
            <v>福临门妈妈的饭香5kg</v>
          </cell>
          <cell r="L2301" t="str">
            <v>5kg</v>
          </cell>
          <cell r="M2301" t="str">
            <v>袋</v>
          </cell>
          <cell r="N2301">
            <v>43.94</v>
          </cell>
          <cell r="O2301">
            <v>69.900000000000006</v>
          </cell>
          <cell r="P2301">
            <v>0.365236051502146</v>
          </cell>
        </row>
        <row r="2302">
          <cell r="F2302" t="str">
            <v>70414525</v>
          </cell>
          <cell r="G2302" t="str">
            <v>中粮粮谷</v>
          </cell>
          <cell r="H2302" t="str">
            <v>福临门</v>
          </cell>
          <cell r="I2302" t="str">
            <v>家庭食品</v>
          </cell>
          <cell r="J2302" t="str">
            <v>粮</v>
          </cell>
          <cell r="K2302" t="str">
            <v>福临门东北长粒香大米5kg</v>
          </cell>
          <cell r="L2302" t="str">
            <v>5kg</v>
          </cell>
          <cell r="M2302" t="str">
            <v>袋</v>
          </cell>
          <cell r="N2302">
            <v>47.47</v>
          </cell>
          <cell r="O2302">
            <v>59.9</v>
          </cell>
          <cell r="P2302">
            <v>0.199666110183639</v>
          </cell>
        </row>
        <row r="2303">
          <cell r="F2303" t="str">
            <v>70116102</v>
          </cell>
          <cell r="G2303" t="str">
            <v>中粮粮谷</v>
          </cell>
          <cell r="H2303" t="str">
            <v>五湖</v>
          </cell>
          <cell r="I2303" t="str">
            <v>家庭食品</v>
          </cell>
          <cell r="J2303" t="str">
            <v>粮</v>
          </cell>
          <cell r="K2303" t="str">
            <v>五湖莲花香米5kg</v>
          </cell>
          <cell r="L2303" t="str">
            <v>5kg</v>
          </cell>
          <cell r="M2303" t="str">
            <v>袋</v>
          </cell>
          <cell r="N2303">
            <v>31.31</v>
          </cell>
          <cell r="O2303">
            <v>36.9</v>
          </cell>
          <cell r="P2303">
            <v>0.14308943089430901</v>
          </cell>
        </row>
        <row r="2304">
          <cell r="F2304" t="str">
            <v>70381865</v>
          </cell>
          <cell r="G2304" t="str">
            <v>中粮粮谷</v>
          </cell>
          <cell r="H2304" t="str">
            <v>福临门</v>
          </cell>
          <cell r="I2304" t="str">
            <v>家庭食品</v>
          </cell>
          <cell r="J2304" t="str">
            <v>粮</v>
          </cell>
          <cell r="K2304" t="str">
            <v>福临门自然香五常香米10kg</v>
          </cell>
          <cell r="L2304" t="str">
            <v>10kg</v>
          </cell>
          <cell r="M2304" t="str">
            <v>袋</v>
          </cell>
          <cell r="N2304">
            <v>106.05</v>
          </cell>
          <cell r="O2304">
            <v>139</v>
          </cell>
          <cell r="P2304">
            <v>0.22949640287769801</v>
          </cell>
        </row>
        <row r="2305">
          <cell r="F2305" t="str">
            <v>70322219</v>
          </cell>
          <cell r="G2305" t="str">
            <v>中粮粮谷</v>
          </cell>
          <cell r="H2305" t="str">
            <v>香雪</v>
          </cell>
          <cell r="I2305" t="str">
            <v>家庭食品</v>
          </cell>
          <cell r="J2305" t="str">
            <v>粮</v>
          </cell>
          <cell r="K2305" t="str">
            <v>香雪巴盟多用途小麦粉5kg</v>
          </cell>
          <cell r="L2305" t="str">
            <v>5kg</v>
          </cell>
          <cell r="M2305" t="str">
            <v>袋</v>
          </cell>
          <cell r="N2305">
            <v>32.32</v>
          </cell>
          <cell r="O2305">
            <v>41.6</v>
          </cell>
          <cell r="P2305">
            <v>0.21538461538461501</v>
          </cell>
        </row>
        <row r="2306">
          <cell r="F2306" t="str">
            <v>70452784</v>
          </cell>
          <cell r="G2306" t="str">
            <v>中粮粮谷</v>
          </cell>
          <cell r="H2306" t="str">
            <v>五湖</v>
          </cell>
          <cell r="I2306" t="str">
            <v>家庭食品</v>
          </cell>
          <cell r="J2306" t="str">
            <v>粮</v>
          </cell>
          <cell r="K2306" t="str">
            <v>中粮粮谷五湖香软油粘米25kg</v>
          </cell>
          <cell r="L2306" t="str">
            <v>25kg</v>
          </cell>
          <cell r="M2306" t="str">
            <v>袋</v>
          </cell>
          <cell r="N2306">
            <v>116.96</v>
          </cell>
          <cell r="O2306">
            <v>129</v>
          </cell>
          <cell r="P2306">
            <v>8.4341085271317798E-2</v>
          </cell>
        </row>
        <row r="2307">
          <cell r="F2307" t="str">
            <v>70442157</v>
          </cell>
          <cell r="G2307" t="str">
            <v>中粮粮谷</v>
          </cell>
          <cell r="H2307" t="str">
            <v>福临门</v>
          </cell>
          <cell r="I2307" t="str">
            <v>家庭食品</v>
          </cell>
          <cell r="J2307" t="str">
            <v>粮</v>
          </cell>
          <cell r="K2307" t="str">
            <v>中粮粮谷KINgFOOD进口尊品清莲香米5kg</v>
          </cell>
          <cell r="L2307" t="str">
            <v>5kg</v>
          </cell>
          <cell r="M2307" t="str">
            <v>袋</v>
          </cell>
          <cell r="N2307">
            <v>42.42</v>
          </cell>
          <cell r="O2307">
            <v>55.9</v>
          </cell>
          <cell r="P2307">
            <v>0.23363148479427501</v>
          </cell>
        </row>
        <row r="2308">
          <cell r="F2308" t="str">
            <v>70258815</v>
          </cell>
          <cell r="G2308" t="str">
            <v>中粮粮谷</v>
          </cell>
          <cell r="H2308" t="str">
            <v>福临门</v>
          </cell>
          <cell r="I2308" t="str">
            <v>家庭食品</v>
          </cell>
          <cell r="J2308" t="str">
            <v>粮</v>
          </cell>
          <cell r="K2308" t="str">
            <v>福临门秋田小町5kg</v>
          </cell>
          <cell r="L2308" t="str">
            <v>5kg</v>
          </cell>
          <cell r="M2308" t="str">
            <v>袋</v>
          </cell>
          <cell r="N2308">
            <v>38.380000000000003</v>
          </cell>
          <cell r="O2308">
            <v>58.9</v>
          </cell>
          <cell r="P2308">
            <v>0.341935483870968</v>
          </cell>
        </row>
        <row r="2309">
          <cell r="F2309" t="str">
            <v>70260176</v>
          </cell>
          <cell r="G2309" t="str">
            <v>中粮粮谷</v>
          </cell>
          <cell r="H2309" t="str">
            <v>香雪</v>
          </cell>
          <cell r="I2309" t="str">
            <v>家庭食品</v>
          </cell>
          <cell r="J2309" t="str">
            <v>粮</v>
          </cell>
          <cell r="K2309" t="str">
            <v>香雪金麦芯薄面800g</v>
          </cell>
          <cell r="L2309" t="str">
            <v>0.8kg</v>
          </cell>
          <cell r="M2309" t="str">
            <v>袋</v>
          </cell>
          <cell r="N2309">
            <v>10.61</v>
          </cell>
          <cell r="O2309">
            <v>12</v>
          </cell>
          <cell r="P2309">
            <v>0.1075</v>
          </cell>
        </row>
        <row r="2310">
          <cell r="F2310" t="str">
            <v>70334781</v>
          </cell>
          <cell r="G2310" t="str">
            <v>中粮粮谷</v>
          </cell>
          <cell r="H2310" t="str">
            <v>福临门</v>
          </cell>
          <cell r="I2310" t="str">
            <v>家庭食品</v>
          </cell>
          <cell r="J2310" t="str">
            <v>粮</v>
          </cell>
          <cell r="K2310" t="str">
            <v>福临门星麦优选小麦粉（特一粉）5kg</v>
          </cell>
          <cell r="L2310" t="str">
            <v>5kg</v>
          </cell>
          <cell r="M2310" t="str">
            <v>袋</v>
          </cell>
          <cell r="N2310">
            <v>25.25</v>
          </cell>
          <cell r="O2310">
            <v>32.9</v>
          </cell>
          <cell r="P2310">
            <v>0.22492401215805499</v>
          </cell>
        </row>
        <row r="2311">
          <cell r="F2311" t="str">
            <v>70259776</v>
          </cell>
          <cell r="G2311" t="str">
            <v>中粮粮谷</v>
          </cell>
          <cell r="H2311" t="str">
            <v>香雪</v>
          </cell>
          <cell r="I2311" t="str">
            <v>家庭食品</v>
          </cell>
          <cell r="J2311" t="str">
            <v>粮</v>
          </cell>
          <cell r="K2311" t="str">
            <v>香雪麦芯鸡蛋面500g</v>
          </cell>
          <cell r="L2311" t="str">
            <v>0.5kg</v>
          </cell>
          <cell r="M2311" t="str">
            <v>袋</v>
          </cell>
          <cell r="N2311">
            <v>3.13</v>
          </cell>
          <cell r="O2311">
            <v>4</v>
          </cell>
          <cell r="P2311">
            <v>0.21</v>
          </cell>
        </row>
        <row r="2312">
          <cell r="F2312" t="str">
            <v>70277941</v>
          </cell>
          <cell r="G2312" t="str">
            <v>中粮粮谷</v>
          </cell>
          <cell r="H2312" t="str">
            <v>福临门</v>
          </cell>
          <cell r="I2312" t="str">
            <v>家庭食品</v>
          </cell>
          <cell r="J2312" t="str">
            <v>粮</v>
          </cell>
          <cell r="K2312" t="str">
            <v>福临门柬埔寨苏马里香米25kg</v>
          </cell>
          <cell r="L2312" t="str">
            <v>25kg</v>
          </cell>
          <cell r="M2312" t="str">
            <v>袋</v>
          </cell>
          <cell r="N2312">
            <v>212.1</v>
          </cell>
          <cell r="O2312">
            <v>255</v>
          </cell>
          <cell r="P2312">
            <v>0.16</v>
          </cell>
        </row>
        <row r="2313">
          <cell r="F2313" t="str">
            <v>70259777</v>
          </cell>
          <cell r="G2313" t="str">
            <v>中粮粮谷</v>
          </cell>
          <cell r="H2313" t="str">
            <v>香雪</v>
          </cell>
          <cell r="I2313" t="str">
            <v>家庭食品</v>
          </cell>
          <cell r="J2313" t="str">
            <v>粮</v>
          </cell>
          <cell r="K2313" t="str">
            <v>香雪麦芯龙须面500g</v>
          </cell>
          <cell r="L2313" t="str">
            <v>0.5kg</v>
          </cell>
          <cell r="M2313" t="str">
            <v>袋</v>
          </cell>
          <cell r="N2313">
            <v>3.13</v>
          </cell>
          <cell r="O2313">
            <v>4</v>
          </cell>
          <cell r="P2313">
            <v>0.21</v>
          </cell>
        </row>
        <row r="2314">
          <cell r="F2314" t="str">
            <v>70258890</v>
          </cell>
          <cell r="G2314" t="str">
            <v>中粮粮谷</v>
          </cell>
          <cell r="H2314" t="str">
            <v>福临门</v>
          </cell>
          <cell r="I2314" t="str">
            <v>家庭食品</v>
          </cell>
          <cell r="J2314" t="str">
            <v>粮</v>
          </cell>
          <cell r="K2314" t="str">
            <v>福临门稻花香10kg</v>
          </cell>
          <cell r="L2314" t="str">
            <v>10kg</v>
          </cell>
          <cell r="M2314" t="str">
            <v>袋</v>
          </cell>
          <cell r="N2314">
            <v>151.5</v>
          </cell>
          <cell r="O2314">
            <v>189</v>
          </cell>
          <cell r="P2314">
            <v>0.19047619047618999</v>
          </cell>
        </row>
        <row r="2315">
          <cell r="F2315" t="str">
            <v>70381857</v>
          </cell>
          <cell r="G2315" t="str">
            <v>中粮粮谷</v>
          </cell>
          <cell r="H2315" t="str">
            <v>福临门</v>
          </cell>
          <cell r="I2315" t="str">
            <v>家庭食品</v>
          </cell>
          <cell r="J2315" t="str">
            <v>粮</v>
          </cell>
          <cell r="K2315" t="str">
            <v>福临门尚品兰花香米15kg</v>
          </cell>
          <cell r="L2315" t="str">
            <v>15kg</v>
          </cell>
          <cell r="M2315" t="str">
            <v>袋</v>
          </cell>
          <cell r="N2315">
            <v>87.06</v>
          </cell>
          <cell r="O2315">
            <v>109</v>
          </cell>
          <cell r="P2315">
            <v>0.19339449541284401</v>
          </cell>
        </row>
        <row r="2316">
          <cell r="F2316" t="str">
            <v>70256580</v>
          </cell>
          <cell r="G2316" t="str">
            <v>中粮粮谷</v>
          </cell>
          <cell r="H2316" t="str">
            <v>香雪</v>
          </cell>
          <cell r="I2316" t="str">
            <v>家庭食品</v>
          </cell>
          <cell r="J2316" t="str">
            <v>粮</v>
          </cell>
          <cell r="K2316" t="str">
            <v>香雪家常鸡蛋面1kg</v>
          </cell>
          <cell r="L2316" t="str">
            <v>1kg</v>
          </cell>
          <cell r="M2316" t="str">
            <v>袋</v>
          </cell>
          <cell r="N2316">
            <v>6.06</v>
          </cell>
          <cell r="O2316">
            <v>8</v>
          </cell>
          <cell r="P2316">
            <v>0.23499999999999999</v>
          </cell>
        </row>
        <row r="2317">
          <cell r="F2317" t="str">
            <v>70414559</v>
          </cell>
          <cell r="G2317" t="str">
            <v>中粮粮谷</v>
          </cell>
          <cell r="H2317" t="str">
            <v>福临门</v>
          </cell>
          <cell r="I2317" t="str">
            <v>家庭食品</v>
          </cell>
          <cell r="J2317" t="str">
            <v>粮</v>
          </cell>
          <cell r="K2317" t="str">
            <v>福临门原乡长粒香5kg</v>
          </cell>
          <cell r="L2317" t="str">
            <v>5kg</v>
          </cell>
          <cell r="M2317" t="str">
            <v>袋</v>
          </cell>
          <cell r="N2317">
            <v>37.880000000000003</v>
          </cell>
          <cell r="O2317">
            <v>49.9</v>
          </cell>
          <cell r="P2317">
            <v>0.23346693386773501</v>
          </cell>
        </row>
        <row r="2318">
          <cell r="F2318" t="str">
            <v>70322222</v>
          </cell>
          <cell r="G2318" t="str">
            <v>中粮粮谷</v>
          </cell>
          <cell r="H2318" t="str">
            <v>福临门</v>
          </cell>
          <cell r="I2318" t="str">
            <v>家庭食品</v>
          </cell>
          <cell r="J2318" t="str">
            <v>粮</v>
          </cell>
          <cell r="K2318" t="str">
            <v>福临门家宴小麦粉25kg</v>
          </cell>
          <cell r="L2318" t="str">
            <v>25kg</v>
          </cell>
          <cell r="M2318" t="str">
            <v>袋</v>
          </cell>
          <cell r="N2318">
            <v>87.37</v>
          </cell>
          <cell r="O2318">
            <v>109</v>
          </cell>
          <cell r="P2318">
            <v>0.19055045871559601</v>
          </cell>
        </row>
        <row r="2319">
          <cell r="F2319" t="str">
            <v>70277226</v>
          </cell>
          <cell r="G2319" t="str">
            <v>中粮粮谷</v>
          </cell>
          <cell r="H2319" t="str">
            <v>福临门</v>
          </cell>
          <cell r="I2319" t="str">
            <v>家庭食品</v>
          </cell>
          <cell r="J2319" t="str">
            <v>粮</v>
          </cell>
          <cell r="K2319" t="str">
            <v>福临门劲道高筋鸡蛋面800g</v>
          </cell>
          <cell r="L2319" t="str">
            <v>0.8kg</v>
          </cell>
          <cell r="M2319" t="str">
            <v>袋</v>
          </cell>
          <cell r="N2319">
            <v>10</v>
          </cell>
          <cell r="O2319">
            <v>13.8</v>
          </cell>
          <cell r="P2319">
            <v>0.26811594202898598</v>
          </cell>
        </row>
        <row r="2320">
          <cell r="F2320" t="str">
            <v>70283262</v>
          </cell>
          <cell r="G2320" t="str">
            <v>中粮粮谷</v>
          </cell>
          <cell r="H2320" t="str">
            <v>福临门</v>
          </cell>
          <cell r="I2320" t="str">
            <v>家庭食品</v>
          </cell>
          <cell r="J2320" t="str">
            <v>粮</v>
          </cell>
          <cell r="K2320" t="str">
            <v>福临门宁夏贡米5kg</v>
          </cell>
          <cell r="L2320" t="str">
            <v>5kg</v>
          </cell>
          <cell r="M2320" t="str">
            <v>袋</v>
          </cell>
          <cell r="N2320">
            <v>35.35</v>
          </cell>
          <cell r="O2320">
            <v>48.5</v>
          </cell>
          <cell r="P2320">
            <v>0.26391752577319599</v>
          </cell>
        </row>
        <row r="2321">
          <cell r="F2321" t="str">
            <v>70275917</v>
          </cell>
          <cell r="G2321" t="str">
            <v>中粮粮谷</v>
          </cell>
          <cell r="H2321" t="str">
            <v>红枫</v>
          </cell>
          <cell r="I2321" t="str">
            <v>家庭食品</v>
          </cell>
          <cell r="J2321" t="str">
            <v>粮</v>
          </cell>
          <cell r="K2321" t="str">
            <v>红枫冰原长粒香25kg</v>
          </cell>
          <cell r="L2321" t="str">
            <v>25kg</v>
          </cell>
          <cell r="M2321" t="str">
            <v>袋</v>
          </cell>
          <cell r="N2321">
            <v>122.82</v>
          </cell>
          <cell r="O2321">
            <v>135</v>
          </cell>
          <cell r="P2321">
            <v>8.1259259259259295E-2</v>
          </cell>
        </row>
        <row r="2322">
          <cell r="F2322" t="str">
            <v>70284731</v>
          </cell>
          <cell r="G2322" t="str">
            <v>中粮粮谷</v>
          </cell>
          <cell r="H2322" t="str">
            <v>福临门</v>
          </cell>
          <cell r="I2322" t="str">
            <v>家庭食品</v>
          </cell>
          <cell r="J2322" t="str">
            <v>粮</v>
          </cell>
          <cell r="K2322" t="str">
            <v>福临门麦芯多用途小麦粉25kg</v>
          </cell>
          <cell r="L2322" t="str">
            <v>25kg</v>
          </cell>
          <cell r="M2322" t="str">
            <v>袋</v>
          </cell>
          <cell r="N2322">
            <v>124.23</v>
          </cell>
          <cell r="O2322">
            <v>138</v>
          </cell>
          <cell r="P2322">
            <v>9.0869565217391396E-2</v>
          </cell>
        </row>
        <row r="2323">
          <cell r="F2323" t="str">
            <v>70042100</v>
          </cell>
          <cell r="G2323" t="str">
            <v>中粮粮谷</v>
          </cell>
          <cell r="H2323" t="str">
            <v>福临门</v>
          </cell>
          <cell r="I2323" t="str">
            <v>家庭食品</v>
          </cell>
          <cell r="J2323" t="str">
            <v>粮</v>
          </cell>
          <cell r="K2323" t="str">
            <v>福临门金典特选东北米5kg</v>
          </cell>
          <cell r="L2323" t="str">
            <v>5kg</v>
          </cell>
          <cell r="M2323" t="str">
            <v>袋</v>
          </cell>
          <cell r="N2323">
            <v>28.79</v>
          </cell>
          <cell r="O2323">
            <v>43.9</v>
          </cell>
          <cell r="P2323">
            <v>0.33781321184510199</v>
          </cell>
        </row>
        <row r="2324">
          <cell r="F2324" t="str">
            <v>70414615</v>
          </cell>
          <cell r="G2324" t="str">
            <v>中粮粮谷</v>
          </cell>
          <cell r="H2324" t="str">
            <v>福临门</v>
          </cell>
          <cell r="I2324" t="str">
            <v>家庭食品</v>
          </cell>
          <cell r="J2324" t="str">
            <v>粮</v>
          </cell>
          <cell r="K2324" t="str">
            <v>福临门寒地东北大米5kg</v>
          </cell>
          <cell r="L2324" t="str">
            <v>5kg</v>
          </cell>
          <cell r="M2324" t="str">
            <v>袋</v>
          </cell>
          <cell r="N2324">
            <v>31.82</v>
          </cell>
          <cell r="O2324">
            <v>39.9</v>
          </cell>
          <cell r="P2324">
            <v>0.19473684210526301</v>
          </cell>
        </row>
        <row r="2325">
          <cell r="F2325" t="str">
            <v>70116101</v>
          </cell>
          <cell r="G2325" t="str">
            <v>中粮粮谷</v>
          </cell>
          <cell r="H2325" t="str">
            <v>五湖</v>
          </cell>
          <cell r="I2325" t="str">
            <v>家庭食品</v>
          </cell>
          <cell r="J2325" t="str">
            <v>粮</v>
          </cell>
          <cell r="K2325" t="str">
            <v>五湖莲花香米10kg</v>
          </cell>
          <cell r="L2325" t="str">
            <v>10kg</v>
          </cell>
          <cell r="M2325" t="str">
            <v>袋</v>
          </cell>
          <cell r="N2325">
            <v>56.06</v>
          </cell>
          <cell r="O2325">
            <v>70</v>
          </cell>
          <cell r="P2325">
            <v>0.191285714285714</v>
          </cell>
        </row>
        <row r="2326">
          <cell r="F2326" t="str">
            <v>70101364</v>
          </cell>
          <cell r="G2326" t="str">
            <v>中粮粮谷</v>
          </cell>
          <cell r="H2326" t="str">
            <v>福临门</v>
          </cell>
          <cell r="I2326" t="str">
            <v>家庭食品</v>
          </cell>
          <cell r="J2326" t="str">
            <v>粮</v>
          </cell>
          <cell r="K2326" t="str">
            <v>福临门东北优质香米10kg</v>
          </cell>
          <cell r="L2326" t="str">
            <v>10kg</v>
          </cell>
          <cell r="M2326" t="str">
            <v>袋</v>
          </cell>
          <cell r="N2326">
            <v>69.69</v>
          </cell>
          <cell r="O2326">
            <v>96.8</v>
          </cell>
          <cell r="P2326">
            <v>0.27293388429752102</v>
          </cell>
        </row>
        <row r="2327">
          <cell r="F2327" t="str">
            <v>70322217</v>
          </cell>
          <cell r="G2327" t="str">
            <v>中粮粮谷</v>
          </cell>
          <cell r="H2327" t="str">
            <v>福临门</v>
          </cell>
          <cell r="I2327" t="str">
            <v>家庭食品</v>
          </cell>
          <cell r="J2327" t="str">
            <v>粮</v>
          </cell>
          <cell r="K2327" t="str">
            <v>福临门巴盟高级雪花小麦粉10kg</v>
          </cell>
          <cell r="L2327" t="str">
            <v>10kg</v>
          </cell>
          <cell r="M2327" t="str">
            <v>袋</v>
          </cell>
          <cell r="N2327">
            <v>131.30000000000001</v>
          </cell>
          <cell r="O2327">
            <v>168</v>
          </cell>
          <cell r="P2327">
            <v>0.21071428571428599</v>
          </cell>
        </row>
        <row r="2328">
          <cell r="F2328" t="str">
            <v>70096929</v>
          </cell>
          <cell r="G2328" t="str">
            <v>中粮粮谷</v>
          </cell>
          <cell r="H2328" t="str">
            <v>香雪</v>
          </cell>
          <cell r="I2328" t="str">
            <v>家庭食品</v>
          </cell>
          <cell r="J2328" t="str">
            <v>粮</v>
          </cell>
          <cell r="K2328" t="str">
            <v>香雪特制挂面500g</v>
          </cell>
          <cell r="L2328" t="str">
            <v>0.5kg</v>
          </cell>
          <cell r="M2328" t="str">
            <v>袋</v>
          </cell>
          <cell r="N2328">
            <v>3.38</v>
          </cell>
          <cell r="O2328">
            <v>4.2</v>
          </cell>
          <cell r="P2328">
            <v>0.185714285714286</v>
          </cell>
        </row>
        <row r="2329">
          <cell r="F2329" t="str">
            <v>70267255</v>
          </cell>
          <cell r="G2329" t="str">
            <v>中粮粮谷</v>
          </cell>
          <cell r="H2329" t="str">
            <v>香雪</v>
          </cell>
          <cell r="I2329" t="str">
            <v>家庭食品</v>
          </cell>
          <cell r="J2329" t="str">
            <v>粮</v>
          </cell>
          <cell r="K2329" t="str">
            <v>香雪香雪麦纯精制粉5kg</v>
          </cell>
          <cell r="L2329" t="str">
            <v>5kg</v>
          </cell>
          <cell r="M2329" t="str">
            <v>袋</v>
          </cell>
          <cell r="N2329">
            <v>18.48</v>
          </cell>
          <cell r="O2329">
            <v>19.899999999999999</v>
          </cell>
          <cell r="P2329">
            <v>6.1809045226130503E-2</v>
          </cell>
        </row>
        <row r="2330">
          <cell r="F2330" t="str">
            <v>70269111</v>
          </cell>
          <cell r="G2330" t="str">
            <v>中粮粮谷</v>
          </cell>
          <cell r="H2330" t="str">
            <v>福临门</v>
          </cell>
          <cell r="I2330" t="str">
            <v>家庭食品</v>
          </cell>
          <cell r="J2330" t="str">
            <v>粮</v>
          </cell>
          <cell r="K2330" t="str">
            <v>福临门自然香锦绣丝苗5kg</v>
          </cell>
          <cell r="L2330" t="str">
            <v>5kg</v>
          </cell>
          <cell r="M2330" t="str">
            <v>袋</v>
          </cell>
          <cell r="N2330">
            <v>58.58</v>
          </cell>
          <cell r="O2330">
            <v>79.900000000000006</v>
          </cell>
          <cell r="P2330">
            <v>0.25957446808510598</v>
          </cell>
        </row>
        <row r="2331">
          <cell r="F2331" t="str">
            <v>70277225</v>
          </cell>
          <cell r="G2331" t="str">
            <v>中粮粮谷</v>
          </cell>
          <cell r="H2331" t="str">
            <v>福临门</v>
          </cell>
          <cell r="I2331" t="str">
            <v>家庭食品</v>
          </cell>
          <cell r="J2331" t="str">
            <v>粮</v>
          </cell>
          <cell r="K2331" t="str">
            <v>福临门劲道高筋龙须面800g</v>
          </cell>
          <cell r="L2331" t="str">
            <v>0.8kg</v>
          </cell>
          <cell r="M2331" t="str">
            <v>袋</v>
          </cell>
          <cell r="N2331">
            <v>10</v>
          </cell>
          <cell r="O2331">
            <v>13.8</v>
          </cell>
          <cell r="P2331">
            <v>0.26811594202898598</v>
          </cell>
        </row>
        <row r="2332">
          <cell r="F2332" t="str">
            <v>70220560</v>
          </cell>
          <cell r="G2332" t="str">
            <v>中粮粮谷</v>
          </cell>
          <cell r="H2332" t="str">
            <v>香雪</v>
          </cell>
          <cell r="I2332" t="str">
            <v>家庭食品</v>
          </cell>
          <cell r="J2332" t="str">
            <v>粮</v>
          </cell>
          <cell r="K2332" t="str">
            <v>香雪特制鸡蛋面500g</v>
          </cell>
          <cell r="L2332" t="str">
            <v>0.5kg</v>
          </cell>
          <cell r="M2332" t="str">
            <v>袋</v>
          </cell>
          <cell r="N2332">
            <v>3.38</v>
          </cell>
          <cell r="O2332">
            <v>4.2</v>
          </cell>
          <cell r="P2332">
            <v>0.185714285714286</v>
          </cell>
        </row>
        <row r="2333">
          <cell r="F2333" t="str">
            <v>70259952</v>
          </cell>
          <cell r="G2333" t="str">
            <v>中粮粮谷</v>
          </cell>
          <cell r="H2333" t="str">
            <v>福临门</v>
          </cell>
          <cell r="I2333" t="str">
            <v>家庭食品</v>
          </cell>
          <cell r="J2333" t="str">
            <v>粮</v>
          </cell>
          <cell r="K2333" t="str">
            <v>福临门泰玉香莲花香米25kg</v>
          </cell>
          <cell r="L2333" t="str">
            <v>25kg</v>
          </cell>
          <cell r="M2333" t="str">
            <v>袋</v>
          </cell>
          <cell r="N2333">
            <v>186.85</v>
          </cell>
          <cell r="O2333">
            <v>229</v>
          </cell>
          <cell r="P2333">
            <v>0.17598253275109199</v>
          </cell>
        </row>
        <row r="2334">
          <cell r="F2334" t="str">
            <v>70259879</v>
          </cell>
          <cell r="G2334" t="str">
            <v>中粮粮谷</v>
          </cell>
          <cell r="H2334" t="str">
            <v>香雪</v>
          </cell>
          <cell r="I2334" t="str">
            <v>家庭食品</v>
          </cell>
          <cell r="J2334" t="str">
            <v>粮</v>
          </cell>
          <cell r="K2334" t="str">
            <v>香雪麦芯阳春面500g</v>
          </cell>
          <cell r="L2334" t="str">
            <v>0.5kg</v>
          </cell>
          <cell r="M2334" t="str">
            <v>袋</v>
          </cell>
          <cell r="N2334">
            <v>3.13</v>
          </cell>
          <cell r="O2334">
            <v>4</v>
          </cell>
          <cell r="P2334">
            <v>0.21</v>
          </cell>
        </row>
        <row r="2335">
          <cell r="F2335" t="str">
            <v>70261288</v>
          </cell>
          <cell r="G2335" t="str">
            <v>中粮粮谷</v>
          </cell>
          <cell r="H2335" t="str">
            <v>五湖</v>
          </cell>
          <cell r="I2335" t="str">
            <v>家庭食品</v>
          </cell>
          <cell r="J2335" t="str">
            <v>粮</v>
          </cell>
          <cell r="K2335" t="str">
            <v>五湖秋田小町10kg</v>
          </cell>
          <cell r="L2335" t="str">
            <v>10kg</v>
          </cell>
          <cell r="M2335" t="str">
            <v>袋</v>
          </cell>
          <cell r="N2335">
            <v>61.61</v>
          </cell>
          <cell r="O2335">
            <v>79</v>
          </cell>
          <cell r="P2335">
            <v>0.21240506329113901</v>
          </cell>
        </row>
        <row r="2336">
          <cell r="F2336" t="str">
            <v>70220506</v>
          </cell>
          <cell r="G2336" t="str">
            <v>中粮粮谷</v>
          </cell>
          <cell r="H2336" t="str">
            <v>福临门</v>
          </cell>
          <cell r="I2336" t="str">
            <v>家庭食品</v>
          </cell>
          <cell r="J2336" t="str">
            <v>粮</v>
          </cell>
          <cell r="K2336" t="str">
            <v>福临门水晶米10kg</v>
          </cell>
          <cell r="L2336" t="str">
            <v>10kg</v>
          </cell>
          <cell r="M2336" t="str">
            <v>袋</v>
          </cell>
          <cell r="N2336">
            <v>58.58</v>
          </cell>
          <cell r="O2336">
            <v>71.900000000000006</v>
          </cell>
          <cell r="P2336">
            <v>0.17719054242002799</v>
          </cell>
        </row>
        <row r="2337">
          <cell r="F2337" t="str">
            <v>70307423</v>
          </cell>
          <cell r="G2337" t="str">
            <v>中粮粮谷</v>
          </cell>
          <cell r="H2337" t="str">
            <v>福临门</v>
          </cell>
          <cell r="I2337" t="str">
            <v>家庭食品</v>
          </cell>
          <cell r="J2337" t="str">
            <v>粮</v>
          </cell>
          <cell r="K2337" t="str">
            <v>福临门家宴爽滑挂面900g</v>
          </cell>
          <cell r="L2337" t="str">
            <v>0.9kg</v>
          </cell>
          <cell r="M2337" t="str">
            <v>袋</v>
          </cell>
          <cell r="N2337">
            <v>6.46</v>
          </cell>
          <cell r="O2337">
            <v>7.9</v>
          </cell>
          <cell r="P2337">
            <v>0.17341772151898699</v>
          </cell>
        </row>
        <row r="2338">
          <cell r="F2338" t="str">
            <v>70281170</v>
          </cell>
          <cell r="G2338" t="str">
            <v>中粮粮谷</v>
          </cell>
          <cell r="H2338" t="str">
            <v>福临门</v>
          </cell>
          <cell r="I2338" t="str">
            <v>家庭食品</v>
          </cell>
          <cell r="J2338" t="str">
            <v>粮</v>
          </cell>
          <cell r="K2338" t="str">
            <v>福临门劲道高筋鸡蛋面500g</v>
          </cell>
          <cell r="L2338" t="str">
            <v>0.5kg</v>
          </cell>
          <cell r="M2338" t="str">
            <v>袋</v>
          </cell>
          <cell r="N2338">
            <v>4.75</v>
          </cell>
          <cell r="O2338">
            <v>7.8</v>
          </cell>
          <cell r="P2338">
            <v>0.38589743589743603</v>
          </cell>
        </row>
        <row r="2339">
          <cell r="F2339" t="str">
            <v>70282123</v>
          </cell>
          <cell r="G2339" t="str">
            <v>中粮粮谷</v>
          </cell>
          <cell r="H2339" t="str">
            <v>福临门</v>
          </cell>
          <cell r="I2339" t="str">
            <v>家庭食品</v>
          </cell>
          <cell r="J2339" t="str">
            <v>粮</v>
          </cell>
          <cell r="K2339" t="str">
            <v>福临门劲道高筋阳春面500g</v>
          </cell>
          <cell r="L2339" t="str">
            <v>0.5kg</v>
          </cell>
          <cell r="M2339" t="str">
            <v>袋</v>
          </cell>
          <cell r="N2339">
            <v>4.75</v>
          </cell>
          <cell r="O2339">
            <v>7.8</v>
          </cell>
          <cell r="P2339">
            <v>0.38589743589743603</v>
          </cell>
        </row>
        <row r="2340">
          <cell r="F2340" t="str">
            <v>70262590</v>
          </cell>
          <cell r="G2340" t="str">
            <v>中粮粮谷</v>
          </cell>
          <cell r="H2340" t="str">
            <v>香雪</v>
          </cell>
          <cell r="I2340" t="str">
            <v>家庭食品</v>
          </cell>
          <cell r="J2340" t="str">
            <v>粮</v>
          </cell>
          <cell r="K2340" t="str">
            <v>香雪特制擀面500g</v>
          </cell>
          <cell r="L2340" t="str">
            <v>0.5kg</v>
          </cell>
          <cell r="M2340" t="str">
            <v>袋</v>
          </cell>
          <cell r="N2340">
            <v>3.38</v>
          </cell>
          <cell r="O2340">
            <v>4.2</v>
          </cell>
          <cell r="P2340">
            <v>0.185714285714286</v>
          </cell>
        </row>
        <row r="2341">
          <cell r="F2341" t="str">
            <v>70300252</v>
          </cell>
          <cell r="G2341" t="str">
            <v>中粮粮谷</v>
          </cell>
          <cell r="H2341" t="str">
            <v>五湖</v>
          </cell>
          <cell r="I2341" t="str">
            <v>家庭食品</v>
          </cell>
          <cell r="J2341" t="str">
            <v>粮</v>
          </cell>
          <cell r="K2341" t="str">
            <v>中粮粮谷五湖优选丝苗米25kg</v>
          </cell>
          <cell r="L2341" t="str">
            <v>25kg</v>
          </cell>
          <cell r="M2341" t="str">
            <v>袋</v>
          </cell>
          <cell r="N2341">
            <v>107.87</v>
          </cell>
          <cell r="O2341">
            <v>119</v>
          </cell>
          <cell r="P2341">
            <v>8.4537815126050395E-2</v>
          </cell>
        </row>
        <row r="2342">
          <cell r="F2342" t="str">
            <v>70452786</v>
          </cell>
          <cell r="G2342" t="str">
            <v>中粮粮谷</v>
          </cell>
          <cell r="H2342" t="str">
            <v>福临门</v>
          </cell>
          <cell r="I2342" t="str">
            <v>家庭食品</v>
          </cell>
          <cell r="J2342" t="str">
            <v>粮</v>
          </cell>
          <cell r="K2342" t="str">
            <v>中粮粮谷福临门南府靓粘5kg</v>
          </cell>
          <cell r="L2342" t="str">
            <v>5kg</v>
          </cell>
          <cell r="M2342" t="str">
            <v>袋</v>
          </cell>
          <cell r="N2342">
            <v>37.369999999999997</v>
          </cell>
          <cell r="O2342">
            <v>53</v>
          </cell>
          <cell r="P2342">
            <v>0.28792452830188697</v>
          </cell>
        </row>
        <row r="2343">
          <cell r="F2343" t="str">
            <v>70293092</v>
          </cell>
          <cell r="G2343" t="str">
            <v>中粮粮谷</v>
          </cell>
          <cell r="H2343" t="str">
            <v>福临门</v>
          </cell>
          <cell r="I2343" t="str">
            <v>家庭食品</v>
          </cell>
          <cell r="J2343" t="str">
            <v>粮</v>
          </cell>
          <cell r="K2343" t="str">
            <v>福临门家宴细圆挂面900g</v>
          </cell>
          <cell r="L2343" t="str">
            <v>0.9kg</v>
          </cell>
          <cell r="M2343" t="str">
            <v>袋</v>
          </cell>
          <cell r="N2343">
            <v>6.46</v>
          </cell>
          <cell r="O2343">
            <v>7.9</v>
          </cell>
          <cell r="P2343">
            <v>0.17341772151898699</v>
          </cell>
        </row>
        <row r="2344">
          <cell r="F2344" t="str">
            <v>70074008</v>
          </cell>
          <cell r="G2344" t="str">
            <v>中粮粮谷</v>
          </cell>
          <cell r="H2344" t="str">
            <v>五湖</v>
          </cell>
          <cell r="I2344" t="str">
            <v>家庭食品</v>
          </cell>
          <cell r="J2344" t="str">
            <v>粮</v>
          </cell>
          <cell r="K2344" t="str">
            <v>五湖东北长粒香10kg</v>
          </cell>
          <cell r="L2344" t="str">
            <v>10kg</v>
          </cell>
          <cell r="M2344" t="str">
            <v>袋</v>
          </cell>
          <cell r="N2344">
            <v>58.08</v>
          </cell>
          <cell r="O2344">
            <v>75</v>
          </cell>
          <cell r="P2344">
            <v>0.218</v>
          </cell>
        </row>
        <row r="2345">
          <cell r="F2345" t="str">
            <v>70259885</v>
          </cell>
          <cell r="G2345" t="str">
            <v>中粮粮谷</v>
          </cell>
          <cell r="H2345" t="str">
            <v>香雪</v>
          </cell>
          <cell r="I2345" t="str">
            <v>家庭食品</v>
          </cell>
          <cell r="J2345" t="str">
            <v>粮</v>
          </cell>
          <cell r="K2345" t="str">
            <v>香雪爽滑挂面塑包800g</v>
          </cell>
          <cell r="L2345" t="str">
            <v>0.8kg</v>
          </cell>
          <cell r="M2345" t="str">
            <v>袋</v>
          </cell>
          <cell r="N2345">
            <v>6.16</v>
          </cell>
          <cell r="O2345">
            <v>7.9</v>
          </cell>
          <cell r="P2345">
            <v>0.21265822784810101</v>
          </cell>
        </row>
        <row r="2346">
          <cell r="F2346" t="str">
            <v>70259884</v>
          </cell>
          <cell r="G2346" t="str">
            <v>中粮粮谷</v>
          </cell>
          <cell r="H2346" t="str">
            <v>香雪</v>
          </cell>
          <cell r="I2346" t="str">
            <v>家庭食品</v>
          </cell>
          <cell r="J2346" t="str">
            <v>粮</v>
          </cell>
          <cell r="K2346" t="str">
            <v>香雪鸡蛋挂面塑包800g</v>
          </cell>
          <cell r="L2346" t="str">
            <v>0.8kg</v>
          </cell>
          <cell r="M2346" t="str">
            <v>袋</v>
          </cell>
          <cell r="N2346">
            <v>6.36</v>
          </cell>
          <cell r="O2346">
            <v>7.8</v>
          </cell>
          <cell r="P2346">
            <v>0.17564102564102599</v>
          </cell>
        </row>
        <row r="2347">
          <cell r="F2347" t="str">
            <v>70271537</v>
          </cell>
          <cell r="G2347" t="str">
            <v>中粮粮谷</v>
          </cell>
          <cell r="H2347" t="str">
            <v>香雪</v>
          </cell>
          <cell r="I2347" t="str">
            <v>家庭食品</v>
          </cell>
          <cell r="J2347" t="str">
            <v>粮</v>
          </cell>
          <cell r="K2347" t="str">
            <v>香雪特精粉10kg</v>
          </cell>
          <cell r="L2347" t="str">
            <v>10kg</v>
          </cell>
          <cell r="M2347" t="str">
            <v>袋</v>
          </cell>
          <cell r="N2347">
            <v>46.06</v>
          </cell>
          <cell r="O2347">
            <v>57</v>
          </cell>
          <cell r="P2347">
            <v>0.184035087719298</v>
          </cell>
        </row>
        <row r="2348">
          <cell r="F2348" t="str">
            <v>70259948</v>
          </cell>
          <cell r="G2348" t="str">
            <v>中粮粮谷</v>
          </cell>
          <cell r="H2348" t="str">
            <v>香雪</v>
          </cell>
          <cell r="I2348" t="str">
            <v>家庭食品</v>
          </cell>
          <cell r="J2348" t="str">
            <v>粮</v>
          </cell>
          <cell r="K2348" t="str">
            <v>香雪高筋特精粉25kg</v>
          </cell>
          <cell r="L2348" t="str">
            <v>25kg</v>
          </cell>
          <cell r="M2348" t="str">
            <v>袋</v>
          </cell>
          <cell r="N2348">
            <v>97.97</v>
          </cell>
          <cell r="O2348">
            <v>141</v>
          </cell>
          <cell r="P2348">
            <v>0.29829787234042598</v>
          </cell>
        </row>
        <row r="2349">
          <cell r="F2349" t="str">
            <v>70282124</v>
          </cell>
          <cell r="G2349" t="str">
            <v>中粮粮谷</v>
          </cell>
          <cell r="H2349" t="str">
            <v>福临门</v>
          </cell>
          <cell r="I2349" t="str">
            <v>家庭食品</v>
          </cell>
          <cell r="J2349" t="str">
            <v>粮</v>
          </cell>
          <cell r="K2349" t="str">
            <v>福临门劲道高筋擀面500g</v>
          </cell>
          <cell r="L2349" t="str">
            <v>0.5kg</v>
          </cell>
          <cell r="M2349" t="str">
            <v>袋</v>
          </cell>
          <cell r="N2349">
            <v>4.75</v>
          </cell>
          <cell r="O2349">
            <v>7.8</v>
          </cell>
          <cell r="P2349">
            <v>0.38589743589743603</v>
          </cell>
        </row>
        <row r="2350">
          <cell r="F2350" t="str">
            <v>70292168</v>
          </cell>
          <cell r="G2350" t="str">
            <v>中粮粮谷</v>
          </cell>
          <cell r="H2350" t="str">
            <v>福临门</v>
          </cell>
          <cell r="I2350" t="str">
            <v>家庭食品</v>
          </cell>
          <cell r="J2350" t="str">
            <v>粮</v>
          </cell>
          <cell r="K2350" t="str">
            <v>福临门寒地东北长粒香5kg</v>
          </cell>
          <cell r="L2350" t="str">
            <v>5kg</v>
          </cell>
          <cell r="M2350" t="str">
            <v>袋</v>
          </cell>
          <cell r="N2350">
            <v>34.340000000000003</v>
          </cell>
          <cell r="O2350">
            <v>79.900000000000006</v>
          </cell>
          <cell r="P2350">
            <v>0.56595744680851101</v>
          </cell>
        </row>
        <row r="2351">
          <cell r="F2351" t="str">
            <v>70414548</v>
          </cell>
          <cell r="G2351" t="str">
            <v>中粮粮谷</v>
          </cell>
          <cell r="H2351" t="str">
            <v>福临门</v>
          </cell>
          <cell r="I2351" t="str">
            <v>家庭食品</v>
          </cell>
          <cell r="J2351" t="str">
            <v>粮</v>
          </cell>
          <cell r="K2351" t="str">
            <v>福临门老家面馆河南手擀风味挂面塑包（方形3.0）800g</v>
          </cell>
          <cell r="L2351" t="str">
            <v>0.8kg</v>
          </cell>
          <cell r="M2351" t="str">
            <v>袋</v>
          </cell>
          <cell r="N2351">
            <v>7.37</v>
          </cell>
          <cell r="O2351">
            <v>9.9</v>
          </cell>
          <cell r="P2351">
            <v>0.24747474747474699</v>
          </cell>
        </row>
        <row r="2352">
          <cell r="F2352" t="str">
            <v>70260643</v>
          </cell>
          <cell r="G2352" t="str">
            <v>中粮粮谷</v>
          </cell>
          <cell r="H2352" t="str">
            <v>香雪</v>
          </cell>
          <cell r="I2352" t="str">
            <v>家庭食品</v>
          </cell>
          <cell r="J2352" t="str">
            <v>粮</v>
          </cell>
          <cell r="K2352" t="str">
            <v>香雪多用途麦芯粉25kg</v>
          </cell>
          <cell r="L2352" t="str">
            <v>25kg</v>
          </cell>
          <cell r="M2352" t="str">
            <v>袋</v>
          </cell>
          <cell r="N2352">
            <v>96.46</v>
          </cell>
          <cell r="O2352">
            <v>109</v>
          </cell>
          <cell r="P2352">
            <v>0.10633027522935801</v>
          </cell>
        </row>
        <row r="2353">
          <cell r="F2353" t="str">
            <v>70414543</v>
          </cell>
          <cell r="G2353" t="str">
            <v>中粮粮谷</v>
          </cell>
          <cell r="H2353" t="str">
            <v>福临门</v>
          </cell>
          <cell r="I2353" t="str">
            <v>家庭食品</v>
          </cell>
          <cell r="J2353" t="str">
            <v>粮</v>
          </cell>
          <cell r="K2353" t="str">
            <v>福临门老家面馆老北京鸡蛋风味挂面塑包（圆形1.25）800g</v>
          </cell>
          <cell r="L2353" t="str">
            <v>0.8kg</v>
          </cell>
          <cell r="M2353" t="str">
            <v>袋</v>
          </cell>
          <cell r="N2353">
            <v>7.37</v>
          </cell>
          <cell r="O2353">
            <v>9.9</v>
          </cell>
          <cell r="P2353">
            <v>0.24747474747474699</v>
          </cell>
        </row>
        <row r="2354">
          <cell r="F2354" t="str">
            <v>70281169</v>
          </cell>
          <cell r="G2354" t="str">
            <v>中粮粮谷</v>
          </cell>
          <cell r="H2354" t="str">
            <v>福临门</v>
          </cell>
          <cell r="I2354" t="str">
            <v>家庭食品</v>
          </cell>
          <cell r="J2354" t="str">
            <v>粮</v>
          </cell>
          <cell r="K2354" t="str">
            <v>福临门劲道高筋龙须面500g</v>
          </cell>
          <cell r="L2354" t="str">
            <v>0.5kg</v>
          </cell>
          <cell r="M2354" t="str">
            <v>袋</v>
          </cell>
          <cell r="N2354">
            <v>4.75</v>
          </cell>
          <cell r="O2354">
            <v>7.8</v>
          </cell>
          <cell r="P2354">
            <v>0.38589743589743603</v>
          </cell>
        </row>
        <row r="2355">
          <cell r="F2355" t="str">
            <v>70261287</v>
          </cell>
          <cell r="G2355" t="str">
            <v>中粮粮谷</v>
          </cell>
          <cell r="H2355" t="str">
            <v>东海明珠</v>
          </cell>
          <cell r="I2355" t="str">
            <v>家庭食品</v>
          </cell>
          <cell r="J2355" t="str">
            <v>粮</v>
          </cell>
          <cell r="K2355" t="str">
            <v>中粮粮谷东海明珠北寒长粒香25kg</v>
          </cell>
          <cell r="L2355" t="str">
            <v>25kg</v>
          </cell>
          <cell r="M2355" t="str">
            <v>袋</v>
          </cell>
          <cell r="N2355">
            <v>118.98</v>
          </cell>
          <cell r="O2355">
            <v>132</v>
          </cell>
          <cell r="P2355">
            <v>8.9696969696969706E-2</v>
          </cell>
        </row>
        <row r="2356">
          <cell r="F2356" t="str">
            <v>70322216</v>
          </cell>
          <cell r="G2356" t="str">
            <v>中粮粮谷</v>
          </cell>
          <cell r="H2356" t="str">
            <v>福临门</v>
          </cell>
          <cell r="I2356" t="str">
            <v>家庭食品</v>
          </cell>
          <cell r="J2356" t="str">
            <v>粮</v>
          </cell>
          <cell r="K2356" t="str">
            <v>福临门巴盟高级雪花小麦粉5kg</v>
          </cell>
          <cell r="L2356" t="str">
            <v>5kg</v>
          </cell>
          <cell r="M2356" t="str">
            <v>袋</v>
          </cell>
          <cell r="N2356">
            <v>75.75</v>
          </cell>
          <cell r="O2356">
            <v>98</v>
          </cell>
          <cell r="P2356">
            <v>0.219387755102041</v>
          </cell>
        </row>
        <row r="2357">
          <cell r="F2357" t="str">
            <v>70097760</v>
          </cell>
          <cell r="G2357" t="str">
            <v>中粮粮谷</v>
          </cell>
          <cell r="H2357" t="str">
            <v>香雪</v>
          </cell>
          <cell r="I2357" t="str">
            <v>家庭食品</v>
          </cell>
          <cell r="J2357" t="str">
            <v>粮</v>
          </cell>
          <cell r="K2357" t="str">
            <v>香雪尚品爽滑阳春面425g</v>
          </cell>
          <cell r="L2357" t="str">
            <v>0.425kg</v>
          </cell>
          <cell r="M2357" t="str">
            <v>袋</v>
          </cell>
          <cell r="N2357">
            <v>3.86</v>
          </cell>
          <cell r="O2357">
            <v>5.52</v>
          </cell>
          <cell r="P2357">
            <v>0.29347826086956502</v>
          </cell>
        </row>
        <row r="2358">
          <cell r="F2358" t="str">
            <v>70097759</v>
          </cell>
          <cell r="G2358" t="str">
            <v>中粮粮谷</v>
          </cell>
          <cell r="H2358" t="str">
            <v>香雪</v>
          </cell>
          <cell r="I2358" t="str">
            <v>家庭食品</v>
          </cell>
          <cell r="J2358" t="str">
            <v>粮</v>
          </cell>
          <cell r="K2358" t="str">
            <v>香雪尚品鸡蛋龙须面425g</v>
          </cell>
          <cell r="L2358" t="str">
            <v>0.425kg</v>
          </cell>
          <cell r="M2358" t="str">
            <v>袋</v>
          </cell>
          <cell r="N2358">
            <v>3.86</v>
          </cell>
          <cell r="O2358">
            <v>6.79</v>
          </cell>
          <cell r="P2358">
            <v>0.42562592047128101</v>
          </cell>
        </row>
        <row r="2359">
          <cell r="F2359" t="str">
            <v>70259882</v>
          </cell>
          <cell r="G2359" t="str">
            <v>中粮粮谷</v>
          </cell>
          <cell r="H2359" t="str">
            <v>香雪</v>
          </cell>
          <cell r="I2359" t="str">
            <v>家庭食品</v>
          </cell>
          <cell r="J2359" t="str">
            <v>粮</v>
          </cell>
          <cell r="K2359" t="str">
            <v>香雪麦香宽心面塑包500g</v>
          </cell>
          <cell r="L2359" t="str">
            <v>0.5kg</v>
          </cell>
          <cell r="M2359" t="str">
            <v>袋</v>
          </cell>
          <cell r="N2359">
            <v>5.4</v>
          </cell>
          <cell r="O2359">
            <v>7</v>
          </cell>
          <cell r="P2359">
            <v>0.22</v>
          </cell>
        </row>
        <row r="2360">
          <cell r="F2360" t="str">
            <v>70414564</v>
          </cell>
          <cell r="G2360" t="str">
            <v>中粮粮谷</v>
          </cell>
          <cell r="H2360" t="str">
            <v>福临门</v>
          </cell>
          <cell r="I2360" t="str">
            <v>家庭食品</v>
          </cell>
          <cell r="J2360" t="str">
            <v>粮</v>
          </cell>
          <cell r="K2360" t="str">
            <v>福临门原乡长粒香10kg</v>
          </cell>
          <cell r="L2360" t="str">
            <v>10kg</v>
          </cell>
          <cell r="M2360" t="str">
            <v>袋</v>
          </cell>
          <cell r="N2360">
            <v>71.209999999999994</v>
          </cell>
          <cell r="O2360">
            <v>89.9</v>
          </cell>
          <cell r="P2360">
            <v>0.20011123470522801</v>
          </cell>
        </row>
        <row r="2361">
          <cell r="F2361" t="str">
            <v>70260178</v>
          </cell>
          <cell r="G2361" t="str">
            <v>中粮粮谷</v>
          </cell>
          <cell r="H2361" t="str">
            <v>五湖</v>
          </cell>
          <cell r="I2361" t="str">
            <v>家庭食品</v>
          </cell>
          <cell r="J2361" t="str">
            <v>粮</v>
          </cell>
          <cell r="K2361" t="str">
            <v>五湖秋田小町5kg</v>
          </cell>
          <cell r="L2361" t="str">
            <v>5kg</v>
          </cell>
          <cell r="M2361" t="str">
            <v>袋</v>
          </cell>
          <cell r="N2361">
            <v>32.32</v>
          </cell>
          <cell r="O2361">
            <v>44</v>
          </cell>
          <cell r="P2361">
            <v>0.25818181818181801</v>
          </cell>
        </row>
        <row r="2362">
          <cell r="F2362" t="str">
            <v>70260677</v>
          </cell>
          <cell r="G2362" t="str">
            <v>中粮粮谷</v>
          </cell>
          <cell r="H2362" t="str">
            <v>香雪</v>
          </cell>
          <cell r="I2362" t="str">
            <v>家庭食品</v>
          </cell>
          <cell r="J2362" t="str">
            <v>粮</v>
          </cell>
          <cell r="K2362" t="str">
            <v>香雪麦香原味面500g</v>
          </cell>
          <cell r="L2362" t="str">
            <v>0.5kg</v>
          </cell>
          <cell r="M2362" t="str">
            <v>袋</v>
          </cell>
          <cell r="N2362">
            <v>3.74</v>
          </cell>
          <cell r="O2362">
            <v>4.9000000000000004</v>
          </cell>
          <cell r="P2362">
            <v>0.23061224489795901</v>
          </cell>
        </row>
        <row r="2363">
          <cell r="F2363" t="str">
            <v>70262949</v>
          </cell>
          <cell r="G2363" t="str">
            <v>中粮粮谷</v>
          </cell>
          <cell r="H2363" t="str">
            <v>金盈</v>
          </cell>
          <cell r="I2363" t="str">
            <v>家庭食品</v>
          </cell>
          <cell r="J2363" t="str">
            <v>粮</v>
          </cell>
          <cell r="K2363" t="str">
            <v>金盈十二谷米伴侣450g</v>
          </cell>
          <cell r="L2363" t="str">
            <v>0.45kg</v>
          </cell>
          <cell r="M2363" t="str">
            <v>袋</v>
          </cell>
          <cell r="N2363">
            <v>22.22</v>
          </cell>
          <cell r="O2363">
            <v>26.8</v>
          </cell>
          <cell r="P2363">
            <v>0.16268656716417901</v>
          </cell>
        </row>
        <row r="2364">
          <cell r="F2364" t="str">
            <v>70259780</v>
          </cell>
          <cell r="G2364" t="str">
            <v>中粮粮谷</v>
          </cell>
          <cell r="H2364" t="str">
            <v>福临门</v>
          </cell>
          <cell r="I2364" t="str">
            <v>家庭食品</v>
          </cell>
          <cell r="J2364" t="str">
            <v>粮</v>
          </cell>
          <cell r="K2364" t="str">
            <v>福临门黄河御香稻5kg</v>
          </cell>
          <cell r="L2364" t="str">
            <v>5kg</v>
          </cell>
          <cell r="M2364" t="str">
            <v>袋</v>
          </cell>
          <cell r="N2364">
            <v>70.2</v>
          </cell>
          <cell r="O2364">
            <v>89</v>
          </cell>
          <cell r="P2364">
            <v>0.20348314606741599</v>
          </cell>
        </row>
        <row r="2365">
          <cell r="F2365" t="str">
            <v>70322223</v>
          </cell>
          <cell r="G2365" t="str">
            <v>中粮粮谷</v>
          </cell>
          <cell r="H2365" t="str">
            <v>福临门</v>
          </cell>
          <cell r="I2365" t="str">
            <v>家庭食品</v>
          </cell>
          <cell r="J2365" t="str">
            <v>粮</v>
          </cell>
          <cell r="K2365" t="str">
            <v>福临门河套平原雪花小麦粉650g</v>
          </cell>
          <cell r="L2365" t="str">
            <v>0.65kg</v>
          </cell>
          <cell r="M2365" t="str">
            <v>袋</v>
          </cell>
          <cell r="N2365">
            <v>14.65</v>
          </cell>
          <cell r="O2365">
            <v>18.899999999999999</v>
          </cell>
          <cell r="P2365">
            <v>0.21746031746031699</v>
          </cell>
        </row>
        <row r="2366">
          <cell r="F2366" t="str">
            <v>70414531</v>
          </cell>
          <cell r="G2366" t="str">
            <v>中粮粮谷</v>
          </cell>
          <cell r="H2366" t="str">
            <v>福临门</v>
          </cell>
          <cell r="I2366" t="str">
            <v>家庭食品</v>
          </cell>
          <cell r="J2366" t="str">
            <v>粮</v>
          </cell>
          <cell r="K2366" t="str">
            <v>福临门东北长粒香大米10kg</v>
          </cell>
          <cell r="L2366" t="str">
            <v>10kg</v>
          </cell>
          <cell r="M2366" t="str">
            <v>袋</v>
          </cell>
          <cell r="N2366">
            <v>70.7</v>
          </cell>
          <cell r="O2366">
            <v>89.9</v>
          </cell>
          <cell r="P2366">
            <v>0.20578420467185801</v>
          </cell>
        </row>
        <row r="2367">
          <cell r="F2367" t="str">
            <v>70381843</v>
          </cell>
          <cell r="G2367" t="str">
            <v>中粮粮谷</v>
          </cell>
          <cell r="H2367" t="str">
            <v>福临门</v>
          </cell>
          <cell r="I2367" t="str">
            <v>家庭食品</v>
          </cell>
          <cell r="J2367" t="str">
            <v>粮</v>
          </cell>
          <cell r="K2367" t="str">
            <v>福临门河套平原雪花小麦粉2.5kg</v>
          </cell>
          <cell r="L2367" t="str">
            <v>2.5kg</v>
          </cell>
          <cell r="M2367" t="str">
            <v>袋</v>
          </cell>
          <cell r="N2367">
            <v>45.45</v>
          </cell>
          <cell r="O2367">
            <v>59.9</v>
          </cell>
          <cell r="P2367">
            <v>0.23372287145242099</v>
          </cell>
        </row>
        <row r="2368">
          <cell r="F2368" t="str">
            <v>70284183</v>
          </cell>
          <cell r="G2368" t="str">
            <v>中粮粮谷</v>
          </cell>
          <cell r="H2368" t="str">
            <v>福临门</v>
          </cell>
          <cell r="I2368" t="str">
            <v>家庭食品</v>
          </cell>
          <cell r="J2368" t="str">
            <v>粮</v>
          </cell>
          <cell r="K2368" t="str">
            <v>福临门筋道高筋擀面800g</v>
          </cell>
          <cell r="L2368" t="str">
            <v>0.8kg</v>
          </cell>
          <cell r="M2368" t="str">
            <v>袋</v>
          </cell>
          <cell r="N2368">
            <v>7.07</v>
          </cell>
          <cell r="O2368">
            <v>13.8</v>
          </cell>
          <cell r="P2368">
            <v>0.48260869565217401</v>
          </cell>
        </row>
        <row r="2369">
          <cell r="F2369" t="str">
            <v>70414617</v>
          </cell>
          <cell r="G2369" t="str">
            <v>中粮粮谷</v>
          </cell>
          <cell r="H2369" t="str">
            <v>福临门</v>
          </cell>
          <cell r="I2369" t="str">
            <v>家庭食品</v>
          </cell>
          <cell r="J2369" t="str">
            <v>粮</v>
          </cell>
          <cell r="K2369" t="str">
            <v>福临门寒地东北大米10kg</v>
          </cell>
          <cell r="L2369" t="str">
            <v>10kg</v>
          </cell>
          <cell r="M2369" t="str">
            <v>袋</v>
          </cell>
          <cell r="N2369">
            <v>61.61</v>
          </cell>
          <cell r="O2369">
            <v>79.900000000000006</v>
          </cell>
          <cell r="P2369">
            <v>0.221276595744681</v>
          </cell>
        </row>
        <row r="2370">
          <cell r="F2370" t="str">
            <v>70269110</v>
          </cell>
          <cell r="G2370" t="str">
            <v>中粮粮谷</v>
          </cell>
          <cell r="H2370" t="str">
            <v>福临门</v>
          </cell>
          <cell r="I2370" t="str">
            <v>家庭食品</v>
          </cell>
          <cell r="J2370" t="str">
            <v>粮</v>
          </cell>
          <cell r="K2370" t="str">
            <v>中粮粮谷福临门泰玉香莲花香米10kg</v>
          </cell>
          <cell r="L2370" t="str">
            <v>10kg</v>
          </cell>
          <cell r="M2370" t="str">
            <v>袋</v>
          </cell>
          <cell r="N2370">
            <v>80.8</v>
          </cell>
          <cell r="O2370">
            <v>106</v>
          </cell>
          <cell r="P2370">
            <v>0.230188679245283</v>
          </cell>
        </row>
        <row r="2371">
          <cell r="F2371" t="str">
            <v>70307422</v>
          </cell>
          <cell r="G2371" t="str">
            <v>中粮粮谷</v>
          </cell>
          <cell r="H2371" t="str">
            <v>福临门</v>
          </cell>
          <cell r="I2371" t="str">
            <v>家庭食品</v>
          </cell>
          <cell r="J2371" t="str">
            <v>粮</v>
          </cell>
          <cell r="K2371" t="str">
            <v>福临门金田米苏北米10kg</v>
          </cell>
          <cell r="L2371" t="str">
            <v>10kg</v>
          </cell>
          <cell r="M2371" t="str">
            <v>袋</v>
          </cell>
          <cell r="N2371">
            <v>57.07</v>
          </cell>
          <cell r="O2371">
            <v>66</v>
          </cell>
          <cell r="P2371">
            <v>0.126818181818182</v>
          </cell>
        </row>
        <row r="2372">
          <cell r="F2372" t="str">
            <v>70414599</v>
          </cell>
          <cell r="G2372" t="str">
            <v>中粮粮谷</v>
          </cell>
          <cell r="H2372" t="str">
            <v>福临门</v>
          </cell>
          <cell r="I2372" t="str">
            <v>家庭食品</v>
          </cell>
          <cell r="J2372" t="str">
            <v>粮</v>
          </cell>
          <cell r="K2372" t="str">
            <v>福临门妈妈的饭香秋田小町香米10kg</v>
          </cell>
          <cell r="L2372" t="str">
            <v>10kg</v>
          </cell>
          <cell r="M2372" t="str">
            <v>袋</v>
          </cell>
          <cell r="N2372">
            <v>80.3</v>
          </cell>
          <cell r="O2372">
            <v>99.8</v>
          </cell>
          <cell r="P2372">
            <v>0.18747494989979999</v>
          </cell>
        </row>
        <row r="2373">
          <cell r="F2373" t="str">
            <v>70414596</v>
          </cell>
          <cell r="G2373" t="str">
            <v>中粮粮谷</v>
          </cell>
          <cell r="H2373" t="str">
            <v>福临门</v>
          </cell>
          <cell r="I2373" t="str">
            <v>家庭食品</v>
          </cell>
          <cell r="J2373" t="str">
            <v>粮</v>
          </cell>
          <cell r="K2373" t="str">
            <v>福临门妈妈的饭香秋田小町香米5kg</v>
          </cell>
          <cell r="L2373" t="str">
            <v>5kg</v>
          </cell>
          <cell r="M2373" t="str">
            <v>袋</v>
          </cell>
          <cell r="N2373">
            <v>42.93</v>
          </cell>
          <cell r="O2373">
            <v>59.9</v>
          </cell>
          <cell r="P2373">
            <v>0.276293823038397</v>
          </cell>
        </row>
        <row r="2374">
          <cell r="F2374" t="str">
            <v>70414605</v>
          </cell>
          <cell r="G2374" t="str">
            <v>中粮粮谷</v>
          </cell>
          <cell r="H2374" t="str">
            <v>福临门</v>
          </cell>
          <cell r="I2374" t="str">
            <v>家庭食品</v>
          </cell>
          <cell r="J2374" t="str">
            <v>粮</v>
          </cell>
          <cell r="K2374" t="str">
            <v>福临门甄选东北长粒香米10kg</v>
          </cell>
          <cell r="L2374" t="str">
            <v>10kg</v>
          </cell>
          <cell r="M2374" t="str">
            <v>袋</v>
          </cell>
          <cell r="N2374">
            <v>69.69</v>
          </cell>
          <cell r="O2374">
            <v>82.9</v>
          </cell>
          <cell r="P2374">
            <v>0.15102533172497001</v>
          </cell>
        </row>
        <row r="2375">
          <cell r="F2375" t="str">
            <v>70319782</v>
          </cell>
          <cell r="G2375" t="str">
            <v>中粮粮谷</v>
          </cell>
          <cell r="H2375" t="str">
            <v>福临门</v>
          </cell>
          <cell r="I2375" t="str">
            <v>家庭食品</v>
          </cell>
          <cell r="J2375" t="str">
            <v>粮</v>
          </cell>
          <cell r="K2375" t="str">
            <v>福临门苏软香2.5kg</v>
          </cell>
          <cell r="L2375" t="str">
            <v>2.5kg</v>
          </cell>
          <cell r="M2375" t="str">
            <v>袋</v>
          </cell>
          <cell r="N2375">
            <v>17.68</v>
          </cell>
          <cell r="O2375">
            <v>22.8</v>
          </cell>
          <cell r="P2375">
            <v>0.217105263157895</v>
          </cell>
        </row>
        <row r="2376">
          <cell r="F2376" t="str">
            <v>70414556</v>
          </cell>
          <cell r="G2376" t="str">
            <v>中粮粮谷</v>
          </cell>
          <cell r="H2376" t="str">
            <v>福临门</v>
          </cell>
          <cell r="I2376" t="str">
            <v>家庭食品</v>
          </cell>
          <cell r="J2376" t="str">
            <v>粮</v>
          </cell>
          <cell r="K2376" t="str">
            <v>福临门雪域鲜稻长粒香5kg</v>
          </cell>
          <cell r="L2376" t="str">
            <v>5kg</v>
          </cell>
          <cell r="M2376" t="str">
            <v>袋</v>
          </cell>
          <cell r="N2376">
            <v>32.83</v>
          </cell>
          <cell r="O2376">
            <v>42</v>
          </cell>
          <cell r="P2376">
            <v>0.21071428571428599</v>
          </cell>
        </row>
        <row r="2377">
          <cell r="F2377" t="str">
            <v>70381893</v>
          </cell>
          <cell r="G2377" t="str">
            <v>中粮粮谷</v>
          </cell>
          <cell r="H2377" t="str">
            <v>福临门</v>
          </cell>
          <cell r="I2377" t="str">
            <v>家庭食品</v>
          </cell>
          <cell r="J2377" t="str">
            <v>粮</v>
          </cell>
          <cell r="K2377" t="str">
            <v>KINgFOOD柬埔寨香米5kg</v>
          </cell>
          <cell r="L2377" t="str">
            <v>5kg</v>
          </cell>
          <cell r="M2377" t="str">
            <v>袋</v>
          </cell>
          <cell r="N2377">
            <v>50.5</v>
          </cell>
          <cell r="O2377">
            <v>59.9</v>
          </cell>
          <cell r="P2377">
            <v>0.14858096828046699</v>
          </cell>
        </row>
        <row r="2378">
          <cell r="F2378" t="str">
            <v>70381894</v>
          </cell>
          <cell r="G2378" t="str">
            <v>中粮粮谷</v>
          </cell>
          <cell r="H2378" t="str">
            <v>福临门</v>
          </cell>
          <cell r="I2378" t="str">
            <v>家庭食品</v>
          </cell>
          <cell r="J2378" t="str">
            <v>粮</v>
          </cell>
          <cell r="K2378" t="str">
            <v>KINgFOOD皇玛丽泰国茉莉香米10kg</v>
          </cell>
          <cell r="L2378" t="str">
            <v>10kg</v>
          </cell>
          <cell r="M2378" t="str">
            <v>袋</v>
          </cell>
          <cell r="N2378">
            <v>151.5</v>
          </cell>
          <cell r="O2378">
            <v>169.9</v>
          </cell>
          <cell r="P2378">
            <v>9.9470276633313703E-2</v>
          </cell>
        </row>
        <row r="2379">
          <cell r="F2379" t="str">
            <v>70286188</v>
          </cell>
          <cell r="G2379" t="str">
            <v>中粮粮谷</v>
          </cell>
          <cell r="H2379" t="str">
            <v>福临门</v>
          </cell>
          <cell r="I2379" t="str">
            <v>家庭食品</v>
          </cell>
          <cell r="J2379" t="str">
            <v>粮</v>
          </cell>
          <cell r="K2379" t="str">
            <v>福临门黑小麦粉1kg</v>
          </cell>
          <cell r="L2379" t="str">
            <v>1kg</v>
          </cell>
          <cell r="M2379" t="str">
            <v>袋</v>
          </cell>
          <cell r="N2379">
            <v>24.75</v>
          </cell>
          <cell r="O2379">
            <v>29.9</v>
          </cell>
          <cell r="P2379">
            <v>0.16421404682274199</v>
          </cell>
        </row>
        <row r="2380">
          <cell r="F2380" t="str">
            <v>70258811</v>
          </cell>
          <cell r="G2380" t="str">
            <v>中粮粮谷</v>
          </cell>
          <cell r="H2380" t="str">
            <v>香雪</v>
          </cell>
          <cell r="I2380" t="str">
            <v>家庭食品</v>
          </cell>
          <cell r="J2380" t="str">
            <v>粮</v>
          </cell>
          <cell r="K2380" t="str">
            <v>香雪尚品麦芯粉5kg</v>
          </cell>
          <cell r="L2380" t="str">
            <v>5kg</v>
          </cell>
          <cell r="M2380" t="str">
            <v>袋</v>
          </cell>
          <cell r="N2380">
            <v>56.56</v>
          </cell>
          <cell r="O2380">
            <v>69</v>
          </cell>
          <cell r="P2380">
            <v>0.17217391304347801</v>
          </cell>
        </row>
        <row r="2381">
          <cell r="F2381" t="str">
            <v>70264359</v>
          </cell>
          <cell r="G2381" t="str">
            <v>中粮粮谷</v>
          </cell>
          <cell r="H2381" t="str">
            <v>香雪</v>
          </cell>
          <cell r="I2381" t="str">
            <v>家庭食品</v>
          </cell>
          <cell r="J2381" t="str">
            <v>粮</v>
          </cell>
          <cell r="K2381" t="str">
            <v>香雪特精粉5kg</v>
          </cell>
          <cell r="L2381" t="str">
            <v>5kg</v>
          </cell>
          <cell r="M2381" t="str">
            <v>袋</v>
          </cell>
          <cell r="N2381">
            <v>22.22</v>
          </cell>
          <cell r="O2381">
            <v>30</v>
          </cell>
          <cell r="P2381">
            <v>0.252</v>
          </cell>
        </row>
        <row r="2382">
          <cell r="F2382" t="str">
            <v>70242053</v>
          </cell>
          <cell r="G2382" t="str">
            <v>中粮粮谷</v>
          </cell>
          <cell r="H2382" t="str">
            <v>香雪</v>
          </cell>
          <cell r="I2382" t="str">
            <v>家庭食品</v>
          </cell>
          <cell r="J2382" t="str">
            <v>粮</v>
          </cell>
          <cell r="K2382" t="str">
            <v>香雪多用途麦芯粉5kg</v>
          </cell>
          <cell r="L2382" t="str">
            <v>5kg</v>
          </cell>
          <cell r="M2382" t="str">
            <v>袋</v>
          </cell>
          <cell r="N2382">
            <v>26.26</v>
          </cell>
          <cell r="O2382">
            <v>35</v>
          </cell>
          <cell r="P2382">
            <v>0.24228571428571399</v>
          </cell>
        </row>
        <row r="2383">
          <cell r="F2383" t="str">
            <v>70265221</v>
          </cell>
          <cell r="G2383" t="str">
            <v>中粮粮谷</v>
          </cell>
          <cell r="H2383" t="str">
            <v>香雪</v>
          </cell>
          <cell r="I2383" t="str">
            <v>家庭食品</v>
          </cell>
          <cell r="J2383" t="str">
            <v>粮</v>
          </cell>
          <cell r="K2383" t="str">
            <v>香雪筋爽饺子粉2.5kg</v>
          </cell>
          <cell r="L2383" t="str">
            <v>2.5kg</v>
          </cell>
          <cell r="M2383" t="str">
            <v>袋</v>
          </cell>
          <cell r="N2383">
            <v>18.18</v>
          </cell>
          <cell r="O2383">
            <v>22</v>
          </cell>
          <cell r="P2383">
            <v>0.16545454545454499</v>
          </cell>
        </row>
        <row r="2384">
          <cell r="F2384" t="str">
            <v>70414541</v>
          </cell>
          <cell r="G2384" t="str">
            <v>中粮粮谷</v>
          </cell>
          <cell r="H2384" t="str">
            <v>福临门</v>
          </cell>
          <cell r="I2384" t="str">
            <v>家庭食品</v>
          </cell>
          <cell r="J2384" t="str">
            <v>粮</v>
          </cell>
          <cell r="K2384" t="str">
            <v>福临门星麦优选小麦粉（特一粉）10kg</v>
          </cell>
          <cell r="L2384" t="str">
            <v>10kg</v>
          </cell>
          <cell r="M2384" t="str">
            <v>袋</v>
          </cell>
          <cell r="N2384">
            <v>47.47</v>
          </cell>
          <cell r="O2384">
            <v>59.9</v>
          </cell>
          <cell r="P2384">
            <v>0.199666110183639</v>
          </cell>
        </row>
        <row r="2385">
          <cell r="F2385" t="str">
            <v>70414527</v>
          </cell>
          <cell r="G2385" t="str">
            <v>中粮粮谷</v>
          </cell>
          <cell r="H2385" t="str">
            <v>福临门</v>
          </cell>
          <cell r="I2385" t="str">
            <v>家庭食品</v>
          </cell>
          <cell r="J2385" t="str">
            <v>粮</v>
          </cell>
          <cell r="K2385" t="str">
            <v>中粮臻选澳大利亚白麦饺子专用小麦粉2.5kg</v>
          </cell>
          <cell r="L2385" t="str">
            <v>2.5kg</v>
          </cell>
          <cell r="M2385" t="str">
            <v>袋</v>
          </cell>
          <cell r="N2385">
            <v>31.82</v>
          </cell>
          <cell r="O2385">
            <v>39.9</v>
          </cell>
          <cell r="P2385">
            <v>0.19473684210526301</v>
          </cell>
        </row>
        <row r="2386">
          <cell r="F2386" t="str">
            <v>70414529</v>
          </cell>
          <cell r="G2386" t="str">
            <v>中粮粮谷</v>
          </cell>
          <cell r="H2386" t="str">
            <v>福临门</v>
          </cell>
          <cell r="I2386" t="str">
            <v>家庭食品</v>
          </cell>
          <cell r="J2386" t="str">
            <v>粮</v>
          </cell>
          <cell r="K2386" t="str">
            <v>中粮臻选北美红春麦麦芯小麦粉2.5kg</v>
          </cell>
          <cell r="L2386" t="str">
            <v>2.5kg</v>
          </cell>
          <cell r="M2386" t="str">
            <v>袋</v>
          </cell>
          <cell r="N2386">
            <v>38.89</v>
          </cell>
          <cell r="O2386">
            <v>49.9</v>
          </cell>
          <cell r="P2386">
            <v>0.213026052104208</v>
          </cell>
        </row>
        <row r="2387">
          <cell r="F2387" t="str">
            <v>70414585</v>
          </cell>
          <cell r="G2387" t="str">
            <v>中粮粮谷</v>
          </cell>
          <cell r="H2387" t="str">
            <v>福临门</v>
          </cell>
          <cell r="I2387" t="str">
            <v>家庭食品</v>
          </cell>
          <cell r="J2387" t="str">
            <v>粮</v>
          </cell>
          <cell r="K2387" t="str">
            <v>福临门星麦优选小麦粉2.5kg</v>
          </cell>
          <cell r="L2387" t="str">
            <v>2.5kg</v>
          </cell>
          <cell r="M2387" t="str">
            <v>袋</v>
          </cell>
          <cell r="N2387">
            <v>16.670000000000002</v>
          </cell>
          <cell r="O2387">
            <v>22.8</v>
          </cell>
          <cell r="P2387">
            <v>0.26184210526315799</v>
          </cell>
        </row>
        <row r="2388">
          <cell r="F2388" t="str">
            <v>70414591</v>
          </cell>
          <cell r="G2388" t="str">
            <v>中粮粮谷</v>
          </cell>
          <cell r="H2388" t="str">
            <v>福临门</v>
          </cell>
          <cell r="I2388" t="str">
            <v>家庭食品</v>
          </cell>
          <cell r="J2388" t="str">
            <v>粮</v>
          </cell>
          <cell r="K2388" t="str">
            <v>福临门高筋麦芯小麦粉10kg</v>
          </cell>
          <cell r="L2388" t="str">
            <v>10kg</v>
          </cell>
          <cell r="M2388" t="str">
            <v>袋</v>
          </cell>
          <cell r="N2388">
            <v>52.52</v>
          </cell>
          <cell r="O2388">
            <v>69.900000000000006</v>
          </cell>
          <cell r="P2388">
            <v>0.24120171673819699</v>
          </cell>
        </row>
        <row r="2389">
          <cell r="F2389" t="str">
            <v>70414607</v>
          </cell>
          <cell r="G2389" t="str">
            <v>中粮粮谷</v>
          </cell>
          <cell r="H2389" t="str">
            <v>福临门</v>
          </cell>
          <cell r="I2389" t="str">
            <v>家庭食品</v>
          </cell>
          <cell r="J2389" t="str">
            <v>粮</v>
          </cell>
          <cell r="K2389" t="str">
            <v>福临门麦芯颗粒小麦粉5kg</v>
          </cell>
          <cell r="L2389" t="str">
            <v>5kg</v>
          </cell>
          <cell r="M2389" t="str">
            <v>袋</v>
          </cell>
          <cell r="N2389">
            <v>33.33</v>
          </cell>
          <cell r="O2389">
            <v>45.5</v>
          </cell>
          <cell r="P2389">
            <v>0.26021978021977998</v>
          </cell>
        </row>
        <row r="2390">
          <cell r="F2390" t="str">
            <v>70414609</v>
          </cell>
          <cell r="G2390" t="str">
            <v>中粮粮谷</v>
          </cell>
          <cell r="H2390" t="str">
            <v>福临门</v>
          </cell>
          <cell r="I2390" t="str">
            <v>家庭食品</v>
          </cell>
          <cell r="J2390" t="str">
            <v>粮</v>
          </cell>
          <cell r="K2390" t="str">
            <v>福临门麦芯颗粒小麦粉10kg</v>
          </cell>
          <cell r="L2390" t="str">
            <v>10kg</v>
          </cell>
          <cell r="M2390" t="str">
            <v>袋</v>
          </cell>
          <cell r="N2390">
            <v>58.58</v>
          </cell>
          <cell r="O2390">
            <v>73.8</v>
          </cell>
          <cell r="P2390">
            <v>0.198373983739837</v>
          </cell>
        </row>
        <row r="2391">
          <cell r="F2391" t="str">
            <v>70312969</v>
          </cell>
          <cell r="G2391" t="str">
            <v>中粮粮谷</v>
          </cell>
          <cell r="H2391" t="str">
            <v>香雪</v>
          </cell>
          <cell r="I2391" t="str">
            <v>家庭食品</v>
          </cell>
          <cell r="J2391" t="str">
            <v>粮</v>
          </cell>
          <cell r="K2391" t="str">
            <v>香雪麦香原味面1kg</v>
          </cell>
          <cell r="L2391" t="str">
            <v>1kg</v>
          </cell>
          <cell r="M2391" t="str">
            <v>袋</v>
          </cell>
          <cell r="N2391">
            <v>5.45</v>
          </cell>
          <cell r="O2391">
            <v>8</v>
          </cell>
          <cell r="P2391">
            <v>0.31125000000000003</v>
          </cell>
        </row>
        <row r="2392">
          <cell r="F2392" t="str">
            <v>70256583</v>
          </cell>
          <cell r="G2392" t="str">
            <v>中粮粮谷</v>
          </cell>
          <cell r="H2392" t="str">
            <v>香雪</v>
          </cell>
          <cell r="I2392" t="str">
            <v>家庭食品</v>
          </cell>
          <cell r="J2392" t="str">
            <v>粮</v>
          </cell>
          <cell r="K2392" t="str">
            <v>香雪麦纯家常面450g</v>
          </cell>
          <cell r="L2392" t="str">
            <v>0.45kg</v>
          </cell>
          <cell r="M2392" t="str">
            <v>袋</v>
          </cell>
          <cell r="N2392">
            <v>3.33</v>
          </cell>
          <cell r="O2392">
            <v>3.9</v>
          </cell>
          <cell r="P2392">
            <v>0.135897435897436</v>
          </cell>
        </row>
        <row r="2393">
          <cell r="F2393" t="str">
            <v>70292438</v>
          </cell>
          <cell r="G2393" t="str">
            <v>中粮粮谷</v>
          </cell>
          <cell r="H2393" t="str">
            <v>香雪</v>
          </cell>
          <cell r="I2393" t="str">
            <v>家庭食品</v>
          </cell>
          <cell r="J2393" t="str">
            <v>粮</v>
          </cell>
          <cell r="K2393" t="str">
            <v>香雪麦纯拉面800g</v>
          </cell>
          <cell r="L2393" t="str">
            <v>0.8kg</v>
          </cell>
          <cell r="M2393" t="str">
            <v>袋</v>
          </cell>
          <cell r="N2393">
            <v>7.07</v>
          </cell>
          <cell r="O2393">
            <v>8.9</v>
          </cell>
          <cell r="P2393">
            <v>0.19775280898876399</v>
          </cell>
        </row>
        <row r="2394">
          <cell r="F2394" t="str">
            <v>70261286</v>
          </cell>
          <cell r="G2394" t="str">
            <v>中粮粮谷</v>
          </cell>
          <cell r="H2394" t="str">
            <v>香雪</v>
          </cell>
          <cell r="I2394" t="str">
            <v>家庭食品</v>
          </cell>
          <cell r="J2394" t="str">
            <v>粮</v>
          </cell>
          <cell r="K2394" t="str">
            <v>香雪麦纯鸡蛋面1kg</v>
          </cell>
          <cell r="L2394" t="str">
            <v>1kg</v>
          </cell>
          <cell r="M2394" t="str">
            <v>袋</v>
          </cell>
          <cell r="N2394">
            <v>6.67</v>
          </cell>
          <cell r="O2394">
            <v>9</v>
          </cell>
          <cell r="P2394">
            <v>0.25222222222222201</v>
          </cell>
        </row>
        <row r="2395">
          <cell r="F2395" t="str">
            <v>70256579</v>
          </cell>
          <cell r="G2395" t="str">
            <v>中粮粮谷</v>
          </cell>
          <cell r="H2395" t="str">
            <v>香雪</v>
          </cell>
          <cell r="I2395" t="str">
            <v>家庭食品</v>
          </cell>
          <cell r="J2395" t="str">
            <v>粮</v>
          </cell>
          <cell r="K2395" t="str">
            <v>香雪家常滑爽面1kg</v>
          </cell>
          <cell r="L2395" t="str">
            <v>1kg</v>
          </cell>
          <cell r="M2395" t="str">
            <v>袋</v>
          </cell>
          <cell r="N2395">
            <v>6.06</v>
          </cell>
          <cell r="O2395">
            <v>8</v>
          </cell>
          <cell r="P2395">
            <v>0.23499999999999999</v>
          </cell>
        </row>
        <row r="2396">
          <cell r="F2396" t="str">
            <v>70259875</v>
          </cell>
          <cell r="G2396" t="str">
            <v>中粮粮谷</v>
          </cell>
          <cell r="H2396" t="str">
            <v>香雪</v>
          </cell>
          <cell r="I2396" t="str">
            <v>家庭食品</v>
          </cell>
          <cell r="J2396" t="str">
            <v>粮</v>
          </cell>
          <cell r="K2396" t="str">
            <v>香雪麦香银丝面塑箱800g</v>
          </cell>
          <cell r="L2396" t="str">
            <v>0.8kg</v>
          </cell>
          <cell r="M2396" t="str">
            <v>袋</v>
          </cell>
          <cell r="N2396">
            <v>6.77</v>
          </cell>
          <cell r="O2396">
            <v>9</v>
          </cell>
          <cell r="P2396">
            <v>0.241111111111111</v>
          </cell>
        </row>
        <row r="2397">
          <cell r="F2397" t="str">
            <v>70414552</v>
          </cell>
          <cell r="G2397" t="str">
            <v>中粮粮谷</v>
          </cell>
          <cell r="H2397" t="str">
            <v>福临门</v>
          </cell>
          <cell r="I2397" t="str">
            <v>家庭食品</v>
          </cell>
          <cell r="J2397" t="str">
            <v>粮</v>
          </cell>
          <cell r="K2397" t="str">
            <v>福临门荞麦风味挂面纸包（方形2.0）1000g</v>
          </cell>
          <cell r="L2397" t="str">
            <v>1kg</v>
          </cell>
          <cell r="M2397" t="str">
            <v>袋</v>
          </cell>
          <cell r="N2397">
            <v>8.2799999999999994</v>
          </cell>
          <cell r="O2397">
            <v>10.8</v>
          </cell>
          <cell r="P2397">
            <v>0.225925925925926</v>
          </cell>
        </row>
        <row r="2398">
          <cell r="F2398" t="str">
            <v>70414582</v>
          </cell>
          <cell r="G2398" t="str">
            <v>中粮粮谷</v>
          </cell>
          <cell r="H2398" t="str">
            <v>福临门</v>
          </cell>
          <cell r="I2398" t="str">
            <v>家庭食品</v>
          </cell>
          <cell r="J2398" t="str">
            <v>粮</v>
          </cell>
          <cell r="K2398" t="str">
            <v>福临门鸡蛋中宽挂面纸包（方形2.0）1000g</v>
          </cell>
          <cell r="L2398" t="str">
            <v>1kg</v>
          </cell>
          <cell r="M2398" t="str">
            <v>袋</v>
          </cell>
          <cell r="N2398">
            <v>8.2799999999999994</v>
          </cell>
          <cell r="O2398">
            <v>10.8</v>
          </cell>
          <cell r="P2398">
            <v>0.225925925925926</v>
          </cell>
        </row>
        <row r="2399">
          <cell r="F2399" t="str">
            <v>70414579</v>
          </cell>
          <cell r="G2399" t="str">
            <v>中粮粮谷</v>
          </cell>
          <cell r="H2399" t="str">
            <v>福临门</v>
          </cell>
          <cell r="I2399" t="str">
            <v>家庭食品</v>
          </cell>
          <cell r="J2399" t="str">
            <v>粮</v>
          </cell>
          <cell r="K2399" t="str">
            <v>福临门鸡蛋中圆条挂面纸包（圆形1.25）1000g</v>
          </cell>
          <cell r="L2399" t="str">
            <v>1kg</v>
          </cell>
          <cell r="M2399" t="str">
            <v>袋</v>
          </cell>
          <cell r="N2399">
            <v>8.2799999999999994</v>
          </cell>
          <cell r="O2399">
            <v>10.8</v>
          </cell>
          <cell r="P2399">
            <v>0.225925925925926</v>
          </cell>
        </row>
        <row r="2400">
          <cell r="F2400" t="str">
            <v>70414523</v>
          </cell>
          <cell r="G2400" t="str">
            <v>中粮粮谷</v>
          </cell>
          <cell r="H2400" t="str">
            <v>福临门</v>
          </cell>
          <cell r="I2400" t="str">
            <v>家庭食品</v>
          </cell>
          <cell r="J2400" t="str">
            <v>粮</v>
          </cell>
          <cell r="K2400" t="str">
            <v>福临门70%+黑青稞挂面塑箱（方2.0*0.8）360g</v>
          </cell>
          <cell r="L2400" t="str">
            <v>0.36kg</v>
          </cell>
          <cell r="M2400" t="str">
            <v>袋</v>
          </cell>
          <cell r="N2400">
            <v>30.3</v>
          </cell>
          <cell r="O2400">
            <v>49.9</v>
          </cell>
          <cell r="P2400">
            <v>0.38677354709418799</v>
          </cell>
        </row>
        <row r="2401">
          <cell r="F2401" t="str">
            <v>70452769</v>
          </cell>
          <cell r="G2401" t="str">
            <v>中粮粮谷</v>
          </cell>
          <cell r="H2401" t="str">
            <v>福临门</v>
          </cell>
          <cell r="I2401" t="str">
            <v>家庭食品</v>
          </cell>
          <cell r="J2401" t="str">
            <v>粮</v>
          </cell>
          <cell r="K2401" t="str">
            <v>中粮粮谷香雪全麦粉1kg</v>
          </cell>
          <cell r="L2401" t="str">
            <v>1kg</v>
          </cell>
          <cell r="M2401" t="str">
            <v>袋</v>
          </cell>
          <cell r="N2401">
            <v>33.840000000000003</v>
          </cell>
          <cell r="O2401">
            <v>46.9</v>
          </cell>
          <cell r="P2401">
            <v>0.27142857142857102</v>
          </cell>
        </row>
        <row r="2402">
          <cell r="F2402" t="str">
            <v>70452789</v>
          </cell>
          <cell r="G2402" t="str">
            <v>中粮粮谷</v>
          </cell>
          <cell r="H2402" t="str">
            <v>福临门</v>
          </cell>
          <cell r="I2402" t="str">
            <v>家庭食品</v>
          </cell>
          <cell r="J2402" t="str">
            <v>粮</v>
          </cell>
          <cell r="K2402" t="str">
            <v>中粮粮谷福临门河套平原尊享雪花小麦粉5kg</v>
          </cell>
          <cell r="L2402" t="str">
            <v>5kg</v>
          </cell>
          <cell r="M2402" t="str">
            <v>袋</v>
          </cell>
          <cell r="N2402">
            <v>79.790000000000006</v>
          </cell>
          <cell r="O2402">
            <v>109.9</v>
          </cell>
          <cell r="P2402">
            <v>0.266787989080983</v>
          </cell>
        </row>
        <row r="2403">
          <cell r="F2403" t="str">
            <v>70285639</v>
          </cell>
          <cell r="G2403" t="str">
            <v>中粮粮谷</v>
          </cell>
          <cell r="H2403" t="str">
            <v>五湖</v>
          </cell>
          <cell r="I2403" t="str">
            <v>家庭食品</v>
          </cell>
          <cell r="J2403" t="str">
            <v>粮</v>
          </cell>
          <cell r="K2403" t="str">
            <v>中粮粮谷五湖珍珠米25kg</v>
          </cell>
          <cell r="L2403" t="str">
            <v>25kg</v>
          </cell>
          <cell r="M2403" t="str">
            <v>袋</v>
          </cell>
          <cell r="N2403">
            <v>106.86</v>
          </cell>
          <cell r="O2403">
            <v>118</v>
          </cell>
          <cell r="P2403">
            <v>8.5423728813559294E-2</v>
          </cell>
        </row>
        <row r="2404">
          <cell r="F2404" t="str">
            <v>70452783</v>
          </cell>
          <cell r="G2404" t="str">
            <v>中粮粮谷</v>
          </cell>
          <cell r="H2404" t="str">
            <v>五湖</v>
          </cell>
          <cell r="I2404" t="str">
            <v>家庭食品</v>
          </cell>
          <cell r="J2404" t="str">
            <v>粮</v>
          </cell>
          <cell r="K2404" t="str">
            <v>中粮粮谷五湖优质东北大米25kg</v>
          </cell>
          <cell r="L2404" t="str">
            <v>25kg</v>
          </cell>
          <cell r="M2404" t="str">
            <v>袋</v>
          </cell>
          <cell r="N2404">
            <v>110.9</v>
          </cell>
          <cell r="O2404">
            <v>150</v>
          </cell>
          <cell r="P2404">
            <v>8.9430894308943104E-2</v>
          </cell>
        </row>
        <row r="2405">
          <cell r="F2405" t="str">
            <v>70368074</v>
          </cell>
          <cell r="G2405" t="str">
            <v>中粮粮谷</v>
          </cell>
          <cell r="H2405" t="str">
            <v>福临门</v>
          </cell>
          <cell r="I2405" t="str">
            <v>家庭食品</v>
          </cell>
          <cell r="J2405" t="str">
            <v>粮</v>
          </cell>
          <cell r="K2405" t="str">
            <v>福临门丝苗米25kg</v>
          </cell>
          <cell r="L2405" t="str">
            <v>25kg</v>
          </cell>
          <cell r="M2405" t="str">
            <v>袋</v>
          </cell>
          <cell r="N2405">
            <v>126.25</v>
          </cell>
          <cell r="O2405">
            <v>148</v>
          </cell>
          <cell r="P2405">
            <v>0.13851351351351401</v>
          </cell>
        </row>
        <row r="2406">
          <cell r="F2406" t="str">
            <v>70471292</v>
          </cell>
          <cell r="G2406" t="str">
            <v>中粮粮谷</v>
          </cell>
          <cell r="H2406" t="str">
            <v>KINgFOOD</v>
          </cell>
          <cell r="I2406" t="str">
            <v>家庭食品</v>
          </cell>
          <cell r="J2406" t="str">
            <v>粮</v>
          </cell>
          <cell r="K2406" t="str">
            <v>KINgFOOD世界大米（东南亚系列）礼盒1kg*4（六面真空）</v>
          </cell>
          <cell r="L2406" t="str">
            <v>4kg</v>
          </cell>
          <cell r="M2406" t="str">
            <v>袋</v>
          </cell>
          <cell r="N2406">
            <v>98.98</v>
          </cell>
          <cell r="O2406">
            <v>128</v>
          </cell>
          <cell r="P2406">
            <v>0.21906249999999999</v>
          </cell>
        </row>
        <row r="2407">
          <cell r="F2407" t="str">
            <v>70290547</v>
          </cell>
          <cell r="G2407" t="str">
            <v>中粮粮谷</v>
          </cell>
          <cell r="H2407" t="str">
            <v>福临门</v>
          </cell>
          <cell r="I2407" t="str">
            <v>家庭食品</v>
          </cell>
          <cell r="J2407" t="str">
            <v>粮</v>
          </cell>
          <cell r="K2407" t="str">
            <v>福临门秋田小町10kg</v>
          </cell>
          <cell r="L2407" t="str">
            <v>10kg</v>
          </cell>
          <cell r="M2407" t="str">
            <v>袋</v>
          </cell>
          <cell r="N2407">
            <v>72.22</v>
          </cell>
          <cell r="O2407">
            <v>114.9</v>
          </cell>
          <cell r="P2407">
            <v>0.36527415143603098</v>
          </cell>
        </row>
        <row r="2408">
          <cell r="F2408" t="str">
            <v>70381855</v>
          </cell>
          <cell r="G2408" t="str">
            <v>中粮粮谷</v>
          </cell>
          <cell r="H2408" t="str">
            <v>皇家粮仓</v>
          </cell>
          <cell r="I2408" t="str">
            <v>家庭食品</v>
          </cell>
          <cell r="J2408" t="str">
            <v>粮</v>
          </cell>
          <cell r="K2408" t="str">
            <v>皇家粮仓悦享丝苗米25kg</v>
          </cell>
          <cell r="L2408" t="str">
            <v>25kg</v>
          </cell>
          <cell r="M2408" t="str">
            <v>袋</v>
          </cell>
          <cell r="N2408">
            <v>116.15</v>
          </cell>
          <cell r="O2408">
            <v>140</v>
          </cell>
          <cell r="P2408">
            <v>0.16214285714285701</v>
          </cell>
        </row>
        <row r="2409">
          <cell r="F2409" t="str">
            <v>70068747</v>
          </cell>
          <cell r="G2409" t="str">
            <v>中粮粮谷</v>
          </cell>
          <cell r="H2409" t="str">
            <v>福临门</v>
          </cell>
          <cell r="I2409" t="str">
            <v>家庭食品</v>
          </cell>
          <cell r="J2409" t="str">
            <v>粮</v>
          </cell>
          <cell r="K2409" t="str">
            <v>福临门自然香黑龙江长粒香米5kg（六面真空双层）</v>
          </cell>
          <cell r="L2409" t="str">
            <v>5kg</v>
          </cell>
          <cell r="M2409" t="str">
            <v>袋</v>
          </cell>
          <cell r="N2409">
            <v>43.13</v>
          </cell>
          <cell r="O2409">
            <v>54.9</v>
          </cell>
          <cell r="P2409">
            <v>0.20673952641165799</v>
          </cell>
        </row>
        <row r="2410">
          <cell r="F2410" t="str">
            <v>70260850</v>
          </cell>
          <cell r="G2410" t="str">
            <v>中粮粮谷</v>
          </cell>
          <cell r="H2410" t="str">
            <v>香雪</v>
          </cell>
          <cell r="I2410" t="str">
            <v>家庭食品</v>
          </cell>
          <cell r="J2410" t="str">
            <v>粮</v>
          </cell>
          <cell r="K2410" t="str">
            <v>香雪麦纯家常面1kg</v>
          </cell>
          <cell r="L2410" t="str">
            <v>1kg</v>
          </cell>
          <cell r="M2410" t="str">
            <v>袋</v>
          </cell>
          <cell r="N2410">
            <v>7.58</v>
          </cell>
          <cell r="O2410">
            <v>9.9</v>
          </cell>
          <cell r="P2410">
            <v>0.22727272727272699</v>
          </cell>
        </row>
        <row r="2411">
          <cell r="F2411" t="str">
            <v>70452800</v>
          </cell>
          <cell r="G2411" t="str">
            <v>中粮粮谷</v>
          </cell>
          <cell r="H2411" t="str">
            <v>五湖</v>
          </cell>
          <cell r="I2411" t="str">
            <v>家庭食品</v>
          </cell>
          <cell r="J2411" t="str">
            <v>粮</v>
          </cell>
          <cell r="K2411" t="str">
            <v>中粮粮谷五湖优选珍珠米5kg</v>
          </cell>
          <cell r="L2411" t="str">
            <v>5kg</v>
          </cell>
          <cell r="M2411" t="str">
            <v>袋</v>
          </cell>
          <cell r="N2411">
            <v>33.33</v>
          </cell>
          <cell r="O2411">
            <v>45.9</v>
          </cell>
          <cell r="P2411">
            <v>0.266666666666667</v>
          </cell>
        </row>
        <row r="2412">
          <cell r="F2412" t="str">
            <v>70262028</v>
          </cell>
          <cell r="G2412" t="str">
            <v>中粮粮谷</v>
          </cell>
          <cell r="H2412" t="str">
            <v>香雪</v>
          </cell>
          <cell r="I2412" t="str">
            <v>家庭食品</v>
          </cell>
          <cell r="J2412" t="str">
            <v>粮</v>
          </cell>
          <cell r="K2412" t="str">
            <v>香雪金麦芯劲弹拉面800g</v>
          </cell>
          <cell r="L2412" t="str">
            <v>0.8kg</v>
          </cell>
          <cell r="M2412" t="str">
            <v>袋</v>
          </cell>
          <cell r="N2412">
            <v>10.61</v>
          </cell>
          <cell r="O2412">
            <v>12.8</v>
          </cell>
          <cell r="P2412">
            <v>0.16328124999999999</v>
          </cell>
        </row>
        <row r="2413">
          <cell r="F2413" t="str">
            <v>70452801</v>
          </cell>
          <cell r="G2413" t="str">
            <v>中粮粮谷</v>
          </cell>
          <cell r="H2413" t="str">
            <v>五湖</v>
          </cell>
          <cell r="I2413" t="str">
            <v>家庭食品</v>
          </cell>
          <cell r="J2413" t="str">
            <v>粮</v>
          </cell>
          <cell r="K2413" t="str">
            <v>中粮粮谷五湖优选丝苗米5kg</v>
          </cell>
          <cell r="L2413" t="str">
            <v>5kg</v>
          </cell>
          <cell r="M2413" t="str">
            <v>袋</v>
          </cell>
          <cell r="N2413">
            <v>34.340000000000003</v>
          </cell>
          <cell r="O2413">
            <v>49.9</v>
          </cell>
          <cell r="P2413">
            <v>0.30501002004007999</v>
          </cell>
        </row>
        <row r="2414">
          <cell r="F2414" t="str">
            <v>70452802</v>
          </cell>
          <cell r="G2414" t="str">
            <v>中粮粮谷</v>
          </cell>
          <cell r="H2414" t="str">
            <v>五湖</v>
          </cell>
          <cell r="I2414" t="str">
            <v>家庭食品</v>
          </cell>
          <cell r="J2414" t="str">
            <v>粮</v>
          </cell>
          <cell r="K2414" t="str">
            <v>中粮粮谷五湖尊选东北长粒香5kg</v>
          </cell>
          <cell r="L2414" t="str">
            <v>5kg</v>
          </cell>
          <cell r="M2414" t="str">
            <v>袋</v>
          </cell>
          <cell r="N2414">
            <v>37.07</v>
          </cell>
          <cell r="O2414">
            <v>49.9</v>
          </cell>
          <cell r="P2414">
            <v>0.249899799599198</v>
          </cell>
        </row>
        <row r="2415">
          <cell r="F2415" t="str">
            <v>70452803</v>
          </cell>
          <cell r="G2415" t="str">
            <v>中粮粮谷</v>
          </cell>
          <cell r="H2415" t="str">
            <v>五湖</v>
          </cell>
          <cell r="I2415" t="str">
            <v>家庭食品</v>
          </cell>
          <cell r="J2415" t="str">
            <v>粮</v>
          </cell>
          <cell r="K2415" t="str">
            <v>中粮粮谷五湖精选油粘米5kg</v>
          </cell>
          <cell r="L2415" t="str">
            <v>5kg</v>
          </cell>
          <cell r="M2415" t="str">
            <v>袋</v>
          </cell>
          <cell r="N2415">
            <v>36.26</v>
          </cell>
          <cell r="O2415">
            <v>45.9</v>
          </cell>
          <cell r="P2415">
            <v>0.202178649237473</v>
          </cell>
        </row>
        <row r="2416">
          <cell r="F2416" t="str">
            <v>70282876</v>
          </cell>
          <cell r="G2416" t="str">
            <v>中粮粮谷</v>
          </cell>
          <cell r="H2416" t="str">
            <v>福临门</v>
          </cell>
          <cell r="I2416" t="str">
            <v>家庭食品</v>
          </cell>
          <cell r="J2416" t="str">
            <v>粮</v>
          </cell>
          <cell r="K2416" t="str">
            <v>福临门家宴小麦粉5kg</v>
          </cell>
          <cell r="L2416" t="str">
            <v>5kg</v>
          </cell>
          <cell r="M2416" t="str">
            <v>袋</v>
          </cell>
          <cell r="N2416">
            <v>19.09</v>
          </cell>
          <cell r="O2416">
            <v>28.9</v>
          </cell>
          <cell r="P2416">
            <v>0.33287197231833898</v>
          </cell>
        </row>
        <row r="2417">
          <cell r="F2417" t="str">
            <v>70486296</v>
          </cell>
          <cell r="G2417" t="str">
            <v>中粮粮谷</v>
          </cell>
          <cell r="H2417" t="str">
            <v>福临门</v>
          </cell>
          <cell r="I2417" t="str">
            <v>家庭食品</v>
          </cell>
          <cell r="J2417" t="str">
            <v>粮</v>
          </cell>
          <cell r="K2417" t="str">
            <v>福临门自然香五常香米0.3kg</v>
          </cell>
          <cell r="L2417" t="str">
            <v>0.3kg</v>
          </cell>
          <cell r="M2417" t="str">
            <v>袋</v>
          </cell>
          <cell r="N2417">
            <v>4.41</v>
          </cell>
          <cell r="O2417">
            <v>6.1</v>
          </cell>
          <cell r="P2417">
            <v>0.26885245901639299</v>
          </cell>
        </row>
        <row r="2418">
          <cell r="F2418" t="str">
            <v>70486300</v>
          </cell>
          <cell r="G2418" t="str">
            <v>中粮粮谷</v>
          </cell>
          <cell r="H2418" t="str">
            <v>KINgFOOD</v>
          </cell>
          <cell r="I2418" t="str">
            <v>家庭食品</v>
          </cell>
          <cell r="J2418" t="str">
            <v>粮</v>
          </cell>
          <cell r="K2418" t="str">
            <v>KINgFODD尊品清莲香米（PP）10kg</v>
          </cell>
          <cell r="L2418" t="str">
            <v>10kg</v>
          </cell>
          <cell r="M2418" t="str">
            <v>袋</v>
          </cell>
          <cell r="N2418">
            <v>75.8</v>
          </cell>
          <cell r="O2418">
            <v>95.9</v>
          </cell>
          <cell r="P2418">
            <v>0.20177267987486999</v>
          </cell>
        </row>
        <row r="2419">
          <cell r="F2419" t="str">
            <v>70300534</v>
          </cell>
          <cell r="G2419" t="str">
            <v>中粮粮谷</v>
          </cell>
          <cell r="H2419" t="str">
            <v>福临门</v>
          </cell>
          <cell r="I2419" t="str">
            <v>家庭食品</v>
          </cell>
          <cell r="J2419" t="str">
            <v>粮</v>
          </cell>
          <cell r="K2419" t="str">
            <v>福临门妙惠家劲爽挂面塑包（方2.0）0.5kg</v>
          </cell>
          <cell r="L2419" t="str">
            <v>0.5kg</v>
          </cell>
          <cell r="M2419" t="str">
            <v>袋</v>
          </cell>
          <cell r="N2419">
            <v>4.41</v>
          </cell>
          <cell r="O2419">
            <v>5.5</v>
          </cell>
          <cell r="P2419">
            <v>0.189090909090909</v>
          </cell>
        </row>
        <row r="2420">
          <cell r="F2420" t="str">
            <v>70483031</v>
          </cell>
          <cell r="G2420" t="str">
            <v>中粮粮谷</v>
          </cell>
          <cell r="H2420" t="str">
            <v>五湖</v>
          </cell>
          <cell r="I2420" t="str">
            <v>家庭食品</v>
          </cell>
          <cell r="J2420" t="str">
            <v>粮</v>
          </cell>
          <cell r="K2420" t="str">
            <v>五湖优选东北大米（二十四节气）5kg（两面真空）</v>
          </cell>
          <cell r="L2420" t="str">
            <v>5kg</v>
          </cell>
          <cell r="M2420" t="str">
            <v>袋</v>
          </cell>
          <cell r="N2420">
            <v>35.03</v>
          </cell>
          <cell r="O2420">
            <v>42</v>
          </cell>
          <cell r="P2420">
            <v>0.157857142857143</v>
          </cell>
        </row>
        <row r="2421">
          <cell r="F2421" t="str">
            <v>70217451</v>
          </cell>
          <cell r="G2421" t="str">
            <v>中粮粮谷</v>
          </cell>
          <cell r="H2421" t="str">
            <v>福临门</v>
          </cell>
          <cell r="I2421" t="str">
            <v>家庭食品</v>
          </cell>
          <cell r="J2421" t="str">
            <v>粮</v>
          </cell>
          <cell r="K2421" t="str">
            <v>福临门京山桥米5kg</v>
          </cell>
          <cell r="L2421" t="str">
            <v>5kg</v>
          </cell>
          <cell r="M2421" t="str">
            <v>袋</v>
          </cell>
          <cell r="N2421">
            <v>47.98</v>
          </cell>
          <cell r="O2421">
            <v>69.900000000000006</v>
          </cell>
          <cell r="P2421">
            <v>0.3068669527897</v>
          </cell>
        </row>
        <row r="2422">
          <cell r="F2422" t="str">
            <v>70288476</v>
          </cell>
          <cell r="G2422" t="str">
            <v>中粮粮谷</v>
          </cell>
          <cell r="H2422" t="str">
            <v>福临门</v>
          </cell>
          <cell r="I2422" t="str">
            <v>家庭食品</v>
          </cell>
          <cell r="J2422" t="str">
            <v>粮</v>
          </cell>
          <cell r="K2422" t="str">
            <v>福临门自然香吉林小町香米5kg</v>
          </cell>
          <cell r="L2422" t="str">
            <v>5kg</v>
          </cell>
          <cell r="M2422" t="str">
            <v>袋</v>
          </cell>
          <cell r="N2422">
            <v>50.5</v>
          </cell>
          <cell r="O2422">
            <v>69.900000000000006</v>
          </cell>
          <cell r="P2422">
            <v>0.27038626609442101</v>
          </cell>
        </row>
        <row r="2423">
          <cell r="F2423" t="str">
            <v>70381860</v>
          </cell>
          <cell r="G2423" t="str">
            <v>中粮粮谷</v>
          </cell>
          <cell r="H2423" t="str">
            <v>福临门</v>
          </cell>
          <cell r="I2423" t="str">
            <v>家庭食品</v>
          </cell>
          <cell r="J2423" t="str">
            <v>粮</v>
          </cell>
          <cell r="K2423" t="str">
            <v>福临门自然香五常大米（稻花香2号）5kg</v>
          </cell>
          <cell r="L2423" t="str">
            <v>5kg</v>
          </cell>
          <cell r="M2423" t="str">
            <v>袋</v>
          </cell>
          <cell r="N2423">
            <v>116.15</v>
          </cell>
          <cell r="O2423">
            <v>149</v>
          </cell>
          <cell r="P2423">
            <v>0.212751677852349</v>
          </cell>
        </row>
        <row r="2424">
          <cell r="F2424" t="str">
            <v>70428342</v>
          </cell>
          <cell r="G2424" t="str">
            <v>中粮粮谷</v>
          </cell>
          <cell r="H2424" t="str">
            <v>福临门</v>
          </cell>
          <cell r="I2424" t="str">
            <v>家庭食品</v>
          </cell>
          <cell r="J2424" t="str">
            <v>粮</v>
          </cell>
          <cell r="K2424" t="str">
            <v>中粮粮谷福临门原香小农粘5kg</v>
          </cell>
          <cell r="L2424" t="str">
            <v>5kg</v>
          </cell>
          <cell r="M2424" t="str">
            <v>袋</v>
          </cell>
          <cell r="N2424">
            <v>50.5</v>
          </cell>
          <cell r="O2424">
            <v>69.900000000000006</v>
          </cell>
          <cell r="P2424">
            <v>0.27038626609442101</v>
          </cell>
        </row>
        <row r="2425">
          <cell r="F2425" t="str">
            <v>70452799</v>
          </cell>
          <cell r="G2425" t="str">
            <v>中粮粮谷</v>
          </cell>
          <cell r="H2425" t="str">
            <v>福临门</v>
          </cell>
          <cell r="I2425" t="str">
            <v>家庭食品</v>
          </cell>
          <cell r="J2425" t="str">
            <v>粮</v>
          </cell>
          <cell r="K2425" t="str">
            <v>中粮粮谷福临门原香小农粘10kg</v>
          </cell>
          <cell r="L2425" t="str">
            <v>10kg</v>
          </cell>
          <cell r="M2425" t="str">
            <v>袋</v>
          </cell>
          <cell r="N2425">
            <v>86.86</v>
          </cell>
          <cell r="O2425">
            <v>129</v>
          </cell>
          <cell r="P2425">
            <v>0.32</v>
          </cell>
        </row>
        <row r="2426">
          <cell r="F2426" t="str">
            <v>70381862</v>
          </cell>
          <cell r="G2426" t="str">
            <v>中粮粮谷</v>
          </cell>
          <cell r="H2426" t="str">
            <v>福临门</v>
          </cell>
          <cell r="I2426" t="str">
            <v>家庭食品</v>
          </cell>
          <cell r="J2426" t="str">
            <v>粮</v>
          </cell>
          <cell r="K2426" t="str">
            <v>福临门自然香福临门稻花香米®5kg</v>
          </cell>
          <cell r="L2426" t="str">
            <v>5kg</v>
          </cell>
          <cell r="M2426" t="str">
            <v>袋</v>
          </cell>
          <cell r="N2426">
            <v>60.7</v>
          </cell>
          <cell r="O2426">
            <v>79.900000000000006</v>
          </cell>
          <cell r="P2426">
            <v>0.23279098873592</v>
          </cell>
        </row>
        <row r="2427">
          <cell r="F2427" t="str">
            <v>70574899</v>
          </cell>
          <cell r="G2427" t="str">
            <v>中粮粮谷</v>
          </cell>
          <cell r="H2427" t="str">
            <v>福临门</v>
          </cell>
          <cell r="I2427" t="str">
            <v>家庭食品</v>
          </cell>
          <cell r="J2427" t="str">
            <v>粮</v>
          </cell>
          <cell r="K2427" t="str">
            <v>福临门自然香黑龙江长粒香米（焕新装）0.3kg</v>
          </cell>
          <cell r="L2427" t="str">
            <v>0.3kg</v>
          </cell>
          <cell r="M2427" t="str">
            <v>袋</v>
          </cell>
          <cell r="N2427">
            <v>3.64</v>
          </cell>
          <cell r="O2427">
            <v>6.3</v>
          </cell>
          <cell r="P2427">
            <v>0.41746031746031698</v>
          </cell>
        </row>
        <row r="2428">
          <cell r="F2428" t="str">
            <v>70574920</v>
          </cell>
          <cell r="G2428" t="str">
            <v>中粮粮谷</v>
          </cell>
          <cell r="H2428" t="str">
            <v>福临门</v>
          </cell>
          <cell r="I2428" t="str">
            <v>家庭食品</v>
          </cell>
          <cell r="J2428" t="str">
            <v>粮</v>
          </cell>
          <cell r="K2428" t="str">
            <v>福临门自然香黑龙江长粒香米（焕新装）0.5kg</v>
          </cell>
          <cell r="L2428" t="str">
            <v>0.5kg</v>
          </cell>
          <cell r="M2428" t="str">
            <v>袋</v>
          </cell>
          <cell r="N2428">
            <v>5.56</v>
          </cell>
          <cell r="O2428">
            <v>9.9</v>
          </cell>
          <cell r="P2428">
            <v>0.43333333333333302</v>
          </cell>
        </row>
        <row r="2429">
          <cell r="F2429" t="str">
            <v>70574918</v>
          </cell>
          <cell r="G2429" t="str">
            <v>中粮粮谷</v>
          </cell>
          <cell r="H2429" t="str">
            <v>福临门</v>
          </cell>
          <cell r="I2429" t="str">
            <v>家庭食品</v>
          </cell>
          <cell r="J2429" t="str">
            <v>粮</v>
          </cell>
          <cell r="K2429" t="str">
            <v>福临门自然香五常香米（焕新装）0.5kg</v>
          </cell>
          <cell r="L2429" t="str">
            <v>0.5kg</v>
          </cell>
          <cell r="M2429" t="str">
            <v>袋</v>
          </cell>
          <cell r="N2429">
            <v>6.57</v>
          </cell>
          <cell r="O2429">
            <v>9.9</v>
          </cell>
          <cell r="P2429">
            <v>0.33030303030302999</v>
          </cell>
        </row>
        <row r="2430">
          <cell r="F2430" t="str">
            <v>70574917</v>
          </cell>
          <cell r="G2430" t="str">
            <v>中粮粮谷</v>
          </cell>
          <cell r="H2430" t="str">
            <v>福临门</v>
          </cell>
          <cell r="I2430" t="str">
            <v>家庭食品</v>
          </cell>
          <cell r="J2430" t="str">
            <v>粮</v>
          </cell>
          <cell r="K2430" t="str">
            <v>福临门新疆雪花小麦粉1kg</v>
          </cell>
          <cell r="L2430" t="str">
            <v>1kg</v>
          </cell>
          <cell r="M2430" t="str">
            <v>袋</v>
          </cell>
          <cell r="N2430">
            <v>8.59</v>
          </cell>
          <cell r="O2430">
            <v>10.9</v>
          </cell>
          <cell r="P2430">
            <v>0.20458715596330301</v>
          </cell>
        </row>
        <row r="2431">
          <cell r="F2431" t="str">
            <v>70565994</v>
          </cell>
          <cell r="G2431" t="str">
            <v>中粮粮谷</v>
          </cell>
          <cell r="H2431" t="str">
            <v>福临门</v>
          </cell>
          <cell r="I2431" t="str">
            <v>家庭食品</v>
          </cell>
          <cell r="J2431" t="str">
            <v>粮</v>
          </cell>
          <cell r="K2431" t="str">
            <v>福临门宽细圆系列宽挂面（方3.0）0.8kg</v>
          </cell>
          <cell r="L2431" t="str">
            <v>0.8kg</v>
          </cell>
          <cell r="M2431" t="str">
            <v>袋</v>
          </cell>
          <cell r="N2431">
            <v>6.46</v>
          </cell>
          <cell r="O2431">
            <v>7.9</v>
          </cell>
          <cell r="P2431">
            <v>0.17341772151898699</v>
          </cell>
        </row>
        <row r="2432">
          <cell r="F2432" t="str">
            <v>70565997</v>
          </cell>
          <cell r="G2432" t="str">
            <v>中粮粮谷</v>
          </cell>
          <cell r="H2432" t="str">
            <v>福临门</v>
          </cell>
          <cell r="I2432" t="str">
            <v>家庭食品</v>
          </cell>
          <cell r="J2432" t="str">
            <v>粮</v>
          </cell>
          <cell r="K2432" t="str">
            <v>福临门宽细圆系列细挂面（方2.0）0.8kg</v>
          </cell>
          <cell r="L2432" t="str">
            <v>0.8kg</v>
          </cell>
          <cell r="M2432" t="str">
            <v>袋</v>
          </cell>
          <cell r="N2432">
            <v>6.46</v>
          </cell>
          <cell r="O2432">
            <v>7.9</v>
          </cell>
          <cell r="P2432">
            <v>0.17341772151898699</v>
          </cell>
        </row>
        <row r="2433">
          <cell r="F2433" t="str">
            <v>70565998</v>
          </cell>
          <cell r="G2433" t="str">
            <v>中粮粮谷</v>
          </cell>
          <cell r="H2433" t="str">
            <v>福临门</v>
          </cell>
          <cell r="I2433" t="str">
            <v>家庭食品</v>
          </cell>
          <cell r="J2433" t="str">
            <v>粮</v>
          </cell>
          <cell r="K2433" t="str">
            <v>福临门宽细圆系列圆挂面（圆1.25）0.8kg</v>
          </cell>
          <cell r="L2433" t="str">
            <v>0.8kg</v>
          </cell>
          <cell r="M2433" t="str">
            <v>袋</v>
          </cell>
          <cell r="N2433">
            <v>6.46</v>
          </cell>
          <cell r="O2433">
            <v>7.9</v>
          </cell>
          <cell r="P2433">
            <v>0.17341772151898699</v>
          </cell>
        </row>
        <row r="2434">
          <cell r="F2434" t="str">
            <v>70262435</v>
          </cell>
          <cell r="G2434" t="str">
            <v>中粮粮谷</v>
          </cell>
          <cell r="H2434" t="str">
            <v>福临门</v>
          </cell>
          <cell r="I2434" t="str">
            <v>家庭食品</v>
          </cell>
          <cell r="J2434" t="str">
            <v>粮</v>
          </cell>
          <cell r="K2434" t="str">
            <v>福临门优质产区京山桥米10kg</v>
          </cell>
          <cell r="L2434" t="str">
            <v>10kg</v>
          </cell>
          <cell r="M2434" t="str">
            <v>袋</v>
          </cell>
          <cell r="N2434">
            <v>86.36</v>
          </cell>
          <cell r="O2434">
            <v>129</v>
          </cell>
          <cell r="P2434">
            <v>0.32395348837209298</v>
          </cell>
        </row>
        <row r="2435">
          <cell r="F2435" t="str">
            <v>70574901</v>
          </cell>
          <cell r="G2435" t="str">
            <v>中粮粮谷</v>
          </cell>
          <cell r="H2435" t="str">
            <v>福临门</v>
          </cell>
          <cell r="I2435" t="str">
            <v>家庭食品</v>
          </cell>
          <cell r="J2435" t="str">
            <v>粮</v>
          </cell>
          <cell r="K2435" t="str">
            <v>福临门 优质产区岭南小农粘 15kg</v>
          </cell>
          <cell r="L2435" t="str">
            <v>15kg</v>
          </cell>
          <cell r="M2435" t="str">
            <v>袋</v>
          </cell>
          <cell r="N2435">
            <v>122.21</v>
          </cell>
          <cell r="O2435">
            <v>187.5</v>
          </cell>
          <cell r="P2435">
            <v>0.34176000000000001</v>
          </cell>
        </row>
        <row r="2436">
          <cell r="F2436" t="str">
            <v>70314569</v>
          </cell>
          <cell r="G2436" t="str">
            <v>中粮粮谷</v>
          </cell>
          <cell r="H2436" t="str">
            <v>五湖</v>
          </cell>
          <cell r="I2436" t="str">
            <v>家庭食品</v>
          </cell>
          <cell r="J2436" t="str">
            <v>粮</v>
          </cell>
          <cell r="K2436" t="str">
            <v>中粮五湖柬埔寨茉莉香米5kg</v>
          </cell>
          <cell r="L2436" t="str">
            <v>5kg</v>
          </cell>
          <cell r="M2436" t="str">
            <v>袋</v>
          </cell>
          <cell r="N2436">
            <v>42.42</v>
          </cell>
          <cell r="O2436">
            <v>51.9</v>
          </cell>
          <cell r="P2436">
            <v>0.174566473988439</v>
          </cell>
        </row>
        <row r="2437">
          <cell r="F2437" t="str">
            <v>70002961</v>
          </cell>
          <cell r="G2437" t="str">
            <v>百事可乐</v>
          </cell>
          <cell r="H2437" t="str">
            <v>百事</v>
          </cell>
          <cell r="I2437" t="str">
            <v>包装饮料</v>
          </cell>
          <cell r="J2437" t="str">
            <v>汽水</v>
          </cell>
          <cell r="K2437" t="str">
            <v>百事可乐原味 Pet500mL</v>
          </cell>
          <cell r="L2437" t="str">
            <v>500mL</v>
          </cell>
          <cell r="M2437" t="str">
            <v>瓶</v>
          </cell>
          <cell r="N2437">
            <v>2.4700000000000002</v>
          </cell>
          <cell r="O2437">
            <v>3.6</v>
          </cell>
          <cell r="P2437">
            <v>0.30555555555555602</v>
          </cell>
        </row>
        <row r="2438">
          <cell r="F2438" t="str">
            <v>70461870</v>
          </cell>
          <cell r="G2438" t="str">
            <v>百事可乐</v>
          </cell>
          <cell r="H2438" t="str">
            <v>美年达</v>
          </cell>
          <cell r="I2438" t="str">
            <v>包装饮料</v>
          </cell>
          <cell r="J2438" t="str">
            <v>汽水</v>
          </cell>
          <cell r="K2438" t="str">
            <v>百事可乐 美年达橙味 Pet500mL</v>
          </cell>
          <cell r="L2438" t="str">
            <v>500mL</v>
          </cell>
          <cell r="M2438" t="str">
            <v>瓶</v>
          </cell>
          <cell r="N2438">
            <v>2.4700000000000002</v>
          </cell>
          <cell r="O2438">
            <v>3.6</v>
          </cell>
          <cell r="P2438">
            <v>0.30555555555555602</v>
          </cell>
        </row>
        <row r="2439">
          <cell r="F2439" t="str">
            <v>70023516</v>
          </cell>
          <cell r="G2439" t="str">
            <v>百事可乐</v>
          </cell>
          <cell r="H2439" t="str">
            <v>百事</v>
          </cell>
          <cell r="I2439" t="str">
            <v>包装饮料</v>
          </cell>
          <cell r="J2439" t="str">
            <v>汽水</v>
          </cell>
          <cell r="K2439" t="str">
            <v>百事可乐原味 can330mL</v>
          </cell>
          <cell r="L2439" t="str">
            <v>can330mL</v>
          </cell>
          <cell r="M2439" t="str">
            <v>瓶</v>
          </cell>
          <cell r="N2439">
            <v>1.72</v>
          </cell>
          <cell r="O2439">
            <v>2.2000000000000002</v>
          </cell>
          <cell r="P2439">
            <v>0.21363636363636401</v>
          </cell>
        </row>
        <row r="2440">
          <cell r="F2440" t="str">
            <v>70047140</v>
          </cell>
          <cell r="G2440" t="str">
            <v>百事可乐</v>
          </cell>
          <cell r="H2440" t="str">
            <v>七喜</v>
          </cell>
          <cell r="I2440" t="str">
            <v>包装饮料</v>
          </cell>
          <cell r="J2440" t="str">
            <v>汽水</v>
          </cell>
          <cell r="K2440" t="str">
            <v>百事可乐 七喜（柠檬味汽水） 2L</v>
          </cell>
          <cell r="L2440" t="str">
            <v>2L</v>
          </cell>
          <cell r="M2440" t="str">
            <v>瓶</v>
          </cell>
          <cell r="N2440">
            <v>5.61</v>
          </cell>
          <cell r="O2440">
            <v>8.1999999999999993</v>
          </cell>
          <cell r="P2440">
            <v>0.309756097560976</v>
          </cell>
        </row>
        <row r="2441">
          <cell r="F2441" t="str">
            <v>70047143</v>
          </cell>
          <cell r="G2441" t="str">
            <v>百事可乐</v>
          </cell>
          <cell r="H2441" t="str">
            <v>美年达</v>
          </cell>
          <cell r="I2441" t="str">
            <v>包装饮料</v>
          </cell>
          <cell r="J2441" t="str">
            <v>汽水</v>
          </cell>
          <cell r="K2441" t="str">
            <v>百事可乐 美年达橙子味 can330mL</v>
          </cell>
          <cell r="L2441" t="str">
            <v>can330mL</v>
          </cell>
          <cell r="M2441" t="str">
            <v>瓶</v>
          </cell>
          <cell r="N2441">
            <v>1.72</v>
          </cell>
          <cell r="O2441">
            <v>2.2000000000000002</v>
          </cell>
          <cell r="P2441">
            <v>0.21363636363636401</v>
          </cell>
        </row>
        <row r="2442">
          <cell r="F2442" t="str">
            <v>70100337</v>
          </cell>
          <cell r="G2442" t="str">
            <v>百事可乐</v>
          </cell>
          <cell r="H2442" t="str">
            <v>美年达</v>
          </cell>
          <cell r="I2442" t="str">
            <v>包装饮料</v>
          </cell>
          <cell r="J2442" t="str">
            <v>汽水</v>
          </cell>
          <cell r="K2442" t="str">
            <v>百事可乐 美年达橙味 2L</v>
          </cell>
          <cell r="L2442" t="str">
            <v>2L</v>
          </cell>
          <cell r="M2442" t="str">
            <v>提</v>
          </cell>
          <cell r="N2442">
            <v>5.61</v>
          </cell>
          <cell r="O2442">
            <v>8.1999999999999993</v>
          </cell>
          <cell r="P2442">
            <v>0.309756097560976</v>
          </cell>
        </row>
        <row r="2443">
          <cell r="F2443" t="str">
            <v>70116730</v>
          </cell>
          <cell r="G2443" t="str">
            <v>百事可乐</v>
          </cell>
          <cell r="H2443" t="str">
            <v>七喜</v>
          </cell>
          <cell r="I2443" t="str">
            <v>包装饮料</v>
          </cell>
          <cell r="J2443" t="str">
            <v>汽水</v>
          </cell>
          <cell r="K2443" t="str">
            <v>百事可乐 七喜柠檬味汽水 can330mL</v>
          </cell>
          <cell r="L2443" t="str">
            <v>can330mL</v>
          </cell>
          <cell r="M2443" t="str">
            <v>提</v>
          </cell>
          <cell r="N2443">
            <v>1.72</v>
          </cell>
          <cell r="O2443">
            <v>2.2000000000000002</v>
          </cell>
          <cell r="P2443">
            <v>0.21363636363636401</v>
          </cell>
        </row>
        <row r="2444">
          <cell r="F2444" t="str">
            <v>70168822</v>
          </cell>
          <cell r="G2444" t="str">
            <v>百事可乐</v>
          </cell>
          <cell r="H2444" t="str">
            <v>七喜</v>
          </cell>
          <cell r="I2444" t="str">
            <v>包装饮料</v>
          </cell>
          <cell r="J2444" t="str">
            <v>汽水</v>
          </cell>
          <cell r="K2444" t="str">
            <v>百事可乐七喜柠檬味 汽水 500mL+50mL</v>
          </cell>
          <cell r="L2444" t="str">
            <v>500mL</v>
          </cell>
          <cell r="M2444" t="str">
            <v>提</v>
          </cell>
          <cell r="N2444">
            <v>2.4700000000000002</v>
          </cell>
          <cell r="O2444">
            <v>3.6</v>
          </cell>
          <cell r="P2444">
            <v>0.30555555555555602</v>
          </cell>
        </row>
        <row r="2445">
          <cell r="F2445" t="str">
            <v>70271247</v>
          </cell>
          <cell r="G2445" t="str">
            <v>百事可乐</v>
          </cell>
          <cell r="H2445" t="str">
            <v>七喜</v>
          </cell>
          <cell r="I2445" t="str">
            <v>包装饮料</v>
          </cell>
          <cell r="J2445" t="str">
            <v>汽水</v>
          </cell>
          <cell r="K2445" t="str">
            <v>百事可乐  七喜柠檬味PET300mL</v>
          </cell>
          <cell r="L2445" t="str">
            <v>pet300mL</v>
          </cell>
          <cell r="M2445" t="str">
            <v>瓶</v>
          </cell>
          <cell r="N2445">
            <v>1.48</v>
          </cell>
          <cell r="O2445">
            <v>2.1</v>
          </cell>
          <cell r="P2445">
            <v>0.28571428571428598</v>
          </cell>
        </row>
        <row r="2446">
          <cell r="F2446" t="str">
            <v>70271248</v>
          </cell>
          <cell r="G2446" t="str">
            <v>百事可乐</v>
          </cell>
          <cell r="H2446" t="str">
            <v>美年达</v>
          </cell>
          <cell r="I2446" t="str">
            <v>包装饮料</v>
          </cell>
          <cell r="J2446" t="str">
            <v>汽水</v>
          </cell>
          <cell r="K2446" t="str">
            <v>百事可乐 美年达橙味PET 300mL</v>
          </cell>
          <cell r="L2446" t="str">
            <v>pet300mL</v>
          </cell>
          <cell r="M2446" t="str">
            <v>瓶</v>
          </cell>
          <cell r="N2446">
            <v>1.48</v>
          </cell>
          <cell r="O2446">
            <v>2.1</v>
          </cell>
          <cell r="P2446">
            <v>0.28571428571428598</v>
          </cell>
        </row>
        <row r="2447">
          <cell r="F2447" t="str">
            <v>70288840</v>
          </cell>
          <cell r="G2447" t="str">
            <v>百事可乐</v>
          </cell>
          <cell r="H2447" t="str">
            <v>百事</v>
          </cell>
          <cell r="I2447" t="str">
            <v>包装饮料</v>
          </cell>
          <cell r="J2447" t="str">
            <v>汽水</v>
          </cell>
          <cell r="K2447" t="str">
            <v>百事可乐原味 汽水 2L</v>
          </cell>
          <cell r="L2447" t="str">
            <v>2L</v>
          </cell>
          <cell r="M2447" t="str">
            <v>瓶</v>
          </cell>
          <cell r="N2447">
            <v>5.61</v>
          </cell>
          <cell r="O2447">
            <v>8.1999999999999993</v>
          </cell>
          <cell r="P2447">
            <v>0.309756097560976</v>
          </cell>
        </row>
        <row r="2448">
          <cell r="F2448" t="str">
            <v>70292152</v>
          </cell>
          <cell r="G2448" t="str">
            <v>百事可乐</v>
          </cell>
          <cell r="H2448" t="str">
            <v>百事</v>
          </cell>
          <cell r="I2448" t="str">
            <v>包装饮料</v>
          </cell>
          <cell r="J2448" t="str">
            <v>汽水</v>
          </cell>
          <cell r="K2448" t="str">
            <v>百事可乐无糖原味 Sleekcan330mL</v>
          </cell>
          <cell r="L2448" t="str">
            <v>sleek can330mL</v>
          </cell>
          <cell r="M2448" t="str">
            <v>瓶</v>
          </cell>
          <cell r="N2448">
            <v>2.2200000000000002</v>
          </cell>
          <cell r="O2448">
            <v>3.5</v>
          </cell>
          <cell r="P2448">
            <v>0.36</v>
          </cell>
        </row>
        <row r="2449">
          <cell r="F2449" t="str">
            <v>70292725</v>
          </cell>
          <cell r="G2449" t="str">
            <v>百事可乐</v>
          </cell>
          <cell r="H2449" t="str">
            <v>百事</v>
          </cell>
          <cell r="I2449" t="str">
            <v>包装饮料</v>
          </cell>
          <cell r="J2449" t="str">
            <v>汽水</v>
          </cell>
          <cell r="K2449" t="str">
            <v>百事可乐原味 Sleekcan330mL</v>
          </cell>
          <cell r="L2449" t="str">
            <v>330mL</v>
          </cell>
          <cell r="M2449" t="str">
            <v>瓶</v>
          </cell>
          <cell r="N2449">
            <v>2.2200000000000002</v>
          </cell>
          <cell r="O2449">
            <v>3.5</v>
          </cell>
          <cell r="P2449">
            <v>0.36</v>
          </cell>
        </row>
        <row r="2450">
          <cell r="F2450" t="str">
            <v>70313802</v>
          </cell>
          <cell r="G2450" t="str">
            <v>百事可乐</v>
          </cell>
          <cell r="H2450" t="str">
            <v>百事</v>
          </cell>
          <cell r="I2450" t="str">
            <v>包装饮料</v>
          </cell>
          <cell r="J2450" t="str">
            <v>汽水</v>
          </cell>
          <cell r="K2450" t="str">
            <v>百事可乐原味 PET300mL</v>
          </cell>
          <cell r="L2450" t="str">
            <v>pet300mL</v>
          </cell>
          <cell r="M2450" t="str">
            <v>瓶</v>
          </cell>
          <cell r="N2450">
            <v>1.48</v>
          </cell>
          <cell r="O2450">
            <v>2.1</v>
          </cell>
          <cell r="P2450">
            <v>0.28571428571428598</v>
          </cell>
        </row>
        <row r="2451">
          <cell r="F2451" t="str">
            <v>70404631</v>
          </cell>
          <cell r="G2451" t="str">
            <v>百事可乐</v>
          </cell>
          <cell r="H2451" t="str">
            <v>百事</v>
          </cell>
          <cell r="I2451" t="str">
            <v>包装饮料</v>
          </cell>
          <cell r="J2451" t="str">
            <v>汽水</v>
          </cell>
          <cell r="K2451" t="str">
            <v>百事可乐 无糖青柠味 sleekcan330mL</v>
          </cell>
          <cell r="L2451" t="str">
            <v>sleek can330mL</v>
          </cell>
          <cell r="M2451" t="str">
            <v>瓶</v>
          </cell>
          <cell r="N2451">
            <v>2.2200000000000002</v>
          </cell>
          <cell r="O2451">
            <v>3.5</v>
          </cell>
          <cell r="P2451">
            <v>0.36</v>
          </cell>
        </row>
        <row r="2452">
          <cell r="F2452" t="str">
            <v>70404650</v>
          </cell>
          <cell r="G2452" t="str">
            <v>百事可乐</v>
          </cell>
          <cell r="H2452" t="str">
            <v>太汽</v>
          </cell>
          <cell r="I2452" t="str">
            <v>包装饮料</v>
          </cell>
          <cell r="J2452" t="str">
            <v>汽水</v>
          </cell>
          <cell r="K2452" t="str">
            <v>百事太汽 白桃乌龙sleekcan330mL</v>
          </cell>
          <cell r="L2452" t="str">
            <v>sleek can330mL</v>
          </cell>
          <cell r="M2452" t="str">
            <v>瓶</v>
          </cell>
          <cell r="N2452">
            <v>2.3199999999999998</v>
          </cell>
          <cell r="O2452">
            <v>3.8</v>
          </cell>
          <cell r="P2452">
            <v>0.38157894736842102</v>
          </cell>
        </row>
        <row r="2453">
          <cell r="F2453" t="str">
            <v>70404740</v>
          </cell>
          <cell r="G2453" t="str">
            <v>百事可乐</v>
          </cell>
          <cell r="H2453" t="str">
            <v>美年达</v>
          </cell>
          <cell r="I2453" t="str">
            <v>包装饮料</v>
          </cell>
          <cell r="J2453" t="str">
            <v>汽水</v>
          </cell>
          <cell r="K2453" t="str">
            <v>百事可乐 美年达果汁气泡饮橙味 sleekcan330mL</v>
          </cell>
          <cell r="L2453" t="str">
            <v>sleek can330mL</v>
          </cell>
          <cell r="M2453" t="str">
            <v>罐</v>
          </cell>
          <cell r="N2453">
            <v>3.23</v>
          </cell>
          <cell r="O2453">
            <v>5.2</v>
          </cell>
          <cell r="P2453">
            <v>0.37307692307692297</v>
          </cell>
        </row>
        <row r="2454">
          <cell r="F2454" t="str">
            <v>70404763</v>
          </cell>
          <cell r="G2454" t="str">
            <v>百事可乐</v>
          </cell>
          <cell r="H2454" t="str">
            <v>百事</v>
          </cell>
          <cell r="I2454" t="str">
            <v>包装饮料</v>
          </cell>
          <cell r="J2454" t="str">
            <v>汽水</v>
          </cell>
          <cell r="K2454" t="str">
            <v>百事无糖青柠500mL</v>
          </cell>
          <cell r="L2454" t="str">
            <v>500mL</v>
          </cell>
          <cell r="M2454" t="str">
            <v>瓶</v>
          </cell>
          <cell r="N2454">
            <v>2.4700000000000002</v>
          </cell>
          <cell r="O2454">
            <v>3.6</v>
          </cell>
          <cell r="P2454">
            <v>0.30555555555555602</v>
          </cell>
        </row>
        <row r="2455">
          <cell r="F2455" t="str">
            <v>70404832</v>
          </cell>
          <cell r="G2455" t="str">
            <v>百事可乐</v>
          </cell>
          <cell r="H2455" t="str">
            <v>美年达</v>
          </cell>
          <cell r="I2455" t="str">
            <v>包装饮料</v>
          </cell>
          <cell r="J2455" t="str">
            <v>汽水</v>
          </cell>
          <cell r="K2455" t="str">
            <v>百事可乐 美年达果汁气泡饮橙味 450mL</v>
          </cell>
          <cell r="L2455" t="str">
            <v>450mL</v>
          </cell>
          <cell r="M2455" t="str">
            <v>瓶</v>
          </cell>
          <cell r="N2455">
            <v>3.23</v>
          </cell>
          <cell r="O2455">
            <v>5</v>
          </cell>
          <cell r="P2455">
            <v>0.34799999999999998</v>
          </cell>
        </row>
        <row r="2456">
          <cell r="F2456" t="str">
            <v>70405078</v>
          </cell>
          <cell r="G2456" t="str">
            <v>百事可乐</v>
          </cell>
          <cell r="H2456" t="str">
            <v>太汽</v>
          </cell>
          <cell r="I2456" t="str">
            <v>包装饮料</v>
          </cell>
          <cell r="J2456" t="str">
            <v>汽水</v>
          </cell>
          <cell r="K2456" t="str">
            <v>百事太汽-白桃乌龙500mL</v>
          </cell>
          <cell r="L2456" t="str">
            <v>500mL</v>
          </cell>
          <cell r="M2456" t="str">
            <v>瓶</v>
          </cell>
          <cell r="N2456">
            <v>2.5299999999999998</v>
          </cell>
          <cell r="O2456">
            <v>4</v>
          </cell>
          <cell r="P2456">
            <v>0.36249999999999999</v>
          </cell>
        </row>
        <row r="2457">
          <cell r="F2457" t="str">
            <v>70429412</v>
          </cell>
          <cell r="G2457" t="str">
            <v>百事可乐</v>
          </cell>
          <cell r="H2457" t="str">
            <v>纯水乐</v>
          </cell>
          <cell r="I2457" t="str">
            <v>包装饮料</v>
          </cell>
          <cell r="J2457" t="str">
            <v>苏打水</v>
          </cell>
          <cell r="K2457" t="str">
            <v>纯水乐 苏打气泡水 300mL</v>
          </cell>
          <cell r="L2457" t="str">
            <v>300mL</v>
          </cell>
          <cell r="M2457" t="str">
            <v>瓶</v>
          </cell>
          <cell r="N2457">
            <v>1.52</v>
          </cell>
          <cell r="O2457">
            <v>2.5</v>
          </cell>
          <cell r="P2457">
            <v>0.38800000000000001</v>
          </cell>
        </row>
        <row r="2458">
          <cell r="F2458" t="str">
            <v>70316636</v>
          </cell>
          <cell r="G2458" t="str">
            <v>百事可乐</v>
          </cell>
          <cell r="H2458" t="str">
            <v>百事</v>
          </cell>
          <cell r="I2458" t="str">
            <v>包装饮料</v>
          </cell>
          <cell r="J2458" t="str">
            <v>汽水</v>
          </cell>
          <cell r="K2458" t="str">
            <v>百事可乐原味 900mL</v>
          </cell>
          <cell r="L2458" t="str">
            <v>900mL</v>
          </cell>
          <cell r="M2458" t="str">
            <v>瓶</v>
          </cell>
          <cell r="N2458">
            <v>3.74</v>
          </cell>
          <cell r="O2458">
            <v>5</v>
          </cell>
          <cell r="P2458">
            <v>0.246</v>
          </cell>
        </row>
        <row r="2459">
          <cell r="F2459" t="str">
            <v>70443172</v>
          </cell>
          <cell r="G2459" t="str">
            <v>百事可乐</v>
          </cell>
          <cell r="H2459" t="str">
            <v>百事</v>
          </cell>
          <cell r="I2459" t="str">
            <v>包装饮料</v>
          </cell>
          <cell r="J2459" t="str">
            <v>汽水</v>
          </cell>
          <cell r="K2459" t="str">
            <v>百事可乐 无糖原味 900mL</v>
          </cell>
          <cell r="L2459" t="str">
            <v>900mL</v>
          </cell>
          <cell r="M2459" t="str">
            <v>瓶</v>
          </cell>
          <cell r="N2459">
            <v>3.74</v>
          </cell>
          <cell r="O2459">
            <v>5</v>
          </cell>
          <cell r="P2459">
            <v>0.246</v>
          </cell>
        </row>
        <row r="2460">
          <cell r="F2460" t="str">
            <v>70003354</v>
          </cell>
          <cell r="G2460" t="str">
            <v>百事可乐</v>
          </cell>
          <cell r="H2460" t="str">
            <v>果缤纷</v>
          </cell>
          <cell r="I2460" t="str">
            <v>包装饮料</v>
          </cell>
          <cell r="J2460" t="str">
            <v>果汁饮料</v>
          </cell>
          <cell r="K2460" t="str">
            <v>百事可乐 果缤纷热带美味 450mL</v>
          </cell>
          <cell r="L2460" t="str">
            <v>450mL</v>
          </cell>
          <cell r="M2460" t="str">
            <v>瓶</v>
          </cell>
          <cell r="N2460">
            <v>2.37</v>
          </cell>
          <cell r="O2460">
            <v>3.5</v>
          </cell>
          <cell r="P2460">
            <v>0.314285714285714</v>
          </cell>
        </row>
        <row r="2461">
          <cell r="F2461" t="str">
            <v>70395948</v>
          </cell>
          <cell r="G2461" t="str">
            <v>百事可乐</v>
          </cell>
          <cell r="H2461" t="str">
            <v>果缤纷</v>
          </cell>
          <cell r="I2461" t="str">
            <v>包装饮料</v>
          </cell>
          <cell r="J2461" t="str">
            <v>果汁饮料</v>
          </cell>
          <cell r="K2461" t="str">
            <v>百事可乐 果缤纷蓝莓石榴 450mL</v>
          </cell>
          <cell r="L2461" t="str">
            <v>450mL</v>
          </cell>
          <cell r="M2461" t="str">
            <v>瓶</v>
          </cell>
          <cell r="N2461">
            <v>2.37</v>
          </cell>
          <cell r="O2461">
            <v>3.5</v>
          </cell>
          <cell r="P2461">
            <v>0.314285714285714</v>
          </cell>
        </row>
        <row r="2462">
          <cell r="F2462" t="str">
            <v>70200354</v>
          </cell>
          <cell r="G2462" t="str">
            <v>百事可乐</v>
          </cell>
          <cell r="H2462" t="str">
            <v>百事</v>
          </cell>
          <cell r="I2462" t="str">
            <v>包装饮料</v>
          </cell>
          <cell r="J2462" t="str">
            <v>汽水</v>
          </cell>
          <cell r="K2462" t="str">
            <v>百事可乐原味六连包 330mL*6</v>
          </cell>
          <cell r="L2462" t="str">
            <v>330mL*6</v>
          </cell>
          <cell r="M2462" t="str">
            <v>包</v>
          </cell>
          <cell r="N2462">
            <v>10.61</v>
          </cell>
          <cell r="O2462">
            <v>16</v>
          </cell>
          <cell r="P2462">
            <v>0.330625</v>
          </cell>
        </row>
        <row r="2463">
          <cell r="F2463" t="str">
            <v>70001677</v>
          </cell>
          <cell r="G2463" t="str">
            <v>百事可乐</v>
          </cell>
          <cell r="H2463" t="str">
            <v>佳得乐</v>
          </cell>
          <cell r="I2463" t="str">
            <v>包装饮料</v>
          </cell>
          <cell r="J2463" t="str">
            <v>功能饮料</v>
          </cell>
          <cell r="K2463" t="str">
            <v>百事可乐 佳得乐蓝莓PET 600mL</v>
          </cell>
          <cell r="L2463" t="str">
            <v>600mL</v>
          </cell>
          <cell r="M2463" t="str">
            <v>包</v>
          </cell>
          <cell r="N2463">
            <v>3.54</v>
          </cell>
          <cell r="O2463">
            <v>6.5</v>
          </cell>
          <cell r="P2463">
            <v>0.45076923076923098</v>
          </cell>
        </row>
        <row r="2464">
          <cell r="F2464" t="str">
            <v>70452767</v>
          </cell>
          <cell r="G2464" t="str">
            <v>百事可乐</v>
          </cell>
          <cell r="H2464" t="str">
            <v>美年达</v>
          </cell>
          <cell r="I2464" t="str">
            <v>包装饮料</v>
          </cell>
          <cell r="J2464" t="str">
            <v>汽水</v>
          </cell>
          <cell r="K2464" t="str">
            <v>百事可乐 美年达 果汁气泡饮-苹果PET 450mL</v>
          </cell>
          <cell r="L2464" t="str">
            <v>450mL</v>
          </cell>
          <cell r="M2464" t="str">
            <v>包</v>
          </cell>
          <cell r="N2464">
            <v>3.23</v>
          </cell>
          <cell r="O2464">
            <v>5</v>
          </cell>
          <cell r="P2464">
            <v>0.34799999999999998</v>
          </cell>
        </row>
        <row r="2465">
          <cell r="F2465" t="str">
            <v>70385731</v>
          </cell>
          <cell r="G2465" t="str">
            <v>百事可乐</v>
          </cell>
          <cell r="H2465" t="str">
            <v>百事</v>
          </cell>
          <cell r="I2465" t="str">
            <v>包装饮料</v>
          </cell>
          <cell r="J2465" t="str">
            <v>汽水</v>
          </cell>
          <cell r="K2465" t="str">
            <v>百事可乐 无糖原味 pet500mL</v>
          </cell>
          <cell r="L2465" t="str">
            <v>500mL</v>
          </cell>
          <cell r="M2465" t="str">
            <v>瓶</v>
          </cell>
          <cell r="N2465">
            <v>2.4700000000000002</v>
          </cell>
          <cell r="O2465">
            <v>3.6</v>
          </cell>
          <cell r="P2465">
            <v>0.30555555555555602</v>
          </cell>
        </row>
        <row r="2466">
          <cell r="F2466" t="str">
            <v>70486230</v>
          </cell>
          <cell r="G2466" t="str">
            <v>百事可乐</v>
          </cell>
          <cell r="H2466" t="str">
            <v>百事</v>
          </cell>
          <cell r="I2466" t="str">
            <v>包装饮料</v>
          </cell>
          <cell r="J2466" t="str">
            <v>汽水</v>
          </cell>
          <cell r="K2466" t="str">
            <v>百事可乐 原味无糖 2L</v>
          </cell>
          <cell r="L2466" t="str">
            <v>2L</v>
          </cell>
          <cell r="M2466" t="str">
            <v>瓶</v>
          </cell>
          <cell r="N2466">
            <v>5.61</v>
          </cell>
          <cell r="O2466">
            <v>8.1999999999999993</v>
          </cell>
          <cell r="P2466">
            <v>0.309756097560976</v>
          </cell>
        </row>
        <row r="2467">
          <cell r="F2467" t="str">
            <v>70524286</v>
          </cell>
          <cell r="G2467" t="str">
            <v>百事可乐</v>
          </cell>
          <cell r="H2467" t="str">
            <v>七喜</v>
          </cell>
          <cell r="I2467" t="str">
            <v>包装饮料</v>
          </cell>
          <cell r="J2467" t="str">
            <v>汽水</v>
          </cell>
          <cell r="K2467" t="str">
            <v>百事可乐 七喜无糖小柑橘柠檬味 550mL</v>
          </cell>
          <cell r="L2467" t="str">
            <v>550mL</v>
          </cell>
          <cell r="M2467" t="str">
            <v>罐</v>
          </cell>
          <cell r="N2467">
            <v>2.58</v>
          </cell>
          <cell r="O2467">
            <v>4</v>
          </cell>
          <cell r="P2467">
            <v>0.35</v>
          </cell>
        </row>
        <row r="2468">
          <cell r="F2468" t="str">
            <v>70514537</v>
          </cell>
          <cell r="G2468" t="str">
            <v>百事可乐</v>
          </cell>
          <cell r="H2468" t="str">
            <v>果缤纷</v>
          </cell>
          <cell r="I2468" t="str">
            <v>包装饮料</v>
          </cell>
          <cell r="J2468" t="str">
            <v>果汁饮料</v>
          </cell>
          <cell r="K2468" t="str">
            <v>百事可乐 果缤纷阳光橙 450mL</v>
          </cell>
          <cell r="L2468" t="str">
            <v>450mL</v>
          </cell>
          <cell r="M2468" t="str">
            <v>瓶</v>
          </cell>
          <cell r="N2468">
            <v>2.2999999999999998</v>
          </cell>
          <cell r="O2468">
            <v>3.5</v>
          </cell>
          <cell r="P2468">
            <v>0.33428571428571402</v>
          </cell>
        </row>
        <row r="2469">
          <cell r="F2469" t="str">
            <v>70543525</v>
          </cell>
          <cell r="G2469" t="str">
            <v>百事可乐</v>
          </cell>
          <cell r="H2469" t="str">
            <v>纯果乐</v>
          </cell>
          <cell r="I2469" t="str">
            <v>包装饮料</v>
          </cell>
          <cell r="J2469" t="str">
            <v>果汁饮料</v>
          </cell>
          <cell r="K2469" t="str">
            <v>百事可乐 纯果乐阳光蜜桃 450mL</v>
          </cell>
          <cell r="L2469" t="str">
            <v>450mL</v>
          </cell>
          <cell r="M2469" t="str">
            <v>罐</v>
          </cell>
          <cell r="N2469">
            <v>2.37</v>
          </cell>
          <cell r="O2469">
            <v>3.5</v>
          </cell>
          <cell r="P2469">
            <v>0.314285714285714</v>
          </cell>
        </row>
        <row r="2470">
          <cell r="F2470" t="str">
            <v>70543524</v>
          </cell>
          <cell r="G2470" t="str">
            <v>百事可乐</v>
          </cell>
          <cell r="H2470" t="str">
            <v>纯果乐</v>
          </cell>
          <cell r="I2470" t="str">
            <v>包装饮料</v>
          </cell>
          <cell r="J2470" t="str">
            <v>果汁饮料</v>
          </cell>
          <cell r="K2470" t="str">
            <v>百事可乐 纯果乐柠檬派对 450mL</v>
          </cell>
          <cell r="L2470" t="str">
            <v>450mL</v>
          </cell>
          <cell r="M2470" t="str">
            <v>瓶</v>
          </cell>
          <cell r="N2470">
            <v>2.37</v>
          </cell>
          <cell r="O2470">
            <v>3.5</v>
          </cell>
          <cell r="P2470">
            <v>0.314285714285714</v>
          </cell>
        </row>
        <row r="2471">
          <cell r="F2471" t="str">
            <v>70164380</v>
          </cell>
          <cell r="G2471" t="str">
            <v>百事可乐</v>
          </cell>
          <cell r="H2471" t="str">
            <v>美年达</v>
          </cell>
          <cell r="I2471" t="str">
            <v>包装饮料</v>
          </cell>
          <cell r="J2471" t="str">
            <v>汽水</v>
          </cell>
          <cell r="K2471" t="str">
            <v>百事可乐 美年达葡萄 500mL</v>
          </cell>
          <cell r="L2471" t="str">
            <v>500mL</v>
          </cell>
          <cell r="M2471" t="str">
            <v>瓶</v>
          </cell>
          <cell r="N2471">
            <v>2.2200000000000002</v>
          </cell>
          <cell r="O2471">
            <v>3.6</v>
          </cell>
          <cell r="P2471">
            <v>0.37777777777777799</v>
          </cell>
        </row>
        <row r="2472">
          <cell r="F2472" t="str">
            <v>70164375</v>
          </cell>
          <cell r="G2472" t="str">
            <v>百事可乐</v>
          </cell>
          <cell r="H2472" t="str">
            <v>百事</v>
          </cell>
          <cell r="I2472" t="str">
            <v>包装饮料</v>
          </cell>
          <cell r="J2472" t="str">
            <v>汽水</v>
          </cell>
          <cell r="K2472" t="str">
            <v>百事可乐 清柠 500mL</v>
          </cell>
          <cell r="L2472" t="str">
            <v>500mL</v>
          </cell>
          <cell r="M2472" t="str">
            <v>罐</v>
          </cell>
          <cell r="N2472">
            <v>2.4700000000000002</v>
          </cell>
          <cell r="O2472">
            <v>3.5</v>
          </cell>
          <cell r="P2472">
            <v>0.28571428571428598</v>
          </cell>
        </row>
        <row r="2473">
          <cell r="F2473" t="str">
            <v>70459274</v>
          </cell>
          <cell r="G2473" t="str">
            <v>百事可乐</v>
          </cell>
          <cell r="H2473" t="str">
            <v>太汽</v>
          </cell>
          <cell r="I2473" t="str">
            <v>包装饮料</v>
          </cell>
          <cell r="J2473" t="str">
            <v>汽水</v>
          </cell>
          <cell r="K2473" t="str">
            <v>百事可乐 太汽白柚青竹 500mL</v>
          </cell>
          <cell r="L2473" t="str">
            <v>500mL</v>
          </cell>
          <cell r="M2473" t="str">
            <v>瓶</v>
          </cell>
          <cell r="N2473">
            <v>2.5299999999999998</v>
          </cell>
          <cell r="O2473">
            <v>4</v>
          </cell>
          <cell r="P2473">
            <v>0.36249999999999999</v>
          </cell>
        </row>
        <row r="2474">
          <cell r="F2474" t="str">
            <v>70514564</v>
          </cell>
          <cell r="G2474" t="str">
            <v>百事可乐</v>
          </cell>
          <cell r="H2474" t="str">
            <v>百事</v>
          </cell>
          <cell r="I2474" t="str">
            <v>包装饮料</v>
          </cell>
          <cell r="J2474" t="str">
            <v>汽水</v>
          </cell>
          <cell r="K2474" t="str">
            <v>百事可乐 百事可乐+果缤纷热带 2L*2</v>
          </cell>
          <cell r="L2474" t="str">
            <v>2L*2</v>
          </cell>
          <cell r="M2474" t="str">
            <v>瓶</v>
          </cell>
          <cell r="N2474">
            <v>11.36</v>
          </cell>
          <cell r="O2474">
            <v>17.5</v>
          </cell>
          <cell r="P2474">
            <v>0.34399999999999997</v>
          </cell>
        </row>
        <row r="2475">
          <cell r="F2475" t="str">
            <v>70514782</v>
          </cell>
          <cell r="G2475" t="str">
            <v>百事可乐</v>
          </cell>
          <cell r="H2475" t="str">
            <v>百事</v>
          </cell>
          <cell r="I2475" t="str">
            <v>包装饮料</v>
          </cell>
          <cell r="J2475" t="str">
            <v>汽水</v>
          </cell>
          <cell r="K2475" t="str">
            <v>百事可乐 百事可乐+果缤纷阳光橙 2L*2</v>
          </cell>
          <cell r="L2475" t="str">
            <v>2L*2</v>
          </cell>
          <cell r="M2475" t="str">
            <v>瓶</v>
          </cell>
          <cell r="N2475">
            <v>11.36</v>
          </cell>
          <cell r="O2475">
            <v>17.5</v>
          </cell>
          <cell r="P2475">
            <v>0.34399999999999997</v>
          </cell>
        </row>
        <row r="2476">
          <cell r="F2476" t="str">
            <v>70543527</v>
          </cell>
          <cell r="G2476" t="str">
            <v>百事可乐</v>
          </cell>
          <cell r="H2476" t="str">
            <v>百事</v>
          </cell>
          <cell r="I2476" t="str">
            <v>包装饮料</v>
          </cell>
          <cell r="J2476" t="str">
            <v>汽水</v>
          </cell>
          <cell r="K2476" t="str">
            <v>百事可乐 碳碳双提百+美 2L*2</v>
          </cell>
          <cell r="L2476" t="str">
            <v>2L*2</v>
          </cell>
          <cell r="M2476" t="str">
            <v>瓶</v>
          </cell>
          <cell r="N2476">
            <v>10.199999999999999</v>
          </cell>
          <cell r="O2476">
            <v>15</v>
          </cell>
          <cell r="P2476">
            <v>0.31333333333333302</v>
          </cell>
        </row>
        <row r="2477">
          <cell r="F2477" t="str">
            <v>70543521</v>
          </cell>
          <cell r="G2477" t="str">
            <v>百事可乐</v>
          </cell>
          <cell r="H2477" t="str">
            <v>百事</v>
          </cell>
          <cell r="I2477" t="str">
            <v>包装饮料</v>
          </cell>
          <cell r="J2477" t="str">
            <v>汽水</v>
          </cell>
          <cell r="K2477" t="str">
            <v>百事可乐 碳碳双提百+七 2L*2</v>
          </cell>
          <cell r="L2477" t="str">
            <v>2L*2</v>
          </cell>
          <cell r="M2477" t="str">
            <v>瓶</v>
          </cell>
          <cell r="N2477">
            <v>10.199999999999999</v>
          </cell>
          <cell r="O2477">
            <v>15</v>
          </cell>
          <cell r="P2477">
            <v>0.31333333333333302</v>
          </cell>
        </row>
        <row r="2478">
          <cell r="F2478" t="str">
            <v>70542443</v>
          </cell>
          <cell r="G2478" t="str">
            <v>百事可乐</v>
          </cell>
          <cell r="H2478" t="str">
            <v>佳得乐</v>
          </cell>
          <cell r="I2478" t="str">
            <v>包装饮料</v>
          </cell>
          <cell r="J2478" t="str">
            <v>功能饮料</v>
          </cell>
          <cell r="K2478" t="str">
            <v>百事可乐 佳得乐电解质红柚 600mL</v>
          </cell>
          <cell r="L2478" t="str">
            <v>600mL</v>
          </cell>
          <cell r="M2478" t="str">
            <v>瓶</v>
          </cell>
          <cell r="N2478">
            <v>3.13</v>
          </cell>
          <cell r="O2478">
            <v>5</v>
          </cell>
          <cell r="P2478">
            <v>0.36799999999999999</v>
          </cell>
        </row>
        <row r="2479">
          <cell r="F2479" t="str">
            <v>70542443</v>
          </cell>
          <cell r="G2479" t="str">
            <v>百事可乐</v>
          </cell>
          <cell r="H2479" t="str">
            <v>佳得乐</v>
          </cell>
          <cell r="I2479" t="str">
            <v>包装饮料</v>
          </cell>
          <cell r="J2479" t="str">
            <v>功能饮料</v>
          </cell>
          <cell r="K2479" t="str">
            <v>百事可乐 佳得乐电解质青柠 600mL</v>
          </cell>
          <cell r="L2479" t="str">
            <v>600mL</v>
          </cell>
          <cell r="M2479" t="str">
            <v>瓶</v>
          </cell>
          <cell r="N2479">
            <v>3.13</v>
          </cell>
          <cell r="O2479">
            <v>5</v>
          </cell>
          <cell r="P2479">
            <v>0.36799999999999999</v>
          </cell>
        </row>
        <row r="2480">
          <cell r="F2480" t="str">
            <v>70525199</v>
          </cell>
          <cell r="G2480" t="str">
            <v>百事可乐</v>
          </cell>
          <cell r="H2480" t="str">
            <v>美年达</v>
          </cell>
          <cell r="I2480" t="str">
            <v>包装饮料</v>
          </cell>
          <cell r="J2480" t="str">
            <v>汽水</v>
          </cell>
          <cell r="K2480" t="str">
            <v>Pepsi 美年达苹果味 500mL</v>
          </cell>
          <cell r="L2480" t="str">
            <v>500mL</v>
          </cell>
          <cell r="M2480" t="str">
            <v>瓶</v>
          </cell>
          <cell r="N2480">
            <v>2.2200000000000002</v>
          </cell>
          <cell r="O2480">
            <v>3.6</v>
          </cell>
          <cell r="P2480">
            <v>0.37777777777777799</v>
          </cell>
        </row>
        <row r="2481">
          <cell r="F2481" t="str">
            <v>70524290</v>
          </cell>
          <cell r="G2481" t="str">
            <v>百事可乐</v>
          </cell>
          <cell r="H2481" t="str">
            <v>美年达</v>
          </cell>
          <cell r="I2481" t="str">
            <v>包装饮料</v>
          </cell>
          <cell r="J2481" t="str">
            <v>汽水</v>
          </cell>
          <cell r="K2481" t="str">
            <v>Pepsi 美年达白凤蜜桃味 500mL</v>
          </cell>
          <cell r="L2481" t="str">
            <v>500mL</v>
          </cell>
          <cell r="M2481" t="str">
            <v>瓶</v>
          </cell>
          <cell r="N2481">
            <v>2.2200000000000002</v>
          </cell>
          <cell r="O2481">
            <v>3.6</v>
          </cell>
          <cell r="P2481">
            <v>0.37777777777777799</v>
          </cell>
        </row>
        <row r="2482">
          <cell r="F2482" t="str">
            <v>70499084</v>
          </cell>
          <cell r="G2482" t="str">
            <v>百事可乐</v>
          </cell>
          <cell r="H2482" t="str">
            <v>百事</v>
          </cell>
          <cell r="I2482" t="str">
            <v>包装饮料</v>
          </cell>
          <cell r="J2482" t="str">
            <v>汽水</v>
          </cell>
          <cell r="K2482" t="str">
            <v>Pepsi 百事无糖生可乐 500mL</v>
          </cell>
          <cell r="L2482" t="str">
            <v>500mL</v>
          </cell>
          <cell r="M2482" t="str">
            <v>瓶</v>
          </cell>
          <cell r="N2482">
            <v>3.03</v>
          </cell>
          <cell r="O2482">
            <v>5</v>
          </cell>
          <cell r="P2482">
            <v>0.38800000000000001</v>
          </cell>
        </row>
        <row r="2483">
          <cell r="F2483" t="str">
            <v>70024252</v>
          </cell>
          <cell r="G2483" t="str">
            <v>百事可乐</v>
          </cell>
          <cell r="H2483" t="str">
            <v>百事</v>
          </cell>
          <cell r="I2483" t="str">
            <v>包装饮料</v>
          </cell>
          <cell r="J2483" t="str">
            <v>汽水</v>
          </cell>
          <cell r="K2483" t="str">
            <v>Pepsi 百事可乐 1.25L</v>
          </cell>
          <cell r="L2483" t="str">
            <v>1.25L</v>
          </cell>
          <cell r="M2483" t="str">
            <v>瓶</v>
          </cell>
          <cell r="N2483">
            <v>4.29</v>
          </cell>
          <cell r="O2483">
            <v>6</v>
          </cell>
          <cell r="P2483">
            <v>0.276666666666667</v>
          </cell>
        </row>
        <row r="2484">
          <cell r="F2484" t="str">
            <v>70360673</v>
          </cell>
          <cell r="G2484" t="str">
            <v>康师傅顶津</v>
          </cell>
          <cell r="H2484" t="str">
            <v>康师傅顶津</v>
          </cell>
          <cell r="I2484" t="str">
            <v>包装饮料</v>
          </cell>
          <cell r="J2484" t="str">
            <v>茶饮料</v>
          </cell>
          <cell r="K2484" t="str">
            <v>康师傅 冰红茶 330mL*12</v>
          </cell>
          <cell r="L2484" t="str">
            <v>330mL*12</v>
          </cell>
          <cell r="M2484" t="str">
            <v>箱</v>
          </cell>
          <cell r="N2484">
            <v>19.39</v>
          </cell>
          <cell r="O2484">
            <v>25</v>
          </cell>
          <cell r="P2484">
            <v>0.21679999999999999</v>
          </cell>
        </row>
        <row r="2485">
          <cell r="F2485" t="str">
            <v>70405054</v>
          </cell>
          <cell r="G2485" t="str">
            <v>康师傅顶津</v>
          </cell>
          <cell r="H2485" t="str">
            <v>康师傅顶津</v>
          </cell>
          <cell r="I2485" t="str">
            <v>包装饮料</v>
          </cell>
          <cell r="J2485" t="str">
            <v>茶饮料</v>
          </cell>
          <cell r="K2485" t="str">
            <v>康师傅 无糖冰红茶 330mL*12</v>
          </cell>
          <cell r="L2485" t="str">
            <v>330mL*12</v>
          </cell>
          <cell r="M2485" t="str">
            <v>包</v>
          </cell>
          <cell r="N2485">
            <v>19.39</v>
          </cell>
          <cell r="O2485">
            <v>25</v>
          </cell>
          <cell r="P2485">
            <v>0.21679999999999999</v>
          </cell>
        </row>
        <row r="2486">
          <cell r="F2486" t="str">
            <v>70223970</v>
          </cell>
          <cell r="G2486" t="str">
            <v>康师傅顶津</v>
          </cell>
          <cell r="H2486" t="str">
            <v>康师傅顶津</v>
          </cell>
          <cell r="I2486" t="str">
            <v>包装饮料</v>
          </cell>
          <cell r="J2486" t="str">
            <v>茶饮料</v>
          </cell>
          <cell r="K2486" t="str">
            <v>康师傅 蜂蜜绿茶 330mL*12</v>
          </cell>
          <cell r="L2486" t="str">
            <v>330mL*12</v>
          </cell>
          <cell r="M2486" t="str">
            <v>箱</v>
          </cell>
          <cell r="N2486">
            <v>19.39</v>
          </cell>
          <cell r="O2486">
            <v>25</v>
          </cell>
          <cell r="P2486">
            <v>0.21679999999999999</v>
          </cell>
        </row>
        <row r="2487">
          <cell r="F2487" t="str">
            <v>70377133</v>
          </cell>
          <cell r="G2487" t="str">
            <v>康师傅顶津</v>
          </cell>
          <cell r="H2487" t="str">
            <v>康师傅顶津</v>
          </cell>
          <cell r="I2487" t="str">
            <v>包装饮料</v>
          </cell>
          <cell r="J2487" t="str">
            <v>茶饮料</v>
          </cell>
          <cell r="K2487" t="str">
            <v>康师傅 茉莉蜜茶 330mL*12</v>
          </cell>
          <cell r="L2487" t="str">
            <v>330mL*12</v>
          </cell>
          <cell r="M2487" t="str">
            <v>箱</v>
          </cell>
          <cell r="N2487">
            <v>19.39</v>
          </cell>
          <cell r="O2487">
            <v>25</v>
          </cell>
          <cell r="P2487">
            <v>0.21679999999999999</v>
          </cell>
        </row>
        <row r="2488">
          <cell r="F2488" t="str">
            <v>70381931</v>
          </cell>
          <cell r="G2488" t="str">
            <v>康师傅顶津</v>
          </cell>
          <cell r="H2488" t="str">
            <v>康师傅顶津</v>
          </cell>
          <cell r="I2488" t="str">
            <v>包装饮料</v>
          </cell>
          <cell r="J2488" t="str">
            <v>果汁饮料</v>
          </cell>
          <cell r="K2488" t="str">
            <v>康师傅 冰糖雪梨 330mL*12</v>
          </cell>
          <cell r="L2488" t="str">
            <v>330mL*12</v>
          </cell>
          <cell r="M2488" t="str">
            <v>包</v>
          </cell>
          <cell r="N2488">
            <v>19.39</v>
          </cell>
          <cell r="O2488">
            <v>25</v>
          </cell>
          <cell r="P2488">
            <v>0.21679999999999999</v>
          </cell>
        </row>
        <row r="2489">
          <cell r="F2489" t="str">
            <v>70442588</v>
          </cell>
          <cell r="G2489" t="str">
            <v>康师傅顶津</v>
          </cell>
          <cell r="H2489" t="str">
            <v>康师傅顶津</v>
          </cell>
          <cell r="I2489" t="str">
            <v>包装饮料</v>
          </cell>
          <cell r="J2489" t="str">
            <v>果汁饮料</v>
          </cell>
          <cell r="K2489" t="str">
            <v>康师傅 金桔柠檬 330mL*12</v>
          </cell>
          <cell r="L2489" t="str">
            <v>330mL*12</v>
          </cell>
          <cell r="M2489" t="str">
            <v>箱</v>
          </cell>
          <cell r="N2489">
            <v>19.39</v>
          </cell>
          <cell r="O2489">
            <v>25</v>
          </cell>
          <cell r="P2489">
            <v>0.21679999999999999</v>
          </cell>
        </row>
        <row r="2490">
          <cell r="F2490" t="str">
            <v>70442455</v>
          </cell>
          <cell r="G2490" t="str">
            <v>康师傅顶津</v>
          </cell>
          <cell r="H2490" t="str">
            <v>康师傅顶津</v>
          </cell>
          <cell r="I2490" t="str">
            <v>包装饮料</v>
          </cell>
          <cell r="J2490" t="str">
            <v>茶饮料</v>
          </cell>
          <cell r="K2490" t="str">
            <v>康师傅 青梅绿茶 330mL*12</v>
          </cell>
          <cell r="L2490" t="str">
            <v>330mL*12</v>
          </cell>
          <cell r="M2490" t="str">
            <v>箱</v>
          </cell>
          <cell r="N2490">
            <v>19.39</v>
          </cell>
          <cell r="O2490">
            <v>25</v>
          </cell>
          <cell r="P2490">
            <v>0.21679999999999999</v>
          </cell>
        </row>
        <row r="2491">
          <cell r="F2491" t="str">
            <v>70001762</v>
          </cell>
          <cell r="G2491" t="str">
            <v>康师傅顶津</v>
          </cell>
          <cell r="H2491" t="str">
            <v>康师傅顶津</v>
          </cell>
          <cell r="I2491" t="str">
            <v>包装饮料</v>
          </cell>
          <cell r="J2491" t="str">
            <v>茶饮料</v>
          </cell>
          <cell r="K2491" t="str">
            <v>康师傅 冰红茶 500mL</v>
          </cell>
          <cell r="L2491" t="str">
            <v>500mL</v>
          </cell>
          <cell r="M2491" t="str">
            <v>瓶</v>
          </cell>
          <cell r="N2491">
            <v>2.12</v>
          </cell>
          <cell r="O2491">
            <v>3.5</v>
          </cell>
          <cell r="P2491">
            <v>0.38857142857142901</v>
          </cell>
        </row>
        <row r="2492">
          <cell r="F2492" t="str">
            <v>70217329</v>
          </cell>
          <cell r="G2492" t="str">
            <v>康师傅顶津</v>
          </cell>
          <cell r="H2492" t="str">
            <v>康师傅顶津</v>
          </cell>
          <cell r="I2492" t="str">
            <v>包装饮料</v>
          </cell>
          <cell r="J2492" t="str">
            <v>茶饮料</v>
          </cell>
          <cell r="K2492" t="str">
            <v>康师傅 热带风味红茶 500mL</v>
          </cell>
          <cell r="L2492" t="str">
            <v>500mL</v>
          </cell>
          <cell r="M2492" t="str">
            <v>瓶</v>
          </cell>
          <cell r="N2492">
            <v>2.1800000000000002</v>
          </cell>
          <cell r="O2492">
            <v>3.5</v>
          </cell>
          <cell r="P2492">
            <v>0.371428571428571</v>
          </cell>
        </row>
        <row r="2493">
          <cell r="F2493" t="str">
            <v>70394162</v>
          </cell>
          <cell r="G2493" t="str">
            <v>康师傅顶津</v>
          </cell>
          <cell r="H2493" t="str">
            <v>康师傅顶津</v>
          </cell>
          <cell r="I2493" t="str">
            <v>包装饮料</v>
          </cell>
          <cell r="J2493" t="str">
            <v>茶饮料</v>
          </cell>
          <cell r="K2493" t="str">
            <v>康师傅 无糖冰红茶 500mL</v>
          </cell>
          <cell r="L2493" t="str">
            <v>500mL</v>
          </cell>
          <cell r="M2493" t="str">
            <v>瓶</v>
          </cell>
          <cell r="N2493">
            <v>2.5299999999999998</v>
          </cell>
          <cell r="O2493">
            <v>3.5</v>
          </cell>
          <cell r="P2493">
            <v>0.27142857142857102</v>
          </cell>
        </row>
        <row r="2494">
          <cell r="F2494" t="str">
            <v>70003025</v>
          </cell>
          <cell r="G2494" t="str">
            <v>康师傅顶津</v>
          </cell>
          <cell r="H2494" t="str">
            <v>康师傅顶津</v>
          </cell>
          <cell r="I2494" t="str">
            <v>包装饮料</v>
          </cell>
          <cell r="J2494" t="str">
            <v>茶饮料</v>
          </cell>
          <cell r="K2494" t="str">
            <v>康师傅 劲凉冰红 500mL</v>
          </cell>
          <cell r="L2494" t="str">
            <v>500mL</v>
          </cell>
          <cell r="M2494" t="str">
            <v>瓶</v>
          </cell>
          <cell r="N2494">
            <v>2.4</v>
          </cell>
          <cell r="O2494">
            <v>3.5</v>
          </cell>
          <cell r="P2494">
            <v>0.30571428571428599</v>
          </cell>
        </row>
        <row r="2495">
          <cell r="F2495" t="str">
            <v>70001764</v>
          </cell>
          <cell r="G2495" t="str">
            <v>康师傅顶津</v>
          </cell>
          <cell r="H2495" t="str">
            <v>康师傅顶津</v>
          </cell>
          <cell r="I2495" t="str">
            <v>包装饮料</v>
          </cell>
          <cell r="J2495" t="str">
            <v>茶饮料</v>
          </cell>
          <cell r="K2495" t="str">
            <v>康师傅 绿茶 500mL</v>
          </cell>
          <cell r="L2495" t="str">
            <v>500mL</v>
          </cell>
          <cell r="M2495" t="str">
            <v>瓶</v>
          </cell>
          <cell r="N2495">
            <v>2.12</v>
          </cell>
          <cell r="O2495">
            <v>3.5</v>
          </cell>
          <cell r="P2495">
            <v>0.38857142857142901</v>
          </cell>
        </row>
        <row r="2496">
          <cell r="F2496" t="str">
            <v>70283089</v>
          </cell>
          <cell r="G2496" t="str">
            <v>康师傅顶津</v>
          </cell>
          <cell r="H2496" t="str">
            <v>康师傅顶津</v>
          </cell>
          <cell r="I2496" t="str">
            <v>包装饮料</v>
          </cell>
          <cell r="J2496" t="str">
            <v>茶饮料</v>
          </cell>
          <cell r="K2496" t="str">
            <v>康师傅 青梅绿茶 500mL</v>
          </cell>
          <cell r="L2496" t="str">
            <v>500mL</v>
          </cell>
          <cell r="M2496" t="str">
            <v>瓶</v>
          </cell>
          <cell r="N2496">
            <v>2.1800000000000002</v>
          </cell>
          <cell r="O2496">
            <v>3.5</v>
          </cell>
          <cell r="P2496">
            <v>0.371428571428571</v>
          </cell>
        </row>
        <row r="2497">
          <cell r="F2497" t="str">
            <v>70452851</v>
          </cell>
          <cell r="G2497" t="str">
            <v>康师傅顶津</v>
          </cell>
          <cell r="H2497" t="str">
            <v>康师傅顶津</v>
          </cell>
          <cell r="I2497" t="str">
            <v>包装饮料</v>
          </cell>
          <cell r="J2497" t="str">
            <v>茶饮料</v>
          </cell>
          <cell r="K2497" t="str">
            <v>康师傅 青提绿茶 500mL</v>
          </cell>
          <cell r="L2497" t="str">
            <v>500mL</v>
          </cell>
          <cell r="M2497" t="str">
            <v>瓶</v>
          </cell>
          <cell r="N2497">
            <v>2.5299999999999998</v>
          </cell>
          <cell r="O2497">
            <v>3.5</v>
          </cell>
          <cell r="P2497">
            <v>0.27142857142857102</v>
          </cell>
        </row>
        <row r="2498">
          <cell r="F2498" t="str">
            <v>70001765</v>
          </cell>
          <cell r="G2498" t="str">
            <v>康师傅顶津</v>
          </cell>
          <cell r="H2498" t="str">
            <v>康师傅顶津</v>
          </cell>
          <cell r="I2498" t="str">
            <v>包装饮料</v>
          </cell>
          <cell r="J2498" t="str">
            <v>茶饮料</v>
          </cell>
          <cell r="K2498" t="str">
            <v>康师傅 茉莉清茶 500mL</v>
          </cell>
          <cell r="L2498" t="str">
            <v>500mL</v>
          </cell>
          <cell r="M2498" t="str">
            <v>瓶</v>
          </cell>
          <cell r="N2498">
            <v>2.12</v>
          </cell>
          <cell r="O2498">
            <v>3.5</v>
          </cell>
          <cell r="P2498">
            <v>0.38857142857142901</v>
          </cell>
        </row>
        <row r="2499">
          <cell r="F2499" t="str">
            <v>70001766</v>
          </cell>
          <cell r="G2499" t="str">
            <v>康师傅顶津</v>
          </cell>
          <cell r="H2499" t="str">
            <v>康师傅顶津</v>
          </cell>
          <cell r="I2499" t="str">
            <v>包装饮料</v>
          </cell>
          <cell r="J2499" t="str">
            <v>茶饮料</v>
          </cell>
          <cell r="K2499" t="str">
            <v>康师傅 茉莉蜜茶 500mL</v>
          </cell>
          <cell r="L2499" t="str">
            <v>500mL</v>
          </cell>
          <cell r="M2499" t="str">
            <v>瓶</v>
          </cell>
          <cell r="N2499">
            <v>2.12</v>
          </cell>
          <cell r="O2499">
            <v>3.5</v>
          </cell>
          <cell r="P2499">
            <v>0.38857142857142901</v>
          </cell>
        </row>
        <row r="2500">
          <cell r="F2500" t="str">
            <v>70378410</v>
          </cell>
          <cell r="G2500" t="str">
            <v>康师傅顶津</v>
          </cell>
          <cell r="H2500" t="str">
            <v>康师傅顶津</v>
          </cell>
          <cell r="I2500" t="str">
            <v>包装饮料</v>
          </cell>
          <cell r="J2500" t="str">
            <v>茶饮料</v>
          </cell>
          <cell r="K2500" t="str">
            <v>康师傅 茉莉柚茶 500mL</v>
          </cell>
          <cell r="L2500" t="str">
            <v>500mL</v>
          </cell>
          <cell r="M2500" t="str">
            <v>瓶</v>
          </cell>
          <cell r="N2500">
            <v>2.1800000000000002</v>
          </cell>
          <cell r="O2500">
            <v>3.5</v>
          </cell>
          <cell r="P2500">
            <v>0.371428571428571</v>
          </cell>
        </row>
        <row r="2501">
          <cell r="F2501" t="str">
            <v>70283093</v>
          </cell>
          <cell r="G2501" t="str">
            <v>康师傅顶津</v>
          </cell>
          <cell r="H2501" t="str">
            <v>康师傅顶津</v>
          </cell>
          <cell r="I2501" t="str">
            <v>包装饮料</v>
          </cell>
          <cell r="J2501" t="str">
            <v>茶饮料</v>
          </cell>
          <cell r="K2501" t="str">
            <v>康师傅 焙香乌龙 500mL</v>
          </cell>
          <cell r="L2501" t="str">
            <v>500mL</v>
          </cell>
          <cell r="M2501" t="str">
            <v>瓶</v>
          </cell>
          <cell r="N2501">
            <v>2.1800000000000002</v>
          </cell>
          <cell r="O2501">
            <v>3.5</v>
          </cell>
          <cell r="P2501">
            <v>0.371428571428571</v>
          </cell>
        </row>
        <row r="2502">
          <cell r="F2502" t="str">
            <v>70404805</v>
          </cell>
          <cell r="G2502" t="str">
            <v>康师傅顶津</v>
          </cell>
          <cell r="H2502" t="str">
            <v>康师傅顶津</v>
          </cell>
          <cell r="I2502" t="str">
            <v>包装饮料</v>
          </cell>
          <cell r="J2502" t="str">
            <v>茶饮料</v>
          </cell>
          <cell r="K2502" t="str">
            <v>康师傅 蜜桃乌龙 500mL</v>
          </cell>
          <cell r="L2502" t="str">
            <v>500mL</v>
          </cell>
          <cell r="M2502" t="str">
            <v>瓶</v>
          </cell>
          <cell r="N2502">
            <v>2.5299999999999998</v>
          </cell>
          <cell r="O2502">
            <v>3.5</v>
          </cell>
          <cell r="P2502">
            <v>0.27142857142857102</v>
          </cell>
        </row>
        <row r="2503">
          <cell r="F2503" t="str">
            <v>70452852</v>
          </cell>
          <cell r="G2503" t="str">
            <v>康师傅顶津</v>
          </cell>
          <cell r="H2503" t="str">
            <v>康师傅顶津</v>
          </cell>
          <cell r="I2503" t="str">
            <v>包装饮料</v>
          </cell>
          <cell r="J2503" t="str">
            <v>茶饮料</v>
          </cell>
          <cell r="K2503" t="str">
            <v>康师傅 纯萃零糖 茉莉花茶500mL</v>
          </cell>
          <cell r="L2503" t="str">
            <v>500mL</v>
          </cell>
          <cell r="M2503" t="str">
            <v>瓶</v>
          </cell>
          <cell r="N2503">
            <v>3.03</v>
          </cell>
          <cell r="O2503">
            <v>4.5</v>
          </cell>
          <cell r="P2503">
            <v>0.32</v>
          </cell>
        </row>
        <row r="2504">
          <cell r="F2504" t="str">
            <v>70452853</v>
          </cell>
          <cell r="G2504" t="str">
            <v>康师傅顶津</v>
          </cell>
          <cell r="H2504" t="str">
            <v>康师傅顶津</v>
          </cell>
          <cell r="I2504" t="str">
            <v>包装饮料</v>
          </cell>
          <cell r="J2504" t="str">
            <v>茶饮料</v>
          </cell>
          <cell r="K2504" t="str">
            <v>康师傅 纯萃零糖 云雾绿茶500mL</v>
          </cell>
          <cell r="L2504" t="str">
            <v>500mL</v>
          </cell>
          <cell r="M2504" t="str">
            <v>瓶</v>
          </cell>
          <cell r="N2504">
            <v>3.03</v>
          </cell>
          <cell r="O2504">
            <v>4.5</v>
          </cell>
          <cell r="P2504">
            <v>0.32</v>
          </cell>
        </row>
        <row r="2505">
          <cell r="F2505" t="str">
            <v>70001767</v>
          </cell>
          <cell r="G2505" t="str">
            <v>康师傅顶津</v>
          </cell>
          <cell r="H2505" t="str">
            <v>康师傅顶津</v>
          </cell>
          <cell r="I2505" t="str">
            <v>包装饮料</v>
          </cell>
          <cell r="J2505" t="str">
            <v>果汁饮料</v>
          </cell>
          <cell r="K2505" t="str">
            <v>康师傅 鲜果橙 500mL</v>
          </cell>
          <cell r="L2505" t="str">
            <v>500mL</v>
          </cell>
          <cell r="M2505" t="str">
            <v>瓶</v>
          </cell>
          <cell r="N2505">
            <v>2.1800000000000002</v>
          </cell>
          <cell r="O2505">
            <v>3.5</v>
          </cell>
          <cell r="P2505">
            <v>0.371428571428571</v>
          </cell>
        </row>
        <row r="2506">
          <cell r="F2506" t="str">
            <v>70001769</v>
          </cell>
          <cell r="G2506" t="str">
            <v>康师傅顶津</v>
          </cell>
          <cell r="H2506" t="str">
            <v>康师傅顶津</v>
          </cell>
          <cell r="I2506" t="str">
            <v>包装饮料</v>
          </cell>
          <cell r="J2506" t="str">
            <v>果汁饮料</v>
          </cell>
          <cell r="K2506" t="str">
            <v>康师傅 水蜜桃 500mL</v>
          </cell>
          <cell r="L2506" t="str">
            <v>500mL</v>
          </cell>
          <cell r="M2506" t="str">
            <v>瓶</v>
          </cell>
          <cell r="N2506">
            <v>2.1800000000000002</v>
          </cell>
          <cell r="O2506">
            <v>3.5</v>
          </cell>
          <cell r="P2506">
            <v>0.371428571428571</v>
          </cell>
        </row>
        <row r="2507">
          <cell r="F2507" t="str">
            <v>70033219</v>
          </cell>
          <cell r="G2507" t="str">
            <v>康师傅顶津</v>
          </cell>
          <cell r="H2507" t="str">
            <v>康师傅顶津</v>
          </cell>
          <cell r="I2507" t="str">
            <v>包装饮料</v>
          </cell>
          <cell r="J2507" t="str">
            <v>果汁饮料</v>
          </cell>
          <cell r="K2507" t="str">
            <v>康师傅 水晶葡萄 500mL</v>
          </cell>
          <cell r="L2507" t="str">
            <v>500mL</v>
          </cell>
          <cell r="M2507" t="str">
            <v>瓶</v>
          </cell>
          <cell r="N2507">
            <v>2.1800000000000002</v>
          </cell>
          <cell r="O2507">
            <v>3.5</v>
          </cell>
          <cell r="P2507">
            <v>0.371428571428571</v>
          </cell>
        </row>
        <row r="2508">
          <cell r="F2508" t="str">
            <v>70003189</v>
          </cell>
          <cell r="G2508" t="str">
            <v>康师傅顶津</v>
          </cell>
          <cell r="H2508" t="str">
            <v>康师傅顶津</v>
          </cell>
          <cell r="I2508" t="str">
            <v>包装饮料</v>
          </cell>
          <cell r="J2508" t="str">
            <v>果汁饮料</v>
          </cell>
          <cell r="K2508" t="str">
            <v>康师傅 酸梅汤 500mL</v>
          </cell>
          <cell r="L2508" t="str">
            <v>500mL</v>
          </cell>
          <cell r="M2508" t="str">
            <v>瓶</v>
          </cell>
          <cell r="N2508">
            <v>2.1800000000000002</v>
          </cell>
          <cell r="O2508">
            <v>3.5</v>
          </cell>
          <cell r="P2508">
            <v>0.371428571428571</v>
          </cell>
        </row>
        <row r="2509">
          <cell r="F2509" t="str">
            <v>70179015</v>
          </cell>
          <cell r="G2509" t="str">
            <v>康师傅顶津</v>
          </cell>
          <cell r="H2509" t="str">
            <v>康师傅顶津</v>
          </cell>
          <cell r="I2509" t="str">
            <v>包装饮料</v>
          </cell>
          <cell r="J2509" t="str">
            <v>果汁饮料</v>
          </cell>
          <cell r="K2509" t="str">
            <v>康师傅 冰糖雪梨 500mL</v>
          </cell>
          <cell r="L2509" t="str">
            <v>500mL</v>
          </cell>
          <cell r="M2509" t="str">
            <v>瓶</v>
          </cell>
          <cell r="N2509">
            <v>2.1800000000000002</v>
          </cell>
          <cell r="O2509">
            <v>3.5</v>
          </cell>
          <cell r="P2509">
            <v>0.371428571428571</v>
          </cell>
        </row>
        <row r="2510">
          <cell r="F2510" t="str">
            <v>70452850</v>
          </cell>
          <cell r="G2510" t="str">
            <v>康师傅顶津</v>
          </cell>
          <cell r="H2510" t="str">
            <v>康师傅顶津</v>
          </cell>
          <cell r="I2510" t="str">
            <v>包装饮料</v>
          </cell>
          <cell r="J2510" t="str">
            <v>果汁饮料</v>
          </cell>
          <cell r="K2510" t="str">
            <v>康师傅 冰糖红西柚 500mL</v>
          </cell>
          <cell r="L2510" t="str">
            <v>500mL</v>
          </cell>
          <cell r="M2510" t="str">
            <v>瓶</v>
          </cell>
          <cell r="N2510">
            <v>2.5299999999999998</v>
          </cell>
          <cell r="O2510">
            <v>3.5</v>
          </cell>
          <cell r="P2510">
            <v>0.27142857142857102</v>
          </cell>
        </row>
        <row r="2511">
          <cell r="F2511" t="str">
            <v>70442589</v>
          </cell>
          <cell r="G2511" t="str">
            <v>康师傅顶津</v>
          </cell>
          <cell r="H2511" t="str">
            <v>康师傅顶津</v>
          </cell>
          <cell r="I2511" t="str">
            <v>包装饮料</v>
          </cell>
          <cell r="J2511" t="str">
            <v>果汁饮料</v>
          </cell>
          <cell r="K2511" t="str">
            <v>康师傅 金桔柠檬 500mL</v>
          </cell>
          <cell r="L2511" t="str">
            <v>500mL</v>
          </cell>
          <cell r="M2511" t="str">
            <v>瓶</v>
          </cell>
          <cell r="N2511">
            <v>2.5299999999999998</v>
          </cell>
          <cell r="O2511">
            <v>3.5</v>
          </cell>
          <cell r="P2511">
            <v>0.27142857142857102</v>
          </cell>
        </row>
        <row r="2512">
          <cell r="F2512" t="str">
            <v>70207558</v>
          </cell>
          <cell r="G2512" t="str">
            <v>康师傅顶津</v>
          </cell>
          <cell r="H2512" t="str">
            <v>康师傅顶津</v>
          </cell>
          <cell r="I2512" t="str">
            <v>包装饮料</v>
          </cell>
          <cell r="J2512" t="str">
            <v>果汁饮料</v>
          </cell>
          <cell r="K2512" t="str">
            <v>康师傅 蜂蜜柚子 500mL</v>
          </cell>
          <cell r="L2512" t="str">
            <v>500mL</v>
          </cell>
          <cell r="M2512" t="str">
            <v>瓶</v>
          </cell>
          <cell r="N2512">
            <v>2.1800000000000002</v>
          </cell>
          <cell r="O2512">
            <v>3.5</v>
          </cell>
          <cell r="P2512">
            <v>0.371428571428571</v>
          </cell>
        </row>
        <row r="2513">
          <cell r="F2513" t="str">
            <v>70274752</v>
          </cell>
          <cell r="G2513" t="str">
            <v>康师傅顶津</v>
          </cell>
          <cell r="H2513" t="str">
            <v>康师傅顶津</v>
          </cell>
          <cell r="I2513" t="str">
            <v>包装饮料</v>
          </cell>
          <cell r="J2513" t="str">
            <v>果汁饮料</v>
          </cell>
          <cell r="K2513" t="str">
            <v>康师傅 芒果小酪 500mL</v>
          </cell>
          <cell r="L2513" t="str">
            <v>500mL</v>
          </cell>
          <cell r="M2513" t="str">
            <v>瓶</v>
          </cell>
          <cell r="N2513">
            <v>2.4</v>
          </cell>
          <cell r="O2513">
            <v>3.5</v>
          </cell>
          <cell r="P2513">
            <v>0.30571428571428599</v>
          </cell>
        </row>
        <row r="2514">
          <cell r="F2514" t="str">
            <v>70201230</v>
          </cell>
          <cell r="G2514" t="str">
            <v>康师傅顶津</v>
          </cell>
          <cell r="H2514" t="str">
            <v>康师傅顶津</v>
          </cell>
          <cell r="I2514" t="str">
            <v>包装饮料</v>
          </cell>
          <cell r="J2514" t="str">
            <v>茶饮料</v>
          </cell>
          <cell r="K2514" t="str">
            <v>康师傅 经典奶茶 500mL</v>
          </cell>
          <cell r="L2514" t="str">
            <v>500mL</v>
          </cell>
          <cell r="M2514" t="str">
            <v>瓶</v>
          </cell>
          <cell r="N2514">
            <v>2.95</v>
          </cell>
          <cell r="O2514">
            <v>4.5</v>
          </cell>
          <cell r="P2514">
            <v>0.33777777777777801</v>
          </cell>
        </row>
        <row r="2515">
          <cell r="F2515" t="str">
            <v>70199308</v>
          </cell>
          <cell r="G2515" t="str">
            <v>康师傅顶津</v>
          </cell>
          <cell r="H2515" t="str">
            <v>康师傅顶津</v>
          </cell>
          <cell r="I2515" t="str">
            <v>包装饮料</v>
          </cell>
          <cell r="J2515" t="str">
            <v>茶饮料</v>
          </cell>
          <cell r="K2515" t="str">
            <v>康师傅 炼乳奶茶 500mL</v>
          </cell>
          <cell r="L2515" t="str">
            <v>500mL</v>
          </cell>
          <cell r="M2515" t="str">
            <v>瓶</v>
          </cell>
          <cell r="N2515">
            <v>2.95</v>
          </cell>
          <cell r="O2515">
            <v>4.5</v>
          </cell>
          <cell r="P2515">
            <v>0.33777777777777801</v>
          </cell>
        </row>
        <row r="2516">
          <cell r="F2516" t="str">
            <v>70405053</v>
          </cell>
          <cell r="G2516" t="str">
            <v>康师傅顶津</v>
          </cell>
          <cell r="H2516" t="str">
            <v>康师傅顶津</v>
          </cell>
          <cell r="I2516" t="str">
            <v>包装饮料</v>
          </cell>
          <cell r="J2516" t="str">
            <v>茶饮料</v>
          </cell>
          <cell r="K2516" t="str">
            <v>康师傅 黑糖奶茶 500mL</v>
          </cell>
          <cell r="L2516" t="str">
            <v>500mL</v>
          </cell>
          <cell r="M2516" t="str">
            <v>瓶</v>
          </cell>
          <cell r="N2516">
            <v>3.03</v>
          </cell>
          <cell r="O2516">
            <v>4.5</v>
          </cell>
          <cell r="P2516">
            <v>0.32</v>
          </cell>
        </row>
        <row r="2517">
          <cell r="F2517" t="str">
            <v>70003024</v>
          </cell>
          <cell r="G2517" t="str">
            <v>康师傅顶津</v>
          </cell>
          <cell r="H2517" t="str">
            <v>康师傅顶津</v>
          </cell>
          <cell r="I2517" t="str">
            <v>包装饮料</v>
          </cell>
          <cell r="J2517" t="str">
            <v>茶饮料</v>
          </cell>
          <cell r="K2517" t="str">
            <v>康师傅 冰红茶 1L</v>
          </cell>
          <cell r="L2517" t="str">
            <v>1L</v>
          </cell>
          <cell r="M2517" t="str">
            <v>瓶</v>
          </cell>
          <cell r="N2517">
            <v>3.43</v>
          </cell>
          <cell r="O2517">
            <v>5</v>
          </cell>
          <cell r="P2517">
            <v>0.30599999999999999</v>
          </cell>
        </row>
        <row r="2518">
          <cell r="F2518" t="str">
            <v>70405052</v>
          </cell>
          <cell r="G2518" t="str">
            <v>康师傅顶津</v>
          </cell>
          <cell r="H2518" t="str">
            <v>康师傅顶津</v>
          </cell>
          <cell r="I2518" t="str">
            <v>包装饮料</v>
          </cell>
          <cell r="J2518" t="str">
            <v>茶饮料</v>
          </cell>
          <cell r="K2518" t="str">
            <v>康师傅 无糖冰红茶 1L</v>
          </cell>
          <cell r="L2518" t="str">
            <v>1L</v>
          </cell>
          <cell r="M2518" t="str">
            <v>瓶</v>
          </cell>
          <cell r="N2518">
            <v>3.54</v>
          </cell>
          <cell r="O2518">
            <v>4.5</v>
          </cell>
          <cell r="P2518">
            <v>0.206666666666667</v>
          </cell>
        </row>
        <row r="2519">
          <cell r="F2519" t="str">
            <v>70260622</v>
          </cell>
          <cell r="G2519" t="str">
            <v>康师傅顶津</v>
          </cell>
          <cell r="H2519" t="str">
            <v>康师傅顶津</v>
          </cell>
          <cell r="I2519" t="str">
            <v>包装饮料</v>
          </cell>
          <cell r="J2519" t="str">
            <v>茶饮料</v>
          </cell>
          <cell r="K2519" t="str">
            <v>康师傅 劲凉冰红 1L</v>
          </cell>
          <cell r="L2519" t="str">
            <v>1L</v>
          </cell>
          <cell r="M2519" t="str">
            <v>瓶</v>
          </cell>
          <cell r="N2519">
            <v>3.43</v>
          </cell>
          <cell r="O2519">
            <v>5</v>
          </cell>
          <cell r="P2519">
            <v>0.30599999999999999</v>
          </cell>
        </row>
        <row r="2520">
          <cell r="F2520" t="str">
            <v>70000952</v>
          </cell>
          <cell r="G2520" t="str">
            <v>康师傅顶津</v>
          </cell>
          <cell r="H2520" t="str">
            <v>康师傅顶津</v>
          </cell>
          <cell r="I2520" t="str">
            <v>包装饮料</v>
          </cell>
          <cell r="J2520" t="str">
            <v>茶饮料</v>
          </cell>
          <cell r="K2520" t="str">
            <v>康师傅 绿茶 1L</v>
          </cell>
          <cell r="L2520" t="str">
            <v>1L</v>
          </cell>
          <cell r="M2520" t="str">
            <v>瓶</v>
          </cell>
          <cell r="N2520">
            <v>3.43</v>
          </cell>
          <cell r="O2520">
            <v>5</v>
          </cell>
          <cell r="P2520">
            <v>0.30599999999999999</v>
          </cell>
        </row>
        <row r="2521">
          <cell r="F2521" t="str">
            <v>70085027</v>
          </cell>
          <cell r="G2521" t="str">
            <v>康师傅顶津</v>
          </cell>
          <cell r="H2521" t="str">
            <v>康师傅顶津</v>
          </cell>
          <cell r="I2521" t="str">
            <v>包装饮料</v>
          </cell>
          <cell r="J2521" t="str">
            <v>茶饮料</v>
          </cell>
          <cell r="K2521" t="str">
            <v>康师傅 茉莉清茶 1L</v>
          </cell>
          <cell r="L2521" t="str">
            <v>1L</v>
          </cell>
          <cell r="M2521" t="str">
            <v>瓶</v>
          </cell>
          <cell r="N2521">
            <v>3.43</v>
          </cell>
          <cell r="O2521">
            <v>5</v>
          </cell>
          <cell r="P2521">
            <v>0.30599999999999999</v>
          </cell>
        </row>
        <row r="2522">
          <cell r="F2522" t="str">
            <v>70069061</v>
          </cell>
          <cell r="G2522" t="str">
            <v>康师傅顶津</v>
          </cell>
          <cell r="H2522" t="str">
            <v>康师傅顶津</v>
          </cell>
          <cell r="I2522" t="str">
            <v>包装饮料</v>
          </cell>
          <cell r="J2522" t="str">
            <v>茶饮料</v>
          </cell>
          <cell r="K2522" t="str">
            <v>康师傅 茉莉蜜茶 1L</v>
          </cell>
          <cell r="L2522" t="str">
            <v>1L</v>
          </cell>
          <cell r="M2522" t="str">
            <v>瓶</v>
          </cell>
          <cell r="N2522">
            <v>3.43</v>
          </cell>
          <cell r="O2522">
            <v>5</v>
          </cell>
          <cell r="P2522">
            <v>0.30599999999999999</v>
          </cell>
        </row>
        <row r="2523">
          <cell r="F2523" t="str">
            <v>70185129</v>
          </cell>
          <cell r="G2523" t="str">
            <v>康师傅顶津</v>
          </cell>
          <cell r="H2523" t="str">
            <v>康师傅顶津</v>
          </cell>
          <cell r="I2523" t="str">
            <v>包装饮料</v>
          </cell>
          <cell r="J2523" t="str">
            <v>果汁饮料</v>
          </cell>
          <cell r="K2523" t="str">
            <v>康师傅 冰糖雪梨 1L</v>
          </cell>
          <cell r="L2523" t="str">
            <v>1L</v>
          </cell>
          <cell r="M2523" t="str">
            <v>个</v>
          </cell>
          <cell r="N2523">
            <v>3.43</v>
          </cell>
          <cell r="O2523">
            <v>5</v>
          </cell>
          <cell r="P2523">
            <v>0.30599999999999999</v>
          </cell>
        </row>
        <row r="2524">
          <cell r="F2524" t="str">
            <v>70442590</v>
          </cell>
          <cell r="G2524" t="str">
            <v>康师傅顶津</v>
          </cell>
          <cell r="H2524" t="str">
            <v>康师傅顶津</v>
          </cell>
          <cell r="I2524" t="str">
            <v>包装饮料</v>
          </cell>
          <cell r="J2524" t="str">
            <v>果汁饮料</v>
          </cell>
          <cell r="K2524" t="str">
            <v>康师傅 金桔柠檬 1L</v>
          </cell>
          <cell r="L2524" t="str">
            <v>1L</v>
          </cell>
          <cell r="M2524" t="str">
            <v>瓶</v>
          </cell>
          <cell r="N2524">
            <v>3.43</v>
          </cell>
          <cell r="O2524">
            <v>5</v>
          </cell>
          <cell r="P2524">
            <v>0.30599999999999999</v>
          </cell>
        </row>
        <row r="2525">
          <cell r="F2525" t="str">
            <v>70024137</v>
          </cell>
          <cell r="G2525" t="str">
            <v>康师傅顶津</v>
          </cell>
          <cell r="H2525" t="str">
            <v>康师傅顶津</v>
          </cell>
          <cell r="I2525" t="str">
            <v>包装饮料</v>
          </cell>
          <cell r="J2525" t="str">
            <v>茶饮料</v>
          </cell>
          <cell r="K2525" t="str">
            <v>康师傅 冰红茶 2L</v>
          </cell>
          <cell r="L2525" t="str">
            <v>2L</v>
          </cell>
          <cell r="M2525" t="str">
            <v>瓶</v>
          </cell>
          <cell r="N2525">
            <v>5.95</v>
          </cell>
          <cell r="O2525">
            <v>9</v>
          </cell>
          <cell r="P2525">
            <v>0.33222222222222197</v>
          </cell>
        </row>
        <row r="2526">
          <cell r="F2526" t="str">
            <v>70067985</v>
          </cell>
          <cell r="G2526" t="str">
            <v>康师傅顶津</v>
          </cell>
          <cell r="H2526" t="str">
            <v>康师傅顶津</v>
          </cell>
          <cell r="I2526" t="str">
            <v>包装饮料</v>
          </cell>
          <cell r="J2526" t="str">
            <v>茶饮料</v>
          </cell>
          <cell r="K2526" t="str">
            <v>康师傅 绿茶 2L</v>
          </cell>
          <cell r="L2526" t="str">
            <v>2L</v>
          </cell>
          <cell r="M2526" t="str">
            <v>瓶</v>
          </cell>
          <cell r="N2526">
            <v>5.95</v>
          </cell>
          <cell r="O2526">
            <v>9</v>
          </cell>
          <cell r="P2526">
            <v>0.33222222222222197</v>
          </cell>
        </row>
        <row r="2527">
          <cell r="F2527" t="str">
            <v>70090631</v>
          </cell>
          <cell r="G2527" t="str">
            <v>康师傅顶津</v>
          </cell>
          <cell r="H2527" t="str">
            <v>康师傅顶津</v>
          </cell>
          <cell r="I2527" t="str">
            <v>包装饮料</v>
          </cell>
          <cell r="J2527" t="str">
            <v>茶饮料</v>
          </cell>
          <cell r="K2527" t="str">
            <v>康师傅 茉莉蜜茶 2L</v>
          </cell>
          <cell r="L2527" t="str">
            <v>2L</v>
          </cell>
          <cell r="M2527" t="str">
            <v>瓶</v>
          </cell>
          <cell r="N2527">
            <v>5.95</v>
          </cell>
          <cell r="O2527">
            <v>9</v>
          </cell>
          <cell r="P2527">
            <v>0.33222222222222197</v>
          </cell>
        </row>
        <row r="2528">
          <cell r="F2528" t="str">
            <v>70047868</v>
          </cell>
          <cell r="G2528" t="str">
            <v>康师傅顶津</v>
          </cell>
          <cell r="H2528" t="str">
            <v>康师傅顶津</v>
          </cell>
          <cell r="I2528" t="str">
            <v>包装饮料</v>
          </cell>
          <cell r="J2528" t="str">
            <v>果汁饮料</v>
          </cell>
          <cell r="K2528" t="str">
            <v>康师傅 鲜果橙 2L</v>
          </cell>
          <cell r="L2528" t="str">
            <v>2L</v>
          </cell>
          <cell r="M2528" t="str">
            <v>瓶</v>
          </cell>
          <cell r="N2528">
            <v>5.95</v>
          </cell>
          <cell r="O2528">
            <v>9</v>
          </cell>
          <cell r="P2528">
            <v>0.33222222222222197</v>
          </cell>
        </row>
        <row r="2529">
          <cell r="F2529" t="str">
            <v>70082152</v>
          </cell>
          <cell r="G2529" t="str">
            <v>康师傅顶津</v>
          </cell>
          <cell r="H2529" t="str">
            <v>康师傅顶津</v>
          </cell>
          <cell r="I2529" t="str">
            <v>包装饮料</v>
          </cell>
          <cell r="J2529" t="str">
            <v>果汁饮料</v>
          </cell>
          <cell r="K2529" t="str">
            <v>康师傅 水蜜桃 2L</v>
          </cell>
          <cell r="L2529" t="str">
            <v>2L</v>
          </cell>
          <cell r="M2529" t="str">
            <v>瓶</v>
          </cell>
          <cell r="N2529">
            <v>5.95</v>
          </cell>
          <cell r="O2529">
            <v>9</v>
          </cell>
          <cell r="P2529">
            <v>0.33222222222222197</v>
          </cell>
        </row>
        <row r="2530">
          <cell r="F2530" t="str">
            <v>70017035</v>
          </cell>
          <cell r="G2530" t="str">
            <v>康师傅顶津</v>
          </cell>
          <cell r="H2530" t="str">
            <v>康师傅顶津</v>
          </cell>
          <cell r="I2530" t="str">
            <v>包装饮料</v>
          </cell>
          <cell r="J2530" t="str">
            <v>果汁饮料</v>
          </cell>
          <cell r="K2530" t="str">
            <v>康师傅 水晶葡萄 2L</v>
          </cell>
          <cell r="L2530" t="str">
            <v>2L</v>
          </cell>
          <cell r="M2530" t="str">
            <v>瓶</v>
          </cell>
          <cell r="N2530">
            <v>5.95</v>
          </cell>
          <cell r="O2530">
            <v>9</v>
          </cell>
          <cell r="P2530">
            <v>0.33222222222222197</v>
          </cell>
        </row>
        <row r="2531">
          <cell r="F2531" t="str">
            <v>70260624</v>
          </cell>
          <cell r="G2531" t="str">
            <v>康师傅顶津</v>
          </cell>
          <cell r="H2531" t="str">
            <v>康师傅顶津</v>
          </cell>
          <cell r="I2531" t="str">
            <v>包装饮料</v>
          </cell>
          <cell r="J2531" t="str">
            <v>果汁饮料</v>
          </cell>
          <cell r="K2531" t="str">
            <v>康师傅 冰糖雪梨 2L</v>
          </cell>
          <cell r="L2531" t="str">
            <v>2L</v>
          </cell>
          <cell r="M2531" t="str">
            <v>瓶</v>
          </cell>
          <cell r="N2531">
            <v>5.95</v>
          </cell>
          <cell r="O2531">
            <v>9</v>
          </cell>
          <cell r="P2531">
            <v>0.33222222222222197</v>
          </cell>
        </row>
        <row r="2532">
          <cell r="F2532" t="str">
            <v>70260623</v>
          </cell>
          <cell r="G2532" t="str">
            <v>康师傅顶津</v>
          </cell>
          <cell r="H2532" t="str">
            <v>康师傅顶津</v>
          </cell>
          <cell r="I2532" t="str">
            <v>包装饮料</v>
          </cell>
          <cell r="J2532" t="str">
            <v>果汁饮料</v>
          </cell>
          <cell r="K2532" t="str">
            <v>康师傅 蜂蜜柚子 2L</v>
          </cell>
          <cell r="L2532" t="str">
            <v>2L</v>
          </cell>
          <cell r="M2532" t="str">
            <v>瓶</v>
          </cell>
          <cell r="N2532">
            <v>5.95</v>
          </cell>
          <cell r="O2532">
            <v>9</v>
          </cell>
          <cell r="P2532">
            <v>0.33222222222222197</v>
          </cell>
        </row>
        <row r="2533">
          <cell r="F2533" t="str">
            <v>70486209</v>
          </cell>
          <cell r="G2533" t="str">
            <v>康师傅顶津</v>
          </cell>
          <cell r="H2533" t="str">
            <v>康师傅顶津</v>
          </cell>
          <cell r="I2533" t="str">
            <v>包装饮料</v>
          </cell>
          <cell r="J2533" t="str">
            <v>茶饮料</v>
          </cell>
          <cell r="K2533" t="str">
            <v>康师傅 纯萃零糖 茉莉花茶 350mL*12</v>
          </cell>
          <cell r="L2533" t="str">
            <v>350mL*12</v>
          </cell>
          <cell r="M2533" t="str">
            <v>包</v>
          </cell>
          <cell r="N2533">
            <v>20.73</v>
          </cell>
          <cell r="O2533">
            <v>28</v>
          </cell>
          <cell r="P2533">
            <v>0.2525</v>
          </cell>
        </row>
        <row r="2534">
          <cell r="F2534" t="str">
            <v>70486210</v>
          </cell>
          <cell r="G2534" t="str">
            <v>康师傅顶津</v>
          </cell>
          <cell r="H2534" t="str">
            <v>康师傅顶津</v>
          </cell>
          <cell r="I2534" t="str">
            <v>包装饮料</v>
          </cell>
          <cell r="J2534" t="str">
            <v>茶饮料</v>
          </cell>
          <cell r="K2534" t="str">
            <v>康师傅 纯萃零糖 云雾绿茶 350mL*12</v>
          </cell>
          <cell r="L2534" t="str">
            <v>350mL*12</v>
          </cell>
          <cell r="M2534" t="str">
            <v>包</v>
          </cell>
          <cell r="N2534">
            <v>20.73</v>
          </cell>
          <cell r="O2534">
            <v>28</v>
          </cell>
          <cell r="P2534">
            <v>0.2525</v>
          </cell>
        </row>
        <row r="2535">
          <cell r="F2535" t="str">
            <v>70511070</v>
          </cell>
          <cell r="G2535" t="str">
            <v>康师傅顶津</v>
          </cell>
          <cell r="H2535" t="str">
            <v>康师傅顶津</v>
          </cell>
          <cell r="I2535" t="str">
            <v>包装饮料</v>
          </cell>
          <cell r="J2535" t="str">
            <v>茶饮料</v>
          </cell>
          <cell r="K2535" t="str">
            <v>康师傅 无糖茉莉绿茶 500mL</v>
          </cell>
          <cell r="L2535" t="str">
            <v>500mL</v>
          </cell>
          <cell r="M2535" t="str">
            <v>瓶</v>
          </cell>
          <cell r="N2535">
            <v>3.03</v>
          </cell>
          <cell r="O2535">
            <v>4</v>
          </cell>
          <cell r="P2535">
            <v>0.23499999999999999</v>
          </cell>
        </row>
        <row r="2536">
          <cell r="F2536" t="str">
            <v>70511076</v>
          </cell>
          <cell r="G2536" t="str">
            <v>康师傅顶津</v>
          </cell>
          <cell r="H2536" t="str">
            <v>康师傅顶津</v>
          </cell>
          <cell r="I2536" t="str">
            <v>包装饮料</v>
          </cell>
          <cell r="J2536" t="str">
            <v>茶饮料</v>
          </cell>
          <cell r="K2536" t="str">
            <v>康师傅 无糖茉莉绿茶 1L</v>
          </cell>
          <cell r="L2536" t="str">
            <v>1L</v>
          </cell>
          <cell r="M2536" t="str">
            <v>瓶</v>
          </cell>
          <cell r="N2536">
            <v>4.04</v>
          </cell>
          <cell r="O2536">
            <v>5.5</v>
          </cell>
          <cell r="P2536">
            <v>0.25818181818181801</v>
          </cell>
        </row>
        <row r="2537">
          <cell r="F2537" t="str">
            <v>70496029</v>
          </cell>
          <cell r="G2537" t="str">
            <v>康师傅顶津</v>
          </cell>
          <cell r="H2537" t="str">
            <v>康师傅顶津</v>
          </cell>
          <cell r="I2537" t="str">
            <v>包装饮料</v>
          </cell>
          <cell r="J2537" t="str">
            <v>茶饮料</v>
          </cell>
          <cell r="K2537" t="str">
            <v>康师傅 莓果红茶 500mL</v>
          </cell>
          <cell r="L2537" t="str">
            <v>500mL</v>
          </cell>
          <cell r="M2537" t="str">
            <v>瓶</v>
          </cell>
          <cell r="N2537">
            <v>2.73</v>
          </cell>
          <cell r="O2537">
            <v>3.5</v>
          </cell>
          <cell r="P2537">
            <v>0.214285714285714</v>
          </cell>
        </row>
        <row r="2538">
          <cell r="F2538" t="str">
            <v>70496030</v>
          </cell>
          <cell r="G2538" t="str">
            <v>康师傅顶津</v>
          </cell>
          <cell r="H2538" t="str">
            <v>康师傅顶津</v>
          </cell>
          <cell r="I2538" t="str">
            <v>包装饮料</v>
          </cell>
          <cell r="J2538" t="str">
            <v>茶饮料</v>
          </cell>
          <cell r="K2538" t="str">
            <v>康师傅 莓果红茶 1L</v>
          </cell>
          <cell r="L2538" t="str">
            <v>1L</v>
          </cell>
          <cell r="M2538" t="str">
            <v>瓶</v>
          </cell>
          <cell r="N2538">
            <v>3.54</v>
          </cell>
          <cell r="O2538">
            <v>4.5</v>
          </cell>
          <cell r="P2538">
            <v>0.206666666666667</v>
          </cell>
        </row>
        <row r="2539">
          <cell r="F2539" t="str">
            <v>70496031</v>
          </cell>
          <cell r="G2539" t="str">
            <v>康师傅顶津</v>
          </cell>
          <cell r="H2539" t="str">
            <v>康师傅顶津</v>
          </cell>
          <cell r="I2539" t="str">
            <v>包装饮料</v>
          </cell>
          <cell r="J2539" t="str">
            <v>果汁饮料</v>
          </cell>
          <cell r="K2539" t="str">
            <v>康师傅 柑橘C风暴 500mL</v>
          </cell>
          <cell r="L2539" t="str">
            <v>500mL</v>
          </cell>
          <cell r="M2539" t="str">
            <v>瓶</v>
          </cell>
          <cell r="N2539">
            <v>2.73</v>
          </cell>
          <cell r="O2539">
            <v>3.5</v>
          </cell>
          <cell r="P2539">
            <v>0.214285714285714</v>
          </cell>
        </row>
        <row r="2540">
          <cell r="F2540" t="str">
            <v>70496032</v>
          </cell>
          <cell r="G2540" t="str">
            <v>康师傅顶津</v>
          </cell>
          <cell r="H2540" t="str">
            <v>康师傅顶津</v>
          </cell>
          <cell r="I2540" t="str">
            <v>包装饮料</v>
          </cell>
          <cell r="J2540" t="str">
            <v>果汁饮料</v>
          </cell>
          <cell r="K2540" t="str">
            <v>康师傅 柑橘C风暴 1L</v>
          </cell>
          <cell r="L2540" t="str">
            <v>1L</v>
          </cell>
          <cell r="M2540" t="str">
            <v>瓶</v>
          </cell>
          <cell r="N2540">
            <v>3.54</v>
          </cell>
          <cell r="O2540">
            <v>4.5</v>
          </cell>
          <cell r="P2540">
            <v>0.206666666666667</v>
          </cell>
        </row>
        <row r="2541">
          <cell r="F2541" t="str">
            <v>70511062</v>
          </cell>
          <cell r="G2541" t="str">
            <v>康师傅顶津</v>
          </cell>
          <cell r="H2541" t="str">
            <v>康师傅顶津</v>
          </cell>
          <cell r="I2541" t="str">
            <v>包装饮料</v>
          </cell>
          <cell r="J2541" t="str">
            <v>茶饮料</v>
          </cell>
          <cell r="K2541" t="str">
            <v>康师傅 青梅绿茶 310mL</v>
          </cell>
          <cell r="L2541" t="str">
            <v>310mL</v>
          </cell>
          <cell r="M2541" t="str">
            <v>瓶</v>
          </cell>
          <cell r="N2541">
            <v>2.02</v>
          </cell>
          <cell r="O2541">
            <v>2.5</v>
          </cell>
          <cell r="P2541">
            <v>0.184</v>
          </cell>
        </row>
        <row r="2542">
          <cell r="F2542" t="str">
            <v>70511058</v>
          </cell>
          <cell r="G2542" t="str">
            <v>康师傅顶津</v>
          </cell>
          <cell r="H2542" t="str">
            <v>康师傅顶津</v>
          </cell>
          <cell r="I2542" t="str">
            <v>包装饮料</v>
          </cell>
          <cell r="J2542" t="str">
            <v>果汁饮料</v>
          </cell>
          <cell r="K2542" t="str">
            <v>康师傅 金桔柠檬 310mL</v>
          </cell>
          <cell r="L2542" t="str">
            <v>310mL</v>
          </cell>
          <cell r="M2542" t="str">
            <v>瓶</v>
          </cell>
          <cell r="N2542">
            <v>2.02</v>
          </cell>
          <cell r="O2542">
            <v>2.5</v>
          </cell>
          <cell r="P2542">
            <v>0.184</v>
          </cell>
        </row>
        <row r="2543">
          <cell r="F2543" t="str">
            <v>70511054</v>
          </cell>
          <cell r="G2543" t="str">
            <v>康师傅顶津</v>
          </cell>
          <cell r="H2543" t="str">
            <v>康师傅顶津</v>
          </cell>
          <cell r="I2543" t="str">
            <v>包装饮料</v>
          </cell>
          <cell r="J2543" t="str">
            <v>茶饮料</v>
          </cell>
          <cell r="K2543" t="str">
            <v>康师傅 无糖冰红茶 310mL</v>
          </cell>
          <cell r="L2543" t="str">
            <v>310mL</v>
          </cell>
          <cell r="M2543" t="str">
            <v>瓶</v>
          </cell>
          <cell r="N2543">
            <v>2.02</v>
          </cell>
          <cell r="O2543">
            <v>2.5</v>
          </cell>
          <cell r="P2543">
            <v>0.184</v>
          </cell>
        </row>
        <row r="2544">
          <cell r="F2544" t="str">
            <v>70511065</v>
          </cell>
          <cell r="G2544" t="str">
            <v>康师傅顶津</v>
          </cell>
          <cell r="H2544" t="str">
            <v>康师傅顶津</v>
          </cell>
          <cell r="I2544" t="str">
            <v>包装饮料</v>
          </cell>
          <cell r="J2544" t="str">
            <v>茶饮料</v>
          </cell>
          <cell r="K2544" t="str">
            <v>康师傅 大红袍红茶 500mL</v>
          </cell>
          <cell r="L2544" t="str">
            <v>500mL</v>
          </cell>
          <cell r="M2544" t="str">
            <v>瓶</v>
          </cell>
          <cell r="N2544">
            <v>3.54</v>
          </cell>
          <cell r="O2544">
            <v>4.5</v>
          </cell>
          <cell r="P2544">
            <v>0.206666666666667</v>
          </cell>
        </row>
        <row r="2545">
          <cell r="F2545" t="str">
            <v>70511067</v>
          </cell>
          <cell r="G2545" t="str">
            <v>康师傅顶津</v>
          </cell>
          <cell r="H2545" t="str">
            <v>康师傅顶津</v>
          </cell>
          <cell r="I2545" t="str">
            <v>包装饮料</v>
          </cell>
          <cell r="J2545" t="str">
            <v>茶饮料</v>
          </cell>
          <cell r="K2545" t="str">
            <v>康师傅 大红袍奶茶 500mL</v>
          </cell>
          <cell r="L2545" t="str">
            <v>500mL</v>
          </cell>
          <cell r="M2545" t="str">
            <v>瓶</v>
          </cell>
          <cell r="N2545">
            <v>3.54</v>
          </cell>
          <cell r="O2545">
            <v>4.5</v>
          </cell>
          <cell r="P2545">
            <v>0.206666666666667</v>
          </cell>
        </row>
        <row r="2546">
          <cell r="F2546" t="str">
            <v>70499006</v>
          </cell>
          <cell r="G2546" t="str">
            <v>康师傅顶津</v>
          </cell>
          <cell r="H2546" t="str">
            <v>康师傅顶津</v>
          </cell>
          <cell r="I2546" t="str">
            <v>包装饮料</v>
          </cell>
          <cell r="J2546" t="str">
            <v>茶饮料</v>
          </cell>
          <cell r="K2546" t="str">
            <v>康师傅 纯萃零糖高山乌龙茶 500mL</v>
          </cell>
          <cell r="L2546" t="str">
            <v>500mL</v>
          </cell>
          <cell r="M2546" t="str">
            <v>瓶</v>
          </cell>
          <cell r="N2546">
            <v>3.03</v>
          </cell>
          <cell r="O2546">
            <v>4.5</v>
          </cell>
          <cell r="P2546">
            <v>0.32</v>
          </cell>
        </row>
        <row r="2547">
          <cell r="F2547" t="str">
            <v>70218715</v>
          </cell>
          <cell r="G2547" t="str">
            <v>康师傅顶津</v>
          </cell>
          <cell r="H2547" t="str">
            <v>康师傅顶津</v>
          </cell>
          <cell r="I2547" t="str">
            <v>包装饮料</v>
          </cell>
          <cell r="J2547" t="str">
            <v>果汁饮料</v>
          </cell>
          <cell r="K2547" t="str">
            <v>康师傅 冰糖雪梨 310mL</v>
          </cell>
          <cell r="L2547" t="str">
            <v>310mL</v>
          </cell>
          <cell r="M2547" t="str">
            <v>罐</v>
          </cell>
          <cell r="N2547">
            <v>2.02</v>
          </cell>
          <cell r="O2547">
            <v>2.5</v>
          </cell>
          <cell r="P2547">
            <v>0.184</v>
          </cell>
        </row>
        <row r="2548">
          <cell r="F2548" t="str">
            <v>70263255</v>
          </cell>
          <cell r="G2548" t="str">
            <v>康师傅顶津</v>
          </cell>
          <cell r="H2548" t="str">
            <v>康师傅顶津</v>
          </cell>
          <cell r="I2548" t="str">
            <v>包装饮料</v>
          </cell>
          <cell r="J2548" t="str">
            <v>果汁饮料</v>
          </cell>
          <cell r="K2548" t="str">
            <v>康师傅 鲜果橙 310mL</v>
          </cell>
          <cell r="L2548" t="str">
            <v>310mL</v>
          </cell>
          <cell r="M2548" t="str">
            <v>罐</v>
          </cell>
          <cell r="N2548">
            <v>2.02</v>
          </cell>
          <cell r="O2548">
            <v>2.5</v>
          </cell>
          <cell r="P2548">
            <v>0.184</v>
          </cell>
        </row>
        <row r="2549">
          <cell r="F2549" t="str">
            <v>70266669</v>
          </cell>
          <cell r="G2549" t="str">
            <v>康师傅顶津</v>
          </cell>
          <cell r="H2549" t="str">
            <v>康师傅顶津</v>
          </cell>
          <cell r="I2549" t="str">
            <v>包装饮料</v>
          </cell>
          <cell r="J2549" t="str">
            <v>果汁饮料</v>
          </cell>
          <cell r="K2549" t="str">
            <v>康师傅 水蜜桃 310mL</v>
          </cell>
          <cell r="L2549" t="str">
            <v>310mL</v>
          </cell>
          <cell r="M2549" t="str">
            <v>罐</v>
          </cell>
          <cell r="N2549">
            <v>2.02</v>
          </cell>
          <cell r="O2549">
            <v>2.5</v>
          </cell>
          <cell r="P2549">
            <v>0.184</v>
          </cell>
        </row>
        <row r="2550">
          <cell r="F2550" t="str">
            <v>70300514</v>
          </cell>
          <cell r="G2550" t="str">
            <v>康师傅顶津</v>
          </cell>
          <cell r="H2550" t="str">
            <v>康师傅顶津</v>
          </cell>
          <cell r="I2550" t="str">
            <v>包装饮料</v>
          </cell>
          <cell r="J2550" t="str">
            <v>茶饮料</v>
          </cell>
          <cell r="K2550" t="str">
            <v>康师傅 冰红茶 310mL</v>
          </cell>
          <cell r="L2550" t="str">
            <v>310mL</v>
          </cell>
          <cell r="M2550" t="str">
            <v>罐</v>
          </cell>
          <cell r="N2550">
            <v>2.02</v>
          </cell>
          <cell r="O2550">
            <v>2.5</v>
          </cell>
          <cell r="P2550">
            <v>0.184</v>
          </cell>
        </row>
        <row r="2551">
          <cell r="F2551" t="str">
            <v>70256809</v>
          </cell>
          <cell r="G2551" t="str">
            <v>康师傅顶津</v>
          </cell>
          <cell r="H2551" t="str">
            <v>康师傅顶津</v>
          </cell>
          <cell r="I2551" t="str">
            <v>包装饮料</v>
          </cell>
          <cell r="J2551" t="str">
            <v>茶饮料</v>
          </cell>
          <cell r="K2551" t="str">
            <v>康师傅 冰红茶 250mL*6</v>
          </cell>
          <cell r="L2551" t="str">
            <v>250mL*6</v>
          </cell>
          <cell r="M2551" t="str">
            <v>包</v>
          </cell>
          <cell r="N2551">
            <v>7.07</v>
          </cell>
          <cell r="O2551">
            <v>9</v>
          </cell>
          <cell r="P2551">
            <v>0.206666666666667</v>
          </cell>
        </row>
        <row r="2552">
          <cell r="F2552" t="str">
            <v>70033921</v>
          </cell>
          <cell r="G2552" t="str">
            <v>康师傅顶津</v>
          </cell>
          <cell r="H2552" t="str">
            <v>康师傅顶津</v>
          </cell>
          <cell r="I2552" t="str">
            <v>包装饮料</v>
          </cell>
          <cell r="J2552" t="str">
            <v>茶饮料</v>
          </cell>
          <cell r="K2552" t="str">
            <v>康师傅 冰红茶 250mL*24</v>
          </cell>
          <cell r="L2552" t="str">
            <v>250mL*24</v>
          </cell>
          <cell r="M2552" t="str">
            <v>箱</v>
          </cell>
          <cell r="N2552">
            <v>28.28</v>
          </cell>
          <cell r="O2552">
            <v>36</v>
          </cell>
          <cell r="P2552">
            <v>0.206666666666667</v>
          </cell>
        </row>
        <row r="2553">
          <cell r="F2553" t="str">
            <v>70511640</v>
          </cell>
          <cell r="G2553" t="str">
            <v>康师傅顶津</v>
          </cell>
          <cell r="H2553" t="str">
            <v>康师傅顶津</v>
          </cell>
          <cell r="I2553" t="str">
            <v>包装饮料</v>
          </cell>
          <cell r="J2553" t="str">
            <v>茶饮料</v>
          </cell>
          <cell r="K2553" t="str">
            <v>康师傅 纯萃零糖茉莉花茶 1L</v>
          </cell>
          <cell r="L2553" t="str">
            <v>1L</v>
          </cell>
          <cell r="M2553" t="str">
            <v>瓶</v>
          </cell>
          <cell r="N2553">
            <v>4.04</v>
          </cell>
          <cell r="O2553">
            <v>5.5</v>
          </cell>
          <cell r="P2553">
            <v>0.25818181818181801</v>
          </cell>
        </row>
        <row r="2554">
          <cell r="F2554" t="str">
            <v>70522878</v>
          </cell>
          <cell r="G2554" t="str">
            <v>康师傅顶津</v>
          </cell>
          <cell r="H2554" t="str">
            <v>康师傅顶津</v>
          </cell>
          <cell r="I2554" t="str">
            <v>包装饮料</v>
          </cell>
          <cell r="J2554" t="str">
            <v>茶饮料</v>
          </cell>
          <cell r="K2554" t="str">
            <v>康师傅 纯萃零糖云雾绿茶 1L</v>
          </cell>
          <cell r="L2554" t="str">
            <v>1L</v>
          </cell>
          <cell r="M2554" t="str">
            <v>瓶</v>
          </cell>
          <cell r="N2554">
            <v>4.04</v>
          </cell>
          <cell r="O2554">
            <v>5.5</v>
          </cell>
          <cell r="P2554">
            <v>0.25818181818181801</v>
          </cell>
        </row>
        <row r="2555">
          <cell r="F2555" t="str">
            <v>70511641</v>
          </cell>
          <cell r="G2555" t="str">
            <v>康师傅顶津</v>
          </cell>
          <cell r="H2555" t="str">
            <v>康师傅顶津</v>
          </cell>
          <cell r="I2555" t="str">
            <v>包装饮料</v>
          </cell>
          <cell r="J2555" t="str">
            <v>茶饮料</v>
          </cell>
          <cell r="K2555" t="str">
            <v>康师傅 纯萃零糖高山乌龙茶 1L</v>
          </cell>
          <cell r="L2555" t="str">
            <v>1L</v>
          </cell>
          <cell r="M2555" t="str">
            <v>瓶</v>
          </cell>
          <cell r="N2555">
            <v>4.04</v>
          </cell>
          <cell r="O2555">
            <v>5.5</v>
          </cell>
          <cell r="P2555">
            <v>0.25818181818181801</v>
          </cell>
        </row>
        <row r="2556">
          <cell r="F2556" t="str">
            <v>70543410</v>
          </cell>
          <cell r="G2556" t="str">
            <v>康师傅顶津</v>
          </cell>
          <cell r="H2556" t="str">
            <v>康师傅顶津</v>
          </cell>
          <cell r="I2556" t="str">
            <v>包装饮料</v>
          </cell>
          <cell r="J2556" t="str">
            <v>功能饮料</v>
          </cell>
          <cell r="K2556" t="str">
            <v>康师傅 无限电西柚味 500mL</v>
          </cell>
          <cell r="L2556" t="str">
            <v>500mL</v>
          </cell>
          <cell r="M2556" t="str">
            <v>瓶</v>
          </cell>
          <cell r="N2556">
            <v>3.54</v>
          </cell>
          <cell r="O2556">
            <v>5</v>
          </cell>
          <cell r="P2556">
            <v>0.28599999999999998</v>
          </cell>
        </row>
        <row r="2557">
          <cell r="F2557" t="str">
            <v>70543413</v>
          </cell>
          <cell r="G2557" t="str">
            <v>康师傅顶津</v>
          </cell>
          <cell r="H2557" t="str">
            <v>康师傅顶津</v>
          </cell>
          <cell r="I2557" t="str">
            <v>包装饮料</v>
          </cell>
          <cell r="J2557" t="str">
            <v>功能饮料</v>
          </cell>
          <cell r="K2557" t="str">
            <v>康师傅 无限电荔枝味 500mL</v>
          </cell>
          <cell r="L2557" t="str">
            <v>500mL</v>
          </cell>
          <cell r="M2557" t="str">
            <v>瓶</v>
          </cell>
          <cell r="N2557">
            <v>3.54</v>
          </cell>
          <cell r="O2557">
            <v>5</v>
          </cell>
          <cell r="P2557">
            <v>0.28599999999999998</v>
          </cell>
        </row>
        <row r="2558">
          <cell r="F2558" t="str">
            <v>70543460</v>
          </cell>
          <cell r="G2558" t="str">
            <v>康师傅顶津</v>
          </cell>
          <cell r="H2558" t="str">
            <v>康师傅顶津</v>
          </cell>
          <cell r="I2558" t="str">
            <v>包装饮料</v>
          </cell>
          <cell r="J2558" t="str">
            <v>茶饮料</v>
          </cell>
          <cell r="K2558" t="str">
            <v>康师傅 无糖乌龙茶 500mL</v>
          </cell>
          <cell r="L2558" t="str">
            <v>500mL</v>
          </cell>
          <cell r="M2558" t="str">
            <v>瓶</v>
          </cell>
          <cell r="N2558">
            <v>3.54</v>
          </cell>
          <cell r="O2558">
            <v>5</v>
          </cell>
          <cell r="P2558">
            <v>0.28599999999999998</v>
          </cell>
        </row>
        <row r="2559">
          <cell r="F2559" t="str">
            <v>70543428</v>
          </cell>
          <cell r="G2559" t="str">
            <v>康师傅顶津</v>
          </cell>
          <cell r="H2559" t="str">
            <v>康师傅顶津</v>
          </cell>
          <cell r="I2559" t="str">
            <v>包装饮料</v>
          </cell>
          <cell r="J2559" t="str">
            <v>茶饮料</v>
          </cell>
          <cell r="K2559" t="str">
            <v>康师傅 无糖茉莉花茶 500mL</v>
          </cell>
          <cell r="L2559" t="str">
            <v>500mL</v>
          </cell>
          <cell r="M2559" t="str">
            <v>瓶</v>
          </cell>
          <cell r="N2559">
            <v>3.54</v>
          </cell>
          <cell r="O2559">
            <v>5</v>
          </cell>
          <cell r="P2559">
            <v>0.28599999999999998</v>
          </cell>
        </row>
        <row r="2560">
          <cell r="F2560" t="str">
            <v>70543426</v>
          </cell>
          <cell r="G2560" t="str">
            <v>康师傅顶津</v>
          </cell>
          <cell r="H2560" t="str">
            <v>康师傅顶津</v>
          </cell>
          <cell r="I2560" t="str">
            <v>包装饮料</v>
          </cell>
          <cell r="J2560" t="str">
            <v>茶饮料</v>
          </cell>
          <cell r="K2560" t="str">
            <v>康师傅 茶的传人 铁观音 500mL</v>
          </cell>
          <cell r="L2560" t="str">
            <v>500mL</v>
          </cell>
          <cell r="M2560" t="str">
            <v>瓶</v>
          </cell>
          <cell r="N2560">
            <v>4.55</v>
          </cell>
          <cell r="O2560">
            <v>6.5</v>
          </cell>
          <cell r="P2560">
            <v>0.29384615384615398</v>
          </cell>
        </row>
        <row r="2561">
          <cell r="F2561" t="str">
            <v>70543454</v>
          </cell>
          <cell r="G2561" t="str">
            <v>康师傅顶津</v>
          </cell>
          <cell r="H2561" t="str">
            <v>康师傅顶津</v>
          </cell>
          <cell r="I2561" t="str">
            <v>包装饮料</v>
          </cell>
          <cell r="J2561" t="str">
            <v>茶饮料</v>
          </cell>
          <cell r="K2561" t="str">
            <v>康师傅 茶的传人 普洱茶 500mL</v>
          </cell>
          <cell r="L2561" t="str">
            <v>500mL</v>
          </cell>
          <cell r="M2561" t="str">
            <v>瓶</v>
          </cell>
          <cell r="N2561">
            <v>4.55</v>
          </cell>
          <cell r="O2561">
            <v>6.5</v>
          </cell>
          <cell r="P2561">
            <v>0.29384615384615398</v>
          </cell>
        </row>
        <row r="2562">
          <cell r="F2562" t="str">
            <v>70000359</v>
          </cell>
          <cell r="G2562" t="str">
            <v>康师傅顶益</v>
          </cell>
          <cell r="H2562" t="str">
            <v>康师傅顶益</v>
          </cell>
          <cell r="I2562" t="str">
            <v>速食</v>
          </cell>
          <cell r="J2562" t="str">
            <v>包装方便食品</v>
          </cell>
          <cell r="K2562" t="str">
            <v>康师傅 鲜虾鱼板桶面 102g</v>
          </cell>
          <cell r="L2562" t="str">
            <v>102g</v>
          </cell>
          <cell r="M2562" t="str">
            <v>桶</v>
          </cell>
          <cell r="N2562">
            <v>3.98</v>
          </cell>
          <cell r="O2562">
            <v>5</v>
          </cell>
          <cell r="P2562">
            <v>0.19600000000000001</v>
          </cell>
        </row>
        <row r="2563">
          <cell r="F2563" t="str">
            <v>70002689</v>
          </cell>
          <cell r="G2563" t="str">
            <v>康师傅顶益</v>
          </cell>
          <cell r="H2563" t="str">
            <v>康师傅顶益</v>
          </cell>
          <cell r="I2563" t="str">
            <v>速食</v>
          </cell>
          <cell r="J2563" t="str">
            <v>包装方便食品</v>
          </cell>
          <cell r="K2563" t="str">
            <v>康师傅 经典麻辣牛肉桶面 108g</v>
          </cell>
          <cell r="L2563" t="str">
            <v>108g</v>
          </cell>
          <cell r="M2563" t="str">
            <v>桶</v>
          </cell>
          <cell r="N2563">
            <v>3.98</v>
          </cell>
          <cell r="O2563">
            <v>5</v>
          </cell>
          <cell r="P2563">
            <v>0.19600000000000001</v>
          </cell>
        </row>
        <row r="2564">
          <cell r="F2564" t="str">
            <v>70020778</v>
          </cell>
          <cell r="G2564" t="str">
            <v>康师傅顶益</v>
          </cell>
          <cell r="H2564" t="str">
            <v>康师傅顶益</v>
          </cell>
          <cell r="I2564" t="str">
            <v>速食</v>
          </cell>
          <cell r="J2564" t="str">
            <v>包装方便食品</v>
          </cell>
          <cell r="K2564" t="str">
            <v>康师傅 BIG干拌盒红烧牛肉面 147g</v>
          </cell>
          <cell r="L2564" t="str">
            <v>147g</v>
          </cell>
          <cell r="M2564" t="str">
            <v>盒</v>
          </cell>
          <cell r="N2564">
            <v>4.68</v>
          </cell>
          <cell r="O2564">
            <v>6</v>
          </cell>
          <cell r="P2564">
            <v>0.21333333333333299</v>
          </cell>
        </row>
        <row r="2565">
          <cell r="F2565" t="str">
            <v>70038415</v>
          </cell>
          <cell r="G2565" t="str">
            <v>康师傅顶益</v>
          </cell>
          <cell r="H2565" t="str">
            <v>康师傅顶益</v>
          </cell>
          <cell r="I2565" t="str">
            <v>速食</v>
          </cell>
          <cell r="J2565" t="str">
            <v>包装方便食品</v>
          </cell>
          <cell r="K2565" t="str">
            <v>康师傅 香辣牛肉桶面 116g</v>
          </cell>
          <cell r="L2565" t="str">
            <v>116g</v>
          </cell>
          <cell r="M2565" t="str">
            <v>桶</v>
          </cell>
          <cell r="N2565">
            <v>3.98</v>
          </cell>
          <cell r="O2565">
            <v>5</v>
          </cell>
          <cell r="P2565">
            <v>0.19600000000000001</v>
          </cell>
        </row>
        <row r="2566">
          <cell r="F2566" t="str">
            <v>70047847</v>
          </cell>
          <cell r="G2566" t="str">
            <v>康师傅顶益</v>
          </cell>
          <cell r="H2566" t="str">
            <v>康师傅顶益</v>
          </cell>
          <cell r="I2566" t="str">
            <v>速食</v>
          </cell>
          <cell r="J2566" t="str">
            <v>包装方便食品</v>
          </cell>
          <cell r="K2566" t="str">
            <v>康师傅 BIG干拌面麻辣牛肉 146g</v>
          </cell>
          <cell r="L2566" t="str">
            <v>146g</v>
          </cell>
          <cell r="M2566" t="str">
            <v>盒</v>
          </cell>
          <cell r="N2566">
            <v>4.68</v>
          </cell>
          <cell r="O2566">
            <v>6</v>
          </cell>
          <cell r="P2566">
            <v>0.21333333333333299</v>
          </cell>
        </row>
        <row r="2567">
          <cell r="F2567" t="str">
            <v>70060719</v>
          </cell>
          <cell r="G2567" t="str">
            <v>康师傅顶益</v>
          </cell>
          <cell r="H2567" t="str">
            <v>康师傅顶益</v>
          </cell>
          <cell r="I2567" t="str">
            <v>速食</v>
          </cell>
          <cell r="J2567" t="str">
            <v>包装方便食品</v>
          </cell>
          <cell r="K2567" t="str">
            <v>康师傅 香菇炖鸡桶面 106g</v>
          </cell>
          <cell r="L2567" t="str">
            <v>106g</v>
          </cell>
          <cell r="M2567" t="str">
            <v>桶</v>
          </cell>
          <cell r="N2567">
            <v>3.98</v>
          </cell>
          <cell r="O2567">
            <v>5</v>
          </cell>
          <cell r="P2567">
            <v>0.19600000000000001</v>
          </cell>
        </row>
        <row r="2568">
          <cell r="F2568" t="str">
            <v>70072912</v>
          </cell>
          <cell r="G2568" t="str">
            <v>康师傅顶益</v>
          </cell>
          <cell r="H2568" t="str">
            <v>康师傅顶益</v>
          </cell>
          <cell r="I2568" t="str">
            <v>速食</v>
          </cell>
          <cell r="J2568" t="str">
            <v>包装方便食品</v>
          </cell>
          <cell r="K2568" t="str">
            <v>康师傅 经典麻辣牛肉袋面 102g</v>
          </cell>
          <cell r="L2568" t="str">
            <v>102g</v>
          </cell>
          <cell r="M2568" t="str">
            <v>包</v>
          </cell>
          <cell r="N2568">
            <v>2.4</v>
          </cell>
          <cell r="O2568">
            <v>3.3</v>
          </cell>
          <cell r="P2568">
            <v>0.263636363636364</v>
          </cell>
        </row>
        <row r="2569">
          <cell r="F2569" t="str">
            <v>70075901</v>
          </cell>
          <cell r="G2569" t="str">
            <v>康师傅顶益</v>
          </cell>
          <cell r="H2569" t="str">
            <v>康师傅顶益</v>
          </cell>
          <cell r="I2569" t="str">
            <v>速食</v>
          </cell>
          <cell r="J2569" t="str">
            <v>包装方便食品</v>
          </cell>
          <cell r="K2569" t="str">
            <v>康师傅 老坛酸菜牛肉桶面 122g</v>
          </cell>
          <cell r="L2569" t="str">
            <v>122g</v>
          </cell>
          <cell r="M2569" t="str">
            <v>桶</v>
          </cell>
          <cell r="N2569">
            <v>3.98</v>
          </cell>
          <cell r="O2569">
            <v>5</v>
          </cell>
          <cell r="P2569">
            <v>0.19600000000000001</v>
          </cell>
        </row>
        <row r="2570">
          <cell r="F2570" t="str">
            <v>70086209</v>
          </cell>
          <cell r="G2570" t="str">
            <v>康师傅顶益</v>
          </cell>
          <cell r="H2570" t="str">
            <v>康师傅顶益</v>
          </cell>
          <cell r="I2570" t="str">
            <v>速食</v>
          </cell>
          <cell r="J2570" t="str">
            <v>包装方便食品</v>
          </cell>
          <cell r="K2570" t="str">
            <v>康师傅 老坛酸菜牛肉 117g</v>
          </cell>
          <cell r="L2570" t="str">
            <v>117g</v>
          </cell>
          <cell r="M2570" t="str">
            <v>包</v>
          </cell>
          <cell r="N2570">
            <v>2.4</v>
          </cell>
          <cell r="O2570">
            <v>3.3</v>
          </cell>
          <cell r="P2570">
            <v>0.263636363636364</v>
          </cell>
        </row>
        <row r="2571">
          <cell r="F2571" t="str">
            <v>70185111</v>
          </cell>
          <cell r="G2571" t="str">
            <v>康师傅顶益</v>
          </cell>
          <cell r="H2571" t="str">
            <v>康师傅顶益</v>
          </cell>
          <cell r="I2571" t="str">
            <v>速食</v>
          </cell>
          <cell r="J2571" t="str">
            <v>包装方便食品</v>
          </cell>
          <cell r="K2571" t="str">
            <v>康师傅 酸辣牛肉面桶装 124g</v>
          </cell>
          <cell r="L2571" t="str">
            <v>124g</v>
          </cell>
          <cell r="M2571" t="str">
            <v>桶</v>
          </cell>
          <cell r="N2571">
            <v>3.98</v>
          </cell>
          <cell r="O2571">
            <v>5</v>
          </cell>
          <cell r="P2571">
            <v>0.19600000000000001</v>
          </cell>
        </row>
        <row r="2572">
          <cell r="F2572" t="str">
            <v>70219336</v>
          </cell>
          <cell r="G2572" t="str">
            <v>康师傅顶益</v>
          </cell>
          <cell r="H2572" t="str">
            <v>康师傅顶益</v>
          </cell>
          <cell r="I2572" t="str">
            <v>速食</v>
          </cell>
          <cell r="J2572" t="str">
            <v>包装方便食品</v>
          </cell>
          <cell r="K2572" t="str">
            <v>康师傅 干拌盒酸菜牛肉 160g</v>
          </cell>
          <cell r="L2572" t="str">
            <v>160g</v>
          </cell>
          <cell r="M2572" t="str">
            <v>盒</v>
          </cell>
          <cell r="N2572">
            <v>4.68</v>
          </cell>
          <cell r="O2572">
            <v>6</v>
          </cell>
          <cell r="P2572">
            <v>0.21333333333333299</v>
          </cell>
        </row>
        <row r="2573">
          <cell r="F2573" t="str">
            <v>70253712</v>
          </cell>
          <cell r="G2573" t="str">
            <v>康师傅顶益</v>
          </cell>
          <cell r="H2573" t="str">
            <v>康师傅顶益</v>
          </cell>
          <cell r="I2573" t="str">
            <v>速食</v>
          </cell>
          <cell r="J2573" t="str">
            <v>包装方便食品</v>
          </cell>
          <cell r="K2573" t="str">
            <v>康师傅 BIG红烧牛肉面 151g</v>
          </cell>
          <cell r="L2573" t="str">
            <v>151g</v>
          </cell>
          <cell r="M2573" t="str">
            <v>桶</v>
          </cell>
          <cell r="N2573">
            <v>4.7300000000000004</v>
          </cell>
          <cell r="O2573">
            <v>5.5</v>
          </cell>
          <cell r="P2573">
            <v>0.132727272727273</v>
          </cell>
        </row>
        <row r="2574">
          <cell r="F2574" t="str">
            <v>70259029</v>
          </cell>
          <cell r="G2574" t="str">
            <v>康师傅顶益</v>
          </cell>
          <cell r="H2574" t="str">
            <v>康师傅顶益</v>
          </cell>
          <cell r="I2574" t="str">
            <v>速食</v>
          </cell>
          <cell r="J2574" t="str">
            <v>包装方便食品</v>
          </cell>
          <cell r="K2574" t="str">
            <v>康师傅 经典红烧牛肉 113g</v>
          </cell>
          <cell r="L2574" t="str">
            <v>113g</v>
          </cell>
          <cell r="M2574" t="str">
            <v>桶</v>
          </cell>
          <cell r="N2574">
            <v>3.98</v>
          </cell>
          <cell r="O2574">
            <v>5</v>
          </cell>
          <cell r="P2574">
            <v>0.19600000000000001</v>
          </cell>
        </row>
        <row r="2575">
          <cell r="F2575" t="str">
            <v>70292786</v>
          </cell>
          <cell r="G2575" t="str">
            <v>康师傅顶益</v>
          </cell>
          <cell r="H2575" t="str">
            <v>康师傅顶益</v>
          </cell>
          <cell r="I2575" t="str">
            <v>速食</v>
          </cell>
          <cell r="J2575" t="str">
            <v>包装方便食品</v>
          </cell>
          <cell r="K2575" t="str">
            <v>康师傅 大食桶麻辣牛肉 145g</v>
          </cell>
          <cell r="L2575" t="str">
            <v>145g</v>
          </cell>
          <cell r="M2575" t="str">
            <v>桶</v>
          </cell>
          <cell r="N2575">
            <v>4.7300000000000004</v>
          </cell>
          <cell r="O2575">
            <v>5.5</v>
          </cell>
          <cell r="P2575">
            <v>0.132727272727273</v>
          </cell>
        </row>
        <row r="2576">
          <cell r="F2576" t="str">
            <v>70292787</v>
          </cell>
          <cell r="G2576" t="str">
            <v>康师傅顶益</v>
          </cell>
          <cell r="H2576" t="str">
            <v>康师傅顶益</v>
          </cell>
          <cell r="I2576" t="str">
            <v>速食</v>
          </cell>
          <cell r="J2576" t="str">
            <v>包装方便食品</v>
          </cell>
          <cell r="K2576" t="str">
            <v>康师傅 大食桶酸菜牛肉 161G</v>
          </cell>
          <cell r="L2576" t="str">
            <v>161g</v>
          </cell>
          <cell r="M2576" t="str">
            <v>桶</v>
          </cell>
          <cell r="N2576">
            <v>4.7300000000000004</v>
          </cell>
          <cell r="O2576">
            <v>5.5</v>
          </cell>
          <cell r="P2576">
            <v>0.132727272727273</v>
          </cell>
        </row>
        <row r="2577">
          <cell r="F2577" t="str">
            <v>70292788</v>
          </cell>
          <cell r="G2577" t="str">
            <v>康师傅顶益</v>
          </cell>
          <cell r="H2577" t="str">
            <v>康师傅顶益</v>
          </cell>
          <cell r="I2577" t="str">
            <v>速食</v>
          </cell>
          <cell r="J2577" t="str">
            <v>包装方便食品</v>
          </cell>
          <cell r="K2577" t="str">
            <v>康师傅 大食桶油泼辣子牛肉 165g</v>
          </cell>
          <cell r="L2577" t="str">
            <v>165g</v>
          </cell>
          <cell r="M2577" t="str">
            <v>桶</v>
          </cell>
          <cell r="N2577">
            <v>4.7300000000000004</v>
          </cell>
          <cell r="O2577">
            <v>5.5</v>
          </cell>
          <cell r="P2577">
            <v>0.132727272727273</v>
          </cell>
        </row>
        <row r="2578">
          <cell r="F2578" t="str">
            <v>70298465</v>
          </cell>
          <cell r="G2578" t="str">
            <v>康师傅顶益</v>
          </cell>
          <cell r="H2578" t="str">
            <v>康师傅顶益</v>
          </cell>
          <cell r="I2578" t="str">
            <v>速食</v>
          </cell>
          <cell r="J2578" t="str">
            <v>包装方便食品</v>
          </cell>
          <cell r="K2578" t="str">
            <v>康师傅 香爆脆烤羊肉串威风包45g</v>
          </cell>
          <cell r="L2578" t="str">
            <v>45g</v>
          </cell>
          <cell r="M2578" t="str">
            <v>包</v>
          </cell>
          <cell r="N2578">
            <v>0.73</v>
          </cell>
          <cell r="O2578">
            <v>1</v>
          </cell>
          <cell r="P2578">
            <v>0.27</v>
          </cell>
        </row>
        <row r="2579">
          <cell r="F2579" t="str">
            <v>70468338</v>
          </cell>
          <cell r="G2579" t="str">
            <v>康师傅顶益</v>
          </cell>
          <cell r="H2579" t="str">
            <v>康师傅顶益</v>
          </cell>
          <cell r="I2579" t="str">
            <v>速食</v>
          </cell>
          <cell r="J2579" t="str">
            <v>包装方便食品</v>
          </cell>
          <cell r="K2579" t="str">
            <v>康师傅 经典番茄鸡蛋牛肉面 126g</v>
          </cell>
          <cell r="L2579" t="str">
            <v>126g</v>
          </cell>
          <cell r="M2579" t="str">
            <v>桶</v>
          </cell>
          <cell r="N2579">
            <v>3.98</v>
          </cell>
          <cell r="O2579">
            <v>5</v>
          </cell>
          <cell r="P2579">
            <v>0.19600000000000001</v>
          </cell>
        </row>
        <row r="2580">
          <cell r="F2580" t="str">
            <v>70468339</v>
          </cell>
          <cell r="G2580" t="str">
            <v>康师傅顶益</v>
          </cell>
          <cell r="H2580" t="str">
            <v>康师傅顶益</v>
          </cell>
          <cell r="I2580" t="str">
            <v>速食</v>
          </cell>
          <cell r="J2580" t="str">
            <v>包装方便食品</v>
          </cell>
          <cell r="K2580" t="str">
            <v>康师傅 BIG番茄鸡蛋牛肉面 171g</v>
          </cell>
          <cell r="L2580" t="str">
            <v>171g</v>
          </cell>
          <cell r="M2580" t="str">
            <v>桶</v>
          </cell>
          <cell r="N2580">
            <v>4.7300000000000004</v>
          </cell>
          <cell r="O2580">
            <v>5.5</v>
          </cell>
          <cell r="P2580">
            <v>0.132727272727273</v>
          </cell>
        </row>
        <row r="2581">
          <cell r="F2581" t="str">
            <v>70468335</v>
          </cell>
          <cell r="G2581" t="str">
            <v>康师傅顶益</v>
          </cell>
          <cell r="H2581" t="str">
            <v>康师傅顶益</v>
          </cell>
          <cell r="I2581" t="str">
            <v>速食</v>
          </cell>
          <cell r="J2581" t="str">
            <v>包装方便食品</v>
          </cell>
          <cell r="K2581" t="str">
            <v>康师傅 BIG桶藤椒牛肉面 143g</v>
          </cell>
          <cell r="L2581" t="str">
            <v>143g</v>
          </cell>
          <cell r="M2581" t="str">
            <v>桶</v>
          </cell>
          <cell r="N2581">
            <v>4.7300000000000004</v>
          </cell>
          <cell r="O2581">
            <v>5.5</v>
          </cell>
          <cell r="P2581">
            <v>0.132727272727273</v>
          </cell>
        </row>
        <row r="2582">
          <cell r="F2582" t="str">
            <v>70312861</v>
          </cell>
          <cell r="G2582" t="str">
            <v>康师傅顶益</v>
          </cell>
          <cell r="H2582" t="str">
            <v>康师傅顶益</v>
          </cell>
          <cell r="I2582" t="str">
            <v>速食</v>
          </cell>
          <cell r="J2582" t="str">
            <v>包装方便食品</v>
          </cell>
          <cell r="K2582" t="str">
            <v>康师傅 藤椒牛肉桶面 110g</v>
          </cell>
          <cell r="L2582" t="str">
            <v>110g</v>
          </cell>
          <cell r="M2582" t="str">
            <v>桶</v>
          </cell>
          <cell r="N2582">
            <v>3.98</v>
          </cell>
          <cell r="O2582">
            <v>5</v>
          </cell>
          <cell r="P2582">
            <v>0.19600000000000001</v>
          </cell>
        </row>
        <row r="2583">
          <cell r="F2583" t="str">
            <v>70514333</v>
          </cell>
          <cell r="G2583" t="str">
            <v>康师傅顶益</v>
          </cell>
          <cell r="H2583" t="str">
            <v>康师傅顶益</v>
          </cell>
          <cell r="I2583" t="str">
            <v>速食</v>
          </cell>
          <cell r="J2583" t="str">
            <v>包装方便食品</v>
          </cell>
          <cell r="K2583" t="str">
            <v>康师傅 老母鸡汤面 115g</v>
          </cell>
          <cell r="L2583" t="str">
            <v>115g</v>
          </cell>
          <cell r="M2583" t="str">
            <v>桶</v>
          </cell>
          <cell r="N2583">
            <v>3.87</v>
          </cell>
          <cell r="O2583">
            <v>5.5</v>
          </cell>
          <cell r="P2583">
            <v>0.28909090909090901</v>
          </cell>
        </row>
        <row r="2584">
          <cell r="F2584" t="str">
            <v>70095614</v>
          </cell>
          <cell r="G2584" t="str">
            <v>康师傅顶益</v>
          </cell>
          <cell r="H2584" t="str">
            <v>康师傅顶益</v>
          </cell>
          <cell r="I2584" t="str">
            <v>速食</v>
          </cell>
          <cell r="J2584" t="str">
            <v>包装方便食品</v>
          </cell>
          <cell r="K2584" t="str">
            <v>康师傅 干拌盒香辣牛肉 144g</v>
          </cell>
          <cell r="L2584" t="str">
            <v>144g</v>
          </cell>
          <cell r="M2584" t="str">
            <v>盒</v>
          </cell>
          <cell r="N2584">
            <v>4.68</v>
          </cell>
          <cell r="O2584">
            <v>6</v>
          </cell>
          <cell r="P2584">
            <v>0.21333333333333299</v>
          </cell>
        </row>
        <row r="2585">
          <cell r="F2585" t="str">
            <v>70292786</v>
          </cell>
          <cell r="G2585" t="str">
            <v>康师傅顶益</v>
          </cell>
          <cell r="H2585" t="str">
            <v>康师傅顶益</v>
          </cell>
          <cell r="I2585" t="str">
            <v>速食</v>
          </cell>
          <cell r="J2585" t="str">
            <v>包装方便食品</v>
          </cell>
          <cell r="K2585" t="str">
            <v>康师傅 BIG桶香辣牛肉面 143g</v>
          </cell>
          <cell r="L2585" t="str">
            <v>143g</v>
          </cell>
          <cell r="M2585" t="str">
            <v>桶</v>
          </cell>
          <cell r="N2585">
            <v>4.7300000000000004</v>
          </cell>
          <cell r="O2585">
            <v>5.5</v>
          </cell>
          <cell r="P2585">
            <v>0.132727272727273</v>
          </cell>
        </row>
        <row r="2586">
          <cell r="F2586" t="str">
            <v>70085116</v>
          </cell>
          <cell r="G2586" t="str">
            <v>康师傅顶益</v>
          </cell>
          <cell r="H2586" t="str">
            <v>康师傅顶益</v>
          </cell>
          <cell r="I2586" t="str">
            <v>速食</v>
          </cell>
          <cell r="J2586" t="str">
            <v>包装方便食品</v>
          </cell>
          <cell r="K2586" t="str">
            <v>康师傅 泡椒牛肉面 113g</v>
          </cell>
          <cell r="L2586" t="str">
            <v>112g</v>
          </cell>
          <cell r="M2586" t="str">
            <v>桶</v>
          </cell>
          <cell r="N2586">
            <v>3.98</v>
          </cell>
          <cell r="O2586">
            <v>5</v>
          </cell>
          <cell r="P2586">
            <v>0.19600000000000001</v>
          </cell>
        </row>
        <row r="2587">
          <cell r="F2587" t="str">
            <v>70165963</v>
          </cell>
          <cell r="G2587" t="str">
            <v>习酒</v>
          </cell>
          <cell r="H2587" t="str">
            <v>习酒</v>
          </cell>
          <cell r="I2587" t="str">
            <v>酒类</v>
          </cell>
          <cell r="J2587" t="str">
            <v>白酒</v>
          </cell>
          <cell r="K2587" t="str">
            <v>习酒 窖藏1988 53度 500mL</v>
          </cell>
          <cell r="L2587" t="str">
            <v>500mL</v>
          </cell>
          <cell r="M2587" t="str">
            <v>瓶</v>
          </cell>
          <cell r="N2587">
            <v>480.76</v>
          </cell>
          <cell r="O2587">
            <v>898</v>
          </cell>
          <cell r="P2587">
            <v>0.45933184855233899</v>
          </cell>
        </row>
        <row r="2588">
          <cell r="F2588" t="str">
            <v>70248163</v>
          </cell>
          <cell r="G2588" t="str">
            <v>习酒</v>
          </cell>
          <cell r="H2588" t="str">
            <v>习酒</v>
          </cell>
          <cell r="I2588" t="str">
            <v>酒类</v>
          </cell>
          <cell r="J2588" t="str">
            <v>白酒</v>
          </cell>
          <cell r="K2588" t="str">
            <v>窖藏感恩98 53度 500mL</v>
          </cell>
          <cell r="L2588" t="str">
            <v>500mL</v>
          </cell>
          <cell r="M2588" t="str">
            <v>瓶</v>
          </cell>
          <cell r="N2588">
            <v>314.11</v>
          </cell>
          <cell r="O2588">
            <v>508</v>
          </cell>
          <cell r="P2588">
            <v>0.37555118110236202</v>
          </cell>
        </row>
        <row r="2589">
          <cell r="F2589" t="str">
            <v>70192535</v>
          </cell>
          <cell r="G2589" t="str">
            <v>习酒</v>
          </cell>
          <cell r="H2589" t="str">
            <v>习酒</v>
          </cell>
          <cell r="I2589" t="str">
            <v>酒类</v>
          </cell>
          <cell r="J2589" t="str">
            <v>白酒</v>
          </cell>
          <cell r="K2589" t="str">
            <v>第四代金质53度 500mL</v>
          </cell>
          <cell r="L2589" t="str">
            <v>500mL</v>
          </cell>
          <cell r="M2589" t="str">
            <v>瓶</v>
          </cell>
          <cell r="N2589">
            <v>197.96</v>
          </cell>
          <cell r="O2589">
            <v>298</v>
          </cell>
          <cell r="P2589">
            <v>0.32912751677852398</v>
          </cell>
        </row>
        <row r="2590">
          <cell r="F2590" t="str">
            <v>70514478</v>
          </cell>
          <cell r="G2590" t="str">
            <v>习酒</v>
          </cell>
          <cell r="H2590" t="str">
            <v>习酒</v>
          </cell>
          <cell r="I2590" t="str">
            <v>酒类</v>
          </cell>
          <cell r="J2590" t="str">
            <v>白酒</v>
          </cell>
          <cell r="K2590" t="str">
            <v>习酒·酒库封藏(2021版)53度 500mL</v>
          </cell>
          <cell r="L2590" t="str">
            <v>500mL</v>
          </cell>
          <cell r="M2590" t="str">
            <v>瓶</v>
          </cell>
          <cell r="N2590">
            <v>808</v>
          </cell>
          <cell r="O2590">
            <v>1399</v>
          </cell>
          <cell r="P2590">
            <v>0.41672623302358802</v>
          </cell>
        </row>
        <row r="2591">
          <cell r="F2591" t="str">
            <v>70514604</v>
          </cell>
          <cell r="G2591" t="str">
            <v>习酒</v>
          </cell>
          <cell r="H2591" t="str">
            <v>习酒</v>
          </cell>
          <cell r="I2591" t="str">
            <v>酒类</v>
          </cell>
          <cell r="J2591" t="str">
            <v>白酒</v>
          </cell>
          <cell r="K2591" t="str">
            <v>习酒·酒库陈藏(2021版)53度 500mL</v>
          </cell>
          <cell r="L2591" t="str">
            <v>500mL</v>
          </cell>
          <cell r="M2591" t="str">
            <v>瓶</v>
          </cell>
          <cell r="N2591">
            <v>656.5</v>
          </cell>
          <cell r="O2591">
            <v>1099</v>
          </cell>
          <cell r="P2591">
            <v>0.39672429481346699</v>
          </cell>
        </row>
        <row r="2592">
          <cell r="F2592" t="str">
            <v>70514605</v>
          </cell>
          <cell r="G2592" t="str">
            <v>习酒</v>
          </cell>
          <cell r="H2592" t="str">
            <v>习酒</v>
          </cell>
          <cell r="I2592" t="str">
            <v>酒类</v>
          </cell>
          <cell r="J2592" t="str">
            <v>白酒</v>
          </cell>
          <cell r="K2592" t="str">
            <v>习酒·酒库封(品藏级)53度 500mL</v>
          </cell>
          <cell r="L2592" t="str">
            <v>500mL</v>
          </cell>
          <cell r="M2592" t="str">
            <v>瓶</v>
          </cell>
          <cell r="N2592">
            <v>474.7</v>
          </cell>
          <cell r="O2592">
            <v>899</v>
          </cell>
          <cell r="P2592">
            <v>0.46674082313681903</v>
          </cell>
        </row>
        <row r="2593">
          <cell r="F2593" t="str">
            <v>70245735</v>
          </cell>
          <cell r="G2593" t="str">
            <v>汾酒</v>
          </cell>
          <cell r="H2593" t="str">
            <v>汾酒</v>
          </cell>
          <cell r="I2593" t="str">
            <v>酒类</v>
          </cell>
          <cell r="J2593" t="str">
            <v>白酒</v>
          </cell>
          <cell r="K2593" t="str">
            <v>汾酒 53°玻璃瓶 475mL</v>
          </cell>
          <cell r="L2593" t="str">
            <v>475mL</v>
          </cell>
          <cell r="M2593" t="str">
            <v>瓶</v>
          </cell>
          <cell r="N2593">
            <v>38.68</v>
          </cell>
          <cell r="O2593">
            <v>65</v>
          </cell>
          <cell r="P2593">
            <v>0.404923076923077</v>
          </cell>
        </row>
        <row r="2594">
          <cell r="F2594" t="str">
            <v>70192344</v>
          </cell>
          <cell r="G2594" t="str">
            <v>汾酒</v>
          </cell>
          <cell r="H2594" t="str">
            <v>汾酒</v>
          </cell>
          <cell r="I2594" t="str">
            <v>酒类</v>
          </cell>
          <cell r="J2594" t="str">
            <v>白酒</v>
          </cell>
          <cell r="K2594" t="str">
            <v>汾酒 42°玻璃瓶 475mL</v>
          </cell>
          <cell r="L2594" t="str">
            <v>475mL</v>
          </cell>
          <cell r="M2594" t="str">
            <v>瓶</v>
          </cell>
          <cell r="N2594">
            <v>34.79</v>
          </cell>
          <cell r="O2594">
            <v>59</v>
          </cell>
          <cell r="P2594">
            <v>0.41033898305084698</v>
          </cell>
        </row>
        <row r="2595">
          <cell r="F2595" t="str">
            <v>70086155</v>
          </cell>
          <cell r="G2595" t="str">
            <v>汾酒</v>
          </cell>
          <cell r="H2595" t="str">
            <v>汾酒</v>
          </cell>
          <cell r="I2595" t="str">
            <v>酒类</v>
          </cell>
          <cell r="J2595" t="str">
            <v>白酒</v>
          </cell>
          <cell r="K2595" t="str">
            <v>汾酒 53°青花瓷(三十年陈酿) 850mL</v>
          </cell>
          <cell r="L2595" t="str">
            <v>850mL</v>
          </cell>
          <cell r="M2595" t="str">
            <v>瓶</v>
          </cell>
          <cell r="N2595">
            <v>1363.5</v>
          </cell>
          <cell r="O2595">
            <v>1598</v>
          </cell>
          <cell r="P2595">
            <v>0.146745932415519</v>
          </cell>
        </row>
        <row r="2596">
          <cell r="F2596" t="str">
            <v>70434946</v>
          </cell>
          <cell r="G2596" t="str">
            <v>汾酒</v>
          </cell>
          <cell r="H2596" t="str">
            <v>汾酒</v>
          </cell>
          <cell r="I2596" t="str">
            <v>酒类</v>
          </cell>
          <cell r="J2596" t="str">
            <v>白酒</v>
          </cell>
          <cell r="K2596" t="str">
            <v>汾酒 65°青花50升级版 100mL</v>
          </cell>
          <cell r="L2596" t="str">
            <v>100mL</v>
          </cell>
          <cell r="M2596" t="str">
            <v>瓶</v>
          </cell>
          <cell r="N2596">
            <v>886.78</v>
          </cell>
          <cell r="O2596">
            <v>1098</v>
          </cell>
          <cell r="P2596">
            <v>0.192367941712204</v>
          </cell>
        </row>
        <row r="2597">
          <cell r="F2597" t="str">
            <v>70401493</v>
          </cell>
          <cell r="G2597" t="str">
            <v>汾酒</v>
          </cell>
          <cell r="H2597" t="str">
            <v>汾酒</v>
          </cell>
          <cell r="I2597" t="str">
            <v>酒类</v>
          </cell>
          <cell r="J2597" t="str">
            <v>白酒</v>
          </cell>
          <cell r="K2597" t="str">
            <v>汾酒 48°青花三十年 复兴版 500mL</v>
          </cell>
          <cell r="L2597" t="str">
            <v>500mL</v>
          </cell>
          <cell r="M2597" t="str">
            <v>瓶</v>
          </cell>
          <cell r="N2597">
            <v>938.29</v>
          </cell>
          <cell r="O2597">
            <v>1099</v>
          </cell>
          <cell r="P2597">
            <v>0.14623293903548701</v>
          </cell>
        </row>
        <row r="2598">
          <cell r="F2598" t="str">
            <v>70386583</v>
          </cell>
          <cell r="G2598" t="str">
            <v>汾酒</v>
          </cell>
          <cell r="H2598" t="str">
            <v>汾酒</v>
          </cell>
          <cell r="I2598" t="str">
            <v>酒类</v>
          </cell>
          <cell r="J2598" t="str">
            <v>白酒</v>
          </cell>
          <cell r="K2598" t="str">
            <v>汾酒 42°青花25 475mL</v>
          </cell>
          <cell r="L2598" t="str">
            <v>475mL</v>
          </cell>
          <cell r="M2598" t="str">
            <v>瓶</v>
          </cell>
          <cell r="N2598">
            <v>361.58</v>
          </cell>
          <cell r="O2598">
            <v>468</v>
          </cell>
          <cell r="P2598">
            <v>0.22739316239316201</v>
          </cell>
        </row>
        <row r="2599">
          <cell r="F2599" t="str">
            <v>70308858</v>
          </cell>
          <cell r="G2599" t="str">
            <v>汾酒</v>
          </cell>
          <cell r="H2599" t="str">
            <v>汾酒</v>
          </cell>
          <cell r="I2599" t="str">
            <v>酒类</v>
          </cell>
          <cell r="J2599" t="str">
            <v>白酒</v>
          </cell>
          <cell r="K2599" t="str">
            <v>汾酒 42°巴拿马20版 475mL</v>
          </cell>
          <cell r="L2599" t="str">
            <v>475mL</v>
          </cell>
          <cell r="M2599" t="str">
            <v>瓶</v>
          </cell>
          <cell r="N2599">
            <v>311.08</v>
          </cell>
          <cell r="O2599">
            <v>368</v>
          </cell>
          <cell r="P2599">
            <v>0.154673913043478</v>
          </cell>
        </row>
        <row r="2600">
          <cell r="F2600" t="str">
            <v>70184646</v>
          </cell>
          <cell r="G2600" t="str">
            <v>汾酒</v>
          </cell>
          <cell r="H2600" t="str">
            <v>汾酒</v>
          </cell>
          <cell r="I2600" t="str">
            <v>酒类</v>
          </cell>
          <cell r="J2600" t="str">
            <v>白酒</v>
          </cell>
          <cell r="K2600" t="str">
            <v>汾酒 42°老白汾 封坛十五年 475mL</v>
          </cell>
          <cell r="L2600" t="str">
            <v>475mL</v>
          </cell>
          <cell r="M2600" t="str">
            <v>瓶</v>
          </cell>
          <cell r="N2600">
            <v>155.54</v>
          </cell>
          <cell r="O2600">
            <v>228</v>
          </cell>
          <cell r="P2600">
            <v>0.31780701754385998</v>
          </cell>
        </row>
        <row r="2601">
          <cell r="F2601" t="str">
            <v>70086156</v>
          </cell>
          <cell r="G2601" t="str">
            <v>汾酒</v>
          </cell>
          <cell r="H2601" t="str">
            <v>汾酒</v>
          </cell>
          <cell r="I2601" t="str">
            <v>酒类</v>
          </cell>
          <cell r="J2601" t="str">
            <v>白酒</v>
          </cell>
          <cell r="K2601" t="str">
            <v>汾酒 45°老白 (十年陈酿) 475mL</v>
          </cell>
          <cell r="L2601" t="str">
            <v>475mL</v>
          </cell>
          <cell r="M2601" t="str">
            <v>瓶</v>
          </cell>
          <cell r="N2601">
            <v>131.30000000000001</v>
          </cell>
          <cell r="O2601">
            <v>168</v>
          </cell>
          <cell r="P2601">
            <v>0.21845238095238101</v>
          </cell>
        </row>
        <row r="2602">
          <cell r="F2602" t="str">
            <v>70189254</v>
          </cell>
          <cell r="G2602" t="str">
            <v>汾酒</v>
          </cell>
          <cell r="H2602" t="str">
            <v>汾酒</v>
          </cell>
          <cell r="I2602" t="str">
            <v>酒类</v>
          </cell>
          <cell r="J2602" t="str">
            <v>白酒</v>
          </cell>
          <cell r="K2602" t="str">
            <v>汾酒 42° 醇柔老白汾 475mL</v>
          </cell>
          <cell r="L2602" t="str">
            <v>475mL</v>
          </cell>
          <cell r="M2602" t="str">
            <v>瓶</v>
          </cell>
          <cell r="N2602">
            <v>75.75</v>
          </cell>
          <cell r="O2602">
            <v>116</v>
          </cell>
          <cell r="P2602">
            <v>0.34698275862069</v>
          </cell>
        </row>
        <row r="2603">
          <cell r="F2603" t="str">
            <v>70086152</v>
          </cell>
          <cell r="G2603" t="str">
            <v>汾酒</v>
          </cell>
          <cell r="H2603" t="str">
            <v>汾酒</v>
          </cell>
          <cell r="I2603" t="str">
            <v>酒类</v>
          </cell>
          <cell r="J2603" t="str">
            <v>白酒</v>
          </cell>
          <cell r="K2603" t="str">
            <v>汾酒 48° 乳白玻璃 475mL</v>
          </cell>
          <cell r="L2603" t="str">
            <v>475mL</v>
          </cell>
          <cell r="M2603" t="str">
            <v>瓶</v>
          </cell>
          <cell r="N2603">
            <v>45.45</v>
          </cell>
          <cell r="O2603">
            <v>58</v>
          </cell>
          <cell r="P2603">
            <v>0.21637931034482799</v>
          </cell>
        </row>
        <row r="2604">
          <cell r="F2604" t="str">
            <v>70493085</v>
          </cell>
          <cell r="G2604" t="str">
            <v>汾酒</v>
          </cell>
          <cell r="H2604" t="str">
            <v>汾酒</v>
          </cell>
          <cell r="I2604" t="str">
            <v>酒类</v>
          </cell>
          <cell r="J2604" t="str">
            <v>白酒</v>
          </cell>
          <cell r="K2604" t="str">
            <v>汾酒 53°玻璃瓶献礼版 500mL</v>
          </cell>
          <cell r="L2604" t="str">
            <v>500mL</v>
          </cell>
          <cell r="M2604" t="str">
            <v>瓶</v>
          </cell>
          <cell r="N2604">
            <v>88.88</v>
          </cell>
          <cell r="O2604">
            <v>120</v>
          </cell>
          <cell r="P2604">
            <v>0.25933333333333303</v>
          </cell>
        </row>
        <row r="2605">
          <cell r="F2605" t="str">
            <v>70108036</v>
          </cell>
          <cell r="G2605" t="str">
            <v>汾酒</v>
          </cell>
          <cell r="H2605" t="str">
            <v>汾酒</v>
          </cell>
          <cell r="I2605" t="str">
            <v>酒类</v>
          </cell>
          <cell r="J2605" t="str">
            <v>白酒</v>
          </cell>
          <cell r="K2605" t="str">
            <v>汾酒 53°出口汾 500mL</v>
          </cell>
          <cell r="L2605" t="str">
            <v>500mL</v>
          </cell>
          <cell r="M2605" t="str">
            <v>瓶</v>
          </cell>
          <cell r="N2605">
            <v>45.45</v>
          </cell>
          <cell r="O2605">
            <v>58</v>
          </cell>
          <cell r="P2605">
            <v>0.21637931034482799</v>
          </cell>
        </row>
        <row r="2606">
          <cell r="F2606" t="str">
            <v>70323655</v>
          </cell>
          <cell r="G2606" t="str">
            <v>汾酒</v>
          </cell>
          <cell r="H2606" t="str">
            <v>汾酒</v>
          </cell>
          <cell r="I2606" t="str">
            <v>酒类</v>
          </cell>
          <cell r="J2606" t="str">
            <v>白酒</v>
          </cell>
          <cell r="K2606" t="str">
            <v>汾酒 53°巴拿马 20版 475mL</v>
          </cell>
          <cell r="L2606" t="str">
            <v>475mL</v>
          </cell>
          <cell r="M2606" t="str">
            <v>瓶</v>
          </cell>
          <cell r="N2606">
            <v>331.28</v>
          </cell>
          <cell r="O2606">
            <v>426</v>
          </cell>
          <cell r="P2606">
            <v>0.22234741784037601</v>
          </cell>
        </row>
        <row r="2607">
          <cell r="F2607" t="str">
            <v>70167537</v>
          </cell>
          <cell r="G2607" t="str">
            <v>汾酒</v>
          </cell>
          <cell r="H2607" t="str">
            <v>汾酒</v>
          </cell>
          <cell r="I2607" t="str">
            <v>酒类</v>
          </cell>
          <cell r="J2607" t="str">
            <v>白酒</v>
          </cell>
          <cell r="K2607" t="str">
            <v>汾酒 42°青花20 升级版 500mL</v>
          </cell>
          <cell r="L2607" t="str">
            <v>500mL</v>
          </cell>
          <cell r="M2607" t="str">
            <v>瓶</v>
          </cell>
          <cell r="N2607">
            <v>402.99</v>
          </cell>
          <cell r="O2607">
            <v>518</v>
          </cell>
          <cell r="P2607">
            <v>0.22202702702702701</v>
          </cell>
        </row>
        <row r="2608">
          <cell r="F2608" t="str">
            <v>70184645</v>
          </cell>
          <cell r="G2608" t="str">
            <v>汾酒</v>
          </cell>
          <cell r="H2608" t="str">
            <v>汾酒</v>
          </cell>
          <cell r="I2608" t="str">
            <v>酒类</v>
          </cell>
          <cell r="J2608" t="str">
            <v>白酒</v>
          </cell>
          <cell r="K2608" t="str">
            <v>汾酒 53°青花20 升级版 500mL</v>
          </cell>
          <cell r="L2608" t="str">
            <v>500mL</v>
          </cell>
          <cell r="M2608" t="str">
            <v>瓶</v>
          </cell>
          <cell r="N2608">
            <v>447.43</v>
          </cell>
          <cell r="O2608">
            <v>578</v>
          </cell>
          <cell r="P2608">
            <v>0.225899653979239</v>
          </cell>
        </row>
        <row r="2609">
          <cell r="F2609" t="str">
            <v>70403415</v>
          </cell>
          <cell r="G2609" t="str">
            <v>汾酒</v>
          </cell>
          <cell r="H2609" t="str">
            <v>汾酒</v>
          </cell>
          <cell r="I2609" t="str">
            <v>酒类</v>
          </cell>
          <cell r="J2609" t="str">
            <v>白酒</v>
          </cell>
          <cell r="K2609" t="str">
            <v>汾酒 42°青花30 复兴2024 500mL</v>
          </cell>
          <cell r="L2609" t="str">
            <v>500mL</v>
          </cell>
          <cell r="M2609" t="str">
            <v>瓶</v>
          </cell>
          <cell r="N2609">
            <v>746.39</v>
          </cell>
          <cell r="O2609">
            <v>999</v>
          </cell>
          <cell r="P2609">
            <v>0.25286286286286302</v>
          </cell>
        </row>
        <row r="2610">
          <cell r="F2610" t="str">
            <v>70403416</v>
          </cell>
          <cell r="G2610" t="str">
            <v>汾酒</v>
          </cell>
          <cell r="H2610" t="str">
            <v>汾酒</v>
          </cell>
          <cell r="I2610" t="str">
            <v>酒类</v>
          </cell>
          <cell r="J2610" t="str">
            <v>白酒</v>
          </cell>
          <cell r="K2610" t="str">
            <v>汾酒 53°青花30 复兴2024 500mL</v>
          </cell>
          <cell r="L2610" t="str">
            <v>500mL</v>
          </cell>
          <cell r="M2610" t="str">
            <v>瓶</v>
          </cell>
          <cell r="N2610">
            <v>968.59</v>
          </cell>
          <cell r="O2610">
            <v>1199</v>
          </cell>
          <cell r="P2610">
            <v>0.192168473728107</v>
          </cell>
        </row>
        <row r="2611">
          <cell r="F2611" t="str">
            <v>70187571</v>
          </cell>
          <cell r="G2611" t="str">
            <v>汾酒</v>
          </cell>
          <cell r="H2611" t="str">
            <v>汾酒</v>
          </cell>
          <cell r="I2611" t="str">
            <v>酒类</v>
          </cell>
          <cell r="J2611" t="str">
            <v>白酒</v>
          </cell>
          <cell r="K2611" t="str">
            <v>汾酒 53°老白 封坛15 475mL</v>
          </cell>
          <cell r="L2611" t="str">
            <v>475mL</v>
          </cell>
          <cell r="M2611" t="str">
            <v>瓶</v>
          </cell>
          <cell r="N2611">
            <v>168.67</v>
          </cell>
          <cell r="O2611">
            <v>228</v>
          </cell>
          <cell r="P2611">
            <v>0.26021929824561402</v>
          </cell>
        </row>
        <row r="2612">
          <cell r="F2612" t="str">
            <v>70071132</v>
          </cell>
          <cell r="G2612" t="str">
            <v>汾酒</v>
          </cell>
          <cell r="H2612" t="str">
            <v>汾酒</v>
          </cell>
          <cell r="I2612" t="str">
            <v>酒类</v>
          </cell>
          <cell r="J2612" t="str">
            <v>白酒</v>
          </cell>
          <cell r="K2612" t="str">
            <v>汾酒 53°老白10 475mL</v>
          </cell>
          <cell r="L2612" t="str">
            <v>475mL</v>
          </cell>
          <cell r="M2612" t="str">
            <v>瓶</v>
          </cell>
          <cell r="N2612">
            <v>136.35</v>
          </cell>
          <cell r="O2612">
            <v>178</v>
          </cell>
          <cell r="P2612">
            <v>0.23398876404494401</v>
          </cell>
        </row>
        <row r="2613">
          <cell r="F2613" t="str">
            <v>70186707</v>
          </cell>
          <cell r="G2613" t="str">
            <v>汾酒</v>
          </cell>
          <cell r="H2613" t="str">
            <v>汾酒</v>
          </cell>
          <cell r="I2613" t="str">
            <v>酒类</v>
          </cell>
          <cell r="J2613" t="str">
            <v>白酒</v>
          </cell>
          <cell r="K2613" t="str">
            <v>汾酒 53°老白醇柔 475mL</v>
          </cell>
          <cell r="L2613" t="str">
            <v>475mL</v>
          </cell>
          <cell r="M2613" t="str">
            <v>瓶</v>
          </cell>
          <cell r="N2613">
            <v>90.9</v>
          </cell>
          <cell r="O2613">
            <v>118</v>
          </cell>
          <cell r="P2613">
            <v>0.229661016949153</v>
          </cell>
        </row>
        <row r="2614">
          <cell r="F2614" t="str">
            <v>70042192</v>
          </cell>
          <cell r="G2614" t="str">
            <v>雀巢</v>
          </cell>
          <cell r="H2614" t="str">
            <v>雀巢</v>
          </cell>
          <cell r="I2614" t="str">
            <v>包装饮料</v>
          </cell>
          <cell r="J2614" t="str">
            <v>咖啡</v>
          </cell>
          <cell r="K2614" t="str">
            <v>雀巢 丝滑拿铁咖啡 268mL</v>
          </cell>
          <cell r="L2614" t="str">
            <v>268mL</v>
          </cell>
          <cell r="M2614" t="str">
            <v>瓶</v>
          </cell>
          <cell r="N2614">
            <v>4.67</v>
          </cell>
          <cell r="O2614">
            <v>6.5</v>
          </cell>
          <cell r="P2614">
            <v>0.27538461538461501</v>
          </cell>
        </row>
        <row r="2615">
          <cell r="F2615" t="str">
            <v>70289406</v>
          </cell>
          <cell r="G2615" t="str">
            <v>雀巢</v>
          </cell>
          <cell r="H2615" t="str">
            <v>雀巢</v>
          </cell>
          <cell r="I2615" t="str">
            <v>包装饮料</v>
          </cell>
          <cell r="J2615" t="str">
            <v>咖啡</v>
          </cell>
          <cell r="K2615" t="str">
            <v>雀巢 丝滑榛果风味咖啡 268mL</v>
          </cell>
          <cell r="L2615" t="str">
            <v>268mL</v>
          </cell>
          <cell r="M2615" t="str">
            <v>瓶</v>
          </cell>
          <cell r="N2615">
            <v>4.67</v>
          </cell>
          <cell r="O2615">
            <v>6.5</v>
          </cell>
          <cell r="P2615">
            <v>0.27538461538461501</v>
          </cell>
        </row>
        <row r="2616">
          <cell r="F2616" t="str">
            <v>70289407</v>
          </cell>
          <cell r="G2616" t="str">
            <v>雀巢</v>
          </cell>
          <cell r="H2616" t="str">
            <v>雀巢</v>
          </cell>
          <cell r="I2616" t="str">
            <v>包装饮料</v>
          </cell>
          <cell r="J2616" t="str">
            <v>咖啡</v>
          </cell>
          <cell r="K2616" t="str">
            <v>雀巢 丝滑焦糖风味咖啡 268mL</v>
          </cell>
          <cell r="L2616" t="str">
            <v>268mL</v>
          </cell>
          <cell r="M2616" t="str">
            <v>瓶</v>
          </cell>
          <cell r="N2616">
            <v>4.62</v>
          </cell>
          <cell r="O2616">
            <v>6.5</v>
          </cell>
          <cell r="P2616">
            <v>0.283076923076923</v>
          </cell>
        </row>
        <row r="2617">
          <cell r="F2617" t="str">
            <v>70223210</v>
          </cell>
          <cell r="G2617" t="str">
            <v>雀巢</v>
          </cell>
          <cell r="H2617" t="str">
            <v>雀巢</v>
          </cell>
          <cell r="I2617" t="str">
            <v>包装饮料</v>
          </cell>
          <cell r="J2617" t="str">
            <v>咖啡</v>
          </cell>
          <cell r="K2617" t="str">
            <v>雀巢 丝滑摩卡咖啡 268mL</v>
          </cell>
          <cell r="L2617" t="str">
            <v>268mL</v>
          </cell>
          <cell r="M2617" t="str">
            <v>瓶</v>
          </cell>
          <cell r="N2617">
            <v>4.67</v>
          </cell>
          <cell r="O2617">
            <v>6.5</v>
          </cell>
          <cell r="P2617">
            <v>0.27538461538461501</v>
          </cell>
        </row>
        <row r="2618">
          <cell r="F2618" t="str">
            <v>70442694</v>
          </cell>
          <cell r="G2618" t="str">
            <v>雀巢</v>
          </cell>
          <cell r="H2618" t="str">
            <v>雀巢</v>
          </cell>
          <cell r="I2618" t="str">
            <v>包装饮料</v>
          </cell>
          <cell r="J2618" t="str">
            <v>咖啡</v>
          </cell>
          <cell r="K2618" t="str">
            <v>雀巢 招牌美式（低糖） 268mL</v>
          </cell>
          <cell r="L2618" t="str">
            <v>268mL</v>
          </cell>
          <cell r="M2618" t="str">
            <v>瓶</v>
          </cell>
          <cell r="N2618">
            <v>4.67</v>
          </cell>
          <cell r="O2618">
            <v>6.5</v>
          </cell>
          <cell r="P2618">
            <v>0.27538461538461501</v>
          </cell>
        </row>
        <row r="2619">
          <cell r="F2619" t="str">
            <v>70388824</v>
          </cell>
          <cell r="G2619" t="str">
            <v>雀巢</v>
          </cell>
          <cell r="H2619" t="str">
            <v>雀巢</v>
          </cell>
          <cell r="I2619" t="str">
            <v>包装饮料</v>
          </cell>
          <cell r="J2619" t="str">
            <v>咖啡</v>
          </cell>
          <cell r="K2619" t="str">
            <v>雀巢 丝滑无蔗糖添加拿铁咖啡 268mL</v>
          </cell>
          <cell r="L2619" t="str">
            <v>268mL</v>
          </cell>
          <cell r="M2619" t="str">
            <v>瓶</v>
          </cell>
          <cell r="N2619">
            <v>4.67</v>
          </cell>
          <cell r="O2619">
            <v>6.5</v>
          </cell>
          <cell r="P2619">
            <v>0.27538461538461501</v>
          </cell>
        </row>
        <row r="2620">
          <cell r="F2620" t="str">
            <v>70522292</v>
          </cell>
          <cell r="G2620" t="str">
            <v>雀巢</v>
          </cell>
          <cell r="H2620" t="str">
            <v>雀巢</v>
          </cell>
          <cell r="I2620" t="str">
            <v>包装饮料</v>
          </cell>
          <cell r="J2620" t="str">
            <v>咖啡</v>
          </cell>
          <cell r="K2620" t="str">
            <v>雀巢 斗牛士咖啡风味饮料 250mL</v>
          </cell>
          <cell r="L2620" t="str">
            <v>250mL</v>
          </cell>
          <cell r="M2620" t="str">
            <v>罐</v>
          </cell>
          <cell r="N2620">
            <v>4.5999999999999996</v>
          </cell>
          <cell r="O2620">
            <v>6.5</v>
          </cell>
          <cell r="P2620">
            <v>0.28615384615384598</v>
          </cell>
        </row>
        <row r="2621">
          <cell r="F2621" t="str">
            <v>70267426</v>
          </cell>
          <cell r="G2621" t="str">
            <v>百事可乐</v>
          </cell>
          <cell r="H2621" t="str">
            <v>七喜</v>
          </cell>
          <cell r="I2621" t="str">
            <v>包装饮料</v>
          </cell>
          <cell r="J2621" t="str">
            <v>汽水</v>
          </cell>
          <cell r="K2621" t="str">
            <v>七喜六连包 330mL*6</v>
          </cell>
          <cell r="L2621" t="str">
            <v>330mL*6</v>
          </cell>
          <cell r="M2621" t="str">
            <v>包</v>
          </cell>
          <cell r="N2621">
            <v>10.61</v>
          </cell>
          <cell r="O2621">
            <v>16</v>
          </cell>
          <cell r="P2621">
            <v>0.330625</v>
          </cell>
        </row>
        <row r="2622">
          <cell r="F2622" t="str">
            <v>70442937</v>
          </cell>
          <cell r="G2622" t="str">
            <v>百事可乐</v>
          </cell>
          <cell r="H2622" t="str">
            <v>美年达</v>
          </cell>
          <cell r="I2622" t="str">
            <v>包装饮料</v>
          </cell>
          <cell r="J2622" t="str">
            <v>汽水</v>
          </cell>
          <cell r="K2622" t="str">
            <v>美年达橙六连包 330mL*6</v>
          </cell>
          <cell r="L2622" t="str">
            <v>330mL*6</v>
          </cell>
          <cell r="M2622" t="str">
            <v>包</v>
          </cell>
          <cell r="N2622">
            <v>10.61</v>
          </cell>
          <cell r="O2622">
            <v>16</v>
          </cell>
          <cell r="P2622">
            <v>0.330625</v>
          </cell>
        </row>
        <row r="2623">
          <cell r="F2623" t="str">
            <v>70585469</v>
          </cell>
          <cell r="G2623" t="str">
            <v>四川港投</v>
          </cell>
          <cell r="H2623" t="str">
            <v>AUCOKO</v>
          </cell>
          <cell r="I2623" t="str">
            <v>药品/计生/保健</v>
          </cell>
          <cell r="J2623" t="str">
            <v>保健品</v>
          </cell>
          <cell r="K2623" t="str">
            <v>Aucoko 胶原蛋白肽饮液 30mL*12瓶</v>
          </cell>
          <cell r="L2623" t="str">
            <v>30mL*12瓶/盒</v>
          </cell>
          <cell r="M2623" t="str">
            <v>盒</v>
          </cell>
          <cell r="N2623">
            <v>118.51</v>
          </cell>
          <cell r="O2623">
            <v>298</v>
          </cell>
          <cell r="P2623">
            <v>0.59835570469798705</v>
          </cell>
        </row>
        <row r="2624">
          <cell r="F2624" t="str">
            <v>70585467</v>
          </cell>
          <cell r="G2624" t="str">
            <v>四川港投</v>
          </cell>
          <cell r="H2624" t="str">
            <v>AUCOKO</v>
          </cell>
          <cell r="I2624" t="str">
            <v>药品/计生/保健</v>
          </cell>
          <cell r="J2624" t="str">
            <v>保健品</v>
          </cell>
          <cell r="K2624" t="str">
            <v>aucoko DHA藻油凝胶糖果0-3岁 0.76g*60粒</v>
          </cell>
          <cell r="L2624" t="str">
            <v>0.76g*60粒/瓶</v>
          </cell>
          <cell r="M2624" t="str">
            <v>瓶</v>
          </cell>
          <cell r="N2624">
            <v>154.72999999999999</v>
          </cell>
          <cell r="O2624">
            <v>428</v>
          </cell>
          <cell r="P2624">
            <v>0.634906542056075</v>
          </cell>
        </row>
        <row r="2625">
          <cell r="F2625" t="str">
            <v>70585468</v>
          </cell>
          <cell r="G2625" t="str">
            <v>四川港投</v>
          </cell>
          <cell r="H2625" t="str">
            <v>AUCOKO</v>
          </cell>
          <cell r="I2625" t="str">
            <v>药品/计生/保健</v>
          </cell>
          <cell r="J2625" t="str">
            <v>保健品</v>
          </cell>
          <cell r="K2625" t="str">
            <v>aucoko DHA叶黄素凝胶糖果3岁+ 0.76g*60粒</v>
          </cell>
          <cell r="L2625" t="str">
            <v>0.76g*60粒/瓶</v>
          </cell>
          <cell r="M2625" t="str">
            <v>瓶</v>
          </cell>
          <cell r="N2625">
            <v>223.11</v>
          </cell>
          <cell r="O2625">
            <v>598</v>
          </cell>
          <cell r="P2625">
            <v>0.62321070234113696</v>
          </cell>
        </row>
        <row r="2626">
          <cell r="F2626" t="str">
            <v>70000613</v>
          </cell>
          <cell r="G2626" t="str">
            <v>旺旺</v>
          </cell>
          <cell r="H2626" t="str">
            <v>旺旺</v>
          </cell>
          <cell r="I2626" t="str">
            <v>奶类</v>
          </cell>
          <cell r="J2626" t="str">
            <v>奶类饮料</v>
          </cell>
          <cell r="K2626" t="str">
            <v>旺旺 O泡果奶味饮料草莓味 125ml</v>
          </cell>
          <cell r="L2626" t="str">
            <v>125ml*4</v>
          </cell>
          <cell r="M2626" t="str">
            <v>个</v>
          </cell>
          <cell r="N2626">
            <v>5.35</v>
          </cell>
          <cell r="O2626">
            <v>8.8000000000000007</v>
          </cell>
          <cell r="P2626">
            <v>0.38522727272727297</v>
          </cell>
        </row>
        <row r="2627">
          <cell r="F2627" t="str">
            <v>70000612</v>
          </cell>
          <cell r="G2627" t="str">
            <v>旺旺</v>
          </cell>
          <cell r="H2627" t="str">
            <v>旺旺</v>
          </cell>
          <cell r="I2627" t="str">
            <v>奶类</v>
          </cell>
          <cell r="J2627" t="str">
            <v>奶类饮料</v>
          </cell>
          <cell r="K2627" t="str">
            <v>旺旺 O泡果奶味饮料原味 125ml</v>
          </cell>
          <cell r="L2627" t="str">
            <v>125ml*4</v>
          </cell>
          <cell r="M2627" t="str">
            <v>个</v>
          </cell>
          <cell r="N2627">
            <v>5.35</v>
          </cell>
          <cell r="O2627">
            <v>8.8000000000000007</v>
          </cell>
          <cell r="P2627">
            <v>0.38522727272727297</v>
          </cell>
        </row>
        <row r="2628">
          <cell r="F2628" t="str">
            <v>70597624</v>
          </cell>
          <cell r="G2628" t="str">
            <v>旺旺</v>
          </cell>
          <cell r="H2628" t="str">
            <v>旺旺</v>
          </cell>
          <cell r="I2628" t="str">
            <v>速食</v>
          </cell>
          <cell r="J2628" t="str">
            <v>包装方便食品</v>
          </cell>
          <cell r="K2628" t="str">
            <v>旺旺 Q米面当归鸡风味 77g</v>
          </cell>
          <cell r="L2628" t="str">
            <v>77g</v>
          </cell>
          <cell r="M2628" t="str">
            <v>盒</v>
          </cell>
          <cell r="N2628">
            <v>3.74</v>
          </cell>
          <cell r="O2628">
            <v>5.9</v>
          </cell>
          <cell r="P2628">
            <v>0.36101694915254201</v>
          </cell>
        </row>
        <row r="2629">
          <cell r="F2629" t="str">
            <v>70597353</v>
          </cell>
          <cell r="G2629" t="str">
            <v>旺旺</v>
          </cell>
          <cell r="H2629" t="str">
            <v>旺旺</v>
          </cell>
          <cell r="I2629" t="str">
            <v>速食</v>
          </cell>
          <cell r="J2629" t="str">
            <v>包装方便食品</v>
          </cell>
          <cell r="K2629" t="str">
            <v>旺旺 Q米面韩式泡菜风味 73g</v>
          </cell>
          <cell r="L2629" t="str">
            <v>73g</v>
          </cell>
          <cell r="M2629" t="str">
            <v>盒</v>
          </cell>
          <cell r="N2629">
            <v>3.74</v>
          </cell>
          <cell r="O2629">
            <v>5.9</v>
          </cell>
          <cell r="P2629">
            <v>0.36101694915254201</v>
          </cell>
        </row>
        <row r="2630">
          <cell r="F2630" t="str">
            <v>70597626</v>
          </cell>
          <cell r="G2630" t="str">
            <v>旺旺</v>
          </cell>
          <cell r="H2630" t="str">
            <v>旺旺</v>
          </cell>
          <cell r="I2630" t="str">
            <v>速食</v>
          </cell>
          <cell r="J2630" t="str">
            <v>包装方便食品</v>
          </cell>
          <cell r="K2630" t="str">
            <v>旺旺 Q米面南洋叻沙风味 91g</v>
          </cell>
          <cell r="L2630" t="str">
            <v>91g</v>
          </cell>
          <cell r="M2630" t="str">
            <v>盒</v>
          </cell>
          <cell r="N2630">
            <v>3.74</v>
          </cell>
          <cell r="O2630">
            <v>5.9</v>
          </cell>
          <cell r="P2630">
            <v>0.36101694915254201</v>
          </cell>
        </row>
        <row r="2631">
          <cell r="F2631" t="str">
            <v>70001653</v>
          </cell>
          <cell r="G2631" t="str">
            <v>旺旺</v>
          </cell>
          <cell r="H2631" t="str">
            <v>旺旺</v>
          </cell>
          <cell r="I2631" t="str">
            <v>零食</v>
          </cell>
          <cell r="J2631" t="str">
            <v>膨化食品</v>
          </cell>
          <cell r="K2631" t="str">
            <v>旺旺 大米饼原味 135g</v>
          </cell>
          <cell r="L2631" t="str">
            <v>135g</v>
          </cell>
          <cell r="M2631" t="str">
            <v>袋</v>
          </cell>
          <cell r="N2631">
            <v>5.74</v>
          </cell>
          <cell r="O2631">
            <v>9.5</v>
          </cell>
          <cell r="P2631">
            <v>0.390526315789474</v>
          </cell>
        </row>
        <row r="2632">
          <cell r="F2632" t="str">
            <v>70597446</v>
          </cell>
          <cell r="G2632" t="str">
            <v>旺旺</v>
          </cell>
          <cell r="H2632" t="str">
            <v>旺旺</v>
          </cell>
          <cell r="I2632" t="str">
            <v>奶类</v>
          </cell>
          <cell r="J2632" t="str">
            <v>奶类饮料</v>
          </cell>
          <cell r="K2632" t="str">
            <v>旺旺 调制乳(每日喝牛奶）巧克力 245ml</v>
          </cell>
          <cell r="L2632" t="str">
            <v>245ml</v>
          </cell>
          <cell r="M2632" t="str">
            <v>盒</v>
          </cell>
          <cell r="N2632">
            <v>4.1399999999999997</v>
          </cell>
          <cell r="O2632">
            <v>6</v>
          </cell>
          <cell r="P2632">
            <v>0.30333333333333301</v>
          </cell>
        </row>
        <row r="2633">
          <cell r="F2633" t="str">
            <v>70597628</v>
          </cell>
          <cell r="G2633" t="str">
            <v>旺旺</v>
          </cell>
          <cell r="H2633" t="str">
            <v>旺旺</v>
          </cell>
          <cell r="I2633" t="str">
            <v>奶类</v>
          </cell>
          <cell r="J2633" t="str">
            <v>奶类饮料</v>
          </cell>
          <cell r="K2633" t="str">
            <v>旺旺 调制乳(每日喝牛奶）原味 245ml</v>
          </cell>
          <cell r="L2633" t="str">
            <v>245ml</v>
          </cell>
          <cell r="M2633" t="str">
            <v>盒</v>
          </cell>
          <cell r="N2633">
            <v>4.1399999999999997</v>
          </cell>
          <cell r="O2633">
            <v>6</v>
          </cell>
          <cell r="P2633">
            <v>0.30333333333333301</v>
          </cell>
        </row>
        <row r="2634">
          <cell r="F2634" t="str">
            <v>70524077</v>
          </cell>
          <cell r="G2634" t="str">
            <v>旺旺</v>
          </cell>
          <cell r="H2634" t="str">
            <v>旺旺</v>
          </cell>
          <cell r="I2634" t="str">
            <v>包装饮料</v>
          </cell>
          <cell r="J2634" t="str">
            <v>奶类饮料</v>
          </cell>
          <cell r="K2634" t="str">
            <v>旺旺 冻痴旺仔牛奶 85ml</v>
          </cell>
          <cell r="L2634" t="str">
            <v>85ml</v>
          </cell>
          <cell r="M2634" t="str">
            <v>个</v>
          </cell>
          <cell r="N2634">
            <v>2.46</v>
          </cell>
          <cell r="O2634">
            <v>4</v>
          </cell>
          <cell r="P2634">
            <v>0.3775</v>
          </cell>
        </row>
        <row r="2635">
          <cell r="F2635" t="str">
            <v>70597356</v>
          </cell>
          <cell r="G2635" t="str">
            <v>旺旺</v>
          </cell>
          <cell r="H2635" t="str">
            <v>旺旺</v>
          </cell>
          <cell r="I2635" t="str">
            <v>零食</v>
          </cell>
          <cell r="J2635" t="str">
            <v>奶类饮料</v>
          </cell>
          <cell r="K2635" t="str">
            <v>旺旺 冻痴旺仔巧克力 85ml</v>
          </cell>
          <cell r="L2635" t="str">
            <v>85ml</v>
          </cell>
          <cell r="M2635" t="str">
            <v>个</v>
          </cell>
          <cell r="N2635">
            <v>2.46</v>
          </cell>
          <cell r="O2635">
            <v>4</v>
          </cell>
          <cell r="P2635">
            <v>0.3775</v>
          </cell>
        </row>
        <row r="2636">
          <cell r="F2636" t="str">
            <v>70022124</v>
          </cell>
          <cell r="G2636" t="str">
            <v>旺旺</v>
          </cell>
          <cell r="H2636" t="str">
            <v>旺旺</v>
          </cell>
          <cell r="I2636" t="str">
            <v>包装饮料</v>
          </cell>
          <cell r="J2636" t="str">
            <v>疏/果汁</v>
          </cell>
          <cell r="K2636" t="str">
            <v>旺旺 果粒多果汁饮料蜜桃 300ml</v>
          </cell>
          <cell r="L2636" t="str">
            <v>300ml</v>
          </cell>
          <cell r="M2636" t="str">
            <v>个</v>
          </cell>
          <cell r="N2636">
            <v>2.42</v>
          </cell>
          <cell r="O2636">
            <v>4.5</v>
          </cell>
          <cell r="P2636">
            <v>0.45555555555555499</v>
          </cell>
        </row>
        <row r="2637">
          <cell r="F2637" t="str">
            <v>70022125</v>
          </cell>
          <cell r="G2637" t="str">
            <v>旺旺</v>
          </cell>
          <cell r="H2637" t="str">
            <v>旺旺</v>
          </cell>
          <cell r="I2637" t="str">
            <v>包装饮料</v>
          </cell>
          <cell r="J2637" t="str">
            <v>疏/果汁</v>
          </cell>
          <cell r="K2637" t="str">
            <v>旺旺 果粒多果汁饮料葡萄 300ml</v>
          </cell>
          <cell r="L2637" t="str">
            <v>300ml</v>
          </cell>
          <cell r="M2637" t="str">
            <v>个</v>
          </cell>
          <cell r="N2637">
            <v>2.42</v>
          </cell>
          <cell r="O2637">
            <v>4.5</v>
          </cell>
          <cell r="P2637">
            <v>0.45555555555555499</v>
          </cell>
        </row>
        <row r="2638">
          <cell r="F2638" t="str">
            <v>70025340</v>
          </cell>
          <cell r="G2638" t="str">
            <v>旺旺</v>
          </cell>
          <cell r="H2638" t="str">
            <v>旺旺</v>
          </cell>
          <cell r="I2638" t="str">
            <v>零食</v>
          </cell>
          <cell r="J2638" t="str">
            <v>膨化食品</v>
          </cell>
          <cell r="K2638" t="str">
            <v>旺旺 浪味仙蔬菜 70g</v>
          </cell>
          <cell r="L2638" t="str">
            <v>70g</v>
          </cell>
          <cell r="M2638" t="str">
            <v>包</v>
          </cell>
          <cell r="N2638">
            <v>4.59</v>
          </cell>
          <cell r="O2638">
            <v>6.8</v>
          </cell>
          <cell r="P2638">
            <v>0.31911764705882401</v>
          </cell>
        </row>
        <row r="2639">
          <cell r="F2639" t="str">
            <v>75000743</v>
          </cell>
          <cell r="G2639" t="str">
            <v>旺旺</v>
          </cell>
          <cell r="H2639" t="str">
            <v>旺旺</v>
          </cell>
          <cell r="I2639" t="str">
            <v>包装饮料</v>
          </cell>
          <cell r="J2639" t="str">
            <v>果汁饮料</v>
          </cell>
          <cell r="K2639" t="str">
            <v>旺旺 碎冰冰草莓 78ml</v>
          </cell>
          <cell r="L2639" t="str">
            <v>78ml</v>
          </cell>
          <cell r="M2639" t="str">
            <v>个</v>
          </cell>
          <cell r="N2639">
            <v>0.71</v>
          </cell>
          <cell r="O2639">
            <v>1.1000000000000001</v>
          </cell>
          <cell r="P2639">
            <v>0.354545454545455</v>
          </cell>
        </row>
        <row r="2640">
          <cell r="F2640" t="str">
            <v>70003290</v>
          </cell>
          <cell r="G2640" t="str">
            <v>旺旺</v>
          </cell>
          <cell r="H2640" t="str">
            <v>旺旺</v>
          </cell>
          <cell r="I2640" t="str">
            <v>包装饮料</v>
          </cell>
          <cell r="J2640" t="str">
            <v>果汁饮料</v>
          </cell>
          <cell r="K2640" t="str">
            <v>旺旺 碎冰冰可乐 78ml</v>
          </cell>
          <cell r="L2640" t="str">
            <v>78ml</v>
          </cell>
          <cell r="M2640" t="str">
            <v>个</v>
          </cell>
          <cell r="N2640">
            <v>0.71</v>
          </cell>
          <cell r="O2640">
            <v>1.1000000000000001</v>
          </cell>
          <cell r="P2640">
            <v>0.354545454545455</v>
          </cell>
        </row>
        <row r="2641">
          <cell r="F2641" t="str">
            <v>70033413</v>
          </cell>
          <cell r="G2641" t="str">
            <v>旺旺</v>
          </cell>
          <cell r="H2641" t="str">
            <v>旺旺</v>
          </cell>
          <cell r="I2641" t="str">
            <v>包装饮料</v>
          </cell>
          <cell r="J2641" t="str">
            <v>果汁饮料</v>
          </cell>
          <cell r="K2641" t="str">
            <v>旺旺 碎冰冰葡萄 78ml</v>
          </cell>
          <cell r="L2641" t="str">
            <v>78ml</v>
          </cell>
          <cell r="M2641" t="str">
            <v>个</v>
          </cell>
          <cell r="N2641">
            <v>0.71</v>
          </cell>
          <cell r="O2641">
            <v>1.1000000000000001</v>
          </cell>
          <cell r="P2641">
            <v>0.354545454545455</v>
          </cell>
        </row>
        <row r="2642">
          <cell r="F2642" t="str">
            <v>70025446</v>
          </cell>
          <cell r="G2642" t="str">
            <v>旺旺</v>
          </cell>
          <cell r="H2642" t="str">
            <v>旺旺</v>
          </cell>
          <cell r="I2642" t="str">
            <v>包装饮料</v>
          </cell>
          <cell r="J2642" t="str">
            <v>果汁饮料</v>
          </cell>
          <cell r="K2642" t="str">
            <v>旺旺 碎冰冰乳酸 78ml</v>
          </cell>
          <cell r="L2642" t="str">
            <v>78ml</v>
          </cell>
          <cell r="M2642" t="str">
            <v>个</v>
          </cell>
          <cell r="N2642">
            <v>0.71</v>
          </cell>
          <cell r="O2642">
            <v>1.1000000000000001</v>
          </cell>
          <cell r="P2642">
            <v>0.354545454545455</v>
          </cell>
        </row>
        <row r="2643">
          <cell r="F2643" t="str">
            <v>70005019</v>
          </cell>
          <cell r="G2643" t="str">
            <v>旺旺</v>
          </cell>
          <cell r="H2643" t="str">
            <v>旺旺</v>
          </cell>
          <cell r="I2643" t="str">
            <v>零食</v>
          </cell>
          <cell r="J2643" t="str">
            <v>坚果</v>
          </cell>
          <cell r="K2643" t="str">
            <v>旺旺 挑豆脆皮花生 95g</v>
          </cell>
          <cell r="L2643" t="str">
            <v>95g</v>
          </cell>
          <cell r="M2643" t="str">
            <v>袋</v>
          </cell>
          <cell r="N2643">
            <v>4.1900000000000004</v>
          </cell>
          <cell r="O2643">
            <v>6.5</v>
          </cell>
          <cell r="P2643">
            <v>0.34923076923076901</v>
          </cell>
        </row>
        <row r="2644">
          <cell r="F2644" t="str">
            <v>70015302</v>
          </cell>
          <cell r="G2644" t="str">
            <v>旺旺</v>
          </cell>
          <cell r="H2644" t="str">
            <v>旺旺</v>
          </cell>
          <cell r="I2644" t="str">
            <v>零食</v>
          </cell>
          <cell r="J2644" t="str">
            <v>坚果</v>
          </cell>
          <cell r="K2644" t="str">
            <v>旺旺 挑豆豌豆 95g</v>
          </cell>
          <cell r="L2644" t="str">
            <v>95g</v>
          </cell>
          <cell r="M2644" t="str">
            <v>袋</v>
          </cell>
          <cell r="N2644">
            <v>4.1900000000000004</v>
          </cell>
          <cell r="O2644">
            <v>6.5</v>
          </cell>
          <cell r="P2644">
            <v>0.34923076923076901</v>
          </cell>
        </row>
        <row r="2645">
          <cell r="F2645" t="str">
            <v>70000652</v>
          </cell>
          <cell r="G2645" t="str">
            <v>旺旺</v>
          </cell>
          <cell r="H2645" t="str">
            <v>旺旺</v>
          </cell>
          <cell r="I2645" t="str">
            <v>糖果</v>
          </cell>
          <cell r="J2645" t="str">
            <v>软糖</v>
          </cell>
          <cell r="K2645" t="str">
            <v>旺旺 旺仔QQ糖草莓 70g</v>
          </cell>
          <cell r="L2645" t="str">
            <v>70g</v>
          </cell>
          <cell r="M2645" t="str">
            <v>袋</v>
          </cell>
          <cell r="N2645">
            <v>2.76</v>
          </cell>
          <cell r="O2645">
            <v>4.2</v>
          </cell>
          <cell r="P2645">
            <v>0.338095238095238</v>
          </cell>
        </row>
        <row r="2646">
          <cell r="F2646" t="str">
            <v>70018298</v>
          </cell>
          <cell r="G2646" t="str">
            <v>旺旺</v>
          </cell>
          <cell r="H2646" t="str">
            <v>旺旺</v>
          </cell>
          <cell r="I2646" t="str">
            <v>糖果</v>
          </cell>
          <cell r="J2646" t="str">
            <v>软糖</v>
          </cell>
          <cell r="K2646" t="str">
            <v>旺旺 旺仔QQ糖可乐 70g</v>
          </cell>
          <cell r="L2646" t="str">
            <v>70g</v>
          </cell>
          <cell r="M2646" t="str">
            <v>袋</v>
          </cell>
          <cell r="N2646">
            <v>2.76</v>
          </cell>
          <cell r="O2646">
            <v>4.2</v>
          </cell>
          <cell r="P2646">
            <v>0.338095238095238</v>
          </cell>
        </row>
        <row r="2647">
          <cell r="F2647" t="str">
            <v>70004466</v>
          </cell>
          <cell r="G2647" t="str">
            <v>旺旺</v>
          </cell>
          <cell r="H2647" t="str">
            <v>旺旺</v>
          </cell>
          <cell r="I2647" t="str">
            <v>糖果</v>
          </cell>
          <cell r="J2647" t="str">
            <v>软糖</v>
          </cell>
          <cell r="K2647" t="str">
            <v>旺旺 旺仔QQ糖葡萄 70g</v>
          </cell>
          <cell r="L2647" t="str">
            <v>70g</v>
          </cell>
          <cell r="M2647" t="str">
            <v>袋</v>
          </cell>
          <cell r="N2647">
            <v>2.76</v>
          </cell>
          <cell r="O2647">
            <v>4.2</v>
          </cell>
          <cell r="P2647">
            <v>0.338095238095238</v>
          </cell>
        </row>
        <row r="2648">
          <cell r="F2648" t="str">
            <v>70417486</v>
          </cell>
          <cell r="G2648" t="str">
            <v>旺旺</v>
          </cell>
          <cell r="H2648" t="str">
            <v>旺旺</v>
          </cell>
          <cell r="I2648" t="str">
            <v>糖果</v>
          </cell>
          <cell r="J2648" t="str">
            <v>软糖</v>
          </cell>
          <cell r="K2648" t="str">
            <v>旺旺 旺仔超QQ软糖可乐 48g</v>
          </cell>
          <cell r="L2648" t="str">
            <v>48g</v>
          </cell>
          <cell r="M2648" t="str">
            <v>袋</v>
          </cell>
          <cell r="N2648">
            <v>4.1399999999999997</v>
          </cell>
          <cell r="O2648">
            <v>6.8</v>
          </cell>
          <cell r="P2648">
            <v>0.38529411764705901</v>
          </cell>
        </row>
        <row r="2649">
          <cell r="F2649" t="str">
            <v>70417484</v>
          </cell>
          <cell r="G2649" t="str">
            <v>旺旺</v>
          </cell>
          <cell r="H2649" t="str">
            <v>旺旺</v>
          </cell>
          <cell r="I2649" t="str">
            <v>糖果</v>
          </cell>
          <cell r="J2649" t="str">
            <v>软糖</v>
          </cell>
          <cell r="K2649" t="str">
            <v>旺旺 旺仔超QQ软糖柠檬汽水 48g</v>
          </cell>
          <cell r="L2649" t="str">
            <v>48g</v>
          </cell>
          <cell r="M2649" t="str">
            <v>袋</v>
          </cell>
          <cell r="N2649">
            <v>4.1399999999999997</v>
          </cell>
          <cell r="O2649">
            <v>6.8</v>
          </cell>
          <cell r="P2649">
            <v>0.38529411764705901</v>
          </cell>
        </row>
        <row r="2650">
          <cell r="F2650" t="str">
            <v>70001450</v>
          </cell>
          <cell r="G2650" t="str">
            <v>旺旺</v>
          </cell>
          <cell r="H2650" t="str">
            <v>旺旺</v>
          </cell>
          <cell r="I2650" t="str">
            <v>奶类</v>
          </cell>
          <cell r="J2650" t="str">
            <v>奶类饮料</v>
          </cell>
          <cell r="K2650" t="str">
            <v>旺旺 旺仔牛奶家庭号原味 125ml</v>
          </cell>
          <cell r="L2650" t="str">
            <v>125ml</v>
          </cell>
          <cell r="M2650" t="str">
            <v>盒</v>
          </cell>
          <cell r="N2650">
            <v>1.87</v>
          </cell>
          <cell r="O2650">
            <v>2.9</v>
          </cell>
          <cell r="P2650">
            <v>0.34347826086956501</v>
          </cell>
        </row>
        <row r="2651">
          <cell r="F2651" t="str">
            <v>70075112</v>
          </cell>
          <cell r="G2651" t="str">
            <v>旺旺</v>
          </cell>
          <cell r="H2651" t="str">
            <v>旺旺</v>
          </cell>
          <cell r="I2651" t="str">
            <v>奶类</v>
          </cell>
          <cell r="J2651" t="str">
            <v>奶类饮料</v>
          </cell>
          <cell r="K2651" t="str">
            <v>旺旺 旺仔牛奶原味 145ml*4</v>
          </cell>
          <cell r="L2651" t="str">
            <v>145ml*4</v>
          </cell>
          <cell r="M2651" t="str">
            <v>盒</v>
          </cell>
          <cell r="N2651">
            <v>9.09</v>
          </cell>
          <cell r="O2651">
            <v>14</v>
          </cell>
          <cell r="P2651">
            <v>0.34285714285714303</v>
          </cell>
        </row>
        <row r="2652">
          <cell r="F2652" t="str">
            <v>70018331</v>
          </cell>
          <cell r="G2652" t="str">
            <v>旺旺</v>
          </cell>
          <cell r="H2652" t="str">
            <v>旺旺</v>
          </cell>
          <cell r="I2652" t="str">
            <v>奶类</v>
          </cell>
          <cell r="J2652" t="str">
            <v>奶类饮料</v>
          </cell>
          <cell r="K2652" t="str">
            <v>旺旺 旺仔小馒头特浓牛奶 55g</v>
          </cell>
          <cell r="L2652" t="str">
            <v>55g</v>
          </cell>
          <cell r="M2652" t="str">
            <v>盒</v>
          </cell>
          <cell r="N2652">
            <v>3.43</v>
          </cell>
          <cell r="O2652">
            <v>5.5</v>
          </cell>
          <cell r="P2652">
            <v>0.36909090909090903</v>
          </cell>
        </row>
        <row r="2653">
          <cell r="F2653" t="str">
            <v>70006002</v>
          </cell>
          <cell r="G2653" t="str">
            <v>旺旺</v>
          </cell>
          <cell r="H2653" t="str">
            <v>旺旺</v>
          </cell>
          <cell r="I2653" t="str">
            <v>零食</v>
          </cell>
          <cell r="J2653" t="str">
            <v>果冻</v>
          </cell>
          <cell r="K2653" t="str">
            <v>旺旺 维多粒果冻爽粒粒桃味 150g</v>
          </cell>
          <cell r="L2653" t="str">
            <v>150g</v>
          </cell>
          <cell r="M2653" t="str">
            <v>盒</v>
          </cell>
          <cell r="N2653">
            <v>1.67</v>
          </cell>
          <cell r="O2653">
            <v>2.6</v>
          </cell>
          <cell r="P2653">
            <v>0.35384615384615398</v>
          </cell>
        </row>
        <row r="2654">
          <cell r="F2654" t="str">
            <v>70006003</v>
          </cell>
          <cell r="G2654" t="str">
            <v>旺旺</v>
          </cell>
          <cell r="H2654" t="str">
            <v>旺旺</v>
          </cell>
          <cell r="I2654" t="str">
            <v>零食</v>
          </cell>
          <cell r="J2654" t="str">
            <v>果冻</v>
          </cell>
          <cell r="K2654" t="str">
            <v>旺旺 维多粒果冻爽葡萄味 150g</v>
          </cell>
          <cell r="L2654" t="str">
            <v>150g</v>
          </cell>
          <cell r="M2654" t="str">
            <v>盒</v>
          </cell>
          <cell r="N2654">
            <v>1.67</v>
          </cell>
          <cell r="O2654">
            <v>2.6</v>
          </cell>
          <cell r="P2654">
            <v>0.35384615384615398</v>
          </cell>
        </row>
        <row r="2655">
          <cell r="F2655" t="str">
            <v>70000584</v>
          </cell>
          <cell r="G2655" t="str">
            <v>旺旺</v>
          </cell>
          <cell r="H2655" t="str">
            <v>旺旺</v>
          </cell>
          <cell r="I2655" t="str">
            <v>零食</v>
          </cell>
          <cell r="J2655" t="str">
            <v>膨化食品</v>
          </cell>
          <cell r="K2655" t="str">
            <v>旺旺 仙贝原味 52g</v>
          </cell>
          <cell r="L2655" t="str">
            <v>52g</v>
          </cell>
          <cell r="M2655" t="str">
            <v>袋</v>
          </cell>
          <cell r="N2655">
            <v>3.88</v>
          </cell>
          <cell r="O2655">
            <v>6.5</v>
          </cell>
          <cell r="P2655">
            <v>0.39692307692307699</v>
          </cell>
        </row>
        <row r="2656">
          <cell r="F2656" t="str">
            <v>70000606</v>
          </cell>
          <cell r="G2656" t="str">
            <v>旺旺</v>
          </cell>
          <cell r="H2656" t="str">
            <v>旺旺</v>
          </cell>
          <cell r="I2656" t="str">
            <v>零食</v>
          </cell>
          <cell r="J2656" t="str">
            <v>膨化食品</v>
          </cell>
          <cell r="K2656" t="str">
            <v>旺旺 雪饼原味 84g</v>
          </cell>
          <cell r="L2656" t="str">
            <v>84g</v>
          </cell>
          <cell r="M2656" t="str">
            <v>袋</v>
          </cell>
          <cell r="N2656">
            <v>4.5</v>
          </cell>
          <cell r="O2656">
            <v>6.5</v>
          </cell>
          <cell r="P2656">
            <v>0.3</v>
          </cell>
        </row>
        <row r="2657">
          <cell r="F2657" t="str">
            <v>70597448</v>
          </cell>
          <cell r="G2657" t="str">
            <v>旺旺</v>
          </cell>
          <cell r="H2657" t="str">
            <v>旺旺</v>
          </cell>
          <cell r="I2657" t="str">
            <v>奶类</v>
          </cell>
          <cell r="J2657" t="str">
            <v>奶类饮料</v>
          </cell>
          <cell r="K2657" t="str">
            <v>旺旺 椰奶（每日喝椰奶）原味 245ml</v>
          </cell>
          <cell r="L2657" t="str">
            <v>245ml</v>
          </cell>
          <cell r="M2657" t="str">
            <v>盒</v>
          </cell>
          <cell r="N2657">
            <v>4.1399999999999997</v>
          </cell>
          <cell r="O2657">
            <v>6</v>
          </cell>
          <cell r="P2657">
            <v>0.30333333333333301</v>
          </cell>
        </row>
        <row r="2658">
          <cell r="F2658" t="str">
            <v>70227756</v>
          </cell>
          <cell r="G2658" t="str">
            <v>劲仔</v>
          </cell>
          <cell r="H2658" t="str">
            <v>劲仔</v>
          </cell>
          <cell r="I2658" t="str">
            <v>零食</v>
          </cell>
          <cell r="J2658" t="str">
            <v>海产类</v>
          </cell>
          <cell r="K2658" t="str">
            <v>劲仔 小鱼香辣味 12g</v>
          </cell>
          <cell r="L2658" t="str">
            <v>12g</v>
          </cell>
          <cell r="M2658" t="str">
            <v>个</v>
          </cell>
          <cell r="N2658">
            <v>1.29</v>
          </cell>
          <cell r="O2658">
            <v>2</v>
          </cell>
          <cell r="P2658">
            <v>0.34499999999999997</v>
          </cell>
        </row>
        <row r="2659">
          <cell r="F2659" t="str">
            <v>70268521</v>
          </cell>
          <cell r="G2659" t="str">
            <v>劲仔</v>
          </cell>
          <cell r="H2659" t="str">
            <v>劲仔</v>
          </cell>
          <cell r="I2659" t="str">
            <v>零食</v>
          </cell>
          <cell r="J2659" t="str">
            <v>海产类</v>
          </cell>
          <cell r="K2659" t="str">
            <v>劲仔 小鱼麻辣味 12g</v>
          </cell>
          <cell r="L2659" t="str">
            <v>12g</v>
          </cell>
          <cell r="M2659" t="str">
            <v>个</v>
          </cell>
          <cell r="N2659">
            <v>1.29</v>
          </cell>
          <cell r="O2659">
            <v>2</v>
          </cell>
          <cell r="P2659">
            <v>0.34499999999999997</v>
          </cell>
        </row>
        <row r="2660">
          <cell r="F2660" t="str">
            <v>70221289</v>
          </cell>
          <cell r="G2660" t="str">
            <v>劲仔</v>
          </cell>
          <cell r="H2660" t="str">
            <v>劲仔</v>
          </cell>
          <cell r="I2660" t="str">
            <v>零食</v>
          </cell>
          <cell r="J2660" t="str">
            <v>海产类</v>
          </cell>
          <cell r="K2660" t="str">
            <v>劲仔 小鱼卤香味 12g</v>
          </cell>
          <cell r="L2660" t="str">
            <v>12g</v>
          </cell>
          <cell r="M2660" t="str">
            <v>个</v>
          </cell>
          <cell r="N2660">
            <v>1.29</v>
          </cell>
          <cell r="O2660">
            <v>2</v>
          </cell>
          <cell r="P2660">
            <v>0.34499999999999997</v>
          </cell>
        </row>
        <row r="2661">
          <cell r="F2661" t="str">
            <v>70227758</v>
          </cell>
          <cell r="G2661" t="str">
            <v>劲仔</v>
          </cell>
          <cell r="H2661" t="str">
            <v>劲仔</v>
          </cell>
          <cell r="I2661" t="str">
            <v>零食</v>
          </cell>
          <cell r="J2661" t="str">
            <v>海产类</v>
          </cell>
          <cell r="K2661" t="str">
            <v>劲仔 小鱼酱汁味 12g</v>
          </cell>
          <cell r="L2661" t="str">
            <v>12g</v>
          </cell>
          <cell r="M2661" t="str">
            <v>个</v>
          </cell>
          <cell r="N2661">
            <v>1.29</v>
          </cell>
          <cell r="O2661">
            <v>2</v>
          </cell>
          <cell r="P2661">
            <v>0.34499999999999997</v>
          </cell>
        </row>
        <row r="2662">
          <cell r="F2662" t="str">
            <v>70268522</v>
          </cell>
          <cell r="G2662" t="str">
            <v>劲仔</v>
          </cell>
          <cell r="H2662" t="str">
            <v>劲仔</v>
          </cell>
          <cell r="I2662" t="str">
            <v>零食</v>
          </cell>
          <cell r="J2662" t="str">
            <v>海产类</v>
          </cell>
          <cell r="K2662" t="str">
            <v>劲仔 小鱼糖醋味 12g</v>
          </cell>
          <cell r="L2662" t="str">
            <v>12g</v>
          </cell>
          <cell r="M2662" t="str">
            <v>个</v>
          </cell>
          <cell r="N2662">
            <v>1.29</v>
          </cell>
          <cell r="O2662">
            <v>2</v>
          </cell>
          <cell r="P2662">
            <v>0.34499999999999997</v>
          </cell>
        </row>
        <row r="2663">
          <cell r="F2663" t="str">
            <v>70558007</v>
          </cell>
          <cell r="G2663" t="str">
            <v>劲仔</v>
          </cell>
          <cell r="H2663" t="str">
            <v>劲仔</v>
          </cell>
          <cell r="I2663" t="str">
            <v>零食</v>
          </cell>
          <cell r="J2663" t="str">
            <v>海产类</v>
          </cell>
          <cell r="K2663" t="str">
            <v>劲仔 小鱼烧烤味 12g</v>
          </cell>
          <cell r="L2663" t="str">
            <v>12g</v>
          </cell>
          <cell r="M2663" t="str">
            <v>个</v>
          </cell>
          <cell r="N2663">
            <v>1.29</v>
          </cell>
          <cell r="O2663">
            <v>2</v>
          </cell>
          <cell r="P2663">
            <v>0.34499999999999997</v>
          </cell>
        </row>
        <row r="2664">
          <cell r="F2664" t="str">
            <v>70253883</v>
          </cell>
          <cell r="G2664" t="str">
            <v>劲仔</v>
          </cell>
          <cell r="H2664" t="str">
            <v>劲仔</v>
          </cell>
          <cell r="I2664" t="str">
            <v>零食</v>
          </cell>
          <cell r="J2664" t="str">
            <v>豆制品零食</v>
          </cell>
          <cell r="K2664" t="str">
            <v>劲仔 厚豆干香辣味 20g</v>
          </cell>
          <cell r="L2664" t="str">
            <v>20g</v>
          </cell>
          <cell r="M2664" t="str">
            <v>个</v>
          </cell>
          <cell r="N2664">
            <v>1.29</v>
          </cell>
          <cell r="O2664">
            <v>2</v>
          </cell>
          <cell r="P2664">
            <v>0.34499999999999997</v>
          </cell>
        </row>
        <row r="2665">
          <cell r="F2665" t="str">
            <v>70253884</v>
          </cell>
          <cell r="G2665" t="str">
            <v>劲仔</v>
          </cell>
          <cell r="H2665" t="str">
            <v>劲仔</v>
          </cell>
          <cell r="I2665" t="str">
            <v>零食</v>
          </cell>
          <cell r="J2665" t="str">
            <v>豆制品零食</v>
          </cell>
          <cell r="K2665" t="str">
            <v>劲仔 厚豆干麻辣味 20g</v>
          </cell>
          <cell r="L2665" t="str">
            <v>20g</v>
          </cell>
          <cell r="M2665" t="str">
            <v>个</v>
          </cell>
          <cell r="N2665">
            <v>1.29</v>
          </cell>
          <cell r="O2665">
            <v>2</v>
          </cell>
          <cell r="P2665">
            <v>0.34499999999999997</v>
          </cell>
        </row>
        <row r="2666">
          <cell r="F2666" t="str">
            <v>70239715</v>
          </cell>
          <cell r="G2666" t="str">
            <v>劲仔</v>
          </cell>
          <cell r="H2666" t="str">
            <v>劲仔</v>
          </cell>
          <cell r="I2666" t="str">
            <v>零食</v>
          </cell>
          <cell r="J2666" t="str">
            <v>豆制品零食</v>
          </cell>
          <cell r="K2666" t="str">
            <v>劲仔 厚豆干酱香味 20g</v>
          </cell>
          <cell r="L2666" t="str">
            <v>20g</v>
          </cell>
          <cell r="M2666" t="str">
            <v>个</v>
          </cell>
          <cell r="N2666">
            <v>1.29</v>
          </cell>
          <cell r="O2666">
            <v>2</v>
          </cell>
          <cell r="P2666">
            <v>0.34499999999999997</v>
          </cell>
        </row>
        <row r="2667">
          <cell r="F2667" t="str">
            <v>70254677</v>
          </cell>
          <cell r="G2667" t="str">
            <v>劲仔</v>
          </cell>
          <cell r="H2667" t="str">
            <v>劲仔</v>
          </cell>
          <cell r="I2667" t="str">
            <v>零食</v>
          </cell>
          <cell r="J2667" t="str">
            <v>豆制品零食</v>
          </cell>
          <cell r="K2667" t="str">
            <v>劲仔 厚豆干麻辣味 108g</v>
          </cell>
          <cell r="L2667" t="str">
            <v>108g</v>
          </cell>
          <cell r="M2667" t="str">
            <v>个</v>
          </cell>
          <cell r="N2667">
            <v>4.8</v>
          </cell>
          <cell r="O2667">
            <v>7.5</v>
          </cell>
          <cell r="P2667">
            <v>0.353333333333333</v>
          </cell>
        </row>
        <row r="2668">
          <cell r="F2668" t="str">
            <v>70434333</v>
          </cell>
          <cell r="G2668" t="str">
            <v>劲仔</v>
          </cell>
          <cell r="H2668" t="str">
            <v>劲仔</v>
          </cell>
          <cell r="I2668" t="str">
            <v>零食</v>
          </cell>
          <cell r="J2668" t="str">
            <v>海产类</v>
          </cell>
          <cell r="K2668" t="str">
            <v>劲仔 小鱼麻辣味 60g</v>
          </cell>
          <cell r="L2668" t="str">
            <v>60g</v>
          </cell>
          <cell r="M2668" t="str">
            <v>个</v>
          </cell>
          <cell r="N2668">
            <v>4.8</v>
          </cell>
          <cell r="O2668">
            <v>7.5</v>
          </cell>
          <cell r="P2668">
            <v>0.353333333333333</v>
          </cell>
        </row>
        <row r="2669">
          <cell r="F2669" t="str">
            <v>70597405</v>
          </cell>
          <cell r="G2669" t="str">
            <v>劲仔</v>
          </cell>
          <cell r="H2669" t="str">
            <v>劲仔</v>
          </cell>
          <cell r="I2669" t="str">
            <v>零食</v>
          </cell>
          <cell r="J2669" t="str">
            <v>海产类</v>
          </cell>
          <cell r="K2669" t="str">
            <v>劲仔 年年有鱼礼盒 785g</v>
          </cell>
          <cell r="L2669" t="str">
            <v>785g</v>
          </cell>
          <cell r="M2669" t="str">
            <v>盒</v>
          </cell>
          <cell r="N2669">
            <v>63.63</v>
          </cell>
          <cell r="O2669">
            <v>98</v>
          </cell>
          <cell r="P2669">
            <v>0.34428571428571397</v>
          </cell>
        </row>
        <row r="2670">
          <cell r="F2670" t="str">
            <v>70597433</v>
          </cell>
          <cell r="G2670" t="str">
            <v>劲仔</v>
          </cell>
          <cell r="H2670" t="str">
            <v>劲仔</v>
          </cell>
          <cell r="I2670" t="str">
            <v>零食</v>
          </cell>
          <cell r="J2670" t="str">
            <v>豆制品零食</v>
          </cell>
          <cell r="K2670" t="str">
            <v>劲仔 大片素毛肚醇香麻酱味 15g</v>
          </cell>
          <cell r="L2670" t="str">
            <v>15g</v>
          </cell>
          <cell r="M2670" t="str">
            <v>个</v>
          </cell>
          <cell r="N2670">
            <v>1.29</v>
          </cell>
          <cell r="O2670">
            <v>2</v>
          </cell>
          <cell r="P2670">
            <v>0.34499999999999997</v>
          </cell>
        </row>
        <row r="2671">
          <cell r="F2671" t="str">
            <v>70597313</v>
          </cell>
          <cell r="G2671" t="str">
            <v>劲仔</v>
          </cell>
          <cell r="H2671" t="str">
            <v>劲仔</v>
          </cell>
          <cell r="I2671" t="str">
            <v>零食</v>
          </cell>
          <cell r="J2671" t="str">
            <v>豆制品零食</v>
          </cell>
          <cell r="K2671" t="str">
            <v>劲仔 大片素毛肚红油香辣味 15g</v>
          </cell>
          <cell r="L2671" t="str">
            <v>15g</v>
          </cell>
          <cell r="M2671" t="str">
            <v>个</v>
          </cell>
          <cell r="N2671">
            <v>1.29</v>
          </cell>
          <cell r="O2671">
            <v>2</v>
          </cell>
          <cell r="P2671">
            <v>0.34499999999999997</v>
          </cell>
        </row>
        <row r="2672">
          <cell r="F2672" t="str">
            <v>70597315</v>
          </cell>
          <cell r="G2672" t="str">
            <v>劲仔</v>
          </cell>
          <cell r="H2672" t="str">
            <v>劲仔</v>
          </cell>
          <cell r="I2672" t="str">
            <v>零食</v>
          </cell>
          <cell r="J2672" t="str">
            <v>豆制品零食</v>
          </cell>
          <cell r="K2672" t="str">
            <v>劲仔 鲜菇素毛肚麻辣鸡丝味 18g</v>
          </cell>
          <cell r="L2672" t="str">
            <v>18g</v>
          </cell>
          <cell r="M2672" t="str">
            <v>个</v>
          </cell>
          <cell r="N2672">
            <v>1.29</v>
          </cell>
          <cell r="O2672">
            <v>2</v>
          </cell>
          <cell r="P2672">
            <v>0.34499999999999997</v>
          </cell>
        </row>
        <row r="2673">
          <cell r="F2673" t="str">
            <v>70597404</v>
          </cell>
          <cell r="G2673" t="str">
            <v>劲仔</v>
          </cell>
          <cell r="H2673" t="str">
            <v>劲仔</v>
          </cell>
          <cell r="I2673" t="str">
            <v>零食</v>
          </cell>
          <cell r="J2673" t="str">
            <v>豆制品零食</v>
          </cell>
          <cell r="K2673" t="str">
            <v>劲仔 鲜菇素毛肚经典烧烤味 18g</v>
          </cell>
          <cell r="L2673" t="str">
            <v>18g</v>
          </cell>
          <cell r="M2673" t="str">
            <v>个</v>
          </cell>
          <cell r="N2673">
            <v>1.29</v>
          </cell>
          <cell r="O2673">
            <v>2</v>
          </cell>
          <cell r="P2673">
            <v>0.34499999999999997</v>
          </cell>
        </row>
        <row r="2674">
          <cell r="F2674" t="str">
            <v>70012023</v>
          </cell>
          <cell r="G2674" t="str">
            <v>白猫</v>
          </cell>
          <cell r="H2674" t="str">
            <v>白猫</v>
          </cell>
          <cell r="I2674" t="str">
            <v>清洁用品</v>
          </cell>
          <cell r="J2674" t="str">
            <v>家居清洁</v>
          </cell>
          <cell r="K2674" t="str">
            <v>白猫 玻璃清洁剂 500g</v>
          </cell>
          <cell r="L2674" t="str">
            <v>500g</v>
          </cell>
          <cell r="M2674" t="str">
            <v>瓶</v>
          </cell>
          <cell r="N2674">
            <v>13.22</v>
          </cell>
          <cell r="O2674">
            <v>17.3</v>
          </cell>
          <cell r="P2674">
            <v>0.22832369942196501</v>
          </cell>
        </row>
        <row r="2675">
          <cell r="F2675" t="str">
            <v>70597398</v>
          </cell>
          <cell r="G2675" t="str">
            <v>白猫</v>
          </cell>
          <cell r="H2675" t="str">
            <v>白猫</v>
          </cell>
          <cell r="I2675" t="str">
            <v>清洁用品</v>
          </cell>
          <cell r="J2675" t="str">
            <v>衣物清洁</v>
          </cell>
          <cell r="K2675" t="str">
            <v>白猫 花园东方香氛洗衣液 2800g+200g</v>
          </cell>
          <cell r="L2675" t="str">
            <v>2800g+200g</v>
          </cell>
          <cell r="M2675" t="str">
            <v>瓶</v>
          </cell>
          <cell r="N2675">
            <v>36.36</v>
          </cell>
          <cell r="O2675">
            <v>69.900000000000006</v>
          </cell>
          <cell r="P2675">
            <v>0.47467811158798301</v>
          </cell>
        </row>
        <row r="2676">
          <cell r="F2676" t="str">
            <v>70597399</v>
          </cell>
          <cell r="G2676" t="str">
            <v>白猫</v>
          </cell>
          <cell r="H2676" t="str">
            <v>白猫</v>
          </cell>
          <cell r="I2676" t="str">
            <v>清洁用品</v>
          </cell>
          <cell r="J2676" t="str">
            <v>衣物清洁</v>
          </cell>
          <cell r="K2676" t="str">
            <v>白猫 花园东方香氛洗衣液（乌木玫瑰） 700g+138g</v>
          </cell>
          <cell r="L2676" t="str">
            <v>700g+138g</v>
          </cell>
          <cell r="M2676" t="str">
            <v>瓶</v>
          </cell>
          <cell r="N2676">
            <v>10.1</v>
          </cell>
          <cell r="O2676">
            <v>14.8</v>
          </cell>
          <cell r="P2676">
            <v>0.31081081081081102</v>
          </cell>
        </row>
        <row r="2677">
          <cell r="F2677" t="str">
            <v>70597389</v>
          </cell>
          <cell r="G2677" t="str">
            <v>白猫</v>
          </cell>
          <cell r="H2677" t="str">
            <v>白猫</v>
          </cell>
          <cell r="I2677" t="str">
            <v>清洁用品</v>
          </cell>
          <cell r="J2677" t="str">
            <v>厨房清洁</v>
          </cell>
          <cell r="K2677" t="str">
            <v>白猫 活氧多效爆炸盐清洁剂 1kg</v>
          </cell>
          <cell r="L2677" t="str">
            <v>1kg</v>
          </cell>
          <cell r="M2677" t="str">
            <v>罐</v>
          </cell>
          <cell r="N2677">
            <v>31.51</v>
          </cell>
          <cell r="O2677">
            <v>69.900000000000006</v>
          </cell>
          <cell r="P2677">
            <v>0.54477825464949903</v>
          </cell>
        </row>
        <row r="2678">
          <cell r="F2678" t="str">
            <v>70022841</v>
          </cell>
          <cell r="G2678" t="str">
            <v>白猫</v>
          </cell>
          <cell r="H2678" t="str">
            <v>白猫</v>
          </cell>
          <cell r="I2678" t="str">
            <v>清洁用品</v>
          </cell>
          <cell r="J2678" t="str">
            <v>衣物清洁</v>
          </cell>
          <cell r="K2678" t="str">
            <v>白猫 洁衣用漂水 700g</v>
          </cell>
          <cell r="L2678" t="str">
            <v>700g</v>
          </cell>
          <cell r="M2678" t="str">
            <v>瓶</v>
          </cell>
          <cell r="N2678">
            <v>6.37</v>
          </cell>
          <cell r="O2678">
            <v>9.9</v>
          </cell>
          <cell r="P2678">
            <v>0.35050505050505099</v>
          </cell>
        </row>
        <row r="2679">
          <cell r="F2679" t="str">
            <v>70597387</v>
          </cell>
          <cell r="G2679" t="str">
            <v>白猫</v>
          </cell>
          <cell r="H2679" t="str">
            <v>白猫</v>
          </cell>
          <cell r="I2679" t="str">
            <v>清洁用品</v>
          </cell>
          <cell r="J2679" t="str">
            <v>家居清洁</v>
          </cell>
          <cell r="K2679" t="str">
            <v>白猫 金装洗衣机槽清洁剂（125g/包*3） 375g</v>
          </cell>
          <cell r="L2679" t="str">
            <v>375g</v>
          </cell>
          <cell r="M2679" t="str">
            <v>盒</v>
          </cell>
          <cell r="N2679">
            <v>13.23</v>
          </cell>
          <cell r="O2679">
            <v>24.5</v>
          </cell>
          <cell r="P2679">
            <v>0.45469387755101998</v>
          </cell>
        </row>
        <row r="2680">
          <cell r="F2680" t="str">
            <v>70549290</v>
          </cell>
          <cell r="G2680" t="str">
            <v>白猫</v>
          </cell>
          <cell r="H2680" t="str">
            <v>白猫</v>
          </cell>
          <cell r="I2680" t="str">
            <v>清洁用品</v>
          </cell>
          <cell r="J2680" t="str">
            <v>厨房清洁</v>
          </cell>
          <cell r="K2680" t="str">
            <v>白猫 蓝洁灵强力洁厕液（弯头） 500g</v>
          </cell>
          <cell r="L2680" t="str">
            <v>500g</v>
          </cell>
          <cell r="M2680" t="str">
            <v>瓶</v>
          </cell>
          <cell r="N2680">
            <v>6.43</v>
          </cell>
          <cell r="O2680">
            <v>10</v>
          </cell>
          <cell r="P2680">
            <v>0.35</v>
          </cell>
        </row>
        <row r="2681">
          <cell r="F2681" t="str">
            <v>70577503</v>
          </cell>
          <cell r="G2681" t="str">
            <v>白猫</v>
          </cell>
          <cell r="H2681" t="str">
            <v>白猫</v>
          </cell>
          <cell r="I2681" t="str">
            <v>清洁用品</v>
          </cell>
          <cell r="J2681" t="str">
            <v>厨房清洁</v>
          </cell>
          <cell r="K2681" t="str">
            <v>白猫 绿茶薄荷洗洁精 1kg</v>
          </cell>
          <cell r="L2681" t="str">
            <v>1kg</v>
          </cell>
          <cell r="M2681" t="str">
            <v>瓶</v>
          </cell>
          <cell r="N2681">
            <v>9.09</v>
          </cell>
          <cell r="O2681">
            <v>14.9</v>
          </cell>
          <cell r="P2681">
            <v>0.38389261744966402</v>
          </cell>
        </row>
        <row r="2682">
          <cell r="F2682" t="str">
            <v>70597435</v>
          </cell>
          <cell r="G2682" t="str">
            <v>白猫</v>
          </cell>
          <cell r="H2682" t="str">
            <v>白猫</v>
          </cell>
          <cell r="I2682" t="str">
            <v>清洁用品</v>
          </cell>
          <cell r="J2682" t="str">
            <v>衣物清洁</v>
          </cell>
          <cell r="K2682" t="str">
            <v>白猫 内衣专用洗衣液（天然APG） 500g</v>
          </cell>
          <cell r="L2682" t="str">
            <v>500g</v>
          </cell>
          <cell r="M2682" t="str">
            <v>瓶</v>
          </cell>
          <cell r="N2682">
            <v>14.02</v>
          </cell>
          <cell r="O2682">
            <v>24.9</v>
          </cell>
          <cell r="P2682">
            <v>0.43132530120481899</v>
          </cell>
        </row>
        <row r="2683">
          <cell r="F2683" t="str">
            <v>70087940</v>
          </cell>
          <cell r="G2683" t="str">
            <v>白猫</v>
          </cell>
          <cell r="H2683" t="str">
            <v>白猫</v>
          </cell>
          <cell r="I2683" t="str">
            <v>清洁用品</v>
          </cell>
          <cell r="J2683" t="str">
            <v>家居清洁</v>
          </cell>
          <cell r="K2683" t="str">
            <v>白猫 强效油污净 500g</v>
          </cell>
          <cell r="L2683" t="str">
            <v>500g</v>
          </cell>
          <cell r="M2683" t="str">
            <v>瓶</v>
          </cell>
          <cell r="N2683">
            <v>14.14</v>
          </cell>
          <cell r="O2683">
            <v>19</v>
          </cell>
          <cell r="P2683">
            <v>0.24842105263157899</v>
          </cell>
        </row>
        <row r="2684">
          <cell r="F2684" t="str">
            <v>70268593</v>
          </cell>
          <cell r="G2684" t="str">
            <v>白猫</v>
          </cell>
          <cell r="H2684" t="str">
            <v>白猫</v>
          </cell>
          <cell r="I2684" t="str">
            <v>清洁用品</v>
          </cell>
          <cell r="J2684" t="str">
            <v>厨房清洁</v>
          </cell>
          <cell r="K2684" t="str">
            <v>白猫 生姜洗洁精（透明瓶） 1.1kg</v>
          </cell>
          <cell r="L2684" t="str">
            <v>1.1kg</v>
          </cell>
          <cell r="M2684" t="str">
            <v>瓶</v>
          </cell>
          <cell r="N2684">
            <v>9.6</v>
          </cell>
          <cell r="O2684">
            <v>12.9</v>
          </cell>
          <cell r="P2684">
            <v>0.248837209302326</v>
          </cell>
        </row>
        <row r="2685">
          <cell r="F2685" t="str">
            <v>70597394</v>
          </cell>
          <cell r="G2685" t="str">
            <v>白猫</v>
          </cell>
          <cell r="H2685" t="str">
            <v>白猫</v>
          </cell>
          <cell r="I2685" t="str">
            <v>清洁用品</v>
          </cell>
          <cell r="J2685" t="str">
            <v>衣物清洁</v>
          </cell>
          <cell r="K2685" t="str">
            <v>白猫 天然洁净洗衣液 1.5kg</v>
          </cell>
          <cell r="L2685" t="str">
            <v>1.5kg</v>
          </cell>
          <cell r="M2685" t="str">
            <v>瓶</v>
          </cell>
          <cell r="N2685">
            <v>13.78</v>
          </cell>
          <cell r="O2685">
            <v>19.899999999999999</v>
          </cell>
          <cell r="P2685">
            <v>0.30100502512562799</v>
          </cell>
        </row>
        <row r="2686">
          <cell r="F2686" t="str">
            <v>70577513</v>
          </cell>
          <cell r="G2686" t="str">
            <v>白猫</v>
          </cell>
          <cell r="H2686" t="str">
            <v>白猫</v>
          </cell>
          <cell r="I2686" t="str">
            <v>清洁用品</v>
          </cell>
          <cell r="J2686" t="str">
            <v>衣物清洁</v>
          </cell>
          <cell r="K2686" t="str">
            <v>白猫 小苏打白桃樱花洗衣液 2.6kg</v>
          </cell>
          <cell r="L2686" t="str">
            <v>2.6kg</v>
          </cell>
          <cell r="M2686" t="str">
            <v>瓶</v>
          </cell>
          <cell r="N2686">
            <v>34.340000000000003</v>
          </cell>
          <cell r="O2686">
            <v>56.9</v>
          </cell>
          <cell r="P2686">
            <v>0.39050966608084398</v>
          </cell>
        </row>
        <row r="2687">
          <cell r="F2687" t="str">
            <v>70072393</v>
          </cell>
          <cell r="G2687" t="str">
            <v>白猫</v>
          </cell>
          <cell r="H2687" t="str">
            <v>白猫</v>
          </cell>
          <cell r="I2687" t="str">
            <v>清洁用品</v>
          </cell>
          <cell r="J2687" t="str">
            <v>家居清洁</v>
          </cell>
          <cell r="K2687" t="str">
            <v>白猫 浴室清洁剂 520g</v>
          </cell>
          <cell r="L2687" t="str">
            <v>520g</v>
          </cell>
          <cell r="M2687" t="str">
            <v>瓶</v>
          </cell>
          <cell r="N2687">
            <v>18</v>
          </cell>
          <cell r="O2687">
            <v>28</v>
          </cell>
          <cell r="P2687">
            <v>0.35071428571428598</v>
          </cell>
        </row>
        <row r="2688">
          <cell r="F2688" t="str">
            <v>70516138</v>
          </cell>
          <cell r="G2688" t="str">
            <v>达利</v>
          </cell>
          <cell r="H2688" t="str">
            <v>达利园</v>
          </cell>
          <cell r="I2688" t="str">
            <v>饼干/糕点</v>
          </cell>
          <cell r="J2688" t="str">
            <v>饼干/糕点</v>
          </cell>
          <cell r="K2688" t="str">
            <v>达利园 春节大礼包 803g</v>
          </cell>
          <cell r="L2688" t="str">
            <v>803g</v>
          </cell>
          <cell r="M2688" t="str">
            <v>包</v>
          </cell>
          <cell r="N2688">
            <v>27.93</v>
          </cell>
          <cell r="O2688">
            <v>39.5</v>
          </cell>
          <cell r="P2688">
            <v>0.28607594936708902</v>
          </cell>
        </row>
        <row r="2689">
          <cell r="F2689" t="str">
            <v>70286076</v>
          </cell>
          <cell r="G2689" t="str">
            <v>达利</v>
          </cell>
          <cell r="H2689" t="str">
            <v>达利园</v>
          </cell>
          <cell r="I2689" t="str">
            <v>饼干/糕点</v>
          </cell>
          <cell r="J2689" t="str">
            <v>饼干/糕点</v>
          </cell>
          <cell r="K2689" t="str">
            <v>达利园 蔓越莓提子面包 120g</v>
          </cell>
          <cell r="L2689" t="str">
            <v>120g</v>
          </cell>
          <cell r="M2689" t="str">
            <v>包</v>
          </cell>
          <cell r="N2689">
            <v>3.94</v>
          </cell>
          <cell r="O2689">
            <v>5.6</v>
          </cell>
          <cell r="P2689">
            <v>0.28928571428571398</v>
          </cell>
        </row>
        <row r="2690">
          <cell r="F2690" t="str">
            <v>70269709</v>
          </cell>
          <cell r="G2690" t="str">
            <v>达利</v>
          </cell>
          <cell r="H2690" t="str">
            <v>达利园</v>
          </cell>
          <cell r="I2690" t="str">
            <v>饼干/糕点</v>
          </cell>
          <cell r="J2690" t="str">
            <v>饼干/糕点</v>
          </cell>
          <cell r="K2690" t="str">
            <v>达利园 派蛋黄味屋顶礼盒 1.25kg</v>
          </cell>
          <cell r="L2690" t="str">
            <v>1.25kg</v>
          </cell>
          <cell r="M2690" t="str">
            <v>盒</v>
          </cell>
          <cell r="N2690">
            <v>38.89</v>
          </cell>
          <cell r="O2690">
            <v>55</v>
          </cell>
          <cell r="P2690">
            <v>0.28599999999999998</v>
          </cell>
        </row>
        <row r="2691">
          <cell r="F2691" t="str">
            <v>70269710</v>
          </cell>
          <cell r="G2691" t="str">
            <v>达利</v>
          </cell>
          <cell r="H2691" t="str">
            <v>达利园</v>
          </cell>
          <cell r="I2691" t="str">
            <v>饼干/糕点</v>
          </cell>
          <cell r="J2691" t="str">
            <v>饼干/糕点</v>
          </cell>
          <cell r="K2691" t="str">
            <v>达利园 派巧克力味屋顶礼盒 1.2kg</v>
          </cell>
          <cell r="L2691" t="str">
            <v>1.2kg</v>
          </cell>
          <cell r="M2691" t="str">
            <v>盒</v>
          </cell>
          <cell r="N2691">
            <v>38.89</v>
          </cell>
          <cell r="O2691">
            <v>55</v>
          </cell>
          <cell r="P2691">
            <v>0.28599999999999998</v>
          </cell>
        </row>
        <row r="2692">
          <cell r="F2692" t="str">
            <v>70597392</v>
          </cell>
          <cell r="G2692" t="str">
            <v>达利</v>
          </cell>
          <cell r="H2692" t="str">
            <v>达利园</v>
          </cell>
          <cell r="I2692" t="str">
            <v>饼干/糕点</v>
          </cell>
          <cell r="J2692" t="str">
            <v>饼干/糕点</v>
          </cell>
          <cell r="K2692" t="str">
            <v>达利园 巧可派巧克力味 222g</v>
          </cell>
          <cell r="L2692" t="str">
            <v>222g</v>
          </cell>
          <cell r="M2692" t="str">
            <v>包</v>
          </cell>
          <cell r="N2692">
            <v>7.78</v>
          </cell>
          <cell r="O2692">
            <v>11</v>
          </cell>
          <cell r="P2692">
            <v>0.28636363636363599</v>
          </cell>
        </row>
        <row r="2693">
          <cell r="F2693" t="str">
            <v>70597536</v>
          </cell>
          <cell r="G2693" t="str">
            <v>达利</v>
          </cell>
          <cell r="H2693" t="str">
            <v>达利园</v>
          </cell>
          <cell r="I2693" t="str">
            <v>饼干/糕点</v>
          </cell>
          <cell r="J2693" t="str">
            <v>饼干/糕点</v>
          </cell>
          <cell r="K2693" t="str">
            <v>达利园 巧可派巧克力味 74g</v>
          </cell>
          <cell r="L2693" t="str">
            <v>74g</v>
          </cell>
          <cell r="M2693" t="str">
            <v>包</v>
          </cell>
          <cell r="N2693">
            <v>2.83</v>
          </cell>
          <cell r="O2693">
            <v>4</v>
          </cell>
          <cell r="P2693">
            <v>0.28499999999999998</v>
          </cell>
        </row>
        <row r="2694">
          <cell r="F2694" t="str">
            <v>70597621</v>
          </cell>
          <cell r="G2694" t="str">
            <v>达利</v>
          </cell>
          <cell r="H2694" t="str">
            <v>达利园</v>
          </cell>
          <cell r="I2694" t="str">
            <v>饼干/糕点</v>
          </cell>
          <cell r="J2694" t="str">
            <v>饼干/糕点</v>
          </cell>
          <cell r="K2694" t="str">
            <v>达利园 软面包香奶味屋顶礼盒 1.02kg</v>
          </cell>
          <cell r="L2694" t="str">
            <v>1.02kg</v>
          </cell>
          <cell r="M2694" t="str">
            <v>盒</v>
          </cell>
          <cell r="N2694">
            <v>35.35</v>
          </cell>
          <cell r="O2694">
            <v>50</v>
          </cell>
          <cell r="P2694">
            <v>0.28599999999999998</v>
          </cell>
        </row>
        <row r="2695">
          <cell r="F2695" t="str">
            <v>70597538</v>
          </cell>
          <cell r="G2695" t="str">
            <v>达利</v>
          </cell>
          <cell r="H2695" t="str">
            <v>可比克</v>
          </cell>
          <cell r="I2695" t="str">
            <v>零食</v>
          </cell>
          <cell r="J2695" t="str">
            <v>膨化食品</v>
          </cell>
          <cell r="K2695" t="str">
            <v>可比克 超值快乐装番茄味薯片（90g*2） 180g</v>
          </cell>
          <cell r="L2695" t="str">
            <v>180g</v>
          </cell>
          <cell r="M2695" t="str">
            <v>包</v>
          </cell>
          <cell r="N2695">
            <v>11.21</v>
          </cell>
          <cell r="O2695">
            <v>15.9</v>
          </cell>
          <cell r="P2695">
            <v>0.28805031446540902</v>
          </cell>
        </row>
        <row r="2696">
          <cell r="F2696" t="str">
            <v>70597537</v>
          </cell>
          <cell r="G2696" t="str">
            <v>达利</v>
          </cell>
          <cell r="H2696" t="str">
            <v>可比克</v>
          </cell>
          <cell r="I2696" t="str">
            <v>零食</v>
          </cell>
          <cell r="J2696" t="str">
            <v>膨化食品</v>
          </cell>
          <cell r="K2696" t="str">
            <v>可比克 超值快乐装烧烤味薯片（90g*2） 180g</v>
          </cell>
          <cell r="L2696" t="str">
            <v>180g</v>
          </cell>
          <cell r="M2696" t="str">
            <v>包</v>
          </cell>
          <cell r="N2696">
            <v>11.21</v>
          </cell>
          <cell r="O2696">
            <v>15.9</v>
          </cell>
          <cell r="P2696">
            <v>0.28805031446540902</v>
          </cell>
        </row>
        <row r="2697">
          <cell r="F2697" t="str">
            <v>70597635</v>
          </cell>
          <cell r="G2697" t="str">
            <v>达利</v>
          </cell>
          <cell r="H2697" t="str">
            <v>可比克</v>
          </cell>
          <cell r="I2697" t="str">
            <v>零食</v>
          </cell>
          <cell r="J2697" t="str">
            <v>膨化食品</v>
          </cell>
          <cell r="K2697" t="str">
            <v>可比克 纯切薯片(五连包) 150g</v>
          </cell>
          <cell r="L2697" t="str">
            <v>150g</v>
          </cell>
          <cell r="M2697" t="str">
            <v>包</v>
          </cell>
          <cell r="N2697">
            <v>9.83</v>
          </cell>
          <cell r="O2697">
            <v>13.9</v>
          </cell>
          <cell r="P2697">
            <v>0.28633093525179898</v>
          </cell>
        </row>
        <row r="2698">
          <cell r="F2698" t="str">
            <v>70291329</v>
          </cell>
          <cell r="G2698" t="str">
            <v>达利</v>
          </cell>
          <cell r="H2698" t="str">
            <v>可比克</v>
          </cell>
          <cell r="I2698" t="str">
            <v>零食</v>
          </cell>
          <cell r="J2698" t="str">
            <v>膨化食品</v>
          </cell>
          <cell r="K2698" t="str">
            <v>可比克 纯切薯片薯香原味 30g</v>
          </cell>
          <cell r="L2698" t="str">
            <v>30g</v>
          </cell>
          <cell r="M2698" t="str">
            <v>包</v>
          </cell>
          <cell r="N2698">
            <v>2.12</v>
          </cell>
          <cell r="O2698">
            <v>3</v>
          </cell>
          <cell r="P2698">
            <v>0.28666666666666701</v>
          </cell>
        </row>
        <row r="2699">
          <cell r="F2699" t="str">
            <v>70291330</v>
          </cell>
          <cell r="G2699" t="str">
            <v>达利</v>
          </cell>
          <cell r="H2699" t="str">
            <v>可比克</v>
          </cell>
          <cell r="I2699" t="str">
            <v>零食</v>
          </cell>
          <cell r="J2699" t="str">
            <v>膨化食品</v>
          </cell>
          <cell r="K2699" t="str">
            <v>可比克 纯切薯片爽口青瓜味 30g</v>
          </cell>
          <cell r="L2699" t="str">
            <v>30g</v>
          </cell>
          <cell r="M2699" t="str">
            <v>包</v>
          </cell>
          <cell r="N2699">
            <v>2.12</v>
          </cell>
          <cell r="O2699">
            <v>3</v>
          </cell>
          <cell r="P2699">
            <v>0.28666666666666701</v>
          </cell>
        </row>
        <row r="2700">
          <cell r="F2700" t="str">
            <v>70291331</v>
          </cell>
          <cell r="G2700" t="str">
            <v>达利</v>
          </cell>
          <cell r="H2700" t="str">
            <v>可比克</v>
          </cell>
          <cell r="I2700" t="str">
            <v>零食</v>
          </cell>
          <cell r="J2700" t="str">
            <v>膨化食品</v>
          </cell>
          <cell r="K2700" t="str">
            <v>可比克 纯切薯片田园番茄味 30g</v>
          </cell>
          <cell r="L2700" t="str">
            <v>30g</v>
          </cell>
          <cell r="M2700" t="str">
            <v>包</v>
          </cell>
          <cell r="N2700">
            <v>2.12</v>
          </cell>
          <cell r="O2700">
            <v>3</v>
          </cell>
          <cell r="P2700">
            <v>0.28666666666666701</v>
          </cell>
        </row>
        <row r="2701">
          <cell r="F2701" t="str">
            <v>70298942</v>
          </cell>
          <cell r="G2701" t="str">
            <v>达利</v>
          </cell>
          <cell r="H2701" t="str">
            <v>可比克</v>
          </cell>
          <cell r="I2701" t="str">
            <v>零食</v>
          </cell>
          <cell r="J2701" t="str">
            <v>膨化食品</v>
          </cell>
          <cell r="K2701" t="str">
            <v>可比克 纯切薯片滋香烧烤味 30g</v>
          </cell>
          <cell r="L2701" t="str">
            <v>30g</v>
          </cell>
          <cell r="M2701" t="str">
            <v>包</v>
          </cell>
          <cell r="N2701">
            <v>2.12</v>
          </cell>
          <cell r="O2701">
            <v>3</v>
          </cell>
          <cell r="P2701">
            <v>0.28666666666666701</v>
          </cell>
        </row>
        <row r="2702">
          <cell r="F2702" t="str">
            <v>70567339</v>
          </cell>
          <cell r="G2702" t="str">
            <v>老爷岭</v>
          </cell>
          <cell r="H2702" t="str">
            <v>老爷岭</v>
          </cell>
          <cell r="I2702" t="str">
            <v>家庭食品</v>
          </cell>
          <cell r="J2702" t="str">
            <v>粮</v>
          </cell>
          <cell r="K2702" t="str">
            <v>老爷岭 稻田香米（稻花香2号）礼盒装 5KG</v>
          </cell>
          <cell r="L2702" t="str">
            <v>5KG</v>
          </cell>
          <cell r="M2702" t="str">
            <v>袋</v>
          </cell>
          <cell r="N2702">
            <v>73.08</v>
          </cell>
          <cell r="O2702">
            <v>119</v>
          </cell>
          <cell r="P2702">
            <v>0.379747899159664</v>
          </cell>
        </row>
        <row r="2703">
          <cell r="F2703" t="str">
            <v>70543934</v>
          </cell>
          <cell r="G2703" t="str">
            <v>老爷岭</v>
          </cell>
          <cell r="H2703" t="str">
            <v>老爷岭</v>
          </cell>
          <cell r="I2703" t="str">
            <v>家庭食品</v>
          </cell>
          <cell r="J2703" t="str">
            <v>油</v>
          </cell>
          <cell r="K2703" t="str">
            <v>老爷岭 东北一级大豆油 1.8L</v>
          </cell>
          <cell r="L2703" t="str">
            <v>1.8L</v>
          </cell>
          <cell r="M2703" t="str">
            <v>瓶</v>
          </cell>
          <cell r="N2703">
            <v>24.58</v>
          </cell>
          <cell r="O2703">
            <v>36.9</v>
          </cell>
          <cell r="P2703">
            <v>0.32710027100271</v>
          </cell>
        </row>
        <row r="2704">
          <cell r="F2704" t="str">
            <v>70538788</v>
          </cell>
          <cell r="G2704" t="str">
            <v>老爷岭</v>
          </cell>
          <cell r="H2704" t="str">
            <v>老爷岭</v>
          </cell>
          <cell r="I2704" t="str">
            <v>家庭食品</v>
          </cell>
          <cell r="J2704" t="str">
            <v>油</v>
          </cell>
          <cell r="K2704" t="str">
            <v>老爷岭 东北一级大豆油 5L</v>
          </cell>
          <cell r="L2704" t="str">
            <v>5L</v>
          </cell>
          <cell r="M2704" t="str">
            <v>瓶</v>
          </cell>
          <cell r="N2704">
            <v>56.97</v>
          </cell>
          <cell r="O2704">
            <v>86.9</v>
          </cell>
          <cell r="P2704">
            <v>0.33785960874568499</v>
          </cell>
        </row>
        <row r="2705">
          <cell r="F2705" t="str">
            <v>70574080</v>
          </cell>
          <cell r="G2705" t="str">
            <v>老爷岭</v>
          </cell>
          <cell r="H2705" t="str">
            <v>老爷岭</v>
          </cell>
          <cell r="I2705" t="str">
            <v>家庭食品</v>
          </cell>
          <cell r="J2705" t="str">
            <v>油</v>
          </cell>
          <cell r="K2705" t="str">
            <v>老爷岭 东北一级大豆油 10L</v>
          </cell>
          <cell r="L2705" t="str">
            <v>10L</v>
          </cell>
          <cell r="M2705" t="str">
            <v>桶</v>
          </cell>
          <cell r="N2705">
            <v>112.85</v>
          </cell>
          <cell r="O2705">
            <v>169</v>
          </cell>
          <cell r="P2705">
            <v>0.325680473372781</v>
          </cell>
        </row>
        <row r="2706">
          <cell r="F2706" t="str">
            <v>70597352</v>
          </cell>
          <cell r="G2706" t="str">
            <v>老爷岭</v>
          </cell>
          <cell r="H2706" t="str">
            <v>老爷岭</v>
          </cell>
          <cell r="I2706" t="str">
            <v>家庭食品</v>
          </cell>
          <cell r="J2706" t="str">
            <v>粮</v>
          </cell>
          <cell r="K2706" t="str">
            <v>老爷岭 东北圆粒米 10KG</v>
          </cell>
          <cell r="L2706" t="str">
            <v>10KG</v>
          </cell>
          <cell r="M2706" t="str">
            <v>袋</v>
          </cell>
          <cell r="N2706">
            <v>54.19</v>
          </cell>
          <cell r="O2706">
            <v>79.900000000000006</v>
          </cell>
          <cell r="P2706">
            <v>0.31514392991239099</v>
          </cell>
        </row>
        <row r="2707">
          <cell r="F2707" t="str">
            <v>70597355</v>
          </cell>
          <cell r="G2707" t="str">
            <v>老爷岭</v>
          </cell>
          <cell r="H2707" t="str">
            <v>老爷岭</v>
          </cell>
          <cell r="I2707" t="str">
            <v>家庭食品</v>
          </cell>
          <cell r="J2707" t="str">
            <v>粮</v>
          </cell>
          <cell r="K2707" t="str">
            <v>老爷岭 东北圆粒米 5KG</v>
          </cell>
          <cell r="L2707" t="str">
            <v>5KG</v>
          </cell>
          <cell r="M2707" t="str">
            <v>袋</v>
          </cell>
          <cell r="N2707">
            <v>27.93</v>
          </cell>
          <cell r="O2707">
            <v>42.9</v>
          </cell>
          <cell r="P2707">
            <v>0.34265734265734299</v>
          </cell>
        </row>
        <row r="2708">
          <cell r="F2708" t="str">
            <v>70597451</v>
          </cell>
          <cell r="G2708" t="str">
            <v>老爷岭</v>
          </cell>
          <cell r="H2708" t="str">
            <v>老爷岭</v>
          </cell>
          <cell r="I2708" t="str">
            <v>家庭食品</v>
          </cell>
          <cell r="J2708" t="str">
            <v>粮</v>
          </cell>
          <cell r="K2708" t="str">
            <v>老爷岭 东北圆粒米（批发装） 25KG</v>
          </cell>
          <cell r="L2708" t="str">
            <v>25KG</v>
          </cell>
          <cell r="M2708" t="str">
            <v>袋</v>
          </cell>
          <cell r="N2708">
            <v>121.79</v>
          </cell>
          <cell r="O2708">
            <v>179.9</v>
          </cell>
          <cell r="P2708">
            <v>0.31634241245136202</v>
          </cell>
        </row>
        <row r="2709">
          <cell r="F2709" t="str">
            <v>70567338</v>
          </cell>
          <cell r="G2709" t="str">
            <v>老爷岭</v>
          </cell>
          <cell r="H2709" t="str">
            <v>老爷岭</v>
          </cell>
          <cell r="I2709" t="str">
            <v>家庭食品</v>
          </cell>
          <cell r="J2709" t="str">
            <v>粮</v>
          </cell>
          <cell r="K2709" t="str">
            <v>老爷岭 吉稻贡米（稻花香2号） 5KG</v>
          </cell>
          <cell r="L2709" t="str">
            <v>5KG</v>
          </cell>
          <cell r="M2709" t="str">
            <v>袋</v>
          </cell>
          <cell r="N2709">
            <v>60.72</v>
          </cell>
          <cell r="O2709">
            <v>99</v>
          </cell>
          <cell r="P2709">
            <v>0.380606060606061</v>
          </cell>
        </row>
        <row r="2710">
          <cell r="F2710" t="str">
            <v>70567340</v>
          </cell>
          <cell r="G2710" t="str">
            <v>老爷岭</v>
          </cell>
          <cell r="H2710" t="str">
            <v>老爷岭</v>
          </cell>
          <cell r="I2710" t="str">
            <v>家庭食品</v>
          </cell>
          <cell r="J2710" t="str">
            <v>粮</v>
          </cell>
          <cell r="K2710" t="str">
            <v>老爷岭 乌拉贡米礼盒 5KG</v>
          </cell>
          <cell r="L2710" t="str">
            <v>5KG</v>
          </cell>
          <cell r="M2710" t="str">
            <v>袋</v>
          </cell>
          <cell r="N2710">
            <v>145.88999999999999</v>
          </cell>
          <cell r="O2710">
            <v>229</v>
          </cell>
          <cell r="P2710">
            <v>0.35659388646288198</v>
          </cell>
        </row>
        <row r="2711">
          <cell r="F2711" t="str">
            <v>70576512</v>
          </cell>
          <cell r="G2711" t="str">
            <v>老爷岭</v>
          </cell>
          <cell r="H2711" t="str">
            <v>老爷岭</v>
          </cell>
          <cell r="I2711" t="str">
            <v>家庭食品</v>
          </cell>
          <cell r="J2711" t="str">
            <v>粮</v>
          </cell>
          <cell r="K2711" t="str">
            <v>老爷岭 有机香稻礼盒 5KG</v>
          </cell>
          <cell r="L2711" t="str">
            <v>5KG</v>
          </cell>
          <cell r="M2711" t="str">
            <v>盒</v>
          </cell>
          <cell r="N2711">
            <v>93.71</v>
          </cell>
          <cell r="O2711">
            <v>142.9</v>
          </cell>
          <cell r="P2711">
            <v>0.337718684394682</v>
          </cell>
        </row>
        <row r="2712">
          <cell r="F2712" t="str">
            <v>70597349</v>
          </cell>
          <cell r="G2712" t="str">
            <v>老爷岭</v>
          </cell>
          <cell r="H2712" t="str">
            <v>老爷岭</v>
          </cell>
          <cell r="I2712" t="str">
            <v>家庭食品</v>
          </cell>
          <cell r="J2712" t="str">
            <v>粮</v>
          </cell>
          <cell r="K2712" t="str">
            <v>老爷岭 长粒香 2.5kg</v>
          </cell>
          <cell r="L2712" t="str">
            <v>2.5kg</v>
          </cell>
          <cell r="M2712" t="str">
            <v>袋</v>
          </cell>
          <cell r="N2712">
            <v>17.32</v>
          </cell>
          <cell r="O2712">
            <v>28.9</v>
          </cell>
          <cell r="P2712">
            <v>0.39480968858131499</v>
          </cell>
        </row>
        <row r="2713">
          <cell r="F2713" t="str">
            <v>70597347</v>
          </cell>
          <cell r="G2713" t="str">
            <v>老爷岭</v>
          </cell>
          <cell r="H2713" t="str">
            <v>老爷岭</v>
          </cell>
          <cell r="I2713" t="str">
            <v>家庭食品</v>
          </cell>
          <cell r="J2713" t="str">
            <v>粮</v>
          </cell>
          <cell r="K2713" t="str">
            <v>老爷岭 长粒香米 5KG</v>
          </cell>
          <cell r="L2713" t="str">
            <v>5KG</v>
          </cell>
          <cell r="M2713" t="str">
            <v>袋</v>
          </cell>
          <cell r="N2713">
            <v>32.4</v>
          </cell>
          <cell r="O2713">
            <v>55</v>
          </cell>
          <cell r="P2713">
            <v>0.405090909090909</v>
          </cell>
        </row>
        <row r="2714">
          <cell r="F2714" t="str">
            <v>70314705</v>
          </cell>
          <cell r="G2714" t="str">
            <v>维他</v>
          </cell>
          <cell r="H2714" t="str">
            <v>维他</v>
          </cell>
          <cell r="I2714" t="str">
            <v>包装饮料</v>
          </cell>
          <cell r="J2714" t="str">
            <v>茶饮料</v>
          </cell>
          <cell r="K2714" t="str">
            <v>维他 低糖柠檬茶 250ml</v>
          </cell>
          <cell r="L2714" t="str">
            <v>250ml</v>
          </cell>
          <cell r="M2714" t="str">
            <v>瓶</v>
          </cell>
          <cell r="N2714">
            <v>2.21</v>
          </cell>
          <cell r="O2714">
            <v>3.5</v>
          </cell>
          <cell r="P2714">
            <v>0.36285714285714299</v>
          </cell>
        </row>
        <row r="2715">
          <cell r="F2715" t="str">
            <v>70368196</v>
          </cell>
          <cell r="G2715" t="str">
            <v>维他</v>
          </cell>
          <cell r="H2715" t="str">
            <v>维他</v>
          </cell>
          <cell r="I2715" t="str">
            <v>包装饮料</v>
          </cell>
          <cell r="J2715" t="str">
            <v>茶饮料</v>
          </cell>
          <cell r="K2715" t="str">
            <v>维他 低糖柠檬茶 500ml</v>
          </cell>
          <cell r="L2715" t="str">
            <v>500ml</v>
          </cell>
          <cell r="M2715" t="str">
            <v>瓶</v>
          </cell>
          <cell r="N2715">
            <v>3.99</v>
          </cell>
          <cell r="O2715">
            <v>6</v>
          </cell>
          <cell r="P2715">
            <v>0.32833333333333298</v>
          </cell>
        </row>
        <row r="2716">
          <cell r="F2716" t="str">
            <v>70240765</v>
          </cell>
          <cell r="G2716" t="str">
            <v>维他</v>
          </cell>
          <cell r="H2716" t="str">
            <v>维他</v>
          </cell>
          <cell r="I2716" t="str">
            <v>包装饮料</v>
          </cell>
          <cell r="J2716" t="str">
            <v>茶饮料</v>
          </cell>
          <cell r="K2716" t="str">
            <v>维他 菊花茶 250ml</v>
          </cell>
          <cell r="L2716" t="str">
            <v>250ml</v>
          </cell>
          <cell r="M2716" t="str">
            <v>瓶</v>
          </cell>
          <cell r="N2716">
            <v>2.21</v>
          </cell>
          <cell r="O2716">
            <v>3.5</v>
          </cell>
          <cell r="P2716">
            <v>0.36285714285714299</v>
          </cell>
        </row>
        <row r="2717">
          <cell r="F2717" t="str">
            <v>70292930</v>
          </cell>
          <cell r="G2717" t="str">
            <v>维他</v>
          </cell>
          <cell r="H2717" t="str">
            <v>维他</v>
          </cell>
          <cell r="I2717" t="str">
            <v>包装饮料</v>
          </cell>
          <cell r="J2717" t="str">
            <v>茶饮料</v>
          </cell>
          <cell r="K2717" t="str">
            <v>维他 菊花茶 500ml</v>
          </cell>
          <cell r="L2717" t="str">
            <v>500ml</v>
          </cell>
          <cell r="M2717" t="str">
            <v>瓶</v>
          </cell>
          <cell r="N2717">
            <v>3.99</v>
          </cell>
          <cell r="O2717">
            <v>6</v>
          </cell>
          <cell r="P2717">
            <v>0.32833333333333298</v>
          </cell>
        </row>
        <row r="2718">
          <cell r="F2718" t="str">
            <v>70240763</v>
          </cell>
          <cell r="G2718" t="str">
            <v>维他</v>
          </cell>
          <cell r="H2718" t="str">
            <v>维他</v>
          </cell>
          <cell r="I2718" t="str">
            <v>包装饮料</v>
          </cell>
          <cell r="J2718" t="str">
            <v>茶饮料</v>
          </cell>
          <cell r="K2718" t="str">
            <v>维他 柠檬茶 250ml</v>
          </cell>
          <cell r="L2718" t="str">
            <v>250ml</v>
          </cell>
          <cell r="M2718" t="str">
            <v>瓶</v>
          </cell>
          <cell r="N2718">
            <v>2.21</v>
          </cell>
          <cell r="O2718">
            <v>3.5</v>
          </cell>
          <cell r="P2718">
            <v>0.36285714285714299</v>
          </cell>
        </row>
        <row r="2719">
          <cell r="F2719" t="str">
            <v>70242439</v>
          </cell>
          <cell r="G2719" t="str">
            <v>维他</v>
          </cell>
          <cell r="H2719" t="str">
            <v>维他</v>
          </cell>
          <cell r="I2719" t="str">
            <v>包装饮料</v>
          </cell>
          <cell r="J2719" t="str">
            <v>茶饮料</v>
          </cell>
          <cell r="K2719" t="str">
            <v>维他 柠檬茶 500ml</v>
          </cell>
          <cell r="L2719" t="str">
            <v>500ml</v>
          </cell>
          <cell r="M2719" t="str">
            <v>瓶</v>
          </cell>
          <cell r="N2719">
            <v>3.99</v>
          </cell>
          <cell r="O2719">
            <v>6</v>
          </cell>
          <cell r="P2719">
            <v>0.32833333333333298</v>
          </cell>
        </row>
        <row r="2720">
          <cell r="F2720" t="str">
            <v>70406936</v>
          </cell>
          <cell r="G2720" t="str">
            <v>维他</v>
          </cell>
          <cell r="H2720" t="str">
            <v>维他</v>
          </cell>
          <cell r="I2720" t="str">
            <v>包装饮料</v>
          </cell>
          <cell r="J2720" t="str">
            <v>茶饮料</v>
          </cell>
          <cell r="K2720" t="str">
            <v>维他 桃茶 250ml</v>
          </cell>
          <cell r="L2720" t="str">
            <v>250ml</v>
          </cell>
          <cell r="M2720" t="str">
            <v>瓶</v>
          </cell>
          <cell r="N2720">
            <v>2.21</v>
          </cell>
          <cell r="O2720">
            <v>3.5</v>
          </cell>
          <cell r="P2720">
            <v>0.36285714285714299</v>
          </cell>
        </row>
        <row r="2721">
          <cell r="F2721" t="str">
            <v>70406935</v>
          </cell>
          <cell r="G2721" t="str">
            <v>维他</v>
          </cell>
          <cell r="H2721" t="str">
            <v>维他</v>
          </cell>
          <cell r="I2721" t="str">
            <v>包装饮料</v>
          </cell>
          <cell r="J2721" t="str">
            <v>茶饮料</v>
          </cell>
          <cell r="K2721" t="str">
            <v>维他 桃茶 500ml</v>
          </cell>
          <cell r="L2721" t="str">
            <v>500ml</v>
          </cell>
          <cell r="M2721" t="str">
            <v>瓶</v>
          </cell>
          <cell r="N2721">
            <v>3.99</v>
          </cell>
          <cell r="O2721">
            <v>6</v>
          </cell>
          <cell r="P2721">
            <v>0.32833333333333298</v>
          </cell>
        </row>
        <row r="2722">
          <cell r="F2722" t="str">
            <v>70597464</v>
          </cell>
          <cell r="G2722" t="str">
            <v>维他</v>
          </cell>
          <cell r="H2722" t="str">
            <v>维他</v>
          </cell>
          <cell r="I2722" t="str">
            <v>包装饮料</v>
          </cell>
          <cell r="J2722" t="str">
            <v>茶饮料</v>
          </cell>
          <cell r="K2722" t="str">
            <v>维他 无糖茉莉花茶 500ml</v>
          </cell>
          <cell r="L2722" t="str">
            <v>500ml</v>
          </cell>
          <cell r="M2722" t="str">
            <v>瓶</v>
          </cell>
          <cell r="N2722">
            <v>3.99</v>
          </cell>
          <cell r="O2722">
            <v>6</v>
          </cell>
          <cell r="P2722">
            <v>0.32833333333333298</v>
          </cell>
        </row>
        <row r="2723">
          <cell r="F2723" t="str">
            <v>70597449</v>
          </cell>
          <cell r="G2723" t="str">
            <v>维他</v>
          </cell>
          <cell r="H2723" t="str">
            <v>维他</v>
          </cell>
          <cell r="I2723" t="str">
            <v>包装饮料</v>
          </cell>
          <cell r="J2723" t="str">
            <v>茶饮料</v>
          </cell>
          <cell r="K2723" t="str">
            <v>维他 鸭屎香柠檬茶 250ml</v>
          </cell>
          <cell r="L2723" t="str">
            <v>250ml</v>
          </cell>
          <cell r="M2723" t="str">
            <v>瓶</v>
          </cell>
          <cell r="N2723">
            <v>2.21</v>
          </cell>
          <cell r="O2723">
            <v>3.5</v>
          </cell>
          <cell r="P2723">
            <v>0.36285714285714299</v>
          </cell>
        </row>
        <row r="2724">
          <cell r="F2724" t="str">
            <v>70597447</v>
          </cell>
          <cell r="G2724" t="str">
            <v>维他</v>
          </cell>
          <cell r="H2724" t="str">
            <v>维他</v>
          </cell>
          <cell r="I2724" t="str">
            <v>包装饮料</v>
          </cell>
          <cell r="J2724" t="str">
            <v>茶饮料</v>
          </cell>
          <cell r="K2724" t="str">
            <v>维他 鸭屎香柠檬茶 500ml</v>
          </cell>
          <cell r="L2724" t="str">
            <v>500ml</v>
          </cell>
          <cell r="M2724" t="str">
            <v>瓶</v>
          </cell>
          <cell r="N2724">
            <v>3.99</v>
          </cell>
          <cell r="O2724">
            <v>6</v>
          </cell>
          <cell r="P2724">
            <v>0.32833333333333298</v>
          </cell>
        </row>
        <row r="2725">
          <cell r="F2725" t="str">
            <v>70597409</v>
          </cell>
          <cell r="G2725" t="str">
            <v>乐事</v>
          </cell>
          <cell r="H2725" t="str">
            <v>乐事</v>
          </cell>
          <cell r="I2725" t="str">
            <v>零食</v>
          </cell>
          <cell r="J2725" t="str">
            <v>膨化食品</v>
          </cell>
          <cell r="K2725" t="str">
            <v>乐事 清新分享装(原味*2+黄瓜*2+番茄*2) 270g</v>
          </cell>
          <cell r="L2725" t="str">
            <v>270g</v>
          </cell>
          <cell r="M2725" t="str">
            <v>包</v>
          </cell>
          <cell r="N2725">
            <v>19.34</v>
          </cell>
          <cell r="O2725">
            <v>26.9</v>
          </cell>
          <cell r="P2725">
            <v>0.27397769516728598</v>
          </cell>
        </row>
        <row r="2726">
          <cell r="F2726" t="str">
            <v>70597316</v>
          </cell>
          <cell r="G2726" t="str">
            <v>乐事</v>
          </cell>
          <cell r="H2726" t="str">
            <v>乐事</v>
          </cell>
          <cell r="I2726" t="str">
            <v>零食</v>
          </cell>
          <cell r="J2726" t="str">
            <v>膨化食品</v>
          </cell>
          <cell r="K2726" t="str">
            <v>乐事 薯条原味 32g</v>
          </cell>
          <cell r="L2726" t="str">
            <v>32g</v>
          </cell>
          <cell r="M2726" t="str">
            <v>包</v>
          </cell>
          <cell r="N2726">
            <v>3.14</v>
          </cell>
          <cell r="O2726">
            <v>4.9000000000000004</v>
          </cell>
          <cell r="P2726">
            <v>0.35306122448979599</v>
          </cell>
        </row>
        <row r="2727">
          <cell r="F2727" t="str">
            <v>70597319</v>
          </cell>
          <cell r="G2727" t="str">
            <v>乐事</v>
          </cell>
          <cell r="H2727" t="str">
            <v>乐事</v>
          </cell>
          <cell r="I2727" t="str">
            <v>零食</v>
          </cell>
          <cell r="J2727" t="str">
            <v>膨化食品</v>
          </cell>
          <cell r="K2727" t="str">
            <v>乐事 无限香辣小龙虾味 90g</v>
          </cell>
          <cell r="L2727" t="str">
            <v>90g</v>
          </cell>
          <cell r="M2727" t="str">
            <v>包</v>
          </cell>
          <cell r="N2727">
            <v>6.85</v>
          </cell>
          <cell r="O2727">
            <v>10</v>
          </cell>
          <cell r="P2727">
            <v>0.308</v>
          </cell>
        </row>
        <row r="2728">
          <cell r="F2728" t="str">
            <v>70597324</v>
          </cell>
          <cell r="G2728" t="str">
            <v>乐事</v>
          </cell>
          <cell r="H2728" t="str">
            <v>乐事</v>
          </cell>
          <cell r="I2728" t="str">
            <v>零食</v>
          </cell>
          <cell r="J2728" t="str">
            <v>膨化食品</v>
          </cell>
          <cell r="K2728" t="str">
            <v>乐事 鲜焙裸米饼原味（库洛米IP装） 160g</v>
          </cell>
          <cell r="L2728" t="str">
            <v>160g</v>
          </cell>
          <cell r="M2728" t="str">
            <v>包</v>
          </cell>
          <cell r="N2728">
            <v>8.48</v>
          </cell>
          <cell r="O2728">
            <v>11.5</v>
          </cell>
          <cell r="P2728">
            <v>0.254782608695652</v>
          </cell>
        </row>
        <row r="2729">
          <cell r="F2729" t="str">
            <v>70597318</v>
          </cell>
          <cell r="G2729" t="str">
            <v>乐事</v>
          </cell>
          <cell r="H2729" t="str">
            <v>乐事</v>
          </cell>
          <cell r="I2729" t="str">
            <v>零食</v>
          </cell>
          <cell r="J2729" t="str">
            <v>膨化食品</v>
          </cell>
          <cell r="K2729" t="str">
            <v>乐事 鲜焙裸米饼原味（库洛米IP装） 80g</v>
          </cell>
          <cell r="L2729" t="str">
            <v>80g</v>
          </cell>
          <cell r="M2729" t="str">
            <v>包</v>
          </cell>
          <cell r="N2729">
            <v>4.71</v>
          </cell>
          <cell r="O2729">
            <v>6.99</v>
          </cell>
          <cell r="P2729">
            <v>0.32045779685264703</v>
          </cell>
        </row>
        <row r="2730">
          <cell r="F2730" t="str">
            <v>70597325</v>
          </cell>
          <cell r="G2730" t="str">
            <v>乐事</v>
          </cell>
          <cell r="H2730" t="str">
            <v>乐事</v>
          </cell>
          <cell r="I2730" t="str">
            <v>零食</v>
          </cell>
          <cell r="J2730" t="str">
            <v>膨化食品</v>
          </cell>
          <cell r="K2730" t="str">
            <v>乐事 组合包(原+黄+番+青+红) 115g</v>
          </cell>
          <cell r="L2730" t="str">
            <v>115g</v>
          </cell>
          <cell r="M2730" t="str">
            <v>包</v>
          </cell>
          <cell r="N2730">
            <v>9.41</v>
          </cell>
          <cell r="O2730">
            <v>13.9</v>
          </cell>
          <cell r="P2730">
            <v>0.31582733812949598</v>
          </cell>
        </row>
        <row r="2731">
          <cell r="F2731" t="str">
            <v>70597314</v>
          </cell>
          <cell r="G2731" t="str">
            <v>乐事</v>
          </cell>
          <cell r="H2731" t="str">
            <v>乐事</v>
          </cell>
          <cell r="I2731" t="str">
            <v>零食</v>
          </cell>
          <cell r="J2731" t="str">
            <v>膨化食品</v>
          </cell>
          <cell r="K2731" t="str">
            <v>乐事 无限组合包(番茄+烤肉)62克*2罐 124g</v>
          </cell>
          <cell r="L2731" t="str">
            <v>124g</v>
          </cell>
          <cell r="M2731" t="str">
            <v>盒</v>
          </cell>
          <cell r="N2731">
            <v>8.89</v>
          </cell>
          <cell r="O2731">
            <v>11.9</v>
          </cell>
          <cell r="P2731">
            <v>0.245378151260504</v>
          </cell>
        </row>
        <row r="2732">
          <cell r="F2732" t="str">
            <v>70597320</v>
          </cell>
          <cell r="G2732" t="str">
            <v>乐事</v>
          </cell>
          <cell r="H2732" t="str">
            <v>乐事</v>
          </cell>
          <cell r="I2732" t="str">
            <v>零食</v>
          </cell>
          <cell r="J2732" t="str">
            <v>膨化食品</v>
          </cell>
          <cell r="K2732" t="str">
            <v>乐事 无限组合包(原味+黄瓜)62克*2罐 124g</v>
          </cell>
          <cell r="L2732" t="str">
            <v>124g</v>
          </cell>
          <cell r="M2732" t="str">
            <v>盒</v>
          </cell>
          <cell r="N2732">
            <v>8.89</v>
          </cell>
          <cell r="O2732">
            <v>11.9</v>
          </cell>
          <cell r="P2732">
            <v>0.245378151260504</v>
          </cell>
        </row>
        <row r="2733">
          <cell r="F2733" t="str">
            <v>70597312</v>
          </cell>
          <cell r="G2733" t="str">
            <v>乐事</v>
          </cell>
          <cell r="H2733" t="str">
            <v>乐事</v>
          </cell>
          <cell r="I2733" t="str">
            <v>零食</v>
          </cell>
          <cell r="J2733" t="str">
            <v>膨化食品</v>
          </cell>
          <cell r="K2733" t="str">
            <v>奇多 香辣虾味卷 70g</v>
          </cell>
          <cell r="L2733" t="str">
            <v>70g</v>
          </cell>
          <cell r="M2733" t="str">
            <v>包</v>
          </cell>
          <cell r="N2733">
            <v>4.17</v>
          </cell>
          <cell r="O2733">
            <v>5.9</v>
          </cell>
          <cell r="P2733">
            <v>0.28644067796610201</v>
          </cell>
        </row>
        <row r="2734">
          <cell r="F2734" t="str">
            <v>70484423</v>
          </cell>
          <cell r="G2734" t="str">
            <v>金竹</v>
          </cell>
          <cell r="H2734" t="str">
            <v>金竹</v>
          </cell>
          <cell r="I2734" t="str">
            <v>个人护理用品</v>
          </cell>
          <cell r="J2734" t="str">
            <v>纸类用品</v>
          </cell>
          <cell r="K2734" t="str">
            <v>金竹 擦手纸 200抽</v>
          </cell>
          <cell r="L2734" t="str">
            <v>200抽</v>
          </cell>
          <cell r="M2734" t="str">
            <v>包</v>
          </cell>
          <cell r="N2734">
            <v>5.96</v>
          </cell>
          <cell r="O2734">
            <v>9</v>
          </cell>
          <cell r="P2734">
            <v>0.33111111111111102</v>
          </cell>
        </row>
        <row r="2735">
          <cell r="F2735" t="str">
            <v>70478167</v>
          </cell>
          <cell r="G2735" t="str">
            <v>金竹</v>
          </cell>
          <cell r="H2735" t="str">
            <v>金竹</v>
          </cell>
          <cell r="I2735" t="str">
            <v>个人护理用品</v>
          </cell>
          <cell r="J2735" t="str">
            <v>纸类用品</v>
          </cell>
          <cell r="K2735" t="str">
            <v>金竹 山水155可湿水软抽 3包/提</v>
          </cell>
          <cell r="L2735" t="str">
            <v>3包/提</v>
          </cell>
          <cell r="M2735" t="str">
            <v>提</v>
          </cell>
          <cell r="N2735">
            <v>3.03</v>
          </cell>
          <cell r="O2735">
            <v>4.8</v>
          </cell>
          <cell r="P2735">
            <v>0.36249999999999999</v>
          </cell>
        </row>
        <row r="2736">
          <cell r="F2736" t="str">
            <v>70478178</v>
          </cell>
          <cell r="G2736" t="str">
            <v>金竹</v>
          </cell>
          <cell r="H2736" t="str">
            <v>金竹</v>
          </cell>
          <cell r="I2736" t="str">
            <v>个人护理用品</v>
          </cell>
          <cell r="J2736" t="str">
            <v>纸类用品</v>
          </cell>
          <cell r="K2736" t="str">
            <v>金竹 山水160g速溶卷纸 10卷/提</v>
          </cell>
          <cell r="L2736" t="str">
            <v>10卷/提</v>
          </cell>
          <cell r="M2736" t="str">
            <v>提</v>
          </cell>
          <cell r="N2736">
            <v>2.2200000000000002</v>
          </cell>
          <cell r="O2736">
            <v>3.5</v>
          </cell>
          <cell r="P2736">
            <v>0.36</v>
          </cell>
        </row>
        <row r="2737">
          <cell r="F2737" t="str">
            <v>70484422</v>
          </cell>
          <cell r="G2737" t="str">
            <v>金竹</v>
          </cell>
          <cell r="H2737" t="str">
            <v>金竹</v>
          </cell>
          <cell r="I2737" t="str">
            <v>个人护理用品</v>
          </cell>
          <cell r="J2737" t="str">
            <v>纸类用品</v>
          </cell>
          <cell r="K2737" t="str">
            <v>金竹 小盘卷纸
120mm*94 700g/卷</v>
          </cell>
          <cell r="L2737" t="str">
            <v>700g/卷</v>
          </cell>
          <cell r="M2737" t="str">
            <v>卷</v>
          </cell>
          <cell r="N2737">
            <v>9.9</v>
          </cell>
          <cell r="O2737">
            <v>15</v>
          </cell>
          <cell r="P2737">
            <v>0.33333333333333298</v>
          </cell>
        </row>
        <row r="2738">
          <cell r="F2738" t="str">
            <v>70517800</v>
          </cell>
          <cell r="G2738" t="str">
            <v>金竹</v>
          </cell>
          <cell r="H2738" t="str">
            <v>金竹</v>
          </cell>
          <cell r="I2738" t="str">
            <v>个人护理用品</v>
          </cell>
          <cell r="J2738" t="str">
            <v>纸类用品</v>
          </cell>
          <cell r="K2738" t="str">
            <v>金竹 竹纤维便携湿巾 
180mm×180mm×10片</v>
          </cell>
          <cell r="L2738" t="str">
            <v>10片</v>
          </cell>
          <cell r="M2738" t="str">
            <v>包</v>
          </cell>
          <cell r="N2738">
            <v>2.73</v>
          </cell>
          <cell r="O2738">
            <v>4</v>
          </cell>
          <cell r="P2738">
            <v>0.3125</v>
          </cell>
        </row>
        <row r="2739">
          <cell r="F2739" t="str">
            <v>70517822</v>
          </cell>
          <cell r="G2739" t="str">
            <v>金竹</v>
          </cell>
          <cell r="H2739" t="str">
            <v>金竹</v>
          </cell>
          <cell r="I2739" t="str">
            <v>个人护理用品</v>
          </cell>
          <cell r="J2739" t="str">
            <v>纸类用品</v>
          </cell>
          <cell r="K2739" t="str">
            <v>金竹 竹纤维亲肤棉柔巾 216g  200mm×200mm</v>
          </cell>
          <cell r="L2739" t="str">
            <v>216g</v>
          </cell>
          <cell r="M2739" t="str">
            <v>包</v>
          </cell>
          <cell r="N2739">
            <v>10.61</v>
          </cell>
          <cell r="O2739">
            <v>16.899999999999999</v>
          </cell>
          <cell r="P2739">
            <v>0.36627218934911199</v>
          </cell>
        </row>
        <row r="2740">
          <cell r="F2740" t="str">
            <v>70597467</v>
          </cell>
          <cell r="G2740" t="str">
            <v>金竹</v>
          </cell>
          <cell r="H2740" t="str">
            <v>金竹</v>
          </cell>
          <cell r="I2740" t="str">
            <v>个人护理用品</v>
          </cell>
          <cell r="J2740" t="str">
            <v>纸类用品</v>
          </cell>
          <cell r="K2740" t="str">
            <v>金竹 小恐龙条巾纸 1包</v>
          </cell>
          <cell r="L2740" t="str">
            <v>包</v>
          </cell>
          <cell r="M2740" t="str">
            <v>提</v>
          </cell>
          <cell r="N2740">
            <v>0.81</v>
          </cell>
          <cell r="O2740">
            <v>1.5</v>
          </cell>
          <cell r="P2740">
            <v>0.45333333333333298</v>
          </cell>
        </row>
        <row r="2741">
          <cell r="F2741" t="str">
            <v>70597342</v>
          </cell>
          <cell r="G2741" t="str">
            <v>五粮液</v>
          </cell>
          <cell r="H2741" t="str">
            <v>仙林</v>
          </cell>
          <cell r="I2741" t="str">
            <v>酒类</v>
          </cell>
          <cell r="J2741" t="str">
            <v>白酒</v>
          </cell>
          <cell r="K2741" t="str">
            <v>仙林 大枣酒10%vol 375ml</v>
          </cell>
          <cell r="L2741" t="str">
            <v>375mL</v>
          </cell>
          <cell r="M2741" t="str">
            <v>瓶</v>
          </cell>
          <cell r="N2741">
            <v>23.43</v>
          </cell>
          <cell r="O2741">
            <v>38</v>
          </cell>
          <cell r="P2741">
            <v>0.37736842105263202</v>
          </cell>
        </row>
        <row r="2742">
          <cell r="F2742" t="str">
            <v>70597439</v>
          </cell>
          <cell r="G2742" t="str">
            <v>五粮液</v>
          </cell>
          <cell r="H2742" t="str">
            <v>仙林</v>
          </cell>
          <cell r="I2742" t="str">
            <v>酒类</v>
          </cell>
          <cell r="J2742" t="str">
            <v>白酒</v>
          </cell>
          <cell r="K2742" t="str">
            <v>仙林 青梅酒(231)10%vol 375ml</v>
          </cell>
          <cell r="L2742" t="str">
            <v>375mL</v>
          </cell>
          <cell r="M2742" t="str">
            <v>瓶</v>
          </cell>
          <cell r="N2742">
            <v>23.43</v>
          </cell>
          <cell r="O2742">
            <v>38</v>
          </cell>
          <cell r="P2742">
            <v>0.37736842105263202</v>
          </cell>
        </row>
        <row r="2743">
          <cell r="F2743" t="str">
            <v>70597440</v>
          </cell>
          <cell r="G2743" t="str">
            <v>五粮液</v>
          </cell>
          <cell r="H2743" t="str">
            <v>仙林</v>
          </cell>
          <cell r="I2743" t="str">
            <v>酒类</v>
          </cell>
          <cell r="J2743" t="str">
            <v>白酒</v>
          </cell>
          <cell r="K2743" t="str">
            <v>仙林 石榴酒10%vol 375ml</v>
          </cell>
          <cell r="L2743" t="str">
            <v>375mL</v>
          </cell>
          <cell r="M2743" t="str">
            <v>瓶</v>
          </cell>
          <cell r="N2743">
            <v>23.43</v>
          </cell>
          <cell r="O2743">
            <v>38</v>
          </cell>
          <cell r="P2743">
            <v>0.37736842105263202</v>
          </cell>
        </row>
        <row r="2744">
          <cell r="F2744" t="str">
            <v>70593075</v>
          </cell>
          <cell r="G2744" t="str">
            <v>五粮液</v>
          </cell>
          <cell r="H2744" t="str">
            <v>仙林</v>
          </cell>
          <cell r="I2744" t="str">
            <v>酒类</v>
          </cell>
          <cell r="J2744" t="str">
            <v>白酒</v>
          </cell>
          <cell r="K2744" t="str">
            <v>宜品 人参酒龙赐吉祥（241）52%vol 500ml</v>
          </cell>
          <cell r="L2744" t="str">
            <v>500ml</v>
          </cell>
          <cell r="M2744" t="str">
            <v>瓶</v>
          </cell>
          <cell r="N2744">
            <v>78.78</v>
          </cell>
          <cell r="O2744">
            <v>588</v>
          </cell>
          <cell r="P2744">
            <v>0.86602040816326498</v>
          </cell>
        </row>
        <row r="2745">
          <cell r="F2745" t="str">
            <v>70597436</v>
          </cell>
          <cell r="G2745" t="str">
            <v>九三</v>
          </cell>
          <cell r="H2745" t="str">
            <v>九三</v>
          </cell>
          <cell r="I2745" t="str">
            <v>家庭食品</v>
          </cell>
          <cell r="J2745" t="str">
            <v>油</v>
          </cell>
          <cell r="K2745" t="str">
            <v>九三 压榨浓香非转基因有机大豆油 1.8L</v>
          </cell>
          <cell r="L2745" t="str">
            <v>1.8L</v>
          </cell>
          <cell r="M2745" t="str">
            <v>桶</v>
          </cell>
          <cell r="N2745">
            <v>40.4</v>
          </cell>
          <cell r="O2745">
            <v>55.9</v>
          </cell>
          <cell r="P2745">
            <v>0.27012522361359598</v>
          </cell>
        </row>
        <row r="2746">
          <cell r="F2746" t="str">
            <v>70597630</v>
          </cell>
          <cell r="G2746" t="str">
            <v>九三</v>
          </cell>
          <cell r="H2746" t="str">
            <v>九三</v>
          </cell>
          <cell r="I2746" t="str">
            <v>家庭食品</v>
          </cell>
          <cell r="J2746" t="str">
            <v>油</v>
          </cell>
          <cell r="K2746" t="str">
            <v>九三 压榨浓香非转基因有机大豆油 400ML</v>
          </cell>
          <cell r="L2746" t="str">
            <v>400ML</v>
          </cell>
          <cell r="M2746" t="str">
            <v>瓶</v>
          </cell>
          <cell r="N2746">
            <v>14.14</v>
          </cell>
          <cell r="O2746">
            <v>18.899999999999999</v>
          </cell>
          <cell r="P2746">
            <v>0.24444444444444399</v>
          </cell>
        </row>
        <row r="2747">
          <cell r="F2747" t="str">
            <v>70597350</v>
          </cell>
          <cell r="G2747" t="str">
            <v>九三</v>
          </cell>
          <cell r="H2747" t="str">
            <v>九三</v>
          </cell>
          <cell r="I2747" t="str">
            <v>家庭食品</v>
          </cell>
          <cell r="J2747" t="str">
            <v>油</v>
          </cell>
          <cell r="K2747" t="str">
            <v>九三 压榨清香非转基因有机大豆油 1.8L</v>
          </cell>
          <cell r="L2747" t="str">
            <v>1.8L</v>
          </cell>
          <cell r="M2747" t="str">
            <v>桶</v>
          </cell>
          <cell r="N2747">
            <v>40.4</v>
          </cell>
          <cell r="O2747">
            <v>55.9</v>
          </cell>
          <cell r="P2747">
            <v>0.27012522361359598</v>
          </cell>
        </row>
        <row r="2748">
          <cell r="F2748" t="str">
            <v>70597346</v>
          </cell>
          <cell r="G2748" t="str">
            <v>九三</v>
          </cell>
          <cell r="H2748" t="str">
            <v>九三</v>
          </cell>
          <cell r="I2748" t="str">
            <v>家庭食品</v>
          </cell>
          <cell r="J2748" t="str">
            <v>油</v>
          </cell>
          <cell r="K2748" t="str">
            <v>九三 压榨清香非转基因有机大豆油 400ML</v>
          </cell>
          <cell r="L2748" t="str">
            <v>400ML</v>
          </cell>
          <cell r="M2748" t="str">
            <v>瓶</v>
          </cell>
          <cell r="N2748">
            <v>14.14</v>
          </cell>
          <cell r="O2748">
            <v>18.899999999999999</v>
          </cell>
          <cell r="P2748">
            <v>0.24444444444444399</v>
          </cell>
        </row>
        <row r="2749">
          <cell r="F2749" t="str">
            <v>70597348</v>
          </cell>
          <cell r="G2749" t="str">
            <v>九三</v>
          </cell>
          <cell r="H2749" t="str">
            <v>九三</v>
          </cell>
          <cell r="I2749" t="str">
            <v>家庭食品</v>
          </cell>
          <cell r="J2749" t="str">
            <v>油</v>
          </cell>
          <cell r="K2749" t="str">
            <v>九三 有机压榨浓香大豆油 1L</v>
          </cell>
          <cell r="L2749" t="str">
            <v>1L</v>
          </cell>
          <cell r="M2749" t="str">
            <v>瓶</v>
          </cell>
          <cell r="N2749">
            <v>23.74</v>
          </cell>
          <cell r="O2749">
            <v>31.9</v>
          </cell>
          <cell r="P2749">
            <v>0.24858934169279001</v>
          </cell>
        </row>
        <row r="2750">
          <cell r="F2750" t="str">
            <v>70597437</v>
          </cell>
          <cell r="G2750" t="str">
            <v>九三</v>
          </cell>
          <cell r="H2750" t="str">
            <v>九三</v>
          </cell>
          <cell r="I2750" t="str">
            <v>家庭食品</v>
          </cell>
          <cell r="J2750" t="str">
            <v>油</v>
          </cell>
          <cell r="K2750" t="str">
            <v>九三 有机压榨清香大豆油 1L</v>
          </cell>
          <cell r="L2750" t="str">
            <v>1L</v>
          </cell>
          <cell r="M2750" t="str">
            <v>瓶</v>
          </cell>
          <cell r="N2750">
            <v>23.74</v>
          </cell>
          <cell r="O2750">
            <v>31.9</v>
          </cell>
          <cell r="P2750">
            <v>0.24858934169279001</v>
          </cell>
        </row>
        <row r="2751">
          <cell r="F2751" t="str">
            <v>70585160</v>
          </cell>
          <cell r="G2751" t="str">
            <v>盼盼</v>
          </cell>
          <cell r="H2751" t="str">
            <v>盼盼</v>
          </cell>
          <cell r="I2751" t="str">
            <v>饼干/糕点</v>
          </cell>
          <cell r="J2751" t="str">
            <v>饼干/糕点</v>
          </cell>
          <cell r="K2751" t="str">
            <v>盼盼 醇香蛋糕 525g</v>
          </cell>
          <cell r="L2751" t="str">
            <v>525g</v>
          </cell>
          <cell r="M2751" t="str">
            <v>包</v>
          </cell>
          <cell r="N2751">
            <v>15.1</v>
          </cell>
          <cell r="O2751">
            <v>19.899999999999999</v>
          </cell>
          <cell r="P2751">
            <v>0.233668341708543</v>
          </cell>
        </row>
        <row r="2752">
          <cell r="F2752" t="str">
            <v>70597627</v>
          </cell>
          <cell r="G2752" t="str">
            <v>盼盼</v>
          </cell>
          <cell r="H2752" t="str">
            <v>盼盼</v>
          </cell>
          <cell r="I2752" t="str">
            <v>饼干/糕点</v>
          </cell>
          <cell r="J2752" t="str">
            <v>饼干/糕点</v>
          </cell>
          <cell r="K2752" t="str">
            <v>盼盼 梅尼耶巧克力味.派（草莓味） 230g</v>
          </cell>
          <cell r="L2752" t="str">
            <v>230g</v>
          </cell>
          <cell r="M2752" t="str">
            <v>包</v>
          </cell>
          <cell r="N2752">
            <v>7.2</v>
          </cell>
          <cell r="O2752">
            <v>9.9</v>
          </cell>
          <cell r="P2752">
            <v>0.26565656565656598</v>
          </cell>
        </row>
        <row r="2753">
          <cell r="F2753" t="str">
            <v>70597534</v>
          </cell>
          <cell r="G2753" t="str">
            <v>盼盼</v>
          </cell>
          <cell r="H2753" t="str">
            <v>盼盼</v>
          </cell>
          <cell r="I2753" t="str">
            <v>饼干/糕点</v>
          </cell>
          <cell r="J2753" t="str">
            <v>饼干/糕点</v>
          </cell>
          <cell r="K2753" t="str">
            <v>盼盼 梅尼耶巧克力味.派（巧克力味） 230g</v>
          </cell>
          <cell r="L2753" t="str">
            <v>230g</v>
          </cell>
          <cell r="M2753" t="str">
            <v>包</v>
          </cell>
          <cell r="N2753">
            <v>7.2</v>
          </cell>
          <cell r="O2753">
            <v>9.9</v>
          </cell>
          <cell r="P2753">
            <v>0.26565656565656598</v>
          </cell>
        </row>
        <row r="2754">
          <cell r="F2754" t="str">
            <v>70594686</v>
          </cell>
          <cell r="G2754" t="str">
            <v>盼盼</v>
          </cell>
          <cell r="H2754" t="str">
            <v>盼盼</v>
          </cell>
          <cell r="I2754" t="str">
            <v>饼干/糕点</v>
          </cell>
          <cell r="J2754" t="str">
            <v>饼干/糕点</v>
          </cell>
          <cell r="K2754" t="str">
            <v>盼盼 Q100涂层蛋糕奶香味 168g</v>
          </cell>
          <cell r="L2754" t="str">
            <v>168g</v>
          </cell>
          <cell r="M2754" t="str">
            <v>包</v>
          </cell>
          <cell r="N2754">
            <v>6.97</v>
          </cell>
          <cell r="O2754">
            <v>9.9</v>
          </cell>
          <cell r="P2754">
            <v>0.28888888888888897</v>
          </cell>
        </row>
        <row r="2755">
          <cell r="F2755" t="str">
            <v>70597540</v>
          </cell>
          <cell r="G2755" t="str">
            <v>盼盼</v>
          </cell>
          <cell r="H2755" t="str">
            <v>盼盼</v>
          </cell>
          <cell r="I2755" t="str">
            <v>饼干/糕点</v>
          </cell>
          <cell r="J2755" t="str">
            <v>饼干/糕点</v>
          </cell>
          <cell r="K2755" t="str">
            <v>盼盼 Q100涂层蛋糕巧克力味 168g</v>
          </cell>
          <cell r="L2755" t="str">
            <v>168g</v>
          </cell>
          <cell r="M2755" t="str">
            <v>包</v>
          </cell>
          <cell r="N2755">
            <v>6.97</v>
          </cell>
          <cell r="O2755">
            <v>9.9</v>
          </cell>
          <cell r="P2755">
            <v>0.28888888888888897</v>
          </cell>
        </row>
        <row r="2756">
          <cell r="F2756" t="str">
            <v>70597535</v>
          </cell>
          <cell r="G2756" t="str">
            <v>盼盼</v>
          </cell>
          <cell r="H2756" t="str">
            <v>盼盼</v>
          </cell>
          <cell r="I2756" t="str">
            <v>饼干/糕点</v>
          </cell>
          <cell r="J2756" t="str">
            <v>饼干/糕点</v>
          </cell>
          <cell r="K2756" t="str">
            <v>盼盼 梅尼耶干蛋糕 650g</v>
          </cell>
          <cell r="L2756" t="str">
            <v>650g</v>
          </cell>
          <cell r="M2756" t="str">
            <v>包</v>
          </cell>
          <cell r="N2756">
            <v>34.21</v>
          </cell>
          <cell r="O2756">
            <v>49.9</v>
          </cell>
          <cell r="P2756">
            <v>0.30781563126252498</v>
          </cell>
        </row>
        <row r="2757">
          <cell r="F2757" t="str">
            <v>70597432</v>
          </cell>
          <cell r="G2757" t="str">
            <v>乐事</v>
          </cell>
          <cell r="H2757" t="str">
            <v>百草味</v>
          </cell>
          <cell r="I2757" t="str">
            <v>零食</v>
          </cell>
          <cell r="J2757" t="str">
            <v>素食小吃</v>
          </cell>
          <cell r="K2757" t="str">
            <v>百草味 安格斯牛排脆热辣味 27g</v>
          </cell>
          <cell r="L2757" t="str">
            <v>27g</v>
          </cell>
          <cell r="M2757" t="str">
            <v>包</v>
          </cell>
          <cell r="N2757">
            <v>15.76</v>
          </cell>
          <cell r="O2757">
            <v>20.5</v>
          </cell>
          <cell r="P2757">
            <v>0.22390243902439</v>
          </cell>
        </row>
        <row r="2758">
          <cell r="F2758" t="str">
            <v>70597321</v>
          </cell>
          <cell r="G2758" t="str">
            <v>乐事</v>
          </cell>
          <cell r="H2758" t="str">
            <v>百草味</v>
          </cell>
          <cell r="I2758" t="str">
            <v>零食</v>
          </cell>
          <cell r="J2758" t="str">
            <v>素食小吃</v>
          </cell>
          <cell r="K2758" t="str">
            <v>百草味 素卤纵享包 300g</v>
          </cell>
          <cell r="L2758" t="str">
            <v>300g</v>
          </cell>
          <cell r="M2758" t="str">
            <v>包</v>
          </cell>
          <cell r="N2758">
            <v>12.96</v>
          </cell>
          <cell r="O2758">
            <v>18.5</v>
          </cell>
          <cell r="P2758">
            <v>0.292432432432432</v>
          </cell>
        </row>
        <row r="2759">
          <cell r="F2759" t="str">
            <v>70597541</v>
          </cell>
          <cell r="G2759" t="str">
            <v>乐事</v>
          </cell>
          <cell r="H2759" t="str">
            <v>百草味</v>
          </cell>
          <cell r="I2759" t="str">
            <v>速食</v>
          </cell>
          <cell r="J2759" t="str">
            <v>包装方便食品</v>
          </cell>
          <cell r="K2759" t="str">
            <v>百草味 酸酸辣辣海带结 15g</v>
          </cell>
          <cell r="L2759" t="str">
            <v>15g</v>
          </cell>
          <cell r="M2759" t="str">
            <v>包</v>
          </cell>
          <cell r="N2759">
            <v>0.79</v>
          </cell>
          <cell r="O2759">
            <v>1.2</v>
          </cell>
          <cell r="P2759">
            <v>0.33333333333333298</v>
          </cell>
        </row>
        <row r="2760">
          <cell r="F2760" t="str">
            <v>70597407</v>
          </cell>
          <cell r="G2760" t="str">
            <v>乐事</v>
          </cell>
          <cell r="H2760" t="str">
            <v>百草味</v>
          </cell>
          <cell r="I2760" t="str">
            <v>零食</v>
          </cell>
          <cell r="J2760" t="str">
            <v>果脯/凉果/蜜饯</v>
          </cell>
          <cell r="K2760" t="str">
            <v>百草味 一口芒果条(柠檬气泡味、橙子气泡味、可乐气泡味) 90g</v>
          </cell>
          <cell r="L2760" t="str">
            <v>90g</v>
          </cell>
          <cell r="M2760" t="str">
            <v>包</v>
          </cell>
          <cell r="N2760">
            <v>12.97</v>
          </cell>
          <cell r="O2760">
            <v>18.8</v>
          </cell>
          <cell r="P2760">
            <v>0.30319148936170198</v>
          </cell>
        </row>
        <row r="2761">
          <cell r="F2761" t="str">
            <v>70597323</v>
          </cell>
          <cell r="G2761" t="str">
            <v>乐事</v>
          </cell>
          <cell r="H2761" t="str">
            <v>百草味</v>
          </cell>
          <cell r="I2761" t="str">
            <v>零食</v>
          </cell>
          <cell r="J2761" t="str">
            <v>素食小吃</v>
          </cell>
          <cell r="K2761" t="str">
            <v>百草味 鱼豆腐香辣味 15g</v>
          </cell>
          <cell r="L2761" t="str">
            <v>15g</v>
          </cell>
          <cell r="M2761" t="str">
            <v>包</v>
          </cell>
          <cell r="N2761">
            <v>0.79</v>
          </cell>
          <cell r="O2761">
            <v>1.2</v>
          </cell>
          <cell r="P2761">
            <v>0.33333333333333298</v>
          </cell>
        </row>
        <row r="2762">
          <cell r="F2762" t="str">
            <v>70597453</v>
          </cell>
          <cell r="G2762" t="str">
            <v>和粮</v>
          </cell>
          <cell r="H2762" t="str">
            <v>和粮</v>
          </cell>
          <cell r="I2762" t="str">
            <v>家庭食品</v>
          </cell>
          <cell r="J2762" t="str">
            <v>粮</v>
          </cell>
          <cell r="K2762" t="str">
            <v>和粮溢田 有机黄糯玉米（262）8*240g 1.92kg</v>
          </cell>
          <cell r="L2762" t="str">
            <v>1.92kg</v>
          </cell>
          <cell r="M2762" t="str">
            <v>包</v>
          </cell>
          <cell r="N2762">
            <v>26.36</v>
          </cell>
          <cell r="O2762">
            <v>38.9</v>
          </cell>
          <cell r="P2762">
            <v>0.315681233933162</v>
          </cell>
        </row>
        <row r="2763">
          <cell r="F2763" t="str">
            <v>70597622</v>
          </cell>
          <cell r="G2763" t="str">
            <v>和粮</v>
          </cell>
          <cell r="H2763" t="str">
            <v>和粮</v>
          </cell>
          <cell r="I2763" t="str">
            <v>家庭食品</v>
          </cell>
          <cell r="J2763" t="str">
            <v>粮</v>
          </cell>
          <cell r="K2763" t="str">
            <v>和粮溢田 有机小园玉米（糯9）8*200g 1.6kg</v>
          </cell>
          <cell r="L2763" t="str">
            <v>1.6kg</v>
          </cell>
          <cell r="M2763" t="str">
            <v>包</v>
          </cell>
          <cell r="N2763">
            <v>31.82</v>
          </cell>
          <cell r="O2763">
            <v>47.8</v>
          </cell>
          <cell r="P2763">
            <v>0.32782426778242701</v>
          </cell>
        </row>
        <row r="2764">
          <cell r="F2764" t="str">
            <v>70597455</v>
          </cell>
          <cell r="G2764" t="str">
            <v>和粮</v>
          </cell>
          <cell r="H2764" t="str">
            <v>和粮</v>
          </cell>
          <cell r="I2764" t="str">
            <v>家庭食品</v>
          </cell>
          <cell r="J2764" t="str">
            <v>粮</v>
          </cell>
          <cell r="K2764" t="str">
            <v>溢田 稻花软香米 5kg</v>
          </cell>
          <cell r="L2764" t="str">
            <v>5kg</v>
          </cell>
          <cell r="M2764" t="str">
            <v>袋</v>
          </cell>
          <cell r="N2764">
            <v>53.13</v>
          </cell>
          <cell r="O2764">
            <v>89</v>
          </cell>
          <cell r="P2764">
            <v>0.39719101123595502</v>
          </cell>
        </row>
        <row r="2765">
          <cell r="F2765" t="str">
            <v>75000742</v>
          </cell>
          <cell r="G2765" t="str">
            <v>和粮</v>
          </cell>
          <cell r="H2765" t="str">
            <v>和粮</v>
          </cell>
          <cell r="I2765" t="str">
            <v>家庭食品</v>
          </cell>
          <cell r="J2765" t="str">
            <v>粮</v>
          </cell>
          <cell r="K2765" t="str">
            <v>溢田 黑土优品有机香坊小米 2.5kg</v>
          </cell>
          <cell r="L2765" t="str">
            <v>2.5kg</v>
          </cell>
          <cell r="M2765" t="str">
            <v>包</v>
          </cell>
          <cell r="N2765">
            <v>36.97</v>
          </cell>
          <cell r="O2765">
            <v>59.9</v>
          </cell>
          <cell r="P2765">
            <v>0.37679465776293802</v>
          </cell>
        </row>
        <row r="2766">
          <cell r="F2766" t="str">
            <v>70597466</v>
          </cell>
          <cell r="G2766" t="str">
            <v>和粮</v>
          </cell>
          <cell r="H2766" t="str">
            <v>和粮</v>
          </cell>
          <cell r="I2766" t="str">
            <v>家庭食品</v>
          </cell>
          <cell r="J2766" t="str">
            <v>粮</v>
          </cell>
          <cell r="K2766" t="str">
            <v>溢田 美味食记 2.32kg</v>
          </cell>
          <cell r="L2766" t="str">
            <v>2.32kg</v>
          </cell>
          <cell r="M2766" t="str">
            <v>包</v>
          </cell>
          <cell r="N2766">
            <v>32.32</v>
          </cell>
          <cell r="O2766">
            <v>49.9</v>
          </cell>
          <cell r="P2766">
            <v>0.34589178356713401</v>
          </cell>
        </row>
        <row r="2767">
          <cell r="F2767" t="str">
            <v>70597403</v>
          </cell>
          <cell r="G2767" t="str">
            <v>苗干爹</v>
          </cell>
          <cell r="H2767" t="str">
            <v>苗干爹</v>
          </cell>
          <cell r="I2767" t="str">
            <v>零食</v>
          </cell>
          <cell r="J2767" t="str">
            <v>肉脯</v>
          </cell>
          <cell r="K2767" t="str">
            <v>苗干爹 贵州猪肉干（五香味） 105g</v>
          </cell>
          <cell r="L2767" t="str">
            <v>105g</v>
          </cell>
          <cell r="M2767" t="str">
            <v>包</v>
          </cell>
          <cell r="N2767">
            <v>11.82</v>
          </cell>
          <cell r="O2767">
            <v>18</v>
          </cell>
          <cell r="P2767">
            <v>0.33722222222222198</v>
          </cell>
        </row>
        <row r="2768">
          <cell r="F2768" t="str">
            <v>70597388</v>
          </cell>
          <cell r="G2768" t="str">
            <v>苗干爹</v>
          </cell>
          <cell r="H2768" t="str">
            <v>苗干爹</v>
          </cell>
          <cell r="I2768" t="str">
            <v>零食</v>
          </cell>
          <cell r="J2768" t="str">
            <v>肉脯</v>
          </cell>
          <cell r="K2768" t="str">
            <v>苗干爹 卤汁带皮牛肉（卤香味） 105g</v>
          </cell>
          <cell r="L2768" t="str">
            <v>105g</v>
          </cell>
          <cell r="M2768" t="str">
            <v>包</v>
          </cell>
          <cell r="N2768">
            <v>12.42</v>
          </cell>
          <cell r="O2768">
            <v>19</v>
          </cell>
          <cell r="P2768">
            <v>0.33947368421052598</v>
          </cell>
        </row>
        <row r="2769">
          <cell r="F2769" t="str">
            <v>70597397</v>
          </cell>
          <cell r="G2769" t="str">
            <v>苗干爹</v>
          </cell>
          <cell r="H2769" t="str">
            <v>苗干爹</v>
          </cell>
          <cell r="I2769" t="str">
            <v>零食</v>
          </cell>
          <cell r="J2769" t="str">
            <v>肉脯</v>
          </cell>
          <cell r="K2769" t="str">
            <v>苗干爹 卤汁带皮牛肉（香辣味） 105g</v>
          </cell>
          <cell r="L2769" t="str">
            <v>105g</v>
          </cell>
          <cell r="M2769" t="str">
            <v>包</v>
          </cell>
          <cell r="N2769">
            <v>12.42</v>
          </cell>
          <cell r="O2769">
            <v>19</v>
          </cell>
          <cell r="P2769">
            <v>0.33947368421052598</v>
          </cell>
        </row>
        <row r="2770">
          <cell r="F2770" t="str">
            <v>70597401</v>
          </cell>
          <cell r="G2770" t="str">
            <v>苗干爹</v>
          </cell>
          <cell r="H2770" t="str">
            <v>苗干爹</v>
          </cell>
          <cell r="I2770" t="str">
            <v>零食</v>
          </cell>
          <cell r="J2770" t="str">
            <v>肉脯</v>
          </cell>
          <cell r="K2770" t="str">
            <v>苗干爹 手撕肉（卤香味） 105g</v>
          </cell>
          <cell r="L2770" t="str">
            <v>105g</v>
          </cell>
          <cell r="M2770" t="str">
            <v>包</v>
          </cell>
          <cell r="N2770">
            <v>9.49</v>
          </cell>
          <cell r="O2770">
            <v>14.5</v>
          </cell>
          <cell r="P2770">
            <v>0.338620689655172</v>
          </cell>
        </row>
        <row r="2771">
          <cell r="F2771" t="str">
            <v>70597400</v>
          </cell>
          <cell r="G2771" t="str">
            <v>苗干爹</v>
          </cell>
          <cell r="H2771" t="str">
            <v>苗干爹</v>
          </cell>
          <cell r="I2771" t="str">
            <v>零食</v>
          </cell>
          <cell r="J2771" t="str">
            <v>肉脯</v>
          </cell>
          <cell r="K2771" t="str">
            <v>苗干爹 手撕肉（香辣味） 105g</v>
          </cell>
          <cell r="L2771" t="str">
            <v>105g</v>
          </cell>
          <cell r="M2771" t="str">
            <v>包</v>
          </cell>
          <cell r="N2771">
            <v>9.49</v>
          </cell>
          <cell r="O2771">
            <v>14.5</v>
          </cell>
          <cell r="P2771">
            <v>0.338620689655172</v>
          </cell>
        </row>
        <row r="2772">
          <cell r="F2772" t="str">
            <v>70522180</v>
          </cell>
          <cell r="G2772" t="str">
            <v>洽洽</v>
          </cell>
          <cell r="H2772" t="str">
            <v>洽洽</v>
          </cell>
          <cell r="I2772" t="str">
            <v>零食</v>
          </cell>
          <cell r="J2772" t="str">
            <v>坚果</v>
          </cell>
          <cell r="K2772" t="str">
            <v>洽洽 打手瓜子五香味 208g</v>
          </cell>
          <cell r="L2772" t="str">
            <v>208g</v>
          </cell>
          <cell r="M2772" t="str">
            <v>袋</v>
          </cell>
          <cell r="N2772">
            <v>9.09</v>
          </cell>
          <cell r="O2772">
            <v>14</v>
          </cell>
          <cell r="P2772">
            <v>0.34428571428571397</v>
          </cell>
        </row>
        <row r="2773">
          <cell r="F2773" t="str">
            <v>70597412</v>
          </cell>
          <cell r="G2773" t="str">
            <v>洽洽</v>
          </cell>
          <cell r="H2773" t="str">
            <v>洽洽</v>
          </cell>
          <cell r="I2773" t="str">
            <v>零食</v>
          </cell>
          <cell r="J2773" t="str">
            <v>坚果</v>
          </cell>
          <cell r="K2773" t="str">
            <v>洽洽 坚果禧礼 1.612kg</v>
          </cell>
          <cell r="L2773" t="str">
            <v>1.612kg</v>
          </cell>
          <cell r="M2773" t="str">
            <v>提</v>
          </cell>
          <cell r="N2773">
            <v>86.36</v>
          </cell>
          <cell r="O2773">
            <v>139</v>
          </cell>
          <cell r="P2773">
            <v>0.37258992805755398</v>
          </cell>
        </row>
        <row r="2774">
          <cell r="F2774" t="str">
            <v>70597328</v>
          </cell>
          <cell r="G2774" t="str">
            <v>洽洽</v>
          </cell>
          <cell r="H2774" t="str">
            <v>洽洽</v>
          </cell>
          <cell r="I2774" t="str">
            <v>零食</v>
          </cell>
          <cell r="J2774" t="str">
            <v>坚果</v>
          </cell>
          <cell r="K2774" t="str">
            <v>洽洽 小黄袋全坚果14日装 20g*14袋+240ml*4罐</v>
          </cell>
          <cell r="L2774" t="str">
            <v>20g*14袋+240ml*4罐</v>
          </cell>
          <cell r="M2774" t="str">
            <v>提</v>
          </cell>
          <cell r="N2774">
            <v>67.27</v>
          </cell>
          <cell r="O2774">
            <v>109</v>
          </cell>
          <cell r="P2774">
            <v>0.37678899082568801</v>
          </cell>
        </row>
        <row r="2775">
          <cell r="F2775" t="str">
            <v>70597411</v>
          </cell>
          <cell r="G2775" t="str">
            <v>洽洽</v>
          </cell>
          <cell r="H2775" t="str">
            <v>洽洽</v>
          </cell>
          <cell r="I2775" t="str">
            <v>零食</v>
          </cell>
          <cell r="J2775" t="str">
            <v>坚果</v>
          </cell>
          <cell r="K2775" t="str">
            <v>洽洽 盐焗味巴旦木仁 50g</v>
          </cell>
          <cell r="L2775" t="str">
            <v>50g</v>
          </cell>
          <cell r="M2775" t="str">
            <v>袋</v>
          </cell>
          <cell r="N2775">
            <v>6.36</v>
          </cell>
          <cell r="O2775">
            <v>9.9</v>
          </cell>
          <cell r="P2775">
            <v>0.35050505050505099</v>
          </cell>
        </row>
        <row r="2776">
          <cell r="F2776" t="str">
            <v>70597408</v>
          </cell>
          <cell r="G2776" t="str">
            <v>洽洽</v>
          </cell>
          <cell r="H2776" t="str">
            <v>洽洽</v>
          </cell>
          <cell r="I2776" t="str">
            <v>零食</v>
          </cell>
          <cell r="J2776" t="str">
            <v>坚果</v>
          </cell>
          <cell r="K2776" t="str">
            <v>洽洽 盐焗味开心果 40g</v>
          </cell>
          <cell r="L2776" t="str">
            <v>40g</v>
          </cell>
          <cell r="M2776" t="str">
            <v>袋</v>
          </cell>
          <cell r="N2776">
            <v>6.36</v>
          </cell>
          <cell r="O2776">
            <v>9.9</v>
          </cell>
          <cell r="P2776">
            <v>0.35050505050505099</v>
          </cell>
        </row>
        <row r="2777">
          <cell r="F2777" t="str">
            <v>70597322</v>
          </cell>
          <cell r="G2777" t="str">
            <v>玛氏箭牌</v>
          </cell>
          <cell r="H2777" t="str">
            <v>绿箭</v>
          </cell>
          <cell r="I2777" t="str">
            <v>糖果</v>
          </cell>
          <cell r="J2777" t="str">
            <v>薄荷糖</v>
          </cell>
          <cell r="K2777" t="str">
            <v>绿箭 劲酷薄荷硬糖茉莉冰茶味 20.5g</v>
          </cell>
          <cell r="L2777" t="str">
            <v>20.5g</v>
          </cell>
          <cell r="M2777" t="str">
            <v>盒</v>
          </cell>
          <cell r="N2777">
            <v>2.5299999999999998</v>
          </cell>
          <cell r="O2777">
            <v>3.5</v>
          </cell>
          <cell r="P2777">
            <v>0.27142857142857102</v>
          </cell>
        </row>
        <row r="2778">
          <cell r="F2778" t="str">
            <v>70597406</v>
          </cell>
          <cell r="G2778" t="str">
            <v>玛氏箭牌</v>
          </cell>
          <cell r="H2778" t="str">
            <v>绿箭</v>
          </cell>
          <cell r="I2778" t="str">
            <v>糖果</v>
          </cell>
          <cell r="J2778" t="str">
            <v>薄荷糖</v>
          </cell>
          <cell r="K2778" t="str">
            <v>绿箭 劲酷薄荷硬糖冰萃柠檬味 20.5g</v>
          </cell>
          <cell r="L2778" t="str">
            <v>20.5g</v>
          </cell>
          <cell r="M2778" t="str">
            <v>盒</v>
          </cell>
          <cell r="N2778">
            <v>2.5299999999999998</v>
          </cell>
          <cell r="O2778">
            <v>3.5</v>
          </cell>
          <cell r="P2778">
            <v>0.27142857142857102</v>
          </cell>
        </row>
        <row r="2779">
          <cell r="F2779" t="str">
            <v>70192353</v>
          </cell>
          <cell r="G2779" t="str">
            <v>玛氏箭牌</v>
          </cell>
          <cell r="H2779" t="str">
            <v>绿箭</v>
          </cell>
          <cell r="I2779" t="str">
            <v>糖果</v>
          </cell>
          <cell r="J2779" t="str">
            <v>口香糖</v>
          </cell>
          <cell r="K2779" t="str">
            <v>绿箭 口香糖原味薄荷40粒 56g</v>
          </cell>
          <cell r="L2779" t="str">
            <v>56g</v>
          </cell>
          <cell r="M2779" t="str">
            <v>盒</v>
          </cell>
          <cell r="N2779">
            <v>8.08</v>
          </cell>
          <cell r="O2779">
            <v>11.5</v>
          </cell>
          <cell r="P2779">
            <v>0.29043478260869598</v>
          </cell>
        </row>
        <row r="2780">
          <cell r="F2780" t="str">
            <v>70091652</v>
          </cell>
          <cell r="G2780" t="str">
            <v>玛氏箭牌</v>
          </cell>
          <cell r="H2780" t="str">
            <v>绿箭</v>
          </cell>
          <cell r="I2780" t="str">
            <v>糖果</v>
          </cell>
          <cell r="J2780" t="str">
            <v>口香糖</v>
          </cell>
          <cell r="K2780" t="str">
            <v>绿箭 口香糖原味薄荷12片装 32g</v>
          </cell>
          <cell r="L2780" t="str">
            <v>32g</v>
          </cell>
          <cell r="M2780" t="str">
            <v>盒</v>
          </cell>
          <cell r="N2780">
            <v>4.8499999999999996</v>
          </cell>
          <cell r="O2780">
            <v>6.9</v>
          </cell>
          <cell r="P2780">
            <v>0.28985507246376802</v>
          </cell>
        </row>
        <row r="2781">
          <cell r="F2781" t="str">
            <v>70498658</v>
          </cell>
          <cell r="G2781" t="str">
            <v>伊利</v>
          </cell>
          <cell r="H2781" t="str">
            <v>伊利</v>
          </cell>
          <cell r="I2781" t="str">
            <v>奶类</v>
          </cell>
          <cell r="J2781" t="str">
            <v>液态奶</v>
          </cell>
          <cell r="K2781" t="str">
            <v>伊利 纯牛奶(1*200*24) 200ml</v>
          </cell>
          <cell r="L2781" t="str">
            <v>200ml</v>
          </cell>
          <cell r="M2781" t="str">
            <v>瓶</v>
          </cell>
          <cell r="N2781">
            <v>1.82</v>
          </cell>
          <cell r="O2781">
            <v>2.0416666666666701</v>
          </cell>
          <cell r="P2781">
            <v>9.8775510204083095E-2</v>
          </cell>
        </row>
        <row r="2782">
          <cell r="F2782" t="str">
            <v>70597733</v>
          </cell>
          <cell r="G2782" t="str">
            <v>伊利</v>
          </cell>
          <cell r="H2782" t="str">
            <v>伊利</v>
          </cell>
          <cell r="I2782" t="str">
            <v>奶类</v>
          </cell>
          <cell r="J2782" t="str">
            <v>酸奶</v>
          </cell>
          <cell r="K2782" t="str">
            <v>伊利 伊利草原酸奶原味 200g</v>
          </cell>
          <cell r="L2782" t="str">
            <v>200g</v>
          </cell>
          <cell r="M2782" t="str">
            <v>瓶</v>
          </cell>
          <cell r="N2782">
            <v>3.33</v>
          </cell>
          <cell r="O2782">
            <v>4</v>
          </cell>
          <cell r="P2782">
            <v>0.1575</v>
          </cell>
        </row>
        <row r="2783">
          <cell r="F2783" t="str">
            <v>70597763</v>
          </cell>
          <cell r="G2783" t="str">
            <v>伊利</v>
          </cell>
          <cell r="H2783" t="str">
            <v>伊利</v>
          </cell>
          <cell r="I2783" t="str">
            <v>奶类</v>
          </cell>
          <cell r="J2783" t="str">
            <v>含乳饮料</v>
          </cell>
          <cell r="K2783" t="str">
            <v>伊利 优酸乳嚼柠檬轻乳果汁饮品 240g</v>
          </cell>
          <cell r="L2783" t="str">
            <v>240g</v>
          </cell>
          <cell r="M2783" t="str">
            <v>瓶</v>
          </cell>
          <cell r="N2783">
            <v>3.43</v>
          </cell>
          <cell r="O2783">
            <v>4</v>
          </cell>
          <cell r="P2783">
            <v>0.13250000000000001</v>
          </cell>
        </row>
        <row r="2784">
          <cell r="F2784" t="str">
            <v>70597357</v>
          </cell>
          <cell r="G2784" t="str">
            <v>伊利</v>
          </cell>
          <cell r="H2784" t="str">
            <v>伊利</v>
          </cell>
          <cell r="I2784" t="str">
            <v>奶类</v>
          </cell>
          <cell r="J2784" t="str">
            <v>液态奶</v>
          </cell>
          <cell r="K2784" t="str">
            <v>伊利 臻浓纯牛奶 250ml</v>
          </cell>
          <cell r="L2784" t="str">
            <v>250ml</v>
          </cell>
          <cell r="M2784" t="str">
            <v>瓶</v>
          </cell>
          <cell r="N2784">
            <v>3.64</v>
          </cell>
          <cell r="O2784">
            <v>4.5</v>
          </cell>
          <cell r="P2784">
            <v>0.18444444444444399</v>
          </cell>
        </row>
        <row r="2785">
          <cell r="F2785" t="str">
            <v>70597339</v>
          </cell>
          <cell r="G2785" t="str">
            <v>五粮液</v>
          </cell>
          <cell r="H2785" t="str">
            <v>百家宴</v>
          </cell>
          <cell r="I2785" t="str">
            <v>酒类</v>
          </cell>
          <cell r="J2785" t="str">
            <v>国产酒类</v>
          </cell>
          <cell r="K2785" t="str">
            <v>百家宴 文创系列 (花开221)42%vol 500mL</v>
          </cell>
          <cell r="L2785" t="str">
            <v>500ml</v>
          </cell>
          <cell r="M2785" t="str">
            <v>瓶</v>
          </cell>
          <cell r="N2785">
            <v>112.62</v>
          </cell>
          <cell r="O2785">
            <v>168</v>
          </cell>
          <cell r="P2785">
            <v>0.32303571428571398</v>
          </cell>
        </row>
        <row r="2786">
          <cell r="F2786" t="str">
            <v>70597341</v>
          </cell>
          <cell r="G2786" t="str">
            <v>五粮液</v>
          </cell>
          <cell r="H2786" t="str">
            <v>百家宴</v>
          </cell>
          <cell r="I2786" t="str">
            <v>酒类</v>
          </cell>
          <cell r="J2786" t="str">
            <v>国产酒类</v>
          </cell>
          <cell r="K2786" t="str">
            <v>百家宴 文创系列 (花开221)52%vol 500mL</v>
          </cell>
          <cell r="L2786" t="str">
            <v>500ml</v>
          </cell>
          <cell r="M2786" t="str">
            <v>瓶</v>
          </cell>
          <cell r="N2786">
            <v>112.62</v>
          </cell>
          <cell r="O2786">
            <v>168</v>
          </cell>
          <cell r="P2786">
            <v>0.32303571428571398</v>
          </cell>
        </row>
        <row r="2787">
          <cell r="F2787" t="str">
            <v>70597442</v>
          </cell>
          <cell r="G2787" t="str">
            <v>五粮液</v>
          </cell>
          <cell r="H2787" t="str">
            <v>百家宴</v>
          </cell>
          <cell r="I2787" t="str">
            <v>酒类</v>
          </cell>
          <cell r="J2787" t="str">
            <v>国产酒类</v>
          </cell>
          <cell r="K2787" t="str">
            <v>百家宴 文创系列 (花开礼盒231)52%vol500mL*2 1盒</v>
          </cell>
          <cell r="L2787" t="str">
            <v>500ml*2</v>
          </cell>
          <cell r="M2787" t="str">
            <v>盒</v>
          </cell>
          <cell r="N2787">
            <v>195.94</v>
          </cell>
          <cell r="O2787">
            <v>259</v>
          </cell>
          <cell r="P2787">
            <v>0.235984555984556</v>
          </cell>
        </row>
        <row r="2788">
          <cell r="F2788" t="str">
            <v>70597623</v>
          </cell>
          <cell r="G2788" t="str">
            <v>杜康</v>
          </cell>
          <cell r="H2788" t="str">
            <v>杜康</v>
          </cell>
          <cell r="I2788" t="str">
            <v>酒类</v>
          </cell>
          <cell r="J2788" t="str">
            <v>国产酒类</v>
          </cell>
          <cell r="K2788" t="str">
            <v>杜康 阖缘（珍品）酒 445ml</v>
          </cell>
          <cell r="L2788" t="str">
            <v>445ml</v>
          </cell>
          <cell r="M2788" t="str">
            <v>瓶</v>
          </cell>
          <cell r="N2788">
            <v>103.02</v>
          </cell>
          <cell r="O2788">
            <v>398</v>
          </cell>
          <cell r="P2788">
            <v>0.73859296482412096</v>
          </cell>
        </row>
        <row r="2789">
          <cell r="F2789" t="str">
            <v>70597444</v>
          </cell>
          <cell r="G2789" t="str">
            <v>杜康</v>
          </cell>
          <cell r="H2789" t="str">
            <v>杜康</v>
          </cell>
          <cell r="I2789" t="str">
            <v>酒类</v>
          </cell>
          <cell r="J2789" t="str">
            <v>国产酒类</v>
          </cell>
          <cell r="K2789" t="str">
            <v>杜康 阖缘（尊品）酒 500ml</v>
          </cell>
          <cell r="L2789" t="str">
            <v>500ml</v>
          </cell>
          <cell r="M2789" t="str">
            <v>瓶</v>
          </cell>
          <cell r="N2789">
            <v>113.12</v>
          </cell>
          <cell r="O2789">
            <v>498</v>
          </cell>
          <cell r="P2789">
            <v>0.77060240963855398</v>
          </cell>
        </row>
        <row r="2790">
          <cell r="F2790" t="str">
            <v>70494761</v>
          </cell>
          <cell r="G2790" t="str">
            <v>杜康</v>
          </cell>
          <cell r="H2790" t="str">
            <v>杜康</v>
          </cell>
          <cell r="I2790" t="str">
            <v>酒类</v>
          </cell>
          <cell r="J2790" t="str">
            <v>国产酒类</v>
          </cell>
          <cell r="K2790" t="str">
            <v>杜康 原窖（窖酒）酒 100ml</v>
          </cell>
          <cell r="L2790" t="str">
            <v>100ml</v>
          </cell>
          <cell r="M2790" t="str">
            <v>瓶</v>
          </cell>
          <cell r="N2790">
            <v>20</v>
          </cell>
          <cell r="O2790">
            <v>48</v>
          </cell>
          <cell r="P2790">
            <v>0.57916666666666705</v>
          </cell>
        </row>
        <row r="2791">
          <cell r="F2791" t="str">
            <v>70597354</v>
          </cell>
          <cell r="G2791" t="str">
            <v>岚莲华</v>
          </cell>
          <cell r="H2791" t="str">
            <v>岚莲华</v>
          </cell>
          <cell r="I2791" t="str">
            <v>包装饮料</v>
          </cell>
          <cell r="J2791" t="str">
            <v>茶饮料</v>
          </cell>
          <cell r="K2791" t="str">
            <v>岚莲华 黄精荷叶茶 350ML</v>
          </cell>
          <cell r="L2791" t="str">
            <v>350ml</v>
          </cell>
          <cell r="M2791" t="str">
            <v>瓶</v>
          </cell>
          <cell r="N2791">
            <v>4.24</v>
          </cell>
          <cell r="O2791">
            <v>6.6</v>
          </cell>
          <cell r="P2791">
            <v>0.351515151515151</v>
          </cell>
        </row>
        <row r="2792">
          <cell r="F2792" t="str">
            <v>70597351</v>
          </cell>
          <cell r="G2792" t="str">
            <v>岚莲华</v>
          </cell>
          <cell r="H2792" t="str">
            <v>岚莲华</v>
          </cell>
          <cell r="I2792" t="str">
            <v>包装饮料</v>
          </cell>
          <cell r="J2792" t="str">
            <v>茶饮料</v>
          </cell>
          <cell r="K2792" t="str">
            <v>岚莲华 建菊甘草茶 350ML</v>
          </cell>
          <cell r="L2792" t="str">
            <v>350ml</v>
          </cell>
          <cell r="M2792" t="str">
            <v>瓶</v>
          </cell>
          <cell r="N2792">
            <v>4.24</v>
          </cell>
          <cell r="O2792">
            <v>6.6</v>
          </cell>
          <cell r="P2792">
            <v>0.351515151515151</v>
          </cell>
        </row>
        <row r="2793">
          <cell r="F2793" t="str">
            <v>70597454</v>
          </cell>
          <cell r="G2793" t="str">
            <v>岚莲华</v>
          </cell>
          <cell r="H2793" t="str">
            <v>岚莲华</v>
          </cell>
          <cell r="I2793" t="str">
            <v>包装饮料</v>
          </cell>
          <cell r="J2793" t="str">
            <v>茶饮料</v>
          </cell>
          <cell r="K2793" t="str">
            <v>岚莲华 建菊甘草茶礼盒装(350ML*10) 1箱</v>
          </cell>
          <cell r="L2793" t="str">
            <v>1箱</v>
          </cell>
          <cell r="M2793" t="str">
            <v>箱</v>
          </cell>
          <cell r="N2793">
            <v>42.42</v>
          </cell>
          <cell r="O2793">
            <v>66</v>
          </cell>
          <cell r="P2793">
            <v>0.350909090909091</v>
          </cell>
        </row>
        <row r="2794">
          <cell r="F2794" t="str">
            <v>70597395</v>
          </cell>
          <cell r="G2794" t="str">
            <v>联合利华</v>
          </cell>
          <cell r="H2794" t="str">
            <v>多芬</v>
          </cell>
          <cell r="I2794" t="str">
            <v>个人护理用品</v>
          </cell>
          <cell r="J2794" t="str">
            <v>沐浴用品</v>
          </cell>
          <cell r="K2794" t="str">
            <v>多芬 精华沐浴露青柠莓莓生椰乳香RT2 620G</v>
          </cell>
          <cell r="L2794" t="str">
            <v>620G</v>
          </cell>
          <cell r="M2794" t="str">
            <v>瓶</v>
          </cell>
          <cell r="N2794">
            <v>36.36</v>
          </cell>
          <cell r="O2794">
            <v>49.9</v>
          </cell>
          <cell r="P2794">
            <v>0.26412825651302602</v>
          </cell>
        </row>
        <row r="2795">
          <cell r="F2795" t="str">
            <v>70597396</v>
          </cell>
          <cell r="G2795" t="str">
            <v>联合利华</v>
          </cell>
          <cell r="H2795" t="str">
            <v>力士</v>
          </cell>
          <cell r="I2795" t="str">
            <v>个人护理用品</v>
          </cell>
          <cell r="J2795" t="str">
            <v>沐浴用品</v>
          </cell>
          <cell r="K2795" t="str">
            <v>力士 气泡爽肤香氛沐浴露元气葡萄香 390ml</v>
          </cell>
          <cell r="L2795" t="str">
            <v>390ML</v>
          </cell>
          <cell r="M2795" t="str">
            <v>瓶</v>
          </cell>
          <cell r="N2795">
            <v>15.45</v>
          </cell>
          <cell r="O2795">
            <v>24.9</v>
          </cell>
          <cell r="P2795">
            <v>0.37309236947791202</v>
          </cell>
        </row>
        <row r="2796">
          <cell r="F2796" t="str">
            <v>70540227</v>
          </cell>
          <cell r="G2796" t="str">
            <v>联合利华</v>
          </cell>
          <cell r="H2796" t="str">
            <v>力士</v>
          </cell>
          <cell r="I2796" t="str">
            <v>个人护理用品</v>
          </cell>
          <cell r="J2796" t="str">
            <v>沐浴用品</v>
          </cell>
          <cell r="K2796" t="str">
            <v>力士 小苍兰香氛旅行套装 100G+100G</v>
          </cell>
          <cell r="L2796" t="str">
            <v>100G+100G</v>
          </cell>
          <cell r="M2796" t="str">
            <v>套</v>
          </cell>
          <cell r="N2796">
            <v>13.84</v>
          </cell>
          <cell r="O2796">
            <v>19.899999999999999</v>
          </cell>
          <cell r="P2796">
            <v>0.29798994974874399</v>
          </cell>
        </row>
        <row r="2797">
          <cell r="F2797" t="str">
            <v>70544228</v>
          </cell>
          <cell r="G2797" t="str">
            <v>联合利华</v>
          </cell>
          <cell r="H2797" t="str">
            <v>力士</v>
          </cell>
          <cell r="I2797" t="str">
            <v>个人护理用品</v>
          </cell>
          <cell r="J2797" t="str">
            <v>沐浴用品</v>
          </cell>
          <cell r="K2797" t="str">
            <v>清扬男士古龙深海探险沐浴露+清爽控油发水 100G+100G</v>
          </cell>
          <cell r="L2797" t="str">
            <v>100G+100G</v>
          </cell>
          <cell r="M2797" t="str">
            <v>套</v>
          </cell>
          <cell r="N2797">
            <v>13.84</v>
          </cell>
          <cell r="O2797">
            <v>19.899999999999999</v>
          </cell>
          <cell r="P2797">
            <v>0.29798994974874399</v>
          </cell>
        </row>
        <row r="2798">
          <cell r="F2798" t="str">
            <v>70597391</v>
          </cell>
          <cell r="G2798" t="str">
            <v>魔烦恼</v>
          </cell>
          <cell r="H2798" t="str">
            <v>羌小芋</v>
          </cell>
          <cell r="I2798" t="str">
            <v>零食</v>
          </cell>
          <cell r="J2798" t="str">
            <v>豆制品零食</v>
          </cell>
          <cell r="K2798" t="str">
            <v>羌小芋 魔芋素毛肚（麻辣味） 22g</v>
          </cell>
          <cell r="L2798" t="str">
            <v>22g</v>
          </cell>
          <cell r="M2798" t="str">
            <v>包</v>
          </cell>
          <cell r="N2798">
            <v>0.81</v>
          </cell>
          <cell r="O2798">
            <v>1.2</v>
          </cell>
          <cell r="P2798">
            <v>0.31666666666666698</v>
          </cell>
        </row>
        <row r="2799">
          <cell r="F2799" t="str">
            <v>70597390</v>
          </cell>
          <cell r="G2799" t="str">
            <v>魔烦恼</v>
          </cell>
          <cell r="H2799" t="str">
            <v>羌小芋</v>
          </cell>
          <cell r="I2799" t="str">
            <v>零食</v>
          </cell>
          <cell r="J2799" t="str">
            <v>豆制品零食</v>
          </cell>
          <cell r="K2799" t="str">
            <v>羌小芋 魔芋素毛肚（香辣味） 22g</v>
          </cell>
          <cell r="L2799" t="str">
            <v>22g</v>
          </cell>
          <cell r="M2799" t="str">
            <v>包</v>
          </cell>
          <cell r="N2799">
            <v>0.81</v>
          </cell>
          <cell r="O2799">
            <v>1.2</v>
          </cell>
          <cell r="P2799">
            <v>0.31666666666666698</v>
          </cell>
        </row>
        <row r="2800">
          <cell r="F2800" t="str">
            <v>70597402</v>
          </cell>
          <cell r="G2800" t="str">
            <v>魔烦恼</v>
          </cell>
          <cell r="H2800" t="str">
            <v>羌小芋</v>
          </cell>
          <cell r="I2800" t="str">
            <v>零食</v>
          </cell>
          <cell r="J2800" t="str">
            <v>豆制品零食</v>
          </cell>
          <cell r="K2800" t="str">
            <v>羌小芋 魔芋素虾仁（烧烤味） 22g</v>
          </cell>
          <cell r="L2800" t="str">
            <v>22g</v>
          </cell>
          <cell r="M2800" t="str">
            <v>包</v>
          </cell>
          <cell r="N2800">
            <v>0.81</v>
          </cell>
          <cell r="O2800">
            <v>1.2</v>
          </cell>
          <cell r="P2800">
            <v>0.31666666666666698</v>
          </cell>
        </row>
        <row r="2801">
          <cell r="F2801" t="str">
            <v>70597539</v>
          </cell>
          <cell r="G2801" t="str">
            <v>雀巢茶萃</v>
          </cell>
          <cell r="H2801" t="str">
            <v>雀巢茶萃</v>
          </cell>
          <cell r="I2801" t="str">
            <v>包装饮料</v>
          </cell>
          <cell r="J2801" t="str">
            <v>茶饮料</v>
          </cell>
          <cell r="K2801" t="str">
            <v>雀巢 茶萃香柠茶柠檬味茶饮料 500ml</v>
          </cell>
          <cell r="L2801" t="str">
            <v>500ml</v>
          </cell>
          <cell r="M2801" t="str">
            <v>瓶</v>
          </cell>
          <cell r="N2801">
            <v>2.95</v>
          </cell>
          <cell r="O2801">
            <v>4.5</v>
          </cell>
          <cell r="P2801">
            <v>0.33777777777777801</v>
          </cell>
        </row>
        <row r="2802">
          <cell r="F2802" t="str">
            <v>70597461</v>
          </cell>
          <cell r="G2802" t="str">
            <v>银鹭</v>
          </cell>
          <cell r="H2802" t="str">
            <v>银鹭</v>
          </cell>
          <cell r="I2802" t="str">
            <v>包装饮料</v>
          </cell>
          <cell r="J2802" t="str">
            <v>功能饮料</v>
          </cell>
          <cell r="K2802" t="str">
            <v>银鹭 多补水电解质饮料(青柠口味) 600ml</v>
          </cell>
          <cell r="L2802" t="str">
            <v>600ml</v>
          </cell>
          <cell r="M2802" t="str">
            <v>瓶</v>
          </cell>
          <cell r="N2802">
            <v>2.93</v>
          </cell>
          <cell r="O2802">
            <v>4.5</v>
          </cell>
          <cell r="P2802">
            <v>0.34222222222222198</v>
          </cell>
        </row>
        <row r="2803">
          <cell r="F2803" t="str">
            <v>70597393</v>
          </cell>
          <cell r="G2803" t="str">
            <v>银鹭</v>
          </cell>
          <cell r="H2803" t="str">
            <v>银鹭</v>
          </cell>
          <cell r="I2803" t="str">
            <v>包装饮料</v>
          </cell>
          <cell r="J2803" t="str">
            <v>功能饮料</v>
          </cell>
          <cell r="K2803" t="str">
            <v>银鹭 多补水电解质饮料(西柚口味) 600ml</v>
          </cell>
          <cell r="L2803" t="str">
            <v>600ml</v>
          </cell>
          <cell r="M2803" t="str">
            <v>瓶</v>
          </cell>
          <cell r="N2803">
            <v>2.93</v>
          </cell>
          <cell r="O2803">
            <v>4.5</v>
          </cell>
          <cell r="P2803">
            <v>0.34222222222222198</v>
          </cell>
        </row>
        <row r="2804">
          <cell r="F2804" t="str">
            <v>70597728</v>
          </cell>
          <cell r="G2804" t="str">
            <v>蒙牛</v>
          </cell>
          <cell r="H2804" t="str">
            <v>蒙牛</v>
          </cell>
          <cell r="I2804" t="str">
            <v>奶类</v>
          </cell>
          <cell r="J2804" t="str">
            <v>液态奶</v>
          </cell>
          <cell r="K2804" t="str">
            <v>蒙牛纯牛奶全脂灭菌乳利乐苗条装（礼盒装） 200ml×12包</v>
          </cell>
          <cell r="L2804" t="str">
            <v>200ml×12包</v>
          </cell>
          <cell r="M2804" t="str">
            <v>箱</v>
          </cell>
          <cell r="N2804">
            <v>28.28</v>
          </cell>
          <cell r="O2804">
            <v>35</v>
          </cell>
          <cell r="P2804">
            <v>0.184</v>
          </cell>
        </row>
        <row r="2805">
          <cell r="F2805" t="str">
            <v>70597730</v>
          </cell>
          <cell r="G2805" t="str">
            <v>蒙牛</v>
          </cell>
          <cell r="H2805" t="str">
            <v>蒙牛</v>
          </cell>
          <cell r="I2805" t="str">
            <v>奶类</v>
          </cell>
          <cell r="J2805" t="str">
            <v>液态奶</v>
          </cell>
          <cell r="K2805" t="str">
            <v>特仑苏纯牛奶全脂灭菌乳利乐苗条装200ml×12包 （大师限定）</v>
          </cell>
          <cell r="L2805" t="str">
            <v>200ml×12包</v>
          </cell>
          <cell r="M2805" t="str">
            <v>箱</v>
          </cell>
          <cell r="N2805">
            <v>40.4</v>
          </cell>
          <cell r="O2805">
            <v>55</v>
          </cell>
          <cell r="P2805">
            <v>0.25818181818181801</v>
          </cell>
        </row>
        <row r="2806">
          <cell r="F2806" t="str">
            <v>70597729</v>
          </cell>
          <cell r="G2806" t="str">
            <v>蒙牛</v>
          </cell>
          <cell r="H2806" t="str">
            <v>蒙牛</v>
          </cell>
          <cell r="I2806" t="str">
            <v>奶类</v>
          </cell>
          <cell r="J2806" t="str">
            <v>液态奶</v>
          </cell>
          <cell r="K2806" t="str">
            <v>特仑苏有机纯牛奶全脂灭菌乳利乐苗条装200ml×12包 （大师限定）</v>
          </cell>
          <cell r="L2806" t="str">
            <v>200ml×12包</v>
          </cell>
          <cell r="M2806" t="str">
            <v>箱</v>
          </cell>
          <cell r="N2806">
            <v>50.5</v>
          </cell>
          <cell r="O2806">
            <v>65</v>
          </cell>
          <cell r="P2806">
            <v>0.21538461538461501</v>
          </cell>
        </row>
        <row r="2807">
          <cell r="F2807" t="str">
            <v>70593572</v>
          </cell>
          <cell r="G2807" t="str">
            <v>宜简</v>
          </cell>
          <cell r="H2807" t="str">
            <v>宜简</v>
          </cell>
          <cell r="I2807" t="str">
            <v>包装饮料</v>
          </cell>
          <cell r="J2807" t="str">
            <v>茶饮料</v>
          </cell>
          <cell r="K2807" t="str">
            <v>宜简 老鹰茶 500ml</v>
          </cell>
          <cell r="L2807" t="str">
            <v>500ml</v>
          </cell>
          <cell r="M2807" t="str">
            <v>瓶</v>
          </cell>
          <cell r="N2807">
            <v>2.83</v>
          </cell>
          <cell r="O2807">
            <v>4</v>
          </cell>
          <cell r="P2807">
            <v>0.28499999999999998</v>
          </cell>
        </row>
        <row r="2808">
          <cell r="F2808" t="str">
            <v>70378419</v>
          </cell>
          <cell r="G2808" t="str">
            <v>宜简</v>
          </cell>
          <cell r="H2808" t="str">
            <v>宜简</v>
          </cell>
          <cell r="I2808" t="str">
            <v>包装饮料</v>
          </cell>
          <cell r="J2808" t="str">
            <v>功能饮料</v>
          </cell>
          <cell r="K2808" t="str">
            <v>宜简 青柠味电解质 600ml</v>
          </cell>
          <cell r="L2808" t="str">
            <v>600ml</v>
          </cell>
          <cell r="M2808" t="str">
            <v>瓶</v>
          </cell>
          <cell r="N2808">
            <v>2.83</v>
          </cell>
          <cell r="O2808">
            <v>4</v>
          </cell>
          <cell r="P2808">
            <v>0.28499999999999998</v>
          </cell>
        </row>
        <row r="2809">
          <cell r="F2809" t="str">
            <v>70597462</v>
          </cell>
          <cell r="G2809" t="str">
            <v>宜简</v>
          </cell>
          <cell r="H2809" t="str">
            <v>宜简</v>
          </cell>
          <cell r="I2809" t="str">
            <v>包装饮料</v>
          </cell>
          <cell r="J2809" t="str">
            <v>功能饮料</v>
          </cell>
          <cell r="K2809" t="str">
            <v>宜简 西柚味电解质 600ml</v>
          </cell>
          <cell r="L2809" t="str">
            <v>600ml</v>
          </cell>
          <cell r="M2809" t="str">
            <v>瓶</v>
          </cell>
          <cell r="N2809">
            <v>2.83</v>
          </cell>
          <cell r="O2809">
            <v>4</v>
          </cell>
          <cell r="P2809">
            <v>0.28499999999999998</v>
          </cell>
        </row>
        <row r="2810">
          <cell r="F2810" t="str">
            <v>70382409</v>
          </cell>
          <cell r="G2810" t="str">
            <v>今麦郎</v>
          </cell>
          <cell r="H2810" t="str">
            <v>今麦郎</v>
          </cell>
          <cell r="I2810" t="str">
            <v>包装饮料</v>
          </cell>
          <cell r="J2810" t="str">
            <v>茶饮料</v>
          </cell>
          <cell r="K2810" t="str">
            <v>今麦郎 大瓶冰红茶 750ML</v>
          </cell>
          <cell r="L2810" t="str">
            <v>750ML</v>
          </cell>
          <cell r="M2810" t="str">
            <v>瓶</v>
          </cell>
          <cell r="N2810">
            <v>2.11</v>
          </cell>
          <cell r="O2810">
            <v>3.5</v>
          </cell>
          <cell r="P2810">
            <v>0.39142857142857101</v>
          </cell>
        </row>
        <row r="2811">
          <cell r="F2811" t="str">
            <v>70407225</v>
          </cell>
          <cell r="G2811" t="str">
            <v>今麦郎</v>
          </cell>
          <cell r="H2811" t="str">
            <v>今麦郎</v>
          </cell>
          <cell r="I2811" t="str">
            <v>包装饮料</v>
          </cell>
          <cell r="J2811" t="str">
            <v>茶饮料</v>
          </cell>
          <cell r="K2811" t="str">
            <v>今麦郎 大瓶绿茶 750ML</v>
          </cell>
          <cell r="L2811" t="str">
            <v>750ML</v>
          </cell>
          <cell r="M2811" t="str">
            <v>瓶</v>
          </cell>
          <cell r="N2811">
            <v>2.11</v>
          </cell>
          <cell r="O2811">
            <v>3.5</v>
          </cell>
          <cell r="P2811">
            <v>0.39142857142857101</v>
          </cell>
        </row>
        <row r="2812">
          <cell r="F2812" t="str">
            <v>70597450</v>
          </cell>
          <cell r="G2812" t="str">
            <v>隆平米业</v>
          </cell>
          <cell r="H2812" t="str">
            <v>隆平米业</v>
          </cell>
          <cell r="I2812" t="str">
            <v>家庭食品</v>
          </cell>
          <cell r="J2812" t="str">
            <v>米</v>
          </cell>
          <cell r="K2812" t="str">
            <v>隆平米业隆平鲜米·国泰米（北方粳米） 5KG</v>
          </cell>
          <cell r="L2812" t="str">
            <v>5kg</v>
          </cell>
          <cell r="M2812" t="str">
            <v>袋</v>
          </cell>
          <cell r="N2812">
            <v>45.05</v>
          </cell>
          <cell r="O2812">
            <v>69.900000000000006</v>
          </cell>
          <cell r="P2812">
            <v>0.34921316165951399</v>
          </cell>
        </row>
        <row r="2813">
          <cell r="F2813" t="str">
            <v>70597456</v>
          </cell>
          <cell r="G2813" t="str">
            <v>隆平米业</v>
          </cell>
          <cell r="H2813" t="str">
            <v>隆平米业</v>
          </cell>
          <cell r="I2813" t="str">
            <v>家庭食品</v>
          </cell>
          <cell r="J2813" t="str">
            <v>米</v>
          </cell>
          <cell r="K2813" t="str">
            <v>隆平米业隆平鲜米·圆粒香（北方粳米） 5KG</v>
          </cell>
          <cell r="L2813" t="str">
            <v>5kg</v>
          </cell>
          <cell r="M2813" t="str">
            <v>袋</v>
          </cell>
          <cell r="N2813">
            <v>47.98</v>
          </cell>
          <cell r="O2813">
            <v>59.9</v>
          </cell>
          <cell r="P2813">
            <v>0.191151919866444</v>
          </cell>
        </row>
        <row r="2814">
          <cell r="F2814" t="str">
            <v>70597468</v>
          </cell>
          <cell r="G2814" t="str">
            <v>星巴克</v>
          </cell>
          <cell r="H2814" t="str">
            <v>星巴克</v>
          </cell>
          <cell r="I2814" t="str">
            <v>包装饮料</v>
          </cell>
          <cell r="J2814" t="str">
            <v>咖啡</v>
          </cell>
          <cell r="K2814" t="str">
            <v>星巴克 茶咖茉莉拿铁咖啡饮料 270ml</v>
          </cell>
          <cell r="L2814" t="str">
            <v>270ml</v>
          </cell>
          <cell r="M2814" t="str">
            <v>瓶</v>
          </cell>
          <cell r="N2814">
            <v>7.27</v>
          </cell>
          <cell r="O2814">
            <v>11.9</v>
          </cell>
          <cell r="P2814">
            <v>0.38319327731092401</v>
          </cell>
        </row>
        <row r="2815">
          <cell r="F2815" t="str">
            <v>70597619</v>
          </cell>
          <cell r="G2815" t="str">
            <v>星巴克</v>
          </cell>
          <cell r="H2815" t="str">
            <v>星巴克</v>
          </cell>
          <cell r="I2815" t="str">
            <v>包装饮料</v>
          </cell>
          <cell r="J2815" t="str">
            <v>咖啡</v>
          </cell>
          <cell r="K2815" t="str">
            <v>星巴克 茶咖铁观音乌龙拿铁咖啡饮料 270ml</v>
          </cell>
          <cell r="L2815" t="str">
            <v>270ml</v>
          </cell>
          <cell r="M2815" t="str">
            <v>瓶</v>
          </cell>
          <cell r="N2815">
            <v>7.27</v>
          </cell>
          <cell r="O2815">
            <v>11.9</v>
          </cell>
          <cell r="P2815">
            <v>0.38319327731092401</v>
          </cell>
        </row>
        <row r="2816">
          <cell r="F2816" t="str">
            <v>70260021</v>
          </cell>
          <cell r="G2816" t="str">
            <v>中粮油脂</v>
          </cell>
          <cell r="H2816" t="str">
            <v>福临门</v>
          </cell>
          <cell r="I2816" t="str">
            <v>家庭食品</v>
          </cell>
          <cell r="J2816" t="str">
            <v>油</v>
          </cell>
          <cell r="K2816" t="str">
            <v>福临门 AE非转基因菜籽油（低芥酸） 4L</v>
          </cell>
          <cell r="L2816" t="str">
            <v>4L</v>
          </cell>
          <cell r="M2816" t="str">
            <v>桶</v>
          </cell>
          <cell r="N2816">
            <v>63.63</v>
          </cell>
          <cell r="O2816">
            <v>79.900000000000006</v>
          </cell>
          <cell r="P2816">
            <v>0.195744680851064</v>
          </cell>
        </row>
        <row r="2817">
          <cell r="F2817" t="str">
            <v>70512321</v>
          </cell>
          <cell r="G2817" t="str">
            <v>中粮油脂</v>
          </cell>
          <cell r="H2817" t="str">
            <v>福临门</v>
          </cell>
          <cell r="I2817" t="str">
            <v>家庭食品</v>
          </cell>
          <cell r="J2817" t="str">
            <v>油</v>
          </cell>
          <cell r="K2817" t="str">
            <v>福临门 非转基因优选醇香菜籽油(压榨） 5L</v>
          </cell>
          <cell r="L2817" t="str">
            <v>5L</v>
          </cell>
          <cell r="M2817" t="str">
            <v>桶</v>
          </cell>
          <cell r="N2817">
            <v>66.86</v>
          </cell>
          <cell r="O2817">
            <v>79.900000000000006</v>
          </cell>
          <cell r="P2817">
            <v>0.15494367959949901</v>
          </cell>
        </row>
        <row r="2818">
          <cell r="F2818" t="str">
            <v>70599499</v>
          </cell>
          <cell r="G2818" t="str">
            <v>中粮油脂</v>
          </cell>
          <cell r="H2818" t="str">
            <v>福临门</v>
          </cell>
          <cell r="I2818" t="str">
            <v>家庭食品</v>
          </cell>
          <cell r="J2818" t="str">
            <v>油</v>
          </cell>
          <cell r="K2818" t="str">
            <v>福临门 胡麻油 1.8L</v>
          </cell>
          <cell r="L2818" t="str">
            <v>1.8L</v>
          </cell>
          <cell r="M2818" t="str">
            <v>桶</v>
          </cell>
          <cell r="N2818">
            <v>48.99</v>
          </cell>
          <cell r="O2818">
            <v>66</v>
          </cell>
          <cell r="P2818">
            <v>0.25045454545454499</v>
          </cell>
        </row>
        <row r="2819">
          <cell r="F2819" t="str">
            <v>70529419</v>
          </cell>
          <cell r="G2819" t="str">
            <v>中粮油脂</v>
          </cell>
          <cell r="H2819" t="str">
            <v>福临门</v>
          </cell>
          <cell r="I2819" t="str">
            <v>家庭食品</v>
          </cell>
          <cell r="J2819" t="str">
            <v>油</v>
          </cell>
          <cell r="K2819" t="str">
            <v>福临门 胡麻油 5L</v>
          </cell>
          <cell r="L2819" t="str">
            <v>5L</v>
          </cell>
          <cell r="M2819" t="str">
            <v>桶</v>
          </cell>
          <cell r="N2819">
            <v>96.96</v>
          </cell>
          <cell r="O2819">
            <v>129.9</v>
          </cell>
          <cell r="P2819">
            <v>0.24618937644341801</v>
          </cell>
        </row>
        <row r="2820">
          <cell r="F2820" t="str">
            <v>70599500</v>
          </cell>
          <cell r="G2820" t="str">
            <v>中粮油脂</v>
          </cell>
          <cell r="H2820" t="str">
            <v>福临门</v>
          </cell>
          <cell r="I2820" t="str">
            <v>家庭食品</v>
          </cell>
          <cell r="J2820" t="str">
            <v>油</v>
          </cell>
          <cell r="K2820" t="str">
            <v>福临门 花椒油 200ml</v>
          </cell>
          <cell r="L2820" t="str">
            <v>200ml</v>
          </cell>
          <cell r="M2820" t="str">
            <v>瓶</v>
          </cell>
          <cell r="N2820">
            <v>11.92</v>
          </cell>
          <cell r="O2820">
            <v>15.9</v>
          </cell>
          <cell r="P2820">
            <v>0.242767295597484</v>
          </cell>
        </row>
        <row r="2821">
          <cell r="F2821" t="str">
            <v>70599501</v>
          </cell>
          <cell r="G2821" t="str">
            <v>中粮油脂</v>
          </cell>
          <cell r="H2821" t="str">
            <v>福临门</v>
          </cell>
          <cell r="I2821" t="str">
            <v>家庭食品</v>
          </cell>
          <cell r="J2821" t="str">
            <v>油</v>
          </cell>
          <cell r="K2821" t="str">
            <v>福临门 家香味传承土榨花生油 3L</v>
          </cell>
          <cell r="L2821" t="str">
            <v>3L</v>
          </cell>
          <cell r="M2821" t="str">
            <v>桶</v>
          </cell>
          <cell r="N2821">
            <v>71.709999999999994</v>
          </cell>
          <cell r="O2821">
            <v>89.9</v>
          </cell>
          <cell r="P2821">
            <v>0.19443826473859799</v>
          </cell>
        </row>
        <row r="2822">
          <cell r="F2822" t="str">
            <v>70599502</v>
          </cell>
          <cell r="G2822" t="str">
            <v>中粮油脂</v>
          </cell>
          <cell r="H2822" t="str">
            <v>福临门</v>
          </cell>
          <cell r="I2822" t="str">
            <v>家庭食品</v>
          </cell>
          <cell r="J2822" t="str">
            <v>油</v>
          </cell>
          <cell r="K2822" t="str">
            <v>福临门 藤椒油 200ml</v>
          </cell>
          <cell r="L2822" t="str">
            <v>200ml</v>
          </cell>
          <cell r="M2822" t="str">
            <v>瓶</v>
          </cell>
          <cell r="N2822">
            <v>11.92</v>
          </cell>
          <cell r="O2822">
            <v>16.899999999999999</v>
          </cell>
          <cell r="P2822">
            <v>0.28757396449704098</v>
          </cell>
        </row>
        <row r="2823">
          <cell r="F2823" t="str">
            <v>70277425</v>
          </cell>
          <cell r="G2823" t="str">
            <v>亿滋</v>
          </cell>
          <cell r="H2823" t="str">
            <v>奥利奥</v>
          </cell>
          <cell r="I2823" t="str">
            <v>饼干/糕点</v>
          </cell>
          <cell r="J2823" t="str">
            <v>饼干/糕点</v>
          </cell>
          <cell r="K2823" t="str">
            <v>奥利奥 冰淇淋夹心抹茶味 97g</v>
          </cell>
          <cell r="L2823" t="str">
            <v>97g</v>
          </cell>
          <cell r="M2823" t="str">
            <v>包</v>
          </cell>
          <cell r="N2823">
            <v>5.26</v>
          </cell>
          <cell r="O2823">
            <v>8</v>
          </cell>
          <cell r="P2823">
            <v>0.33624999999999999</v>
          </cell>
        </row>
        <row r="2824">
          <cell r="F2824" t="str">
            <v>70558137</v>
          </cell>
          <cell r="G2824" t="str">
            <v>亿滋</v>
          </cell>
          <cell r="H2824" t="str">
            <v>奥利奥</v>
          </cell>
          <cell r="I2824" t="str">
            <v>饼干/糕点</v>
          </cell>
          <cell r="J2824" t="str">
            <v>饼干/糕点</v>
          </cell>
          <cell r="K2824" t="str">
            <v>奥利奥 夹心云朵蛋糕香草牛乳味2枚装 44g</v>
          </cell>
          <cell r="L2824" t="str">
            <v>44g</v>
          </cell>
          <cell r="M2824" t="str">
            <v>包</v>
          </cell>
          <cell r="N2824">
            <v>4.33</v>
          </cell>
          <cell r="O2824">
            <v>6.8</v>
          </cell>
          <cell r="P2824">
            <v>0.35588235294117598</v>
          </cell>
        </row>
        <row r="2825">
          <cell r="F2825" t="str">
            <v>70597386</v>
          </cell>
          <cell r="G2825" t="str">
            <v>露丝</v>
          </cell>
          <cell r="H2825" t="str">
            <v>露丝</v>
          </cell>
          <cell r="I2825" t="str">
            <v>清洁用品</v>
          </cell>
          <cell r="J2825" t="str">
            <v>厨房清洁</v>
          </cell>
          <cell r="K2825" t="str">
            <v>露丝 果蔬餐具净 500g</v>
          </cell>
          <cell r="L2825" t="str">
            <v>500g</v>
          </cell>
          <cell r="M2825" t="str">
            <v>瓶</v>
          </cell>
          <cell r="N2825">
            <v>6.57</v>
          </cell>
          <cell r="O2825">
            <v>9.9</v>
          </cell>
          <cell r="P2825">
            <v>0.33030303030302999</v>
          </cell>
        </row>
        <row r="2826">
          <cell r="F2826" t="str">
            <v>70492075</v>
          </cell>
          <cell r="G2826" t="str">
            <v>露丝</v>
          </cell>
          <cell r="H2826" t="str">
            <v>露丝</v>
          </cell>
          <cell r="I2826" t="str">
            <v>清洁用品</v>
          </cell>
          <cell r="J2826" t="str">
            <v>衣物清洁</v>
          </cell>
          <cell r="K2826" t="str">
            <v>露丝 香氛洁净洗衣凝珠8g*10 80g</v>
          </cell>
          <cell r="L2826" t="str">
            <v>80g</v>
          </cell>
          <cell r="M2826" t="str">
            <v>盒</v>
          </cell>
          <cell r="N2826">
            <v>6.36</v>
          </cell>
          <cell r="O2826">
            <v>10</v>
          </cell>
          <cell r="P2826">
            <v>0.35699999999999998</v>
          </cell>
        </row>
        <row r="2827">
          <cell r="F2827" t="str">
            <v>70597338</v>
          </cell>
          <cell r="G2827" t="str">
            <v>五粮液</v>
          </cell>
          <cell r="H2827" t="str">
            <v>火爆</v>
          </cell>
          <cell r="I2827" t="str">
            <v>酒类</v>
          </cell>
          <cell r="J2827" t="str">
            <v>国产酒类</v>
          </cell>
          <cell r="K2827" t="str">
            <v>火爆 口杯酒系列(241)38%vol 50mL</v>
          </cell>
          <cell r="L2827" t="str">
            <v>50ml</v>
          </cell>
          <cell r="M2827" t="str">
            <v>瓶</v>
          </cell>
          <cell r="N2827">
            <v>5.86</v>
          </cell>
          <cell r="O2827">
            <v>12</v>
          </cell>
          <cell r="P2827">
            <v>0.51166666666666705</v>
          </cell>
        </row>
        <row r="2828">
          <cell r="F2828" t="str">
            <v>70597343</v>
          </cell>
          <cell r="G2828" t="str">
            <v>五粮液</v>
          </cell>
          <cell r="H2828" t="str">
            <v>火爆</v>
          </cell>
          <cell r="I2828" t="str">
            <v>酒类</v>
          </cell>
          <cell r="J2828" t="str">
            <v>国产酒类</v>
          </cell>
          <cell r="K2828" t="str">
            <v>火爆 口杯酒系列(241)42%vol 50mL</v>
          </cell>
          <cell r="L2828" t="str">
            <v>50ml</v>
          </cell>
          <cell r="M2828" t="str">
            <v>瓶</v>
          </cell>
          <cell r="N2828">
            <v>5.86</v>
          </cell>
          <cell r="O2828">
            <v>12</v>
          </cell>
          <cell r="P2828">
            <v>0.51166666666666705</v>
          </cell>
        </row>
        <row r="2829">
          <cell r="F2829" t="str">
            <v>70483921</v>
          </cell>
          <cell r="G2829" t="str">
            <v>冷酸灵</v>
          </cell>
          <cell r="H2829" t="str">
            <v>冷酸灵</v>
          </cell>
          <cell r="I2829" t="str">
            <v>个人护理用品</v>
          </cell>
          <cell r="J2829" t="str">
            <v>牙膏</v>
          </cell>
          <cell r="K2829" t="str">
            <v>冷酸灵 固齿护龈抗敏感牙膏 180g</v>
          </cell>
          <cell r="L2829" t="str">
            <v>180g</v>
          </cell>
          <cell r="M2829" t="str">
            <v>个</v>
          </cell>
          <cell r="N2829">
            <v>9.39</v>
          </cell>
          <cell r="O2829">
            <v>12.5</v>
          </cell>
          <cell r="P2829">
            <v>0.24079999999999999</v>
          </cell>
        </row>
        <row r="2830">
          <cell r="F2830" t="str">
            <v>70524249</v>
          </cell>
          <cell r="G2830" t="str">
            <v>冷酸灵</v>
          </cell>
          <cell r="H2830" t="str">
            <v>冷酸灵</v>
          </cell>
          <cell r="I2830" t="str">
            <v>个人护理用品</v>
          </cell>
          <cell r="J2830" t="str">
            <v>牙膏</v>
          </cell>
          <cell r="K2830" t="str">
            <v>冷酸灵 医研牙线棒（40支独立装）</v>
          </cell>
          <cell r="L2830" t="str">
            <v>40支</v>
          </cell>
          <cell r="M2830" t="str">
            <v>盒</v>
          </cell>
          <cell r="N2830">
            <v>10.1</v>
          </cell>
          <cell r="O2830">
            <v>15.8</v>
          </cell>
          <cell r="P2830">
            <v>0.354430379746835</v>
          </cell>
        </row>
        <row r="2831">
          <cell r="F2831" t="str">
            <v>70585289</v>
          </cell>
          <cell r="G2831" t="str">
            <v>君乐宝</v>
          </cell>
          <cell r="H2831" t="str">
            <v>君乐宝</v>
          </cell>
          <cell r="I2831" t="str">
            <v>奶类</v>
          </cell>
          <cell r="J2831" t="str">
            <v>液态奶</v>
          </cell>
          <cell r="K2831" t="str">
            <v>君乐宝 3.7g蛋白高钙纯牛奶（1*10） 200mL</v>
          </cell>
          <cell r="L2831" t="str">
            <v>200ml</v>
          </cell>
          <cell r="M2831" t="str">
            <v>瓶</v>
          </cell>
          <cell r="N2831">
            <v>33.33</v>
          </cell>
          <cell r="O2831">
            <v>59</v>
          </cell>
          <cell r="P2831">
            <v>0.42949152542372898</v>
          </cell>
        </row>
        <row r="2832">
          <cell r="F2832" t="str">
            <v>70296189</v>
          </cell>
          <cell r="G2832" t="str">
            <v>if</v>
          </cell>
          <cell r="H2832" t="str">
            <v>if</v>
          </cell>
          <cell r="I2832" t="str">
            <v>包装饮料（进口）</v>
          </cell>
          <cell r="J2832" t="str">
            <v>果汁饮料</v>
          </cell>
          <cell r="K2832" t="str">
            <v>if 椰子水 350ml</v>
          </cell>
          <cell r="L2832" t="str">
            <v>350ml</v>
          </cell>
          <cell r="M2832" t="str">
            <v>瓶</v>
          </cell>
          <cell r="N2832">
            <v>5.09</v>
          </cell>
          <cell r="O2832">
            <v>7.9</v>
          </cell>
          <cell r="P2832">
            <v>0.34936708860759502</v>
          </cell>
        </row>
        <row r="2833">
          <cell r="F2833" t="str">
            <v>70597463</v>
          </cell>
          <cell r="G2833" t="str">
            <v>香飘飘</v>
          </cell>
          <cell r="H2833" t="str">
            <v>香飘飘</v>
          </cell>
          <cell r="I2833" t="str">
            <v>包装饮料</v>
          </cell>
          <cell r="J2833" t="str">
            <v>果汁饮料</v>
          </cell>
          <cell r="K2833" t="str">
            <v>香飘飘 MECO橙漫茉莉果茶 400ml</v>
          </cell>
          <cell r="L2833" t="str">
            <v>400ml</v>
          </cell>
          <cell r="M2833" t="str">
            <v>杯</v>
          </cell>
          <cell r="N2833">
            <v>4.04</v>
          </cell>
          <cell r="O2833">
            <v>6</v>
          </cell>
          <cell r="P2833">
            <v>0.32</v>
          </cell>
        </row>
        <row r="2834">
          <cell r="F2834" t="str">
            <v>70599498</v>
          </cell>
          <cell r="G2834" t="str">
            <v>椰小妞</v>
          </cell>
          <cell r="H2834" t="str">
            <v>椰小妞</v>
          </cell>
          <cell r="I2834" t="str">
            <v>包装饮料</v>
          </cell>
          <cell r="J2834" t="str">
            <v>果汁饮料</v>
          </cell>
          <cell r="K2834" t="str">
            <v>椰小妞 100%椰子水 1000ml</v>
          </cell>
          <cell r="L2834" t="str">
            <v>1000ml</v>
          </cell>
          <cell r="M2834" t="str">
            <v>瓶</v>
          </cell>
          <cell r="N2834">
            <v>11.41</v>
          </cell>
          <cell r="O2834">
            <v>19.899999999999999</v>
          </cell>
          <cell r="P2834">
            <v>0.42060301507537701</v>
          </cell>
        </row>
        <row r="2835">
          <cell r="F2835" t="str">
            <v>70597345</v>
          </cell>
          <cell r="G2835" t="str">
            <v>奥兰</v>
          </cell>
          <cell r="H2835" t="str">
            <v>小红帽</v>
          </cell>
          <cell r="I2835" t="str">
            <v>酒类</v>
          </cell>
          <cell r="J2835" t="str">
            <v>进口红酒</v>
          </cell>
          <cell r="K2835" t="str">
            <v>奥兰 小红帽清爽干白葡萄酒 (FF120) 750ml</v>
          </cell>
          <cell r="L2835" t="str">
            <v>750ml</v>
          </cell>
          <cell r="M2835" t="str">
            <v>瓶</v>
          </cell>
          <cell r="N2835">
            <v>38.89</v>
          </cell>
          <cell r="O2835">
            <v>59</v>
          </cell>
          <cell r="P2835">
            <v>0.33440677966101701</v>
          </cell>
        </row>
        <row r="2836">
          <cell r="F2836" t="str">
            <v>70597438</v>
          </cell>
          <cell r="G2836" t="str">
            <v>剑南春</v>
          </cell>
          <cell r="H2836" t="str">
            <v>剑南春</v>
          </cell>
          <cell r="I2836" t="str">
            <v>酒类</v>
          </cell>
          <cell r="J2836" t="str">
            <v>白酒</v>
          </cell>
          <cell r="K2836" t="str">
            <v>剑南春 绵竹特曲红绵柔52度 500ml</v>
          </cell>
          <cell r="L2836" t="str">
            <v>500ml</v>
          </cell>
          <cell r="M2836" t="str">
            <v>瓶</v>
          </cell>
          <cell r="N2836">
            <v>99.99</v>
          </cell>
          <cell r="O2836">
            <v>169</v>
          </cell>
          <cell r="P2836">
            <v>0.40248520710059199</v>
          </cell>
        </row>
        <row r="2837">
          <cell r="F2837" t="str">
            <v>70597410</v>
          </cell>
          <cell r="G2837" t="str">
            <v>玛氏箭牌</v>
          </cell>
          <cell r="H2837" t="str">
            <v>益达</v>
          </cell>
          <cell r="I2837" t="str">
            <v>糖果</v>
          </cell>
          <cell r="J2837" t="str">
            <v>薄荷糖</v>
          </cell>
          <cell r="K2837" t="str">
            <v>益达 冰川薄荷40粒 56g</v>
          </cell>
          <cell r="L2837" t="str">
            <v>56g</v>
          </cell>
          <cell r="M2837" t="str">
            <v>盒</v>
          </cell>
          <cell r="N2837">
            <v>10.3</v>
          </cell>
          <cell r="O2837">
            <v>13.8</v>
          </cell>
          <cell r="P2837">
            <v>0.24637681159420299</v>
          </cell>
        </row>
        <row r="2838">
          <cell r="F2838" t="str">
            <v>70597360</v>
          </cell>
          <cell r="G2838" t="str">
            <v>康师傅顶津</v>
          </cell>
          <cell r="H2838" t="str">
            <v>康师傅顶津</v>
          </cell>
          <cell r="I2838" t="str">
            <v>包装饮料</v>
          </cell>
          <cell r="J2838" t="str">
            <v>茶饮料</v>
          </cell>
          <cell r="K2838" t="str">
            <v>康师傅 茶的传人潮汕人的凤凰单丛 500ml</v>
          </cell>
          <cell r="L2838" t="str">
            <v>500ml</v>
          </cell>
          <cell r="M2838" t="str">
            <v>瓶</v>
          </cell>
          <cell r="N2838">
            <v>4.55</v>
          </cell>
          <cell r="O2838">
            <v>6.5</v>
          </cell>
          <cell r="P2838">
            <v>0.29384615384615398</v>
          </cell>
        </row>
        <row r="2839">
          <cell r="F2839" t="str">
            <v>70597359</v>
          </cell>
          <cell r="G2839" t="str">
            <v>康师傅顶津</v>
          </cell>
          <cell r="H2839" t="str">
            <v>康师傅顶津</v>
          </cell>
          <cell r="I2839" t="str">
            <v>包装饮料</v>
          </cell>
          <cell r="J2839" t="str">
            <v>茶饮料</v>
          </cell>
          <cell r="K2839" t="str">
            <v>康师傅 枸杞菊花茶 500ml</v>
          </cell>
          <cell r="L2839" t="str">
            <v>500ml</v>
          </cell>
          <cell r="M2839" t="str">
            <v>瓶</v>
          </cell>
          <cell r="N2839">
            <v>3.03</v>
          </cell>
          <cell r="O2839">
            <v>4.5</v>
          </cell>
          <cell r="P2839">
            <v>0.32</v>
          </cell>
        </row>
        <row r="2840">
          <cell r="F2840" t="str">
            <v>70597459</v>
          </cell>
          <cell r="G2840" t="str">
            <v>康师傅顶津</v>
          </cell>
          <cell r="H2840" t="str">
            <v>康师傅顶津</v>
          </cell>
          <cell r="I2840" t="str">
            <v>包装饮料</v>
          </cell>
          <cell r="J2840" t="str">
            <v>茶饮料</v>
          </cell>
          <cell r="K2840" t="str">
            <v>康师傅 决明子大麦饮 500ml</v>
          </cell>
          <cell r="L2840" t="str">
            <v>500ml</v>
          </cell>
          <cell r="M2840" t="str">
            <v>瓶</v>
          </cell>
          <cell r="N2840">
            <v>3.03</v>
          </cell>
          <cell r="O2840">
            <v>4.5</v>
          </cell>
          <cell r="P2840">
            <v>0.32</v>
          </cell>
        </row>
        <row r="2841">
          <cell r="F2841" t="str">
            <v>70597358</v>
          </cell>
          <cell r="G2841" t="str">
            <v>康师傅顶津</v>
          </cell>
          <cell r="H2841" t="str">
            <v>康师傅顶津</v>
          </cell>
          <cell r="I2841" t="str">
            <v>包装饮料</v>
          </cell>
          <cell r="J2841" t="str">
            <v>茶饮料</v>
          </cell>
          <cell r="K2841" t="str">
            <v>康师傅 无糖茉莉花茶 900ml</v>
          </cell>
          <cell r="L2841" t="str">
            <v>900ml</v>
          </cell>
          <cell r="M2841" t="str">
            <v>瓶</v>
          </cell>
          <cell r="N2841">
            <v>4.55</v>
          </cell>
          <cell r="O2841">
            <v>6.5</v>
          </cell>
          <cell r="P2841">
            <v>0.29384615384615398</v>
          </cell>
        </row>
        <row r="2842">
          <cell r="F2842" t="str">
            <v>70597458</v>
          </cell>
          <cell r="G2842" t="str">
            <v>百事可乐</v>
          </cell>
          <cell r="H2842" t="str">
            <v>百事可乐</v>
          </cell>
          <cell r="I2842" t="str">
            <v>包装饮料</v>
          </cell>
          <cell r="J2842" t="str">
            <v>汽水</v>
          </cell>
          <cell r="K2842" t="str">
            <v>百事可乐 生可乐柠檬 500ml</v>
          </cell>
          <cell r="L2842" t="str">
            <v>500ml</v>
          </cell>
          <cell r="M2842" t="str">
            <v>瓶</v>
          </cell>
          <cell r="N2842">
            <v>3.03</v>
          </cell>
          <cell r="O2842">
            <v>5</v>
          </cell>
          <cell r="P2842">
            <v>0.38800000000000001</v>
          </cell>
        </row>
        <row r="2843">
          <cell r="F2843" t="str">
            <v>70597457</v>
          </cell>
          <cell r="G2843" t="str">
            <v>百事可乐</v>
          </cell>
          <cell r="H2843" t="str">
            <v>百事可乐</v>
          </cell>
          <cell r="I2843" t="str">
            <v>包装饮料</v>
          </cell>
          <cell r="J2843" t="str">
            <v>汽水</v>
          </cell>
          <cell r="K2843" t="str">
            <v>百事可乐 生可乐柠檬 330ml</v>
          </cell>
          <cell r="L2843" t="str">
            <v>330ml</v>
          </cell>
          <cell r="M2843" t="str">
            <v>罐</v>
          </cell>
          <cell r="N2843">
            <v>2.73</v>
          </cell>
          <cell r="O2843">
            <v>4</v>
          </cell>
          <cell r="P2843">
            <v>0.3125</v>
          </cell>
        </row>
        <row r="2844">
          <cell r="F2844" t="str">
            <v>70597460</v>
          </cell>
          <cell r="G2844" t="str">
            <v>百事可乐</v>
          </cell>
          <cell r="H2844" t="str">
            <v>美年达</v>
          </cell>
          <cell r="I2844" t="str">
            <v>包装饮料</v>
          </cell>
          <cell r="J2844" t="str">
            <v>汽水</v>
          </cell>
          <cell r="K2844" t="str">
            <v>美年达 浓葡萄味 450ml</v>
          </cell>
          <cell r="L2844" t="str">
            <v>450ml</v>
          </cell>
          <cell r="M2844" t="str">
            <v>瓶</v>
          </cell>
          <cell r="N2844">
            <v>3.23</v>
          </cell>
          <cell r="O2844">
            <v>5</v>
          </cell>
          <cell r="P2844">
            <v>0.34799999999999998</v>
          </cell>
        </row>
        <row r="2845">
          <cell r="F2845" t="str">
            <v>70597361</v>
          </cell>
          <cell r="G2845" t="str">
            <v>百事可乐</v>
          </cell>
          <cell r="H2845" t="str">
            <v>纯水乐</v>
          </cell>
          <cell r="I2845" t="str">
            <v>包装饮料</v>
          </cell>
          <cell r="J2845" t="str">
            <v>气泡水</v>
          </cell>
          <cell r="K2845" t="str">
            <v>百事可乐 纯水乐苏打气泡水 410ml</v>
          </cell>
          <cell r="L2845" t="str">
            <v>410mL</v>
          </cell>
          <cell r="M2845" t="str">
            <v>瓶</v>
          </cell>
          <cell r="N2845">
            <v>1.82</v>
          </cell>
          <cell r="O2845">
            <v>3</v>
          </cell>
          <cell r="P2845">
            <v>0.38666666666666699</v>
          </cell>
        </row>
        <row r="2846">
          <cell r="F2846" t="str">
            <v>70575688</v>
          </cell>
          <cell r="G2846" t="str">
            <v>康师傅顶益</v>
          </cell>
          <cell r="H2846" t="str">
            <v>康师傅顶益</v>
          </cell>
          <cell r="I2846" t="str">
            <v>速食</v>
          </cell>
          <cell r="J2846" t="str">
            <v>包装方便食品</v>
          </cell>
          <cell r="K2846" t="str">
            <v>康师傅 番茄鸡蛋牛肉面(辣) 125g</v>
          </cell>
          <cell r="L2846" t="str">
            <v>125g</v>
          </cell>
          <cell r="M2846" t="str">
            <v>桶</v>
          </cell>
          <cell r="N2846">
            <v>3.98</v>
          </cell>
          <cell r="O2846">
            <v>5.5</v>
          </cell>
          <cell r="P2846">
            <v>0.26909090909090899</v>
          </cell>
        </row>
        <row r="2847">
          <cell r="F2847" t="str">
            <v>70597443</v>
          </cell>
          <cell r="G2847" t="str">
            <v>康师傅顶益</v>
          </cell>
          <cell r="H2847" t="str">
            <v>康师傅顶益</v>
          </cell>
          <cell r="I2847" t="str">
            <v>速食</v>
          </cell>
          <cell r="J2847" t="str">
            <v>包装方便食品</v>
          </cell>
          <cell r="K2847" t="str">
            <v>康师傅 椒盐鸡柳香爆脆 31g</v>
          </cell>
          <cell r="L2847" t="str">
            <v>31g</v>
          </cell>
          <cell r="M2847" t="str">
            <v>袋</v>
          </cell>
          <cell r="N2847">
            <v>0.73</v>
          </cell>
          <cell r="O2847">
            <v>1.2</v>
          </cell>
          <cell r="P2847">
            <v>0.391666666666667</v>
          </cell>
        </row>
        <row r="2848">
          <cell r="F2848" t="str">
            <v>70381719</v>
          </cell>
          <cell r="G2848" t="str">
            <v>康师傅顶益</v>
          </cell>
          <cell r="H2848" t="str">
            <v>康师傅顶益</v>
          </cell>
          <cell r="I2848" t="str">
            <v>速食</v>
          </cell>
          <cell r="J2848" t="str">
            <v>包装方便食品</v>
          </cell>
          <cell r="K2848" t="str">
            <v>康师傅 干面荟火鸡拌面 134g</v>
          </cell>
          <cell r="L2848" t="str">
            <v>134g</v>
          </cell>
          <cell r="M2848" t="str">
            <v>盒</v>
          </cell>
          <cell r="N2848">
            <v>5.85</v>
          </cell>
          <cell r="O2848">
            <v>7.8</v>
          </cell>
          <cell r="P2848">
            <v>0.242307692307692</v>
          </cell>
        </row>
        <row r="2849">
          <cell r="F2849" t="str">
            <v>70072911</v>
          </cell>
          <cell r="G2849" t="str">
            <v>康师傅顶益</v>
          </cell>
          <cell r="H2849" t="str">
            <v>康师傅顶益</v>
          </cell>
          <cell r="I2849" t="str">
            <v>速食</v>
          </cell>
          <cell r="J2849" t="str">
            <v>包装方便食品</v>
          </cell>
          <cell r="K2849" t="str">
            <v>康师傅 经典袋红烧牛肉面 105g</v>
          </cell>
          <cell r="L2849" t="str">
            <v>105g</v>
          </cell>
          <cell r="M2849" t="str">
            <v>袋</v>
          </cell>
          <cell r="N2849">
            <v>2.4</v>
          </cell>
          <cell r="O2849">
            <v>3.5</v>
          </cell>
          <cell r="P2849">
            <v>0.30571428571428599</v>
          </cell>
        </row>
        <row r="2850">
          <cell r="F2850" t="str">
            <v>70060717</v>
          </cell>
          <cell r="G2850" t="str">
            <v>康师傅顶益</v>
          </cell>
          <cell r="H2850" t="str">
            <v>康师傅顶益</v>
          </cell>
          <cell r="I2850" t="str">
            <v>速食</v>
          </cell>
          <cell r="J2850" t="str">
            <v>包装方便食品</v>
          </cell>
          <cell r="K2850" t="str">
            <v>康师傅 经典香辣牛肉面 108g</v>
          </cell>
          <cell r="L2850" t="str">
            <v>108g</v>
          </cell>
          <cell r="M2850" t="str">
            <v>袋</v>
          </cell>
          <cell r="N2850">
            <v>2.4</v>
          </cell>
          <cell r="O2850">
            <v>3.5</v>
          </cell>
          <cell r="P2850">
            <v>0.30571428571428599</v>
          </cell>
        </row>
        <row r="2851">
          <cell r="F2851" t="str">
            <v>70514613</v>
          </cell>
          <cell r="G2851" t="str">
            <v>康师傅顶益</v>
          </cell>
          <cell r="H2851" t="str">
            <v>康师傅顶益</v>
          </cell>
          <cell r="I2851" t="str">
            <v>速食</v>
          </cell>
          <cell r="J2851" t="str">
            <v>包装方便食品</v>
          </cell>
          <cell r="K2851" t="str">
            <v>康师傅 酸香爽金汤肥牛面 116g</v>
          </cell>
          <cell r="L2851" t="str">
            <v>116g</v>
          </cell>
          <cell r="M2851" t="str">
            <v>桶</v>
          </cell>
          <cell r="N2851">
            <v>3.98</v>
          </cell>
          <cell r="O2851">
            <v>5.5</v>
          </cell>
          <cell r="P2851">
            <v>0.26909090909090899</v>
          </cell>
        </row>
        <row r="2852">
          <cell r="F2852" t="str">
            <v>70317608</v>
          </cell>
          <cell r="G2852" t="str">
            <v>中粮粮谷</v>
          </cell>
          <cell r="H2852" t="str">
            <v>福临门</v>
          </cell>
          <cell r="I2852" t="str">
            <v>家庭食品</v>
          </cell>
          <cell r="J2852" t="str">
            <v>粮</v>
          </cell>
          <cell r="K2852" t="str">
            <v>福临门 新疆多用途高筋小麦粉 5kg</v>
          </cell>
          <cell r="L2852" t="str">
            <v>5kg</v>
          </cell>
          <cell r="M2852" t="str">
            <v>袋</v>
          </cell>
          <cell r="N2852">
            <v>30.81</v>
          </cell>
          <cell r="O2852">
            <v>38</v>
          </cell>
          <cell r="P2852">
            <v>0.18131578947368401</v>
          </cell>
        </row>
        <row r="2853">
          <cell r="F2853" t="str">
            <v>70317609</v>
          </cell>
          <cell r="G2853" t="str">
            <v>中粮粮谷</v>
          </cell>
          <cell r="H2853" t="str">
            <v>福临门</v>
          </cell>
          <cell r="I2853" t="str">
            <v>家庭食品</v>
          </cell>
          <cell r="J2853" t="str">
            <v>粮</v>
          </cell>
          <cell r="K2853" t="str">
            <v>福临门 新疆多用途高筋小麦粉 10kg</v>
          </cell>
          <cell r="L2853" t="str">
            <v>10kg</v>
          </cell>
          <cell r="M2853" t="str">
            <v>袋</v>
          </cell>
          <cell r="N2853">
            <v>56.76</v>
          </cell>
          <cell r="O2853">
            <v>66</v>
          </cell>
          <cell r="P2853">
            <v>0.131515151515152</v>
          </cell>
        </row>
        <row r="2854">
          <cell r="F2854" t="str">
            <v>70597452</v>
          </cell>
          <cell r="G2854" t="str">
            <v>中粮粮谷</v>
          </cell>
          <cell r="H2854" t="str">
            <v>五湖</v>
          </cell>
          <cell r="I2854" t="str">
            <v>家庭食品</v>
          </cell>
          <cell r="J2854" t="str">
            <v>粮</v>
          </cell>
          <cell r="K2854" t="str">
            <v>五湖 特选稻香大米 25KG</v>
          </cell>
          <cell r="L2854" t="str">
            <v>25kg</v>
          </cell>
          <cell r="M2854" t="str">
            <v>袋</v>
          </cell>
          <cell r="N2854">
            <v>161.6</v>
          </cell>
          <cell r="O2854">
            <v>199</v>
          </cell>
          <cell r="P2854">
            <v>0.179899497487437</v>
          </cell>
        </row>
        <row r="2855">
          <cell r="F2855" t="str">
            <v>70597465</v>
          </cell>
          <cell r="G2855" t="str">
            <v>中粮粮谷</v>
          </cell>
          <cell r="H2855" t="str">
            <v>五湖</v>
          </cell>
          <cell r="I2855" t="str">
            <v>家庭食品</v>
          </cell>
          <cell r="J2855" t="str">
            <v>粮</v>
          </cell>
          <cell r="K2855" t="str">
            <v>五湖 特选稻香大米 10KG</v>
          </cell>
          <cell r="L2855" t="str">
            <v>10kg</v>
          </cell>
          <cell r="M2855" t="str">
            <v>袋</v>
          </cell>
          <cell r="N2855">
            <v>73.430000000000007</v>
          </cell>
          <cell r="O2855">
            <v>89.9</v>
          </cell>
          <cell r="P2855">
            <v>0.17519466073414899</v>
          </cell>
        </row>
        <row r="2856">
          <cell r="F2856" t="str">
            <v>70598778</v>
          </cell>
          <cell r="G2856" t="str">
            <v>中粮粮谷</v>
          </cell>
          <cell r="H2856" t="str">
            <v>福临门</v>
          </cell>
          <cell r="I2856" t="str">
            <v>家庭食品</v>
          </cell>
          <cell r="J2856" t="str">
            <v>粮</v>
          </cell>
          <cell r="K2856" t="str">
            <v>福临门 自然香福临门原香稻大米 2.5kg</v>
          </cell>
          <cell r="L2856" t="str">
            <v>2.5kg</v>
          </cell>
          <cell r="M2856" t="str">
            <v>袋</v>
          </cell>
          <cell r="N2856">
            <v>31.11</v>
          </cell>
          <cell r="O2856">
            <v>49.9</v>
          </cell>
          <cell r="P2856">
            <v>0.37034068136272502</v>
          </cell>
        </row>
        <row r="2857">
          <cell r="F2857" t="str">
            <v>70381862</v>
          </cell>
          <cell r="G2857" t="str">
            <v>中粮粮谷</v>
          </cell>
          <cell r="H2857" t="str">
            <v>福临门</v>
          </cell>
          <cell r="I2857" t="str">
            <v>家庭食品</v>
          </cell>
          <cell r="J2857" t="str">
            <v>粮</v>
          </cell>
          <cell r="K2857" t="str">
            <v>福临门 自然香福临门原香稻大米 5kg</v>
          </cell>
          <cell r="L2857" t="str">
            <v>5kg</v>
          </cell>
          <cell r="M2857" t="str">
            <v>袋</v>
          </cell>
          <cell r="N2857">
            <v>60.7</v>
          </cell>
          <cell r="O2857">
            <v>79.900000000000006</v>
          </cell>
          <cell r="P2857">
            <v>0.23279098873592</v>
          </cell>
        </row>
        <row r="2858">
          <cell r="F2858" t="str">
            <v>70068948</v>
          </cell>
          <cell r="G2858" t="str">
            <v>金锣</v>
          </cell>
          <cell r="H2858" t="str">
            <v>金锣</v>
          </cell>
          <cell r="I2858" t="str">
            <v>速食</v>
          </cell>
          <cell r="J2858" t="str">
            <v>肉肠</v>
          </cell>
          <cell r="K2858" t="str">
            <v>金锣 香甜王 90g</v>
          </cell>
          <cell r="L2858" t="str">
            <v>90g</v>
          </cell>
          <cell r="M2858" t="str">
            <v>个</v>
          </cell>
          <cell r="N2858">
            <v>2.0099999999999998</v>
          </cell>
          <cell r="O2858">
            <v>3</v>
          </cell>
          <cell r="P2858">
            <v>0.32333333333333297</v>
          </cell>
        </row>
        <row r="2859">
          <cell r="F2859" t="str">
            <v>70271155</v>
          </cell>
          <cell r="G2859" t="str">
            <v>金锣</v>
          </cell>
          <cell r="H2859" t="str">
            <v>金锣</v>
          </cell>
          <cell r="I2859" t="str">
            <v>速食</v>
          </cell>
          <cell r="J2859" t="str">
            <v>肉肠</v>
          </cell>
          <cell r="K2859" t="str">
            <v>金锣 肉粒多特级火腿肠 100g</v>
          </cell>
          <cell r="L2859" t="str">
            <v>100g*40</v>
          </cell>
          <cell r="M2859" t="str">
            <v>个</v>
          </cell>
          <cell r="N2859">
            <v>3.11</v>
          </cell>
          <cell r="O2859">
            <v>4.9000000000000004</v>
          </cell>
          <cell r="P2859">
            <v>0.35510204081632701</v>
          </cell>
        </row>
        <row r="2860">
          <cell r="F2860" t="str">
            <v>70335091</v>
          </cell>
          <cell r="G2860" t="str">
            <v>贵州珍酒</v>
          </cell>
          <cell r="H2860" t="str">
            <v>珍酒</v>
          </cell>
          <cell r="I2860" t="str">
            <v>酒类</v>
          </cell>
          <cell r="J2860" t="str">
            <v>白酒</v>
          </cell>
          <cell r="K2860" t="str">
            <v>珍酒 老珍酒 500mL</v>
          </cell>
          <cell r="L2860" t="str">
            <v>500mL</v>
          </cell>
          <cell r="M2860" t="str">
            <v>瓶</v>
          </cell>
          <cell r="N2860">
            <v>84.84</v>
          </cell>
          <cell r="O2860">
            <v>168</v>
          </cell>
          <cell r="P2860">
            <v>0.49</v>
          </cell>
        </row>
        <row r="2861">
          <cell r="F2861" t="str">
            <v>70410729</v>
          </cell>
          <cell r="G2861" t="str">
            <v>贵州珍酒</v>
          </cell>
          <cell r="H2861" t="str">
            <v>珍酒</v>
          </cell>
          <cell r="I2861" t="str">
            <v>酒类</v>
          </cell>
          <cell r="J2861" t="str">
            <v>白酒</v>
          </cell>
          <cell r="K2861" t="str">
            <v>珍酒 珍五 500mL</v>
          </cell>
          <cell r="L2861" t="str">
            <v>500mL</v>
          </cell>
          <cell r="M2861" t="str">
            <v>瓶</v>
          </cell>
          <cell r="N2861">
            <v>143.41999999999999</v>
          </cell>
          <cell r="O2861">
            <v>298</v>
          </cell>
          <cell r="P2861">
            <v>0.51395973154362395</v>
          </cell>
        </row>
        <row r="2862">
          <cell r="F2862" t="str">
            <v>70475322</v>
          </cell>
          <cell r="G2862" t="str">
            <v>贵州珍酒</v>
          </cell>
          <cell r="H2862" t="str">
            <v>珍酒</v>
          </cell>
          <cell r="I2862" t="str">
            <v>酒类</v>
          </cell>
          <cell r="J2862" t="str">
            <v>白酒</v>
          </cell>
          <cell r="K2862" t="str">
            <v>珍酒 珍八 500mL</v>
          </cell>
          <cell r="L2862" t="str">
            <v>500mL</v>
          </cell>
          <cell r="M2862" t="str">
            <v>瓶</v>
          </cell>
          <cell r="N2862">
            <v>197.96</v>
          </cell>
          <cell r="O2862">
            <v>458</v>
          </cell>
          <cell r="P2862">
            <v>0.56349344978165905</v>
          </cell>
        </row>
        <row r="2863">
          <cell r="F2863" t="str">
            <v>70335090</v>
          </cell>
          <cell r="G2863" t="str">
            <v>贵州珍酒</v>
          </cell>
          <cell r="H2863" t="str">
            <v>珍酒</v>
          </cell>
          <cell r="I2863" t="str">
            <v>酒类</v>
          </cell>
          <cell r="J2863" t="str">
            <v>白酒</v>
          </cell>
          <cell r="K2863" t="str">
            <v>珍酒 珍十五 500mL</v>
          </cell>
          <cell r="L2863" t="str">
            <v>500mL</v>
          </cell>
          <cell r="M2863" t="str">
            <v>瓶</v>
          </cell>
          <cell r="N2863">
            <v>359.56</v>
          </cell>
          <cell r="O2863">
            <v>899</v>
          </cell>
          <cell r="P2863">
            <v>0.59608453837597297</v>
          </cell>
        </row>
        <row r="2864">
          <cell r="F2864" t="str">
            <v>70599503</v>
          </cell>
          <cell r="G2864" t="str">
            <v>贵州珍酒</v>
          </cell>
          <cell r="H2864" t="str">
            <v>珍酒</v>
          </cell>
          <cell r="I2864" t="str">
            <v>酒类</v>
          </cell>
          <cell r="J2864" t="str">
            <v>国产酒类</v>
          </cell>
          <cell r="K2864" t="str">
            <v>珍酒 珍十五（匠心版） 500ml</v>
          </cell>
          <cell r="L2864" t="str">
            <v>500ml</v>
          </cell>
          <cell r="M2864" t="str">
            <v>瓶</v>
          </cell>
          <cell r="N2864">
            <v>343.4</v>
          </cell>
          <cell r="O2864">
            <v>899</v>
          </cell>
          <cell r="P2864">
            <v>0.61423804226918799</v>
          </cell>
        </row>
        <row r="2865">
          <cell r="F2865" t="str">
            <v>70160313</v>
          </cell>
          <cell r="G2865" t="str">
            <v>蓝月亮</v>
          </cell>
          <cell r="H2865" t="str">
            <v>蓝月亮</v>
          </cell>
          <cell r="I2865" t="str">
            <v>清洁用品</v>
          </cell>
          <cell r="J2865" t="str">
            <v>衣物清洁</v>
          </cell>
          <cell r="K2865" t="str">
            <v>蓝月亮薰衣草亮白增艳洗衣液3kg</v>
          </cell>
          <cell r="L2865" t="str">
            <v>3kg</v>
          </cell>
          <cell r="M2865" t="str">
            <v>瓶</v>
          </cell>
          <cell r="N2865">
            <v>40.200000000000003</v>
          </cell>
          <cell r="O2865">
            <v>56.8</v>
          </cell>
          <cell r="P2865">
            <v>0.28521126760563398</v>
          </cell>
        </row>
        <row r="2866">
          <cell r="F2866" t="str">
            <v>70163448</v>
          </cell>
          <cell r="G2866" t="str">
            <v>蓝月亮</v>
          </cell>
          <cell r="H2866" t="str">
            <v>蓝月亮</v>
          </cell>
          <cell r="I2866" t="str">
            <v>清洁用品</v>
          </cell>
          <cell r="J2866" t="str">
            <v>衣物清洁</v>
          </cell>
          <cell r="K2866" t="str">
            <v>蓝月亮自然香亮白增艳洗衣液3kg</v>
          </cell>
          <cell r="L2866" t="str">
            <v>3kg</v>
          </cell>
          <cell r="M2866" t="str">
            <v>瓶</v>
          </cell>
          <cell r="N2866">
            <v>40.200000000000003</v>
          </cell>
          <cell r="O2866">
            <v>56.8</v>
          </cell>
          <cell r="P2866">
            <v>0.28521126760563398</v>
          </cell>
        </row>
        <row r="2867">
          <cell r="F2867" t="str">
            <v>70089178</v>
          </cell>
          <cell r="G2867" t="str">
            <v>蓝月亮</v>
          </cell>
          <cell r="H2867" t="str">
            <v>蓝月亮</v>
          </cell>
          <cell r="I2867" t="str">
            <v>清洁用品</v>
          </cell>
          <cell r="J2867" t="str">
            <v>衣物清洁</v>
          </cell>
          <cell r="K2867" t="str">
            <v>蓝月亮薰衣草洁净洗衣液3kg</v>
          </cell>
          <cell r="L2867" t="str">
            <v>3kg</v>
          </cell>
          <cell r="M2867" t="str">
            <v>瓶</v>
          </cell>
          <cell r="N2867">
            <v>36.869999999999997</v>
          </cell>
          <cell r="O2867">
            <v>51.8</v>
          </cell>
          <cell r="P2867">
            <v>0.28127413127413098</v>
          </cell>
        </row>
        <row r="2868">
          <cell r="F2868" t="str">
            <v>70056402</v>
          </cell>
          <cell r="G2868" t="str">
            <v>蓝月亮</v>
          </cell>
          <cell r="H2868" t="str">
            <v>蓝月亮</v>
          </cell>
          <cell r="I2868" t="str">
            <v>清洁用品</v>
          </cell>
          <cell r="J2868" t="str">
            <v>衣物清洁</v>
          </cell>
          <cell r="K2868" t="str">
            <v>蓝月亮自然香洁净洗衣液3kg</v>
          </cell>
          <cell r="L2868" t="str">
            <v>3kg</v>
          </cell>
          <cell r="M2868" t="str">
            <v>瓶</v>
          </cell>
          <cell r="N2868">
            <v>36.869999999999997</v>
          </cell>
          <cell r="O2868">
            <v>51.8</v>
          </cell>
          <cell r="P2868">
            <v>0.28127413127413098</v>
          </cell>
        </row>
        <row r="2869">
          <cell r="F2869" t="str">
            <v>70151315</v>
          </cell>
          <cell r="G2869" t="str">
            <v>蓝月亮</v>
          </cell>
          <cell r="H2869" t="str">
            <v>蓝月亮</v>
          </cell>
          <cell r="I2869" t="str">
            <v>清洁用品</v>
          </cell>
          <cell r="J2869" t="str">
            <v>衣物清洁</v>
          </cell>
          <cell r="K2869" t="str">
            <v>蓝月亮薰衣草亮白增艳洗衣液2kg</v>
          </cell>
          <cell r="L2869" t="str">
            <v>2kg</v>
          </cell>
          <cell r="M2869" t="str">
            <v>瓶</v>
          </cell>
          <cell r="N2869">
            <v>28.28</v>
          </cell>
          <cell r="O2869">
            <v>39.799999999999997</v>
          </cell>
          <cell r="P2869">
            <v>0.28241206030150801</v>
          </cell>
        </row>
        <row r="2870">
          <cell r="F2870" t="str">
            <v>70165560</v>
          </cell>
          <cell r="G2870" t="str">
            <v>蓝月亮</v>
          </cell>
          <cell r="H2870" t="str">
            <v>蓝月亮</v>
          </cell>
          <cell r="I2870" t="str">
            <v>清洁用品</v>
          </cell>
          <cell r="J2870" t="str">
            <v>衣物清洁</v>
          </cell>
          <cell r="K2870" t="str">
            <v>蓝月亮自然香亮白增艳洗衣液2kg</v>
          </cell>
          <cell r="L2870" t="str">
            <v>2kg</v>
          </cell>
          <cell r="M2870" t="str">
            <v>桶</v>
          </cell>
          <cell r="N2870">
            <v>28.28</v>
          </cell>
          <cell r="O2870">
            <v>39.799999999999997</v>
          </cell>
          <cell r="P2870">
            <v>0.28241206030150801</v>
          </cell>
        </row>
        <row r="2871">
          <cell r="F2871" t="str">
            <v>70072056</v>
          </cell>
          <cell r="G2871" t="str">
            <v>蓝月亮</v>
          </cell>
          <cell r="H2871" t="str">
            <v>蓝月亮</v>
          </cell>
          <cell r="I2871" t="str">
            <v>清洁用品</v>
          </cell>
          <cell r="J2871" t="str">
            <v>衣物清洁</v>
          </cell>
          <cell r="K2871" t="str">
            <v>蓝月亮薰衣草洁净洗衣液2kg</v>
          </cell>
          <cell r="L2871" t="str">
            <v>2kg</v>
          </cell>
          <cell r="M2871" t="str">
            <v>瓶</v>
          </cell>
          <cell r="N2871">
            <v>26.06</v>
          </cell>
          <cell r="O2871">
            <v>36.799999999999997</v>
          </cell>
          <cell r="P2871">
            <v>0.28478260869565197</v>
          </cell>
        </row>
        <row r="2872">
          <cell r="F2872" t="str">
            <v>70044122</v>
          </cell>
          <cell r="G2872" t="str">
            <v>蓝月亮</v>
          </cell>
          <cell r="H2872" t="str">
            <v>蓝月亮</v>
          </cell>
          <cell r="I2872" t="str">
            <v>清洁用品</v>
          </cell>
          <cell r="J2872" t="str">
            <v>衣物清洁</v>
          </cell>
          <cell r="K2872" t="str">
            <v>蓝月亮自然香洁净洗衣液2kg</v>
          </cell>
          <cell r="L2872" t="str">
            <v>2kg</v>
          </cell>
          <cell r="M2872" t="str">
            <v>瓶</v>
          </cell>
          <cell r="N2872">
            <v>26.06</v>
          </cell>
          <cell r="O2872">
            <v>36.799999999999997</v>
          </cell>
          <cell r="P2872">
            <v>0.28478260869565197</v>
          </cell>
        </row>
        <row r="2873">
          <cell r="F2873" t="str">
            <v>70153316</v>
          </cell>
          <cell r="G2873" t="str">
            <v>蓝月亮</v>
          </cell>
          <cell r="H2873" t="str">
            <v>蓝月亮</v>
          </cell>
          <cell r="I2873" t="str">
            <v>清洁用品</v>
          </cell>
          <cell r="J2873" t="str">
            <v>衣物清洁</v>
          </cell>
          <cell r="K2873" t="str">
            <v>蓝月亮薰衣草亮白增艳洗衣液1kg</v>
          </cell>
          <cell r="L2873" t="str">
            <v>1kg（瓶）</v>
          </cell>
          <cell r="M2873" t="str">
            <v>瓶</v>
          </cell>
          <cell r="N2873">
            <v>15.55</v>
          </cell>
          <cell r="O2873">
            <v>21.8</v>
          </cell>
          <cell r="P2873">
            <v>0.279357798165138</v>
          </cell>
        </row>
        <row r="2874">
          <cell r="F2874" t="str">
            <v>70047433</v>
          </cell>
          <cell r="G2874" t="str">
            <v>蓝月亮</v>
          </cell>
          <cell r="H2874" t="str">
            <v>蓝月亮</v>
          </cell>
          <cell r="I2874" t="str">
            <v>清洁用品</v>
          </cell>
          <cell r="J2874" t="str">
            <v>衣物清洁</v>
          </cell>
          <cell r="K2874" t="str">
            <v>蓝月亮薰衣草洁净洗衣液1kg</v>
          </cell>
          <cell r="L2874" t="str">
            <v>1kg（瓶）</v>
          </cell>
          <cell r="M2874" t="str">
            <v>瓶</v>
          </cell>
          <cell r="N2874">
            <v>13.77</v>
          </cell>
          <cell r="O2874">
            <v>19.8</v>
          </cell>
          <cell r="P2874">
            <v>0.29797979797979801</v>
          </cell>
        </row>
        <row r="2875">
          <cell r="F2875" t="str">
            <v>70307435</v>
          </cell>
          <cell r="G2875" t="str">
            <v>蓝月亮</v>
          </cell>
          <cell r="H2875" t="str">
            <v>蓝月亮</v>
          </cell>
          <cell r="I2875" t="str">
            <v>清洁用品</v>
          </cell>
          <cell r="J2875" t="str">
            <v>衣物清洁</v>
          </cell>
          <cell r="K2875" t="str">
            <v>蓝月亮薰衣草亮白增艳洗衣液2.88kg</v>
          </cell>
          <cell r="L2875" t="str">
            <v>2.88kg</v>
          </cell>
          <cell r="M2875" t="str">
            <v>袋</v>
          </cell>
          <cell r="N2875">
            <v>43.5</v>
          </cell>
          <cell r="O2875">
            <v>66</v>
          </cell>
          <cell r="P2875">
            <v>0.33439393939393902</v>
          </cell>
        </row>
        <row r="2876">
          <cell r="F2876" t="str">
            <v>70165562</v>
          </cell>
          <cell r="G2876" t="str">
            <v>蓝月亮</v>
          </cell>
          <cell r="H2876" t="str">
            <v>蓝月亮</v>
          </cell>
          <cell r="I2876" t="str">
            <v>清洁用品</v>
          </cell>
          <cell r="J2876" t="str">
            <v>衣物清洁</v>
          </cell>
          <cell r="K2876" t="str">
            <v>蓝月亮薰衣草亮白增艳洗衣液袋装1kg</v>
          </cell>
          <cell r="L2876" t="str">
            <v>1kg（袋）</v>
          </cell>
          <cell r="M2876" t="str">
            <v>袋</v>
          </cell>
          <cell r="N2876">
            <v>12.02</v>
          </cell>
          <cell r="O2876">
            <v>16.899999999999999</v>
          </cell>
          <cell r="P2876">
            <v>0.28165680473372801</v>
          </cell>
        </row>
        <row r="2877">
          <cell r="F2877" t="str">
            <v>70312790</v>
          </cell>
          <cell r="G2877" t="str">
            <v>蓝月亮</v>
          </cell>
          <cell r="H2877" t="str">
            <v>蓝月亮</v>
          </cell>
          <cell r="I2877" t="str">
            <v>清洁用品</v>
          </cell>
          <cell r="J2877" t="str">
            <v>衣物清洁</v>
          </cell>
          <cell r="K2877" t="str">
            <v>蓝月亮薰衣草洁净洗衣液袋装1kg</v>
          </cell>
          <cell r="L2877" t="str">
            <v>1kg(袋）</v>
          </cell>
          <cell r="M2877" t="str">
            <v>袋</v>
          </cell>
          <cell r="N2877">
            <v>12.02</v>
          </cell>
          <cell r="O2877">
            <v>16.899999999999999</v>
          </cell>
          <cell r="P2877">
            <v>0.28165680473372801</v>
          </cell>
        </row>
        <row r="2878">
          <cell r="F2878" t="str">
            <v>70295522</v>
          </cell>
          <cell r="G2878" t="str">
            <v>蓝月亮</v>
          </cell>
          <cell r="H2878" t="str">
            <v>蓝月亮</v>
          </cell>
          <cell r="I2878" t="str">
            <v>清洁用品</v>
          </cell>
          <cell r="J2878" t="str">
            <v>衣物清洁</v>
          </cell>
          <cell r="K2878" t="str">
            <v>蓝月亮风清白兰预涂•手洗双用型洗衣液500g</v>
          </cell>
          <cell r="L2878" t="str">
            <v>500g（翻盖）</v>
          </cell>
          <cell r="M2878" t="str">
            <v>瓶</v>
          </cell>
          <cell r="N2878">
            <v>10.55</v>
          </cell>
          <cell r="O2878">
            <v>16.8</v>
          </cell>
          <cell r="P2878">
            <v>0.36547619047619101</v>
          </cell>
        </row>
        <row r="2879">
          <cell r="F2879" t="str">
            <v>70025620</v>
          </cell>
          <cell r="G2879" t="str">
            <v>蓝月亮</v>
          </cell>
          <cell r="H2879" t="str">
            <v>蓝月亮</v>
          </cell>
          <cell r="I2879" t="str">
            <v>个人护理用品</v>
          </cell>
          <cell r="J2879" t="str">
            <v>洗手液</v>
          </cell>
          <cell r="K2879" t="str">
            <v>蓝月亮抑菌洗手液500g+抑菌洗手液瓶补500g</v>
          </cell>
          <cell r="L2879" t="str">
            <v>500g洗（瓶+瓶补）</v>
          </cell>
          <cell r="M2879" t="str">
            <v>瓶</v>
          </cell>
          <cell r="N2879">
            <v>15.81</v>
          </cell>
          <cell r="O2879">
            <v>29.9</v>
          </cell>
          <cell r="P2879">
            <v>0.46622073578595302</v>
          </cell>
        </row>
        <row r="2880">
          <cell r="F2880" t="str">
            <v>70099310</v>
          </cell>
          <cell r="G2880" t="str">
            <v>蓝月亮</v>
          </cell>
          <cell r="H2880" t="str">
            <v>蓝月亮</v>
          </cell>
          <cell r="I2880" t="str">
            <v>个人护理用品</v>
          </cell>
          <cell r="J2880" t="str">
            <v>洗手液</v>
          </cell>
          <cell r="K2880" t="str">
            <v>蓝月亮抑菌洗手液500g+清爽洗手液500g</v>
          </cell>
          <cell r="L2880" t="str">
            <v>500g芦洗瓶+500g野洗瓶</v>
          </cell>
          <cell r="M2880" t="str">
            <v>瓶</v>
          </cell>
          <cell r="N2880">
            <v>17.28</v>
          </cell>
          <cell r="O2880">
            <v>31.9</v>
          </cell>
          <cell r="P2880">
            <v>0.45297805642633199</v>
          </cell>
        </row>
        <row r="2881">
          <cell r="F2881" t="str">
            <v>70014018</v>
          </cell>
          <cell r="G2881" t="str">
            <v>蓝月亮</v>
          </cell>
          <cell r="H2881" t="str">
            <v>蓝月亮</v>
          </cell>
          <cell r="I2881" t="str">
            <v>个人护理用品</v>
          </cell>
          <cell r="J2881" t="str">
            <v>洗手液</v>
          </cell>
          <cell r="K2881" t="str">
            <v>蓝月亮 清爽洗手液 500g</v>
          </cell>
          <cell r="L2881" t="str">
            <v>500g瓶</v>
          </cell>
          <cell r="M2881" t="str">
            <v>瓶</v>
          </cell>
          <cell r="N2881">
            <v>10.74</v>
          </cell>
          <cell r="O2881">
            <v>16.899999999999999</v>
          </cell>
          <cell r="P2881">
            <v>0.35857988165680499</v>
          </cell>
        </row>
        <row r="2882">
          <cell r="F2882" t="str">
            <v>70190399</v>
          </cell>
          <cell r="G2882" t="str">
            <v>蓝月亮</v>
          </cell>
          <cell r="H2882" t="str">
            <v>蓝月亮</v>
          </cell>
          <cell r="I2882" t="str">
            <v>清洁用品</v>
          </cell>
          <cell r="J2882" t="str">
            <v>厨房清洁</v>
          </cell>
          <cell r="K2882" t="str">
            <v>蓝月亮茶清天然绿茶洗洁精1kg</v>
          </cell>
          <cell r="L2882" t="str">
            <v>1kg瓶</v>
          </cell>
          <cell r="M2882" t="str">
            <v>瓶</v>
          </cell>
          <cell r="N2882">
            <v>15.42</v>
          </cell>
          <cell r="O2882">
            <v>25.9</v>
          </cell>
          <cell r="P2882">
            <v>0.39845559845559803</v>
          </cell>
        </row>
        <row r="2883">
          <cell r="F2883" t="str">
            <v>70044121</v>
          </cell>
          <cell r="G2883" t="str">
            <v>蓝月亮</v>
          </cell>
          <cell r="H2883" t="str">
            <v>蓝月亮</v>
          </cell>
          <cell r="I2883" t="str">
            <v>清洁用品</v>
          </cell>
          <cell r="J2883" t="str">
            <v>厨房清洁</v>
          </cell>
          <cell r="K2883" t="str">
            <v>蓝月亮强力型油污克星500g+强力型油污克星瓶补500g</v>
          </cell>
          <cell r="L2883" t="str">
            <v>500g强力组</v>
          </cell>
          <cell r="M2883" t="str">
            <v>瓶</v>
          </cell>
          <cell r="N2883">
            <v>21.04</v>
          </cell>
          <cell r="O2883">
            <v>33.9</v>
          </cell>
          <cell r="P2883">
            <v>0.37315634218289101</v>
          </cell>
        </row>
        <row r="2884">
          <cell r="F2884" t="str">
            <v>70045685</v>
          </cell>
          <cell r="G2884" t="str">
            <v>蓝月亮</v>
          </cell>
          <cell r="H2884" t="str">
            <v>蓝月亮</v>
          </cell>
          <cell r="I2884" t="str">
            <v>清洁用品</v>
          </cell>
          <cell r="J2884" t="str">
            <v>家居清洁</v>
          </cell>
          <cell r="K2884" t="str">
            <v>蓝月亮84消毒液600g</v>
          </cell>
          <cell r="L2884" t="str">
            <v>600g瓶</v>
          </cell>
          <cell r="M2884" t="str">
            <v>瓶</v>
          </cell>
          <cell r="N2884">
            <v>6.44</v>
          </cell>
          <cell r="O2884">
            <v>12.9</v>
          </cell>
          <cell r="P2884">
            <v>0.49534883720930201</v>
          </cell>
        </row>
        <row r="2885">
          <cell r="F2885" t="str">
            <v>70339518</v>
          </cell>
          <cell r="G2885" t="str">
            <v>蓝月亮</v>
          </cell>
          <cell r="H2885" t="str">
            <v>蓝月亮</v>
          </cell>
          <cell r="I2885" t="str">
            <v>清洁用品</v>
          </cell>
          <cell r="J2885" t="str">
            <v>家居清洁</v>
          </cell>
          <cell r="K2885" t="str">
            <v>蓝月亮84消毒液1.2kg</v>
          </cell>
          <cell r="L2885" t="str">
            <v>1.2kg瓶</v>
          </cell>
          <cell r="M2885" t="str">
            <v>瓶</v>
          </cell>
          <cell r="N2885">
            <v>12.52</v>
          </cell>
          <cell r="O2885">
            <v>18.899999999999999</v>
          </cell>
          <cell r="P2885">
            <v>0.33068783068783097</v>
          </cell>
        </row>
        <row r="2886">
          <cell r="F2886" t="str">
            <v>70014017</v>
          </cell>
          <cell r="G2886" t="str">
            <v>蓝月亮</v>
          </cell>
          <cell r="H2886" t="str">
            <v>蓝月亮</v>
          </cell>
          <cell r="I2886" t="str">
            <v>个人护理用品</v>
          </cell>
          <cell r="J2886" t="str">
            <v>洗手液</v>
          </cell>
          <cell r="K2886" t="str">
            <v>蓝月亮抑菌洗手液500g</v>
          </cell>
          <cell r="L2886" t="str">
            <v>500g瓶</v>
          </cell>
          <cell r="M2886" t="str">
            <v>瓶</v>
          </cell>
          <cell r="N2886">
            <v>10.3</v>
          </cell>
          <cell r="O2886">
            <v>16.899999999999999</v>
          </cell>
          <cell r="P2886">
            <v>0.38461538461538503</v>
          </cell>
        </row>
        <row r="2887">
          <cell r="F2887" t="str">
            <v>70413626</v>
          </cell>
          <cell r="G2887" t="str">
            <v>蓝月亮</v>
          </cell>
          <cell r="H2887" t="str">
            <v>蓝月亮</v>
          </cell>
          <cell r="I2887" t="str">
            <v>清洁用品</v>
          </cell>
          <cell r="J2887" t="str">
            <v>衣物清洁</v>
          </cell>
          <cell r="K2887" t="str">
            <v>蓝月亮橙花香浓缩柔顺剂1kg</v>
          </cell>
          <cell r="L2887" t="str">
            <v>1kg瓶</v>
          </cell>
          <cell r="M2887" t="str">
            <v>瓶</v>
          </cell>
          <cell r="N2887">
            <v>41.41</v>
          </cell>
          <cell r="O2887">
            <v>69.8</v>
          </cell>
          <cell r="P2887">
            <v>0.40085959885386802</v>
          </cell>
        </row>
        <row r="2888">
          <cell r="F2888" t="str">
            <v>70413640</v>
          </cell>
          <cell r="G2888" t="str">
            <v>蓝月亮</v>
          </cell>
          <cell r="H2888" t="str">
            <v>蓝月亮</v>
          </cell>
          <cell r="I2888" t="str">
            <v>清洁用品</v>
          </cell>
          <cell r="J2888" t="str">
            <v>衣物清洁</v>
          </cell>
          <cell r="K2888" t="str">
            <v>蓝月亮柔润樱花内衣专用洗衣液泵装500g</v>
          </cell>
          <cell r="L2888" t="str">
            <v>500g瓶</v>
          </cell>
          <cell r="M2888" t="str">
            <v>瓶</v>
          </cell>
          <cell r="N2888">
            <v>38.380000000000003</v>
          </cell>
          <cell r="O2888">
            <v>59.8</v>
          </cell>
          <cell r="P2888">
            <v>0.35183946488294299</v>
          </cell>
        </row>
        <row r="2889">
          <cell r="F2889" t="str">
            <v>70413622</v>
          </cell>
          <cell r="G2889" t="str">
            <v>蓝月亮</v>
          </cell>
          <cell r="H2889" t="str">
            <v>蓝月亮</v>
          </cell>
          <cell r="I2889" t="str">
            <v>个人护理用品</v>
          </cell>
          <cell r="J2889" t="str">
            <v>洗手液</v>
          </cell>
          <cell r="K2889" t="str">
            <v>蓝月亮鲜果薄荷泡沫抑菌洗手液255g</v>
          </cell>
          <cell r="L2889" t="str">
            <v>255g泡泡瓶</v>
          </cell>
          <cell r="M2889" t="str">
            <v>瓶</v>
          </cell>
          <cell r="N2889">
            <v>24.75</v>
          </cell>
          <cell r="O2889">
            <v>39.799999999999997</v>
          </cell>
          <cell r="P2889">
            <v>0.37211055276381899</v>
          </cell>
        </row>
        <row r="2890">
          <cell r="F2890" t="str">
            <v>70413624</v>
          </cell>
          <cell r="G2890" t="str">
            <v>蓝月亮</v>
          </cell>
          <cell r="H2890" t="str">
            <v>蓝月亮</v>
          </cell>
          <cell r="I2890" t="str">
            <v>个人护理用品</v>
          </cell>
          <cell r="J2890" t="str">
            <v>洗手液</v>
          </cell>
          <cell r="K2890" t="str">
            <v>蓝月亮琥珀雪松泡沫抑菌洗手液255g</v>
          </cell>
          <cell r="L2890" t="str">
            <v>255g瓶</v>
          </cell>
          <cell r="M2890" t="str">
            <v>瓶</v>
          </cell>
          <cell r="N2890">
            <v>24.75</v>
          </cell>
          <cell r="O2890">
            <v>39.799999999999997</v>
          </cell>
          <cell r="P2890">
            <v>0.37211055276381899</v>
          </cell>
        </row>
        <row r="2891">
          <cell r="F2891" t="str">
            <v>70413636</v>
          </cell>
          <cell r="G2891" t="str">
            <v>蓝月亮</v>
          </cell>
          <cell r="H2891" t="str">
            <v>蓝月亮</v>
          </cell>
          <cell r="I2891" t="str">
            <v>个人护理用品</v>
          </cell>
          <cell r="J2891" t="str">
            <v>洗手液</v>
          </cell>
          <cell r="K2891" t="str">
            <v>蓝月亮天然迷迭香免洗抑菌洗手液50g</v>
          </cell>
          <cell r="L2891" t="str">
            <v>50g瓶</v>
          </cell>
          <cell r="M2891" t="str">
            <v>瓶</v>
          </cell>
          <cell r="N2891">
            <v>16.16</v>
          </cell>
          <cell r="O2891">
            <v>29.8</v>
          </cell>
          <cell r="P2891">
            <v>0.45234899328859102</v>
          </cell>
        </row>
        <row r="2892">
          <cell r="F2892" t="str">
            <v>70413638</v>
          </cell>
          <cell r="G2892" t="str">
            <v>蓝月亮</v>
          </cell>
          <cell r="H2892" t="str">
            <v>蓝月亮</v>
          </cell>
          <cell r="I2892" t="str">
            <v>个人护理用品</v>
          </cell>
          <cell r="J2892" t="str">
            <v>洗手液</v>
          </cell>
          <cell r="K2892" t="str">
            <v>蓝月亮纯净无香免洗抑菌洗手液50g</v>
          </cell>
          <cell r="L2892" t="str">
            <v>50g瓶</v>
          </cell>
          <cell r="M2892" t="str">
            <v>瓶</v>
          </cell>
          <cell r="N2892">
            <v>16.16</v>
          </cell>
          <cell r="O2892">
            <v>29.8</v>
          </cell>
          <cell r="P2892">
            <v>0.45234899328859102</v>
          </cell>
        </row>
        <row r="2893">
          <cell r="F2893" t="str">
            <v>70413634</v>
          </cell>
          <cell r="G2893" t="str">
            <v>蓝月亮</v>
          </cell>
          <cell r="H2893" t="str">
            <v>蓝月亮</v>
          </cell>
          <cell r="I2893" t="str">
            <v>个人护理用品</v>
          </cell>
          <cell r="J2893" t="str">
            <v>洗手液</v>
          </cell>
          <cell r="K2893" t="str">
            <v>蓝月亮泡沫时光香柠甜橙厨房洗手液265g</v>
          </cell>
          <cell r="L2893" t="str">
            <v>265g泡泡瓶</v>
          </cell>
          <cell r="M2893" t="str">
            <v>瓶</v>
          </cell>
          <cell r="N2893">
            <v>24.75</v>
          </cell>
          <cell r="O2893">
            <v>39.799999999999997</v>
          </cell>
          <cell r="P2893">
            <v>0.37211055276381899</v>
          </cell>
        </row>
        <row r="2894">
          <cell r="F2894" t="str">
            <v>70413630</v>
          </cell>
          <cell r="G2894" t="str">
            <v>蓝月亮</v>
          </cell>
          <cell r="H2894" t="str">
            <v>蓝月亮</v>
          </cell>
          <cell r="I2894" t="str">
            <v>个人护理用品</v>
          </cell>
          <cell r="J2894" t="str">
            <v>洗手液</v>
          </cell>
          <cell r="K2894" t="str">
            <v>蓝月亮果泡多多草莓儿童泡泡洗手液200g</v>
          </cell>
          <cell r="L2894" t="str">
            <v>200g泡泡瓶</v>
          </cell>
          <cell r="M2894" t="str">
            <v>瓶</v>
          </cell>
          <cell r="N2894">
            <v>20.2</v>
          </cell>
          <cell r="O2894">
            <v>33.799999999999997</v>
          </cell>
          <cell r="P2894">
            <v>0.39644970414201203</v>
          </cell>
        </row>
        <row r="2895">
          <cell r="F2895" t="str">
            <v>70027059</v>
          </cell>
          <cell r="G2895" t="str">
            <v>蓝月亮</v>
          </cell>
          <cell r="H2895" t="str">
            <v>蓝月亮</v>
          </cell>
          <cell r="I2895" t="str">
            <v>清洁用品</v>
          </cell>
          <cell r="J2895" t="str">
            <v>家居清洁</v>
          </cell>
          <cell r="K2895" t="str">
            <v>蓝月亮强效厕清500g</v>
          </cell>
          <cell r="L2895" t="str">
            <v>500g瓶</v>
          </cell>
          <cell r="M2895" t="str">
            <v>瓶</v>
          </cell>
          <cell r="N2895">
            <v>13.33</v>
          </cell>
          <cell r="O2895">
            <v>19.8</v>
          </cell>
          <cell r="P2895">
            <v>0.32020202020201999</v>
          </cell>
        </row>
        <row r="2896">
          <cell r="F2896" t="str">
            <v>70413609</v>
          </cell>
          <cell r="G2896" t="str">
            <v>蓝月亮</v>
          </cell>
          <cell r="H2896" t="str">
            <v>蓝月亮</v>
          </cell>
          <cell r="I2896" t="str">
            <v>清洁用品</v>
          </cell>
          <cell r="J2896" t="str">
            <v>衣物清洁</v>
          </cell>
          <cell r="K2896" t="str">
            <v>蓝月亮阳光桉叶除菌去味洗衣液2kg</v>
          </cell>
          <cell r="L2896" t="str">
            <v>2kg瓶</v>
          </cell>
          <cell r="M2896" t="str">
            <v>瓶</v>
          </cell>
          <cell r="N2896">
            <v>44.95</v>
          </cell>
          <cell r="O2896">
            <v>79.8</v>
          </cell>
          <cell r="P2896">
            <v>0.43120300751879698</v>
          </cell>
        </row>
        <row r="2897">
          <cell r="F2897" t="str">
            <v>70101158</v>
          </cell>
          <cell r="G2897" t="str">
            <v>蓝月亮</v>
          </cell>
          <cell r="H2897" t="str">
            <v>蓝月亮</v>
          </cell>
          <cell r="I2897" t="str">
            <v>清洁用品</v>
          </cell>
          <cell r="J2897" t="str">
            <v>家居清洁</v>
          </cell>
          <cell r="K2897" t="str">
            <v>蓝月亮松木香型Q厕宝50g(4块装)</v>
          </cell>
          <cell r="L2897" t="str">
            <v>50g4块装</v>
          </cell>
          <cell r="M2897" t="str">
            <v>瓶</v>
          </cell>
          <cell r="N2897">
            <v>16.16</v>
          </cell>
          <cell r="O2897">
            <v>23.5</v>
          </cell>
          <cell r="P2897">
            <v>0.30553191489361697</v>
          </cell>
        </row>
        <row r="2898">
          <cell r="F2898" t="str">
            <v>70466077</v>
          </cell>
          <cell r="G2898" t="str">
            <v>蓝月亮</v>
          </cell>
          <cell r="H2898" t="str">
            <v>蓝月亮</v>
          </cell>
          <cell r="I2898" t="str">
            <v>清洁用品</v>
          </cell>
          <cell r="J2898" t="str">
            <v>衣物清洁</v>
          </cell>
          <cell r="K2898" t="str">
            <v>蓝月亮洗衣机清洁剂600g</v>
          </cell>
          <cell r="L2898" t="str">
            <v>600g瓶</v>
          </cell>
          <cell r="M2898" t="str">
            <v>瓶</v>
          </cell>
          <cell r="N2898">
            <v>20.2</v>
          </cell>
          <cell r="O2898">
            <v>29.9</v>
          </cell>
          <cell r="P2898">
            <v>0.31772575250836099</v>
          </cell>
        </row>
        <row r="2899">
          <cell r="F2899" t="str">
            <v>70466078</v>
          </cell>
          <cell r="G2899" t="str">
            <v>蓝月亮</v>
          </cell>
          <cell r="H2899" t="str">
            <v>蓝月亮</v>
          </cell>
          <cell r="I2899" t="str">
            <v>清洁用品</v>
          </cell>
          <cell r="J2899" t="str">
            <v>衣物清洁</v>
          </cell>
          <cell r="K2899" t="str">
            <v>蓝月亮运动型洗衣液翻盖装500g</v>
          </cell>
          <cell r="L2899" t="str">
            <v>500g瓶</v>
          </cell>
          <cell r="M2899" t="str">
            <v>瓶</v>
          </cell>
          <cell r="N2899">
            <v>23.03</v>
          </cell>
          <cell r="O2899">
            <v>33.799999999999997</v>
          </cell>
          <cell r="P2899">
            <v>0.31183431952662699</v>
          </cell>
        </row>
        <row r="2900">
          <cell r="F2900" t="str">
            <v>70466079</v>
          </cell>
          <cell r="G2900" t="str">
            <v>蓝月亮</v>
          </cell>
          <cell r="H2900" t="str">
            <v>蓝月亮</v>
          </cell>
          <cell r="I2900" t="str">
            <v>清洁用品</v>
          </cell>
          <cell r="J2900" t="str">
            <v>衣物清洁</v>
          </cell>
          <cell r="K2900" t="str">
            <v>蓝月亮运动型洗衣液旅行装80g</v>
          </cell>
          <cell r="L2900" t="str">
            <v>80g瓶</v>
          </cell>
          <cell r="M2900" t="str">
            <v>瓶</v>
          </cell>
          <cell r="N2900">
            <v>6.97</v>
          </cell>
          <cell r="O2900">
            <v>9.9</v>
          </cell>
          <cell r="P2900">
            <v>0.28888888888888897</v>
          </cell>
        </row>
        <row r="2901">
          <cell r="F2901" t="str">
            <v>70466080</v>
          </cell>
          <cell r="G2901" t="str">
            <v>蓝月亮</v>
          </cell>
          <cell r="H2901" t="str">
            <v>蓝月亮</v>
          </cell>
          <cell r="I2901" t="str">
            <v>清洁用品</v>
          </cell>
          <cell r="J2901" t="str">
            <v>衣物清洁</v>
          </cell>
          <cell r="K2901" t="str">
            <v>蓝月亮运动型洗衣液（速干面料专用）泵装500g</v>
          </cell>
          <cell r="L2901" t="str">
            <v>500g瓶</v>
          </cell>
          <cell r="M2901" t="str">
            <v>瓶</v>
          </cell>
          <cell r="N2901">
            <v>32.32</v>
          </cell>
          <cell r="O2901">
            <v>47.8</v>
          </cell>
          <cell r="P2901">
            <v>0.31715481171548099</v>
          </cell>
        </row>
        <row r="2902">
          <cell r="F2902" t="str">
            <v>70514552</v>
          </cell>
          <cell r="G2902" t="str">
            <v>蓝月亮</v>
          </cell>
          <cell r="H2902" t="str">
            <v>蓝月亮</v>
          </cell>
          <cell r="I2902" t="str">
            <v>个人护理用品</v>
          </cell>
          <cell r="J2902" t="str">
            <v>个人护理用品</v>
          </cell>
          <cell r="K2902" t="str">
            <v>蓝月亮清新柠檬油污克星泡沫型500g</v>
          </cell>
          <cell r="L2902" t="str">
            <v>500g</v>
          </cell>
          <cell r="M2902" t="str">
            <v>瓶</v>
          </cell>
          <cell r="N2902">
            <v>13.13</v>
          </cell>
          <cell r="O2902">
            <v>48</v>
          </cell>
          <cell r="P2902">
            <v>0.72375</v>
          </cell>
        </row>
        <row r="2903">
          <cell r="F2903" t="str">
            <v>70524472</v>
          </cell>
          <cell r="G2903" t="str">
            <v>蓝月亮</v>
          </cell>
          <cell r="H2903" t="str">
            <v>蓝月亮</v>
          </cell>
          <cell r="I2903" t="str">
            <v>清洁用品</v>
          </cell>
          <cell r="J2903" t="str">
            <v>衣物清洁</v>
          </cell>
          <cell r="K2903" t="str">
            <v>蓝月亮 洗衣套组 5kg</v>
          </cell>
          <cell r="L2903" t="str">
            <v>2kg*1+1kg*3</v>
          </cell>
          <cell r="M2903" t="str">
            <v>组</v>
          </cell>
          <cell r="N2903">
            <v>61.61</v>
          </cell>
          <cell r="O2903">
            <v>87.5</v>
          </cell>
          <cell r="P2903">
            <v>0.28891428571428601</v>
          </cell>
        </row>
        <row r="2904">
          <cell r="F2904" t="str">
            <v>70101130</v>
          </cell>
          <cell r="G2904" t="str">
            <v>蓝月亮</v>
          </cell>
          <cell r="H2904" t="str">
            <v>蓝月亮</v>
          </cell>
          <cell r="I2904" t="str">
            <v>清洁用品</v>
          </cell>
          <cell r="J2904" t="str">
            <v>衣物清洁</v>
          </cell>
          <cell r="K2904" t="str">
            <v>蓝月亮 绿色柔顺剂薰衣草香 3kg</v>
          </cell>
          <cell r="L2904" t="str">
            <v>3kg</v>
          </cell>
          <cell r="M2904" t="str">
            <v>瓶</v>
          </cell>
          <cell r="N2904">
            <v>26.26</v>
          </cell>
          <cell r="O2904">
            <v>38.9</v>
          </cell>
          <cell r="P2904">
            <v>0.31825192802056601</v>
          </cell>
        </row>
        <row r="2905">
          <cell r="F2905" t="str">
            <v>70599509</v>
          </cell>
          <cell r="G2905" t="str">
            <v>蓝月亮</v>
          </cell>
          <cell r="H2905" t="str">
            <v>蓝月亮</v>
          </cell>
          <cell r="I2905" t="str">
            <v>清洁用品</v>
          </cell>
          <cell r="J2905" t="str">
            <v>衣物清洁</v>
          </cell>
          <cell r="K2905" t="str">
            <v>蓝月亮 柔润樱花内衣专用洗衣液翻盖装 500g</v>
          </cell>
          <cell r="L2905" t="str">
            <v>500g</v>
          </cell>
          <cell r="M2905" t="str">
            <v>瓶</v>
          </cell>
          <cell r="N2905">
            <v>28.28</v>
          </cell>
          <cell r="O2905">
            <v>56.9</v>
          </cell>
          <cell r="P2905">
            <v>0.498066783831283</v>
          </cell>
        </row>
        <row r="2906">
          <cell r="F2906" t="str">
            <v>70647384</v>
          </cell>
          <cell r="G2906" t="str">
            <v>泸州老窖</v>
          </cell>
          <cell r="H2906" t="str">
            <v>泸州老窖</v>
          </cell>
          <cell r="I2906" t="str">
            <v>酒类</v>
          </cell>
          <cell r="J2906" t="str">
            <v>白酒</v>
          </cell>
          <cell r="K2906" t="str">
            <v>泸州老窖 42泸州老窖百年品藏五码装 500ml</v>
          </cell>
          <cell r="L2906" t="str">
            <v>500mL</v>
          </cell>
          <cell r="M2906" t="str">
            <v>瓶</v>
          </cell>
          <cell r="N2906">
            <v>210.99</v>
          </cell>
          <cell r="O2906">
            <v>468</v>
          </cell>
          <cell r="P2906">
            <v>0.54470085470085505</v>
          </cell>
        </row>
        <row r="2907">
          <cell r="F2907" t="str">
            <v>70647385</v>
          </cell>
          <cell r="G2907" t="str">
            <v>泸州老窖</v>
          </cell>
          <cell r="H2907" t="str">
            <v>泸州老窖</v>
          </cell>
          <cell r="I2907" t="str">
            <v>酒类</v>
          </cell>
          <cell r="J2907" t="str">
            <v>白酒</v>
          </cell>
          <cell r="K2907" t="str">
            <v>泸州老窖 52泸州老窖百年品藏五码装 500ml</v>
          </cell>
          <cell r="L2907" t="str">
            <v>500mL</v>
          </cell>
          <cell r="M2907" t="str">
            <v>瓶</v>
          </cell>
          <cell r="N2907">
            <v>267.14999999999998</v>
          </cell>
          <cell r="O2907">
            <v>498</v>
          </cell>
          <cell r="P2907">
            <v>0.45825301204819302</v>
          </cell>
        </row>
        <row r="2908">
          <cell r="F2908" t="str">
            <v>70658078</v>
          </cell>
          <cell r="G2908" t="str">
            <v>李锦记</v>
          </cell>
          <cell r="H2908" t="str">
            <v>李锦记</v>
          </cell>
          <cell r="I2908" t="str">
            <v>家庭食品</v>
          </cell>
          <cell r="J2908" t="str">
            <v>调味品</v>
          </cell>
          <cell r="K2908" t="str">
            <v>李锦记 鲜辣小炒汁 410ml</v>
          </cell>
          <cell r="L2908" t="str">
            <v>410ml</v>
          </cell>
          <cell r="M2908" t="str">
            <v>瓶</v>
          </cell>
          <cell r="N2908">
            <v>11.01</v>
          </cell>
          <cell r="O2908">
            <v>12.9</v>
          </cell>
          <cell r="P2908">
            <v>0.146511627906977</v>
          </cell>
        </row>
        <row r="2909">
          <cell r="F2909" t="str">
            <v>70658100</v>
          </cell>
          <cell r="G2909" t="str">
            <v>李锦记</v>
          </cell>
          <cell r="H2909" t="str">
            <v>李锦记</v>
          </cell>
          <cell r="I2909" t="str">
            <v>家庭食品</v>
          </cell>
          <cell r="J2909" t="str">
            <v>调味品</v>
          </cell>
          <cell r="K2909" t="str">
            <v>李锦记 薄盐白灼汁 410ml</v>
          </cell>
          <cell r="L2909" t="str">
            <v>410ml</v>
          </cell>
          <cell r="M2909" t="str">
            <v>瓶</v>
          </cell>
          <cell r="N2909">
            <v>11.01</v>
          </cell>
          <cell r="O2909">
            <v>12.9</v>
          </cell>
          <cell r="P2909">
            <v>0.146511627906977</v>
          </cell>
        </row>
        <row r="2910">
          <cell r="F2910" t="str">
            <v>70446234</v>
          </cell>
          <cell r="G2910" t="str">
            <v>李锦记</v>
          </cell>
          <cell r="H2910" t="str">
            <v>李锦记</v>
          </cell>
          <cell r="I2910" t="str">
            <v>家庭食品</v>
          </cell>
          <cell r="J2910" t="str">
            <v>调味品</v>
          </cell>
          <cell r="K2910" t="str">
            <v>李锦记 新奥尔良烧烤酱 100g</v>
          </cell>
          <cell r="L2910" t="str">
            <v>100g</v>
          </cell>
          <cell r="M2910" t="str">
            <v>瓶</v>
          </cell>
          <cell r="N2910">
            <v>7.27</v>
          </cell>
          <cell r="O2910">
            <v>9.9</v>
          </cell>
          <cell r="P2910">
            <v>0.26565656565656598</v>
          </cell>
        </row>
        <row r="2911">
          <cell r="F2911" t="str">
            <v>70444223</v>
          </cell>
          <cell r="G2911" t="str">
            <v>李锦记</v>
          </cell>
          <cell r="H2911" t="str">
            <v>李锦记</v>
          </cell>
          <cell r="I2911" t="str">
            <v>家庭食品</v>
          </cell>
          <cell r="J2911" t="str">
            <v>调味品</v>
          </cell>
          <cell r="K2911" t="str">
            <v>李锦记 酸甜糖醋汁 100g</v>
          </cell>
          <cell r="L2911" t="str">
            <v>100g</v>
          </cell>
          <cell r="M2911" t="str">
            <v>瓶</v>
          </cell>
          <cell r="N2911">
            <v>7.37</v>
          </cell>
          <cell r="O2911">
            <v>9.9</v>
          </cell>
          <cell r="P2911">
            <v>0.25555555555555598</v>
          </cell>
        </row>
        <row r="2912">
          <cell r="F2912" t="str">
            <v>70656907</v>
          </cell>
          <cell r="G2912" t="str">
            <v>李锦记</v>
          </cell>
          <cell r="H2912" t="str">
            <v>李锦记</v>
          </cell>
          <cell r="I2912" t="str">
            <v>家庭食品</v>
          </cell>
          <cell r="J2912" t="str">
            <v>调味品</v>
          </cell>
          <cell r="K2912" t="str">
            <v>李锦记 金牌蒜香骨 100g</v>
          </cell>
          <cell r="L2912" t="str">
            <v>100g</v>
          </cell>
          <cell r="M2912" t="str">
            <v>瓶</v>
          </cell>
          <cell r="N2912">
            <v>7.07</v>
          </cell>
          <cell r="O2912">
            <v>9.9</v>
          </cell>
          <cell r="P2912">
            <v>0.28585858585858598</v>
          </cell>
        </row>
        <row r="2913">
          <cell r="F2913" t="str">
            <v>70656946</v>
          </cell>
          <cell r="G2913" t="str">
            <v>李锦记</v>
          </cell>
          <cell r="H2913" t="str">
            <v>李锦记</v>
          </cell>
          <cell r="I2913" t="str">
            <v>家庭食品</v>
          </cell>
          <cell r="J2913" t="str">
            <v>调味品</v>
          </cell>
          <cell r="K2913" t="str">
            <v>李锦记 葱姜料酒 500ml</v>
          </cell>
          <cell r="L2913" t="str">
            <v>500ml</v>
          </cell>
          <cell r="M2913" t="str">
            <v>瓶</v>
          </cell>
          <cell r="N2913">
            <v>7.47</v>
          </cell>
          <cell r="O2913">
            <v>8.8000000000000007</v>
          </cell>
          <cell r="P2913">
            <v>0.15113636363636401</v>
          </cell>
        </row>
        <row r="2914">
          <cell r="F2914" t="str">
            <v>70656909</v>
          </cell>
          <cell r="G2914" t="str">
            <v>李锦记</v>
          </cell>
          <cell r="H2914" t="str">
            <v>李锦记</v>
          </cell>
          <cell r="I2914" t="str">
            <v>家庭食品</v>
          </cell>
          <cell r="J2914" t="str">
            <v>调味品</v>
          </cell>
          <cell r="K2914" t="str">
            <v>李锦记 锦鲜精制料酒 500ml</v>
          </cell>
          <cell r="L2914" t="str">
            <v>500ml</v>
          </cell>
          <cell r="M2914" t="str">
            <v>瓶</v>
          </cell>
          <cell r="N2914">
            <v>6.01</v>
          </cell>
          <cell r="O2914">
            <v>7</v>
          </cell>
          <cell r="P2914">
            <v>0.14142857142857099</v>
          </cell>
        </row>
        <row r="2915">
          <cell r="F2915" t="str">
            <v>70656915</v>
          </cell>
          <cell r="G2915" t="str">
            <v>李锦记</v>
          </cell>
          <cell r="H2915" t="str">
            <v>李锦记</v>
          </cell>
          <cell r="I2915" t="str">
            <v>家庭食品</v>
          </cell>
          <cell r="J2915" t="str">
            <v>调味品</v>
          </cell>
          <cell r="K2915" t="str">
            <v>李锦记 薄盐蚝油挤挤装 540g</v>
          </cell>
          <cell r="L2915" t="str">
            <v>540g</v>
          </cell>
          <cell r="M2915" t="str">
            <v>瓶</v>
          </cell>
          <cell r="N2915">
            <v>11.62</v>
          </cell>
          <cell r="O2915">
            <v>13.9</v>
          </cell>
          <cell r="P2915">
            <v>0.164028776978417</v>
          </cell>
        </row>
        <row r="2916">
          <cell r="F2916" t="str">
            <v>70369416</v>
          </cell>
          <cell r="G2916" t="str">
            <v>李锦记</v>
          </cell>
          <cell r="H2916" t="str">
            <v>李锦记</v>
          </cell>
          <cell r="I2916" t="str">
            <v>家庭食品</v>
          </cell>
          <cell r="J2916" t="str">
            <v>调味品</v>
          </cell>
          <cell r="K2916" t="str">
            <v>李锦记 香辣黄豆酱挤挤装 320g</v>
          </cell>
          <cell r="L2916" t="str">
            <v>320g</v>
          </cell>
          <cell r="M2916" t="str">
            <v>瓶</v>
          </cell>
          <cell r="N2916">
            <v>7.07</v>
          </cell>
          <cell r="O2916">
            <v>9.9</v>
          </cell>
          <cell r="P2916">
            <v>0.28585858585858598</v>
          </cell>
        </row>
        <row r="2917">
          <cell r="F2917" t="str">
            <v>70275797</v>
          </cell>
          <cell r="G2917" t="str">
            <v>李锦记</v>
          </cell>
          <cell r="H2917" t="str">
            <v>李锦记</v>
          </cell>
          <cell r="I2917" t="str">
            <v>家庭食品</v>
          </cell>
          <cell r="J2917" t="str">
            <v>调味品</v>
          </cell>
          <cell r="K2917" t="str">
            <v>李锦记 薄盐醇味鲜酿造酱油 500ml</v>
          </cell>
          <cell r="L2917" t="str">
            <v>500ml</v>
          </cell>
          <cell r="M2917" t="str">
            <v>瓶</v>
          </cell>
          <cell r="N2917">
            <v>13.64</v>
          </cell>
          <cell r="O2917">
            <v>16.899999999999999</v>
          </cell>
          <cell r="P2917">
            <v>0.19289940828402399</v>
          </cell>
        </row>
        <row r="2918">
          <cell r="F2918" t="str">
            <v>70510243</v>
          </cell>
          <cell r="G2918" t="str">
            <v>李锦记</v>
          </cell>
          <cell r="H2918" t="str">
            <v>李锦记</v>
          </cell>
          <cell r="I2918" t="str">
            <v>家庭食品</v>
          </cell>
          <cell r="J2918" t="str">
            <v>调味品</v>
          </cell>
          <cell r="K2918" t="str">
            <v>李锦记 零添加原酿生抽 500ml</v>
          </cell>
          <cell r="L2918" t="str">
            <v>500ml</v>
          </cell>
          <cell r="M2918" t="str">
            <v>瓶</v>
          </cell>
          <cell r="N2918">
            <v>10.71</v>
          </cell>
          <cell r="O2918">
            <v>15.9</v>
          </cell>
          <cell r="P2918">
            <v>0.32641509433962301</v>
          </cell>
        </row>
        <row r="2919">
          <cell r="F2919" t="str">
            <v>70313095</v>
          </cell>
          <cell r="G2919" t="str">
            <v>李锦记</v>
          </cell>
          <cell r="H2919" t="str">
            <v>李锦记</v>
          </cell>
          <cell r="I2919" t="str">
            <v>家庭食品</v>
          </cell>
          <cell r="J2919" t="str">
            <v>调味品</v>
          </cell>
          <cell r="K2919" t="str">
            <v>李锦记 味极鲜 1750ml</v>
          </cell>
          <cell r="L2919" t="str">
            <v>1750ml</v>
          </cell>
          <cell r="M2919" t="str">
            <v>瓶</v>
          </cell>
          <cell r="N2919">
            <v>21.72</v>
          </cell>
          <cell r="O2919">
            <v>26</v>
          </cell>
          <cell r="P2919">
            <v>0.164615384615385</v>
          </cell>
        </row>
        <row r="2920">
          <cell r="F2920" t="str">
            <v>70510233</v>
          </cell>
          <cell r="G2920" t="str">
            <v>李锦记</v>
          </cell>
          <cell r="H2920" t="str">
            <v>李锦记</v>
          </cell>
          <cell r="I2920" t="str">
            <v>家庭食品</v>
          </cell>
          <cell r="J2920" t="str">
            <v>调味品</v>
          </cell>
          <cell r="K2920" t="str">
            <v>李锦记 财神蚝油 580g挤挤装</v>
          </cell>
          <cell r="L2920" t="str">
            <v>580g</v>
          </cell>
          <cell r="M2920" t="str">
            <v>瓶</v>
          </cell>
          <cell r="N2920">
            <v>9.9</v>
          </cell>
          <cell r="O2920">
            <v>11.65</v>
          </cell>
          <cell r="P2920">
            <v>0.15021459227467801</v>
          </cell>
        </row>
        <row r="2921">
          <cell r="F2921" t="str">
            <v>70275798</v>
          </cell>
          <cell r="G2921" t="str">
            <v>李锦记</v>
          </cell>
          <cell r="H2921" t="str">
            <v>李锦记</v>
          </cell>
          <cell r="I2921" t="str">
            <v>家庭食品</v>
          </cell>
          <cell r="J2921" t="str">
            <v>调味品</v>
          </cell>
          <cell r="K2921" t="str">
            <v>李锦记 番茄沙司 320g挤挤装</v>
          </cell>
          <cell r="L2921" t="str">
            <v>320g</v>
          </cell>
          <cell r="M2921" t="str">
            <v>瓶</v>
          </cell>
          <cell r="N2921">
            <v>6.57</v>
          </cell>
          <cell r="O2921">
            <v>8</v>
          </cell>
          <cell r="P2921">
            <v>0.17874999999999999</v>
          </cell>
        </row>
        <row r="2922">
          <cell r="F2922" t="str">
            <v>70066557</v>
          </cell>
          <cell r="G2922" t="str">
            <v>李锦记</v>
          </cell>
          <cell r="H2922" t="str">
            <v>李锦记</v>
          </cell>
          <cell r="I2922" t="str">
            <v>家庭食品</v>
          </cell>
          <cell r="J2922" t="str">
            <v>调味品</v>
          </cell>
          <cell r="K2922" t="str">
            <v>李锦记 海鲜酱 240g</v>
          </cell>
          <cell r="L2922" t="str">
            <v>240g</v>
          </cell>
          <cell r="M2922" t="str">
            <v>瓶</v>
          </cell>
          <cell r="N2922">
            <v>15.15</v>
          </cell>
          <cell r="O2922">
            <v>17.899999999999999</v>
          </cell>
          <cell r="P2922">
            <v>0.15363128491620101</v>
          </cell>
        </row>
        <row r="2923">
          <cell r="F2923" t="str">
            <v>70348730</v>
          </cell>
          <cell r="G2923" t="str">
            <v>李锦记</v>
          </cell>
          <cell r="H2923" t="str">
            <v>李锦记</v>
          </cell>
          <cell r="I2923" t="str">
            <v>家庭食品</v>
          </cell>
          <cell r="J2923" t="str">
            <v>调味品</v>
          </cell>
          <cell r="K2923" t="str">
            <v>李锦记 醇酿香醋 500ml</v>
          </cell>
          <cell r="L2923" t="str">
            <v>500ml</v>
          </cell>
          <cell r="M2923" t="str">
            <v>瓶</v>
          </cell>
          <cell r="N2923">
            <v>6.16</v>
          </cell>
          <cell r="O2923">
            <v>7.5</v>
          </cell>
          <cell r="P2923">
            <v>0.178666666666667</v>
          </cell>
        </row>
        <row r="2924">
          <cell r="F2924" t="str">
            <v>70334039</v>
          </cell>
          <cell r="G2924" t="str">
            <v>李锦记</v>
          </cell>
          <cell r="H2924" t="str">
            <v>李锦记</v>
          </cell>
          <cell r="I2924" t="str">
            <v>家庭食品</v>
          </cell>
          <cell r="J2924" t="str">
            <v>调味品</v>
          </cell>
          <cell r="K2924" t="str">
            <v>李锦记 醇酿陈醋 500ml</v>
          </cell>
          <cell r="L2924" t="str">
            <v>500ml</v>
          </cell>
          <cell r="M2924" t="str">
            <v>瓶</v>
          </cell>
          <cell r="N2924">
            <v>6.26</v>
          </cell>
          <cell r="O2924">
            <v>7.8</v>
          </cell>
          <cell r="P2924">
            <v>0.19743589743589701</v>
          </cell>
        </row>
        <row r="2925">
          <cell r="F2925" t="str">
            <v>70046571</v>
          </cell>
          <cell r="G2925" t="str">
            <v>李锦记</v>
          </cell>
          <cell r="H2925" t="str">
            <v>李锦记</v>
          </cell>
          <cell r="I2925" t="str">
            <v>家庭食品</v>
          </cell>
          <cell r="J2925" t="str">
            <v>调味品</v>
          </cell>
          <cell r="K2925" t="str">
            <v>李锦记 金标生抽 500ml</v>
          </cell>
          <cell r="L2925" t="str">
            <v>500ml</v>
          </cell>
          <cell r="M2925" t="str">
            <v>瓶</v>
          </cell>
          <cell r="N2925">
            <v>6.67</v>
          </cell>
          <cell r="O2925">
            <v>9</v>
          </cell>
          <cell r="P2925">
            <v>0.258888888888889</v>
          </cell>
        </row>
        <row r="2926">
          <cell r="F2926" t="str">
            <v>70048987</v>
          </cell>
          <cell r="G2926" t="str">
            <v>李锦记</v>
          </cell>
          <cell r="H2926" t="str">
            <v>李锦记</v>
          </cell>
          <cell r="I2926" t="str">
            <v>家庭食品</v>
          </cell>
          <cell r="J2926" t="str">
            <v>调味品</v>
          </cell>
          <cell r="K2926" t="str">
            <v>李锦记 蒸鱼豉油 410ml</v>
          </cell>
          <cell r="L2926" t="str">
            <v>410ml</v>
          </cell>
          <cell r="M2926" t="str">
            <v>瓶</v>
          </cell>
          <cell r="N2926">
            <v>10.3</v>
          </cell>
          <cell r="O2926">
            <v>11.7</v>
          </cell>
          <cell r="P2926">
            <v>0.11965811965812</v>
          </cell>
        </row>
        <row r="2927">
          <cell r="F2927" t="str">
            <v>70183207</v>
          </cell>
          <cell r="G2927" t="str">
            <v>李锦记</v>
          </cell>
          <cell r="H2927" t="str">
            <v>李锦记</v>
          </cell>
          <cell r="I2927" t="str">
            <v>家庭食品</v>
          </cell>
          <cell r="J2927" t="str">
            <v>调味品</v>
          </cell>
          <cell r="K2927" t="str">
            <v>李锦记 幼滑虾酱 227g</v>
          </cell>
          <cell r="L2927" t="str">
            <v>227g</v>
          </cell>
          <cell r="M2927" t="str">
            <v>瓶</v>
          </cell>
          <cell r="N2927">
            <v>22.22</v>
          </cell>
          <cell r="O2927">
            <v>25.9</v>
          </cell>
          <cell r="P2927">
            <v>0.14208494208494199</v>
          </cell>
        </row>
        <row r="2928">
          <cell r="F2928" t="str">
            <v>70112325</v>
          </cell>
          <cell r="G2928" t="str">
            <v>李锦记</v>
          </cell>
          <cell r="H2928" t="str">
            <v>李锦记</v>
          </cell>
          <cell r="I2928" t="str">
            <v>家庭食品</v>
          </cell>
          <cell r="J2928" t="str">
            <v>调味品</v>
          </cell>
          <cell r="K2928" t="str">
            <v>李锦记 锦珍生抽 1750ml</v>
          </cell>
          <cell r="L2928" t="str">
            <v>1750ml</v>
          </cell>
          <cell r="M2928" t="str">
            <v>瓶</v>
          </cell>
          <cell r="N2928">
            <v>13.64</v>
          </cell>
          <cell r="O2928">
            <v>15.9</v>
          </cell>
          <cell r="P2928">
            <v>0.14213836477987399</v>
          </cell>
        </row>
        <row r="2929">
          <cell r="F2929" t="str">
            <v>70177098</v>
          </cell>
          <cell r="G2929" t="str">
            <v>李锦记</v>
          </cell>
          <cell r="H2929" t="str">
            <v>李锦记</v>
          </cell>
          <cell r="I2929" t="str">
            <v>家庭食品</v>
          </cell>
          <cell r="J2929" t="str">
            <v>调味品</v>
          </cell>
          <cell r="K2929" t="str">
            <v>李锦记 一品鲜 500ml</v>
          </cell>
          <cell r="L2929" t="str">
            <v>500ml</v>
          </cell>
          <cell r="M2929" t="str">
            <v>瓶</v>
          </cell>
          <cell r="N2929">
            <v>7.47</v>
          </cell>
          <cell r="O2929">
            <v>9.9</v>
          </cell>
          <cell r="P2929">
            <v>0.24545454545454601</v>
          </cell>
        </row>
        <row r="2930">
          <cell r="F2930" t="str">
            <v>70016861</v>
          </cell>
          <cell r="G2930" t="str">
            <v>李锦记</v>
          </cell>
          <cell r="H2930" t="str">
            <v>李锦记</v>
          </cell>
          <cell r="I2930" t="str">
            <v>家庭食品</v>
          </cell>
          <cell r="J2930" t="str">
            <v>调味品</v>
          </cell>
          <cell r="K2930" t="str">
            <v>李锦记 纯香芝麻油 410ml</v>
          </cell>
          <cell r="L2930" t="str">
            <v>410ml</v>
          </cell>
          <cell r="M2930" t="str">
            <v>瓶</v>
          </cell>
          <cell r="N2930">
            <v>24.24</v>
          </cell>
          <cell r="O2930">
            <v>28.9</v>
          </cell>
          <cell r="P2930">
            <v>0.16124567474048401</v>
          </cell>
        </row>
        <row r="2931">
          <cell r="F2931" t="str">
            <v>70265795</v>
          </cell>
          <cell r="G2931" t="str">
            <v>李锦记</v>
          </cell>
          <cell r="H2931" t="str">
            <v>李锦记</v>
          </cell>
          <cell r="I2931" t="str">
            <v>家庭食品</v>
          </cell>
          <cell r="J2931" t="str">
            <v>调味品</v>
          </cell>
          <cell r="K2931" t="str">
            <v>李锦记 醇香黄豆酱 240g挤挤装</v>
          </cell>
          <cell r="L2931" t="str">
            <v>240g</v>
          </cell>
          <cell r="M2931" t="str">
            <v>瓶</v>
          </cell>
          <cell r="N2931">
            <v>5.05</v>
          </cell>
          <cell r="O2931">
            <v>5.9</v>
          </cell>
          <cell r="P2931">
            <v>0.14406779661017</v>
          </cell>
        </row>
        <row r="2932">
          <cell r="F2932" t="str">
            <v>70158866</v>
          </cell>
          <cell r="G2932" t="str">
            <v>李锦记</v>
          </cell>
          <cell r="H2932" t="str">
            <v>李锦记</v>
          </cell>
          <cell r="I2932" t="str">
            <v>家庭食品</v>
          </cell>
          <cell r="J2932" t="str">
            <v>调味品</v>
          </cell>
          <cell r="K2932" t="str">
            <v>李锦记 XO酱 80g</v>
          </cell>
          <cell r="L2932" t="str">
            <v>80g</v>
          </cell>
          <cell r="M2932" t="str">
            <v>瓶</v>
          </cell>
          <cell r="N2932">
            <v>32.32</v>
          </cell>
          <cell r="O2932">
            <v>37.9</v>
          </cell>
          <cell r="P2932">
            <v>0.14722955145118699</v>
          </cell>
        </row>
        <row r="2933">
          <cell r="F2933" t="str">
            <v>70038345</v>
          </cell>
          <cell r="G2933" t="str">
            <v>李锦记</v>
          </cell>
          <cell r="H2933" t="str">
            <v>李锦记</v>
          </cell>
          <cell r="I2933" t="str">
            <v>家庭食品</v>
          </cell>
          <cell r="J2933" t="str">
            <v>调味品</v>
          </cell>
          <cell r="K2933" t="str">
            <v>李锦记 香辣酱 205g</v>
          </cell>
          <cell r="L2933" t="str">
            <v>205g</v>
          </cell>
          <cell r="M2933" t="str">
            <v>瓶</v>
          </cell>
          <cell r="N2933">
            <v>11.62</v>
          </cell>
          <cell r="O2933">
            <v>12.9</v>
          </cell>
          <cell r="P2933">
            <v>9.9224806201550497E-2</v>
          </cell>
        </row>
        <row r="2934">
          <cell r="F2934" t="str">
            <v>70300454</v>
          </cell>
          <cell r="G2934" t="str">
            <v>纳宝帝</v>
          </cell>
          <cell r="H2934" t="str">
            <v>纳宝帝</v>
          </cell>
          <cell r="I2934" t="str">
            <v>饼干/糕点</v>
          </cell>
          <cell r="J2934" t="str">
            <v>曲奇</v>
          </cell>
          <cell r="K2934" t="str">
            <v>纳宝帝 软心趣布朗尼风味注心曲奇 112g</v>
          </cell>
          <cell r="L2934" t="str">
            <v>112g</v>
          </cell>
          <cell r="M2934" t="str">
            <v>包</v>
          </cell>
          <cell r="N2934">
            <v>4.6500000000000004</v>
          </cell>
          <cell r="O2934">
            <v>7.8</v>
          </cell>
          <cell r="P2934">
            <v>0.39871794871794902</v>
          </cell>
        </row>
        <row r="2935">
          <cell r="F2935" t="str">
            <v>70237168</v>
          </cell>
          <cell r="G2935" t="str">
            <v>纳宝帝</v>
          </cell>
          <cell r="H2935" t="str">
            <v>纳宝帝</v>
          </cell>
          <cell r="I2935" t="str">
            <v>饼干/糕点</v>
          </cell>
          <cell r="J2935" t="str">
            <v>威化饼</v>
          </cell>
          <cell r="K2935" t="str">
            <v>纳宝帝 奶酪味威化饼干 56g</v>
          </cell>
          <cell r="L2935" t="str">
            <v>56g</v>
          </cell>
          <cell r="M2935" t="str">
            <v>包</v>
          </cell>
          <cell r="N2935">
            <v>2.2200000000000002</v>
          </cell>
          <cell r="O2935">
            <v>3.8</v>
          </cell>
          <cell r="P2935">
            <v>0.41052631578947402</v>
          </cell>
        </row>
        <row r="2936">
          <cell r="F2936" t="str">
            <v>70275993</v>
          </cell>
          <cell r="G2936" t="str">
            <v>纳宝帝</v>
          </cell>
          <cell r="H2936" t="str">
            <v>纳宝帝</v>
          </cell>
          <cell r="I2936" t="str">
            <v>饼干/糕点</v>
          </cell>
          <cell r="J2936" t="str">
            <v>威化饼</v>
          </cell>
          <cell r="K2936" t="str">
            <v>纳宝帝 巧克力味威化饼干 56g</v>
          </cell>
          <cell r="L2936" t="str">
            <v>56g</v>
          </cell>
          <cell r="M2936" t="str">
            <v>包</v>
          </cell>
          <cell r="N2936">
            <v>2.2200000000000002</v>
          </cell>
          <cell r="O2936">
            <v>3.8</v>
          </cell>
          <cell r="P2936">
            <v>0.41052631578947402</v>
          </cell>
        </row>
        <row r="2937">
          <cell r="F2937" t="str">
            <v>70407198</v>
          </cell>
          <cell r="G2937" t="str">
            <v>纳宝帝</v>
          </cell>
          <cell r="H2937" t="str">
            <v>纳宝帝</v>
          </cell>
          <cell r="I2937" t="str">
            <v>饼干/糕点</v>
          </cell>
          <cell r="J2937" t="str">
            <v>威化饼</v>
          </cell>
          <cell r="K2937" t="str">
            <v>纳宝帝 丽芝士草莓芝士蛋糕味威化 56g</v>
          </cell>
          <cell r="L2937" t="str">
            <v>56g</v>
          </cell>
          <cell r="M2937" t="str">
            <v>包</v>
          </cell>
          <cell r="N2937">
            <v>2.2200000000000002</v>
          </cell>
          <cell r="O2937">
            <v>3.8</v>
          </cell>
          <cell r="P2937">
            <v>0.41052631578947402</v>
          </cell>
        </row>
        <row r="2938">
          <cell r="F2938" t="str">
            <v>70346371</v>
          </cell>
          <cell r="G2938" t="str">
            <v>威露士</v>
          </cell>
          <cell r="H2938" t="str">
            <v>威露士</v>
          </cell>
          <cell r="I2938" t="str">
            <v>清洁用品</v>
          </cell>
          <cell r="J2938" t="str">
            <v>衣物清洁</v>
          </cell>
          <cell r="K2938" t="str">
            <v>威露士 消毒液-青柠内衣净 1kg+300ml</v>
          </cell>
          <cell r="L2938" t="str">
            <v>1kg+300ml</v>
          </cell>
          <cell r="M2938" t="str">
            <v>瓶</v>
          </cell>
          <cell r="N2938">
            <v>41.57</v>
          </cell>
          <cell r="O2938">
            <v>69</v>
          </cell>
          <cell r="P2938">
            <v>0.39159420289855101</v>
          </cell>
        </row>
        <row r="2939">
          <cell r="F2939" t="str">
            <v>70640576</v>
          </cell>
          <cell r="G2939" t="str">
            <v>威露士</v>
          </cell>
          <cell r="H2939" t="str">
            <v>威露士</v>
          </cell>
          <cell r="I2939" t="str">
            <v>清洁用品</v>
          </cell>
          <cell r="J2939" t="str">
            <v>衣物清洁</v>
          </cell>
          <cell r="K2939" t="str">
            <v>威露士 La6效合一植萃洗衣液 1kg</v>
          </cell>
          <cell r="L2939" t="str">
            <v>1kg</v>
          </cell>
          <cell r="M2939" t="str">
            <v>瓶</v>
          </cell>
          <cell r="N2939">
            <v>20.71</v>
          </cell>
          <cell r="O2939">
            <v>35</v>
          </cell>
          <cell r="P2939">
            <v>0.40257142857142902</v>
          </cell>
        </row>
        <row r="2940">
          <cell r="F2940" t="str">
            <v>70640111</v>
          </cell>
          <cell r="G2940" t="str">
            <v>威露士</v>
          </cell>
          <cell r="H2940" t="str">
            <v>威露士</v>
          </cell>
          <cell r="I2940" t="str">
            <v>清洁用品</v>
          </cell>
          <cell r="J2940" t="str">
            <v>衣物清洁</v>
          </cell>
          <cell r="K2940" t="str">
            <v>威露士 La6效合一植萃洗衣液 3L</v>
          </cell>
          <cell r="L2940" t="str">
            <v>3L</v>
          </cell>
          <cell r="M2940" t="str">
            <v>瓶</v>
          </cell>
          <cell r="N2940">
            <v>46.36</v>
          </cell>
          <cell r="O2940">
            <v>82.5</v>
          </cell>
          <cell r="P2940">
            <v>0.43248484848484797</v>
          </cell>
        </row>
        <row r="2941">
          <cell r="F2941" t="str">
            <v>70656779</v>
          </cell>
          <cell r="G2941" t="str">
            <v>威露士</v>
          </cell>
          <cell r="H2941" t="str">
            <v>威露士</v>
          </cell>
          <cell r="I2941" t="str">
            <v>清洁用品</v>
          </cell>
          <cell r="J2941" t="str">
            <v>衣物清洁</v>
          </cell>
          <cell r="K2941" t="str">
            <v>威露士 纺优美香氛洗衣凝露--乌木玫瑰 1L</v>
          </cell>
          <cell r="L2941" t="str">
            <v>1L</v>
          </cell>
          <cell r="M2941" t="str">
            <v>瓶</v>
          </cell>
          <cell r="N2941">
            <v>36.36</v>
          </cell>
          <cell r="O2941">
            <v>62.5</v>
          </cell>
          <cell r="P2941">
            <v>0.41248000000000001</v>
          </cell>
        </row>
        <row r="2942">
          <cell r="F2942" t="str">
            <v>70656904</v>
          </cell>
          <cell r="G2942" t="str">
            <v>威露士</v>
          </cell>
          <cell r="H2942" t="str">
            <v>威露士</v>
          </cell>
          <cell r="I2942" t="str">
            <v>清洁用品</v>
          </cell>
          <cell r="J2942" t="str">
            <v>衣物清洁</v>
          </cell>
          <cell r="K2942" t="str">
            <v>威露士 纺优美香氛洗衣凝露--紫檀乌木 1L</v>
          </cell>
          <cell r="L2942" t="str">
            <v>1L</v>
          </cell>
          <cell r="M2942" t="str">
            <v>瓶</v>
          </cell>
          <cell r="N2942">
            <v>36.36</v>
          </cell>
          <cell r="O2942">
            <v>62.5</v>
          </cell>
          <cell r="P2942">
            <v>0.41248000000000001</v>
          </cell>
        </row>
        <row r="2943">
          <cell r="F2943" t="str">
            <v>70656361</v>
          </cell>
          <cell r="G2943" t="str">
            <v>威露士</v>
          </cell>
          <cell r="H2943" t="str">
            <v>威露士</v>
          </cell>
          <cell r="I2943" t="str">
            <v>清洁用品</v>
          </cell>
          <cell r="J2943" t="str">
            <v>衣物清洁</v>
          </cell>
          <cell r="K2943" t="str">
            <v>威露士 纺优美香氛洗衣凝露--乌木佛手柑 1L</v>
          </cell>
          <cell r="L2943" t="str">
            <v>1L</v>
          </cell>
          <cell r="M2943" t="str">
            <v>瓶</v>
          </cell>
          <cell r="N2943">
            <v>36.36</v>
          </cell>
          <cell r="O2943">
            <v>62.5</v>
          </cell>
          <cell r="P2943">
            <v>0.41248000000000001</v>
          </cell>
        </row>
        <row r="2944">
          <cell r="F2944" t="str">
            <v>70266301</v>
          </cell>
          <cell r="G2944" t="str">
            <v>威露士</v>
          </cell>
          <cell r="H2944" t="str">
            <v>威露士</v>
          </cell>
          <cell r="I2944" t="str">
            <v>清洁用品</v>
          </cell>
          <cell r="J2944" t="str">
            <v>衣物清洁</v>
          </cell>
          <cell r="K2944" t="str">
            <v>威露士 妈妈壹选天然皂液--倍柔 2kg</v>
          </cell>
          <cell r="L2944" t="str">
            <v>2kg</v>
          </cell>
          <cell r="M2944" t="str">
            <v>瓶</v>
          </cell>
          <cell r="N2944">
            <v>24.24</v>
          </cell>
          <cell r="O2944">
            <v>43.9</v>
          </cell>
          <cell r="P2944">
            <v>0.44236902050113902</v>
          </cell>
        </row>
        <row r="2945">
          <cell r="F2945" t="str">
            <v>70211344</v>
          </cell>
          <cell r="G2945" t="str">
            <v>威露士</v>
          </cell>
          <cell r="H2945" t="str">
            <v>威露士</v>
          </cell>
          <cell r="I2945" t="str">
            <v>清洁用品</v>
          </cell>
          <cell r="J2945" t="str">
            <v>衣物清洁</v>
          </cell>
          <cell r="K2945" t="str">
            <v>威露士 妈妈壹选天然皂液--护色 3kg</v>
          </cell>
          <cell r="L2945" t="str">
            <v>3kg</v>
          </cell>
          <cell r="M2945" t="str">
            <v>瓶</v>
          </cell>
          <cell r="N2945">
            <v>40.4</v>
          </cell>
          <cell r="O2945">
            <v>68.900000000000006</v>
          </cell>
          <cell r="P2945">
            <v>0.40783744557329499</v>
          </cell>
        </row>
        <row r="2946">
          <cell r="F2946" t="str">
            <v>70657973</v>
          </cell>
          <cell r="G2946" t="str">
            <v>欧莱雅</v>
          </cell>
          <cell r="H2946" t="str">
            <v>欧莱雅</v>
          </cell>
          <cell r="I2946" t="str">
            <v>个人护理用品</v>
          </cell>
          <cell r="J2946" t="str">
            <v>护肤/化妆品</v>
          </cell>
          <cell r="K2946" t="str">
            <v>欧莱雅 男士劲能醒肤型男礼套包 100ml+50ml*2+50ml+50ml</v>
          </cell>
          <cell r="L2946" t="str">
            <v>100ml+50ml*2+50ml+50ml</v>
          </cell>
          <cell r="M2946" t="str">
            <v>盒</v>
          </cell>
          <cell r="N2946">
            <v>146.44999999999999</v>
          </cell>
          <cell r="O2946">
            <v>219</v>
          </cell>
          <cell r="P2946">
            <v>0.32465753424657501</v>
          </cell>
        </row>
        <row r="2947">
          <cell r="F2947" t="str">
            <v>70657986</v>
          </cell>
          <cell r="G2947" t="str">
            <v>欧莱雅</v>
          </cell>
          <cell r="H2947" t="str">
            <v>欧莱雅</v>
          </cell>
          <cell r="I2947" t="str">
            <v>个人护理用品</v>
          </cell>
          <cell r="J2947" t="str">
            <v>护肤/化妆品</v>
          </cell>
          <cell r="K2947" t="str">
            <v>欧莱雅 男士水能保湿型男礼套包 100ml+50ml*2+50ml+50ml</v>
          </cell>
          <cell r="L2947" t="str">
            <v>100ml+50ml*2+50ml+50ml</v>
          </cell>
          <cell r="M2947" t="str">
            <v>盒</v>
          </cell>
          <cell r="N2947">
            <v>146.44999999999999</v>
          </cell>
          <cell r="O2947">
            <v>219</v>
          </cell>
          <cell r="P2947">
            <v>0.32465753424657501</v>
          </cell>
        </row>
        <row r="2948">
          <cell r="F2948" t="str">
            <v>70656729</v>
          </cell>
          <cell r="G2948" t="str">
            <v>欧莱雅</v>
          </cell>
          <cell r="H2948" t="str">
            <v>欧莱雅</v>
          </cell>
          <cell r="I2948" t="str">
            <v>个人护理用品</v>
          </cell>
          <cell r="J2948" t="str">
            <v>护肤/化妆品</v>
          </cell>
          <cell r="K2948" t="str">
            <v>欧莱雅 多重防护美颜遮瑕套装 40ml+15ml+15ml</v>
          </cell>
          <cell r="L2948" t="str">
            <v>40ml+15ml+15ml</v>
          </cell>
          <cell r="M2948" t="str">
            <v>盒</v>
          </cell>
          <cell r="N2948">
            <v>115.14</v>
          </cell>
          <cell r="O2948">
            <v>189</v>
          </cell>
          <cell r="P2948">
            <v>0.38476190476190503</v>
          </cell>
        </row>
        <row r="2949">
          <cell r="F2949" t="str">
            <v>70657951</v>
          </cell>
          <cell r="G2949" t="str">
            <v>欧莱雅</v>
          </cell>
          <cell r="H2949" t="str">
            <v>欧莱雅</v>
          </cell>
          <cell r="I2949" t="str">
            <v>个人护理用品</v>
          </cell>
          <cell r="J2949" t="str">
            <v>护肤/化妆品</v>
          </cell>
          <cell r="K2949" t="str">
            <v>欧莱雅 全新多重防护隔离露 美颜柔紫套装 40ml+15ml+15ml</v>
          </cell>
          <cell r="L2949" t="str">
            <v>40ml+15ml+15ml</v>
          </cell>
          <cell r="M2949" t="str">
            <v>盒</v>
          </cell>
          <cell r="N2949">
            <v>114.13</v>
          </cell>
          <cell r="O2949">
            <v>189</v>
          </cell>
          <cell r="P2949">
            <v>0.39015873015872998</v>
          </cell>
        </row>
        <row r="2950">
          <cell r="F2950" t="str">
            <v>70656356</v>
          </cell>
          <cell r="G2950" t="str">
            <v>李施德林</v>
          </cell>
          <cell r="H2950" t="str">
            <v>李施德林</v>
          </cell>
          <cell r="I2950" t="str">
            <v>个人护理用品</v>
          </cell>
          <cell r="J2950" t="str">
            <v>口腔清洗剂及用具</v>
          </cell>
          <cell r="K2950" t="str">
            <v>李施德林 十效全护漱口水 100ml</v>
          </cell>
          <cell r="L2950" t="str">
            <v>100ml</v>
          </cell>
          <cell r="M2950" t="str">
            <v>瓶</v>
          </cell>
          <cell r="N2950">
            <v>14.65</v>
          </cell>
          <cell r="O2950">
            <v>22.9</v>
          </cell>
          <cell r="P2950">
            <v>0.35414847161572</v>
          </cell>
        </row>
        <row r="2951">
          <cell r="F2951" t="str">
            <v>70645230</v>
          </cell>
          <cell r="G2951" t="str">
            <v>李施德林</v>
          </cell>
          <cell r="H2951" t="str">
            <v>李施德林</v>
          </cell>
          <cell r="I2951" t="str">
            <v>个人护理用品</v>
          </cell>
          <cell r="J2951" t="str">
            <v>口腔清洗剂及用具</v>
          </cell>
          <cell r="K2951" t="str">
            <v>李施德林 樱花蜜桃漱口水特惠装 250ml</v>
          </cell>
          <cell r="L2951" t="str">
            <v>250ml</v>
          </cell>
          <cell r="M2951" t="str">
            <v>瓶</v>
          </cell>
          <cell r="N2951">
            <v>16.16</v>
          </cell>
          <cell r="O2951">
            <v>26.9</v>
          </cell>
          <cell r="P2951">
            <v>0.39330855018587402</v>
          </cell>
        </row>
        <row r="2952">
          <cell r="F2952" t="str">
            <v>70557301</v>
          </cell>
          <cell r="G2952" t="str">
            <v>大宝</v>
          </cell>
          <cell r="H2952" t="str">
            <v>大宝</v>
          </cell>
          <cell r="I2952" t="str">
            <v>个人护理用品</v>
          </cell>
          <cell r="J2952" t="str">
            <v>护肤/化妆品</v>
          </cell>
          <cell r="K2952" t="str">
            <v>大宝 水嫩亮白润肤乳 100ml</v>
          </cell>
          <cell r="L2952" t="str">
            <v>100ml</v>
          </cell>
          <cell r="M2952" t="str">
            <v>瓶</v>
          </cell>
          <cell r="N2952">
            <v>18.38</v>
          </cell>
          <cell r="O2952">
            <v>39.9</v>
          </cell>
          <cell r="P2952">
            <v>0.53483709273183</v>
          </cell>
        </row>
        <row r="2953">
          <cell r="F2953" t="str">
            <v>70657992</v>
          </cell>
          <cell r="G2953" t="str">
            <v>奈十八本</v>
          </cell>
          <cell r="H2953" t="str">
            <v>奈十八本</v>
          </cell>
          <cell r="I2953" t="str">
            <v>个人护理用品</v>
          </cell>
          <cell r="J2953" t="str">
            <v>洗发水</v>
          </cell>
          <cell r="K2953" t="str">
            <v>奈十八本  美发洗发水（香柠檬&amp;生姜）  550ml</v>
          </cell>
          <cell r="L2953" t="str">
            <v>550ml</v>
          </cell>
          <cell r="M2953" t="str">
            <v>瓶</v>
          </cell>
          <cell r="N2953">
            <v>76.760000000000005</v>
          </cell>
          <cell r="O2953">
            <v>119</v>
          </cell>
          <cell r="P2953">
            <v>0.34857142857142898</v>
          </cell>
        </row>
        <row r="2954">
          <cell r="F2954" t="str">
            <v>70657950</v>
          </cell>
          <cell r="G2954" t="str">
            <v>奈十八本</v>
          </cell>
          <cell r="H2954" t="str">
            <v>奈十八本</v>
          </cell>
          <cell r="I2954" t="str">
            <v>个人护理用品</v>
          </cell>
          <cell r="J2954" t="str">
            <v>洗发水</v>
          </cell>
          <cell r="K2954" t="str">
            <v>奈十八本  美发洗发水（摩洛哥果油&amp;佛手柑）  550ml</v>
          </cell>
          <cell r="L2954" t="str">
            <v>550ml</v>
          </cell>
          <cell r="M2954" t="str">
            <v>瓶</v>
          </cell>
          <cell r="N2954">
            <v>76.760000000000005</v>
          </cell>
          <cell r="O2954">
            <v>119</v>
          </cell>
          <cell r="P2954">
            <v>0.34857142857142898</v>
          </cell>
        </row>
        <row r="2955">
          <cell r="F2955" t="str">
            <v>70551676</v>
          </cell>
          <cell r="G2955" t="str">
            <v>奈十八本</v>
          </cell>
          <cell r="H2955" t="str">
            <v>奈十八本</v>
          </cell>
          <cell r="I2955" t="str">
            <v>个人护理用品</v>
          </cell>
          <cell r="J2955" t="str">
            <v>洗发水</v>
          </cell>
          <cell r="K2955" t="str">
            <v>奈十八本  美发洗发水（洋甘菊&amp;花旗参）  550ml</v>
          </cell>
          <cell r="L2955" t="str">
            <v>550ml</v>
          </cell>
          <cell r="M2955" t="str">
            <v>瓶</v>
          </cell>
          <cell r="N2955">
            <v>76.760000000000005</v>
          </cell>
          <cell r="O2955">
            <v>119</v>
          </cell>
          <cell r="P2955">
            <v>0.34857142857142898</v>
          </cell>
        </row>
        <row r="2956">
          <cell r="F2956" t="str">
            <v>70657948</v>
          </cell>
          <cell r="G2956" t="str">
            <v>奈十八本</v>
          </cell>
          <cell r="H2956" t="str">
            <v>奈十八本</v>
          </cell>
          <cell r="I2956" t="str">
            <v>个人护理用品</v>
          </cell>
          <cell r="J2956" t="str">
            <v>护发素</v>
          </cell>
          <cell r="K2956" t="str">
            <v>奈十八本  美发护发乳（洋甘菊&amp;花旗参） 550ml</v>
          </cell>
          <cell r="L2956" t="str">
            <v>550ml</v>
          </cell>
          <cell r="M2956" t="str">
            <v>瓶</v>
          </cell>
          <cell r="N2956">
            <v>76.760000000000005</v>
          </cell>
          <cell r="O2956">
            <v>119</v>
          </cell>
          <cell r="P2956">
            <v>0.34857142857142898</v>
          </cell>
        </row>
        <row r="2957">
          <cell r="F2957" t="str">
            <v>70658081</v>
          </cell>
          <cell r="G2957" t="str">
            <v>四川港投</v>
          </cell>
          <cell r="H2957" t="str">
            <v>AUCOKO</v>
          </cell>
          <cell r="I2957" t="str">
            <v>包装饮料</v>
          </cell>
          <cell r="J2957" t="str">
            <v>植物蛋白饮料</v>
          </cell>
          <cell r="K2957" t="str">
            <v>AUCOKO 植物蛋白饮料 200ML</v>
          </cell>
          <cell r="L2957" t="str">
            <v>200ml</v>
          </cell>
          <cell r="M2957" t="str">
            <v>瓶</v>
          </cell>
          <cell r="N2957">
            <v>7.88</v>
          </cell>
          <cell r="O2957">
            <v>10.3</v>
          </cell>
          <cell r="P2957">
            <v>0.227184466019418</v>
          </cell>
        </row>
        <row r="2958">
          <cell r="F2958" t="str">
            <v>70657974</v>
          </cell>
          <cell r="G2958" t="str">
            <v>四川港投</v>
          </cell>
          <cell r="H2958" t="str">
            <v>Followsun</v>
          </cell>
          <cell r="I2958" t="str">
            <v>个人护理用品</v>
          </cell>
          <cell r="J2958" t="str">
            <v>洗发水</v>
          </cell>
          <cell r="K2958" t="str">
            <v>Followsun 洗发水 400G</v>
          </cell>
          <cell r="L2958" t="str">
            <v>400g</v>
          </cell>
          <cell r="M2958" t="str">
            <v>瓶</v>
          </cell>
          <cell r="N2958">
            <v>48.48</v>
          </cell>
          <cell r="O2958">
            <v>78</v>
          </cell>
          <cell r="P2958">
            <v>0.37230769230769201</v>
          </cell>
        </row>
        <row r="2959">
          <cell r="F2959" t="str">
            <v>70658082</v>
          </cell>
          <cell r="G2959" t="str">
            <v>四川港投</v>
          </cell>
          <cell r="H2959" t="str">
            <v>Followsun</v>
          </cell>
          <cell r="I2959" t="str">
            <v>个人护理用品</v>
          </cell>
          <cell r="J2959" t="str">
            <v>牙膏</v>
          </cell>
          <cell r="K2959" t="str">
            <v>Followsun 牙膏 100G</v>
          </cell>
          <cell r="L2959" t="str">
            <v>100g</v>
          </cell>
          <cell r="M2959" t="str">
            <v>个</v>
          </cell>
          <cell r="N2959">
            <v>44.84</v>
          </cell>
          <cell r="O2959">
            <v>65</v>
          </cell>
          <cell r="P2959">
            <v>0.30323076923076903</v>
          </cell>
        </row>
        <row r="2960">
          <cell r="F2960" t="str">
            <v>70658083</v>
          </cell>
          <cell r="G2960" t="str">
            <v>四川港投</v>
          </cell>
          <cell r="H2960" t="str">
            <v>Followsun</v>
          </cell>
          <cell r="I2960" t="str">
            <v>个人护理用品</v>
          </cell>
          <cell r="J2960" t="str">
            <v>护肤/化妆品</v>
          </cell>
          <cell r="K2960" t="str">
            <v>Followsun 防晒乳 50ML</v>
          </cell>
          <cell r="L2960" t="str">
            <v>50ml</v>
          </cell>
          <cell r="M2960" t="str">
            <v>瓶</v>
          </cell>
          <cell r="N2960">
            <v>71.91</v>
          </cell>
          <cell r="O2960">
            <v>101</v>
          </cell>
          <cell r="P2960">
            <v>0.28099009900990102</v>
          </cell>
        </row>
        <row r="2961">
          <cell r="F2961" t="str">
            <v>70658104</v>
          </cell>
          <cell r="G2961" t="str">
            <v>四川港投</v>
          </cell>
          <cell r="H2961" t="str">
            <v>Followsun</v>
          </cell>
          <cell r="I2961" t="str">
            <v>个人护理用品</v>
          </cell>
          <cell r="J2961" t="str">
            <v>护肤/化妆品</v>
          </cell>
          <cell r="K2961" t="str">
            <v>Followsun 面霜 50ML</v>
          </cell>
          <cell r="L2961" t="str">
            <v>50ml</v>
          </cell>
          <cell r="M2961" t="str">
            <v>瓶</v>
          </cell>
          <cell r="N2961">
            <v>64.64</v>
          </cell>
          <cell r="O2961">
            <v>188</v>
          </cell>
          <cell r="P2961">
            <v>0.65276595744680899</v>
          </cell>
        </row>
        <row r="2962">
          <cell r="F2962" t="str">
            <v>70658105</v>
          </cell>
          <cell r="G2962" t="str">
            <v>四川港投</v>
          </cell>
          <cell r="H2962" t="str">
            <v>Followsun</v>
          </cell>
          <cell r="I2962" t="str">
            <v>个人护理用品</v>
          </cell>
          <cell r="J2962" t="str">
            <v>护肤/化妆品</v>
          </cell>
          <cell r="K2962" t="str">
            <v>Followsun 洗面奶 100G</v>
          </cell>
          <cell r="L2962" t="str">
            <v>100g</v>
          </cell>
          <cell r="M2962" t="str">
            <v>瓶</v>
          </cell>
          <cell r="N2962">
            <v>37.369999999999997</v>
          </cell>
          <cell r="O2962">
            <v>102</v>
          </cell>
          <cell r="P2962">
            <v>0.63</v>
          </cell>
        </row>
        <row r="2963">
          <cell r="F2963" t="str">
            <v>70658093</v>
          </cell>
          <cell r="G2963" t="str">
            <v>四川港投</v>
          </cell>
          <cell r="H2963" t="str">
            <v>Jannis</v>
          </cell>
          <cell r="I2963" t="str">
            <v>零食</v>
          </cell>
          <cell r="J2963" t="str">
            <v>坚果</v>
          </cell>
          <cell r="K2963" t="str">
            <v>Jannis 无糖芝麻条 40G</v>
          </cell>
          <cell r="L2963" t="str">
            <v>40g</v>
          </cell>
          <cell r="M2963" t="str">
            <v>个</v>
          </cell>
          <cell r="N2963">
            <v>7.47</v>
          </cell>
          <cell r="O2963">
            <v>11.4</v>
          </cell>
          <cell r="P2963">
            <v>0.33771929824561397</v>
          </cell>
        </row>
        <row r="2964">
          <cell r="F2964" t="str">
            <v>70658097</v>
          </cell>
          <cell r="G2964" t="str">
            <v>四川港投</v>
          </cell>
          <cell r="H2964" t="str">
            <v>Jannis</v>
          </cell>
          <cell r="I2964" t="str">
            <v>零食</v>
          </cell>
          <cell r="J2964" t="str">
            <v>坚果</v>
          </cell>
          <cell r="K2964" t="str">
            <v>Jannis 无糖坚果棒 28G</v>
          </cell>
          <cell r="L2964" t="str">
            <v>28g</v>
          </cell>
          <cell r="M2964" t="str">
            <v>个</v>
          </cell>
          <cell r="N2964">
            <v>8.77</v>
          </cell>
          <cell r="O2964">
            <v>13.3</v>
          </cell>
          <cell r="P2964">
            <v>0.33458646616541399</v>
          </cell>
        </row>
        <row r="2965">
          <cell r="F2965" t="str">
            <v>70658080</v>
          </cell>
          <cell r="G2965" t="str">
            <v>四川港投</v>
          </cell>
          <cell r="H2965" t="str">
            <v>Jannis</v>
          </cell>
          <cell r="I2965" t="str">
            <v>零食</v>
          </cell>
          <cell r="J2965" t="str">
            <v>坚果</v>
          </cell>
          <cell r="K2965" t="str">
            <v>Jannis 无糖草莓坚果棒 28G</v>
          </cell>
          <cell r="L2965" t="str">
            <v>28g</v>
          </cell>
          <cell r="M2965" t="str">
            <v>个</v>
          </cell>
          <cell r="N2965">
            <v>9.49</v>
          </cell>
          <cell r="O2965">
            <v>13.3</v>
          </cell>
          <cell r="P2965">
            <v>0.278947368421053</v>
          </cell>
        </row>
        <row r="2966">
          <cell r="F2966" t="str">
            <v>70657990</v>
          </cell>
          <cell r="G2966" t="str">
            <v>四川港投</v>
          </cell>
          <cell r="H2966" t="str">
            <v>Jannis</v>
          </cell>
          <cell r="I2966" t="str">
            <v>零食</v>
          </cell>
          <cell r="J2966" t="str">
            <v>巧克力</v>
          </cell>
          <cell r="K2966" t="str">
            <v>Jannis 巧克力坚果棒 30G</v>
          </cell>
          <cell r="L2966" t="str">
            <v>30g</v>
          </cell>
          <cell r="M2966" t="str">
            <v>个</v>
          </cell>
          <cell r="N2966">
            <v>9.49</v>
          </cell>
          <cell r="O2966">
            <v>13.3</v>
          </cell>
          <cell r="P2966">
            <v>0.278947368421053</v>
          </cell>
        </row>
        <row r="2967">
          <cell r="F2967" t="str">
            <v>70657984</v>
          </cell>
          <cell r="G2967" t="str">
            <v>四川港投</v>
          </cell>
          <cell r="H2967" t="str">
            <v>Jannis</v>
          </cell>
          <cell r="I2967" t="str">
            <v>零食</v>
          </cell>
          <cell r="J2967" t="str">
            <v>巧克力</v>
          </cell>
          <cell r="K2967" t="str">
            <v>Jannis 30%蛋白巧克力棒 25G</v>
          </cell>
          <cell r="L2967" t="str">
            <v>25g</v>
          </cell>
          <cell r="M2967" t="str">
            <v>个</v>
          </cell>
          <cell r="N2967">
            <v>9.49</v>
          </cell>
          <cell r="O2967">
            <v>13.3</v>
          </cell>
          <cell r="P2967">
            <v>0.278947368421053</v>
          </cell>
        </row>
        <row r="2968">
          <cell r="F2968" t="str">
            <v>70657975</v>
          </cell>
          <cell r="G2968" t="str">
            <v>四川港投</v>
          </cell>
          <cell r="H2968" t="str">
            <v>Jannis</v>
          </cell>
          <cell r="I2968" t="str">
            <v>零食</v>
          </cell>
          <cell r="J2968" t="str">
            <v>坚果</v>
          </cell>
          <cell r="K2968" t="str">
            <v>Jannis 无糖迷你芝麻条 150G</v>
          </cell>
          <cell r="L2968" t="str">
            <v>150g</v>
          </cell>
          <cell r="M2968" t="str">
            <v>袋</v>
          </cell>
          <cell r="N2968">
            <v>22.73</v>
          </cell>
          <cell r="O2968">
            <v>29.9</v>
          </cell>
          <cell r="P2968">
            <v>0.23244147157190601</v>
          </cell>
        </row>
        <row r="2969">
          <cell r="F2969" t="str">
            <v>70657970</v>
          </cell>
          <cell r="G2969" t="str">
            <v>四川港投</v>
          </cell>
          <cell r="H2969" t="str">
            <v>Jannis</v>
          </cell>
          <cell r="I2969" t="str">
            <v>零食</v>
          </cell>
          <cell r="J2969" t="str">
            <v>坚果</v>
          </cell>
          <cell r="K2969" t="str">
            <v>Jannis 无糖芝麻巧克力粒 150G</v>
          </cell>
          <cell r="L2969" t="str">
            <v>150g</v>
          </cell>
          <cell r="M2969" t="str">
            <v>袋</v>
          </cell>
          <cell r="N2969">
            <v>33.840000000000003</v>
          </cell>
          <cell r="O2969">
            <v>42.9</v>
          </cell>
          <cell r="P2969">
            <v>0.203496503496503</v>
          </cell>
        </row>
        <row r="2970">
          <cell r="F2970" t="str">
            <v>70657947</v>
          </cell>
          <cell r="G2970" t="str">
            <v>四川港投</v>
          </cell>
          <cell r="H2970" t="str">
            <v>Jannis</v>
          </cell>
          <cell r="I2970" t="str">
            <v>零食</v>
          </cell>
          <cell r="J2970" t="str">
            <v>坚果</v>
          </cell>
          <cell r="K2970" t="str">
            <v>Jannis 无糖芝麻粒 150G</v>
          </cell>
          <cell r="L2970" t="str">
            <v>150g</v>
          </cell>
          <cell r="M2970" t="str">
            <v>袋</v>
          </cell>
          <cell r="N2970">
            <v>33.840000000000003</v>
          </cell>
          <cell r="O2970">
            <v>42.9</v>
          </cell>
          <cell r="P2970">
            <v>0.203496503496503</v>
          </cell>
        </row>
        <row r="2971">
          <cell r="F2971" t="str">
            <v>70657996</v>
          </cell>
          <cell r="G2971" t="str">
            <v>四川港投</v>
          </cell>
          <cell r="H2971" t="str">
            <v>Jannis</v>
          </cell>
          <cell r="I2971" t="str">
            <v>零食</v>
          </cell>
          <cell r="J2971" t="str">
            <v>坚果</v>
          </cell>
          <cell r="K2971" t="str">
            <v>Jannis 迷你花生条 150G</v>
          </cell>
          <cell r="L2971" t="str">
            <v>150g</v>
          </cell>
          <cell r="M2971" t="str">
            <v>袋</v>
          </cell>
          <cell r="N2971">
            <v>21.51</v>
          </cell>
          <cell r="O2971">
            <v>29.9</v>
          </cell>
          <cell r="P2971">
            <v>0.27324414715719098</v>
          </cell>
        </row>
        <row r="2972">
          <cell r="F2972" t="str">
            <v>70657985</v>
          </cell>
          <cell r="G2972" t="str">
            <v>四川港投</v>
          </cell>
          <cell r="H2972" t="str">
            <v>Jannis</v>
          </cell>
          <cell r="I2972" t="str">
            <v>零食</v>
          </cell>
          <cell r="J2972" t="str">
            <v>坚果</v>
          </cell>
          <cell r="K2972" t="str">
            <v>Jannis 迷你杏仁条 150G</v>
          </cell>
          <cell r="L2972" t="str">
            <v>150g</v>
          </cell>
          <cell r="M2972" t="str">
            <v>袋</v>
          </cell>
          <cell r="N2972">
            <v>33.33</v>
          </cell>
          <cell r="O2972">
            <v>42.9</v>
          </cell>
          <cell r="P2972">
            <v>0.21538461538461501</v>
          </cell>
        </row>
        <row r="2973">
          <cell r="F2973" t="str">
            <v>70657989</v>
          </cell>
          <cell r="G2973" t="str">
            <v>四川港投</v>
          </cell>
          <cell r="H2973" t="str">
            <v>Jannis</v>
          </cell>
          <cell r="I2973" t="str">
            <v>零食</v>
          </cell>
          <cell r="J2973" t="str">
            <v>坚果</v>
          </cell>
          <cell r="K2973" t="str">
            <v>Jannis 迷你迷你什锦坚果条 150G</v>
          </cell>
          <cell r="L2973" t="str">
            <v>150g</v>
          </cell>
          <cell r="M2973" t="str">
            <v>袋</v>
          </cell>
          <cell r="N2973">
            <v>31.11</v>
          </cell>
          <cell r="O2973">
            <v>39.9</v>
          </cell>
          <cell r="P2973">
            <v>0.21253132832080199</v>
          </cell>
        </row>
        <row r="2974">
          <cell r="F2974" t="str">
            <v>70657994</v>
          </cell>
          <cell r="G2974" t="str">
            <v>四川港投</v>
          </cell>
          <cell r="H2974" t="str">
            <v>Jannis</v>
          </cell>
          <cell r="I2974" t="str">
            <v>零食</v>
          </cell>
          <cell r="J2974" t="str">
            <v>坚果</v>
          </cell>
          <cell r="K2974" t="str">
            <v>Jannis 迷你迷你开心果条 150G</v>
          </cell>
          <cell r="L2974" t="str">
            <v>150g</v>
          </cell>
          <cell r="M2974" t="str">
            <v>袋</v>
          </cell>
          <cell r="N2974">
            <v>71.209999999999994</v>
          </cell>
          <cell r="O2974">
            <v>88</v>
          </cell>
          <cell r="P2974">
            <v>0.182840909090909</v>
          </cell>
        </row>
        <row r="2975">
          <cell r="F2975" t="str">
            <v>70657987</v>
          </cell>
          <cell r="G2975" t="str">
            <v>亿滋</v>
          </cell>
          <cell r="H2975" t="str">
            <v>奥利奥</v>
          </cell>
          <cell r="I2975" t="str">
            <v>饼干/糕点</v>
          </cell>
          <cell r="J2975" t="str">
            <v>夹心饼干</v>
          </cell>
          <cell r="K2975" t="str">
            <v>奥利奥 薄脆0糖黑巧味 62g</v>
          </cell>
          <cell r="L2975" t="str">
            <v>62g</v>
          </cell>
          <cell r="M2975" t="str">
            <v>包</v>
          </cell>
          <cell r="N2975">
            <v>5.26</v>
          </cell>
          <cell r="O2975">
            <v>7.5</v>
          </cell>
          <cell r="P2975">
            <v>0.29199999999999998</v>
          </cell>
        </row>
        <row r="2976">
          <cell r="F2976" t="str">
            <v>70657966</v>
          </cell>
          <cell r="G2976" t="str">
            <v>亿滋</v>
          </cell>
          <cell r="H2976" t="str">
            <v>奥利奥</v>
          </cell>
          <cell r="I2976" t="str">
            <v>饼干/糕点</v>
          </cell>
          <cell r="J2976" t="str">
            <v>夹心饼干</v>
          </cell>
          <cell r="K2976" t="str">
            <v>奥利奥 薄脆低糖黑芝麻味 62g</v>
          </cell>
          <cell r="L2976" t="str">
            <v>62g</v>
          </cell>
          <cell r="M2976" t="str">
            <v>包</v>
          </cell>
          <cell r="N2976">
            <v>5.26</v>
          </cell>
          <cell r="O2976">
            <v>7.5</v>
          </cell>
          <cell r="P2976">
            <v>0.29199999999999998</v>
          </cell>
        </row>
        <row r="2977">
          <cell r="F2977" t="str">
            <v>70657988</v>
          </cell>
          <cell r="G2977" t="str">
            <v>亿滋</v>
          </cell>
          <cell r="H2977" t="str">
            <v>奥利奥</v>
          </cell>
          <cell r="I2977" t="str">
            <v>饼干/糕点</v>
          </cell>
          <cell r="J2977" t="str">
            <v>夹心饼干</v>
          </cell>
          <cell r="K2977" t="str">
            <v>奥利奥 Mini缤纷口味三连杯混合装 165g</v>
          </cell>
          <cell r="L2977" t="str">
            <v>165g</v>
          </cell>
          <cell r="M2977" t="str">
            <v>盒</v>
          </cell>
          <cell r="N2977">
            <v>11.27</v>
          </cell>
          <cell r="O2977">
            <v>15.9</v>
          </cell>
          <cell r="P2977">
            <v>0.28427672955974798</v>
          </cell>
        </row>
        <row r="2978">
          <cell r="F2978" t="str">
            <v>70657991</v>
          </cell>
          <cell r="G2978" t="str">
            <v>亿滋</v>
          </cell>
          <cell r="H2978" t="str">
            <v>趣多多</v>
          </cell>
          <cell r="I2978" t="str">
            <v>饼干/糕点</v>
          </cell>
          <cell r="J2978" t="str">
            <v>曲奇</v>
          </cell>
          <cell r="K2978" t="str">
            <v>趣多多 缤纷桶混合口味 375g</v>
          </cell>
          <cell r="L2978" t="str">
            <v>375g</v>
          </cell>
          <cell r="M2978" t="str">
            <v>包</v>
          </cell>
          <cell r="N2978">
            <v>19.5</v>
          </cell>
          <cell r="O2978">
            <v>27.9</v>
          </cell>
          <cell r="P2978">
            <v>0.29390681003584201</v>
          </cell>
        </row>
        <row r="2979">
          <cell r="F2979" t="str">
            <v>70657969</v>
          </cell>
          <cell r="G2979" t="str">
            <v>亿滋</v>
          </cell>
          <cell r="H2979" t="str">
            <v>炫迈</v>
          </cell>
          <cell r="I2979" t="str">
            <v>糖果</v>
          </cell>
          <cell r="J2979" t="str">
            <v>口香糖</v>
          </cell>
          <cell r="K2979" t="str">
            <v>炫迈 午夜风暴口香糖薄荷味 50.4g</v>
          </cell>
          <cell r="L2979" t="str">
            <v>50.4g</v>
          </cell>
          <cell r="M2979" t="str">
            <v>盒</v>
          </cell>
          <cell r="N2979">
            <v>9.09</v>
          </cell>
          <cell r="O2979">
            <v>12.9</v>
          </cell>
          <cell r="P2979">
            <v>0.288372093023256</v>
          </cell>
        </row>
        <row r="2980">
          <cell r="F2980" t="str">
            <v>70657955</v>
          </cell>
          <cell r="G2980" t="str">
            <v>亿滋</v>
          </cell>
          <cell r="H2980" t="str">
            <v>炫迈</v>
          </cell>
          <cell r="I2980" t="str">
            <v>糖果</v>
          </cell>
          <cell r="J2980" t="str">
            <v>口香糖</v>
          </cell>
          <cell r="K2980" t="str">
            <v>炫迈 午夜风暴口香糖柠檬薄荷味 50.4g</v>
          </cell>
          <cell r="L2980" t="str">
            <v>50.4g</v>
          </cell>
          <cell r="M2980" t="str">
            <v>盒</v>
          </cell>
          <cell r="N2980">
            <v>9.09</v>
          </cell>
          <cell r="O2980">
            <v>12.9</v>
          </cell>
          <cell r="P2980">
            <v>0.288372093023256</v>
          </cell>
        </row>
        <row r="2981">
          <cell r="F2981" t="str">
            <v>70657982</v>
          </cell>
          <cell r="G2981" t="str">
            <v>亿滋</v>
          </cell>
          <cell r="H2981" t="str">
            <v>炫迈</v>
          </cell>
          <cell r="I2981" t="str">
            <v>糖果</v>
          </cell>
          <cell r="J2981" t="str">
            <v>口香糖</v>
          </cell>
          <cell r="K2981" t="str">
            <v>炫迈 无糖颗粒爆酸口香糖蓝莓味30粒 69g</v>
          </cell>
          <cell r="L2981" t="str">
            <v>69g</v>
          </cell>
          <cell r="M2981" t="str">
            <v>罐</v>
          </cell>
          <cell r="N2981">
            <v>9.6199999999999992</v>
          </cell>
          <cell r="O2981">
            <v>14.9</v>
          </cell>
          <cell r="P2981">
            <v>0.348322147651007</v>
          </cell>
        </row>
        <row r="2982">
          <cell r="F2982" t="str">
            <v>70657954</v>
          </cell>
          <cell r="G2982" t="str">
            <v>亿滋</v>
          </cell>
          <cell r="H2982" t="str">
            <v>炫迈</v>
          </cell>
          <cell r="I2982" t="str">
            <v>糖果</v>
          </cell>
          <cell r="J2982" t="str">
            <v>口香糖</v>
          </cell>
          <cell r="K2982" t="str">
            <v>炫迈 无糖颗粒爆爽口香糖留兰香薄荷味30粒 69g</v>
          </cell>
          <cell r="L2982" t="str">
            <v>69g</v>
          </cell>
          <cell r="M2982" t="str">
            <v>罐</v>
          </cell>
          <cell r="N2982">
            <v>9.6199999999999992</v>
          </cell>
          <cell r="O2982">
            <v>14.9</v>
          </cell>
          <cell r="P2982">
            <v>0.348322147651007</v>
          </cell>
        </row>
        <row r="2983">
          <cell r="F2983" t="str">
            <v>70657953</v>
          </cell>
          <cell r="G2983" t="str">
            <v>亿滋</v>
          </cell>
          <cell r="H2983" t="str">
            <v>炫迈</v>
          </cell>
          <cell r="I2983" t="str">
            <v>糖果</v>
          </cell>
          <cell r="J2983" t="str">
            <v>口香糖</v>
          </cell>
          <cell r="K2983" t="str">
            <v>炫迈 无糖颗粒爆酸口香糖红莓味30粒 69g</v>
          </cell>
          <cell r="L2983" t="str">
            <v>69g</v>
          </cell>
          <cell r="M2983" t="str">
            <v>罐</v>
          </cell>
          <cell r="N2983">
            <v>9.6199999999999992</v>
          </cell>
          <cell r="O2983">
            <v>14.9</v>
          </cell>
          <cell r="P2983">
            <v>0.348322147651007</v>
          </cell>
        </row>
        <row r="2984">
          <cell r="F2984" t="str">
            <v>70657952</v>
          </cell>
          <cell r="G2984" t="str">
            <v>亿滋</v>
          </cell>
          <cell r="H2984" t="str">
            <v>炫迈</v>
          </cell>
          <cell r="I2984" t="str">
            <v>糖果</v>
          </cell>
          <cell r="J2984" t="str">
            <v>口香糖</v>
          </cell>
          <cell r="K2984" t="str">
            <v>炫迈 无糖颗粒口香糖东鹏特饮风味 56g</v>
          </cell>
          <cell r="L2984" t="str">
            <v>56g</v>
          </cell>
          <cell r="M2984" t="str">
            <v>罐</v>
          </cell>
          <cell r="N2984">
            <v>7.53</v>
          </cell>
          <cell r="O2984">
            <v>12.5</v>
          </cell>
          <cell r="P2984">
            <v>0.39119999999999999</v>
          </cell>
        </row>
        <row r="2985">
          <cell r="F2985" t="str">
            <v>70657981</v>
          </cell>
          <cell r="G2985" t="str">
            <v>亿滋</v>
          </cell>
          <cell r="H2985" t="str">
            <v>太平</v>
          </cell>
          <cell r="I2985" t="str">
            <v>饼干/糕点</v>
          </cell>
          <cell r="J2985" t="str">
            <v>苏打饼干</v>
          </cell>
          <cell r="K2985" t="str">
            <v>太平 苏打黑胡椒和牛 100g</v>
          </cell>
          <cell r="L2985" t="str">
            <v>100g</v>
          </cell>
          <cell r="M2985" t="str">
            <v>包</v>
          </cell>
          <cell r="N2985">
            <v>3.54</v>
          </cell>
          <cell r="O2985">
            <v>5.5</v>
          </cell>
          <cell r="P2985">
            <v>0.350909090909091</v>
          </cell>
        </row>
        <row r="2986">
          <cell r="F2986" t="str">
            <v>70657976</v>
          </cell>
          <cell r="G2986" t="str">
            <v>亿滋</v>
          </cell>
          <cell r="H2986" t="str">
            <v>太平</v>
          </cell>
          <cell r="I2986" t="str">
            <v>饼干/糕点</v>
          </cell>
          <cell r="J2986" t="str">
            <v>苏打饼干</v>
          </cell>
          <cell r="K2986" t="str">
            <v>太平 苏打欧芹鲜蒜 100g</v>
          </cell>
          <cell r="L2986" t="str">
            <v>100g</v>
          </cell>
          <cell r="M2986" t="str">
            <v>包</v>
          </cell>
          <cell r="N2986">
            <v>3.54</v>
          </cell>
          <cell r="O2986">
            <v>5.5</v>
          </cell>
          <cell r="P2986">
            <v>0.350909090909091</v>
          </cell>
        </row>
        <row r="2987">
          <cell r="F2987" t="str">
            <v>70657979</v>
          </cell>
          <cell r="G2987" t="str">
            <v>梦洁</v>
          </cell>
          <cell r="H2987" t="str">
            <v>梦洁</v>
          </cell>
          <cell r="I2987" t="str">
            <v>个人护理用品</v>
          </cell>
          <cell r="J2987" t="str">
            <v>洁面</v>
          </cell>
          <cell r="K2987" t="str">
            <v>梦洁家纺 抽取式加厚珍珠纹棉柔洗脸巾 70抽</v>
          </cell>
          <cell r="L2987" t="str">
            <v>（70抽） 20*20cm</v>
          </cell>
          <cell r="M2987" t="str">
            <v>包</v>
          </cell>
          <cell r="N2987">
            <v>11.11</v>
          </cell>
          <cell r="O2987">
            <v>19</v>
          </cell>
          <cell r="P2987">
            <v>0.40947368421052599</v>
          </cell>
        </row>
        <row r="2988">
          <cell r="F2988" t="str">
            <v>70657978</v>
          </cell>
          <cell r="G2988" t="str">
            <v>梦洁</v>
          </cell>
          <cell r="H2988" t="str">
            <v>梦洁</v>
          </cell>
          <cell r="I2988" t="str">
            <v>个人护理用品</v>
          </cell>
          <cell r="J2988" t="str">
            <v>洁面</v>
          </cell>
          <cell r="K2988" t="str">
            <v>梦洁家纺 悬挂下拉抽取式量贩装洗脸巾 300抽</v>
          </cell>
          <cell r="L2988" t="str">
            <v>（300抽） 20*20cm</v>
          </cell>
          <cell r="M2988" t="str">
            <v>包</v>
          </cell>
          <cell r="N2988">
            <v>23.23</v>
          </cell>
          <cell r="O2988">
            <v>49</v>
          </cell>
          <cell r="P2988">
            <v>0.52122448979591796</v>
          </cell>
        </row>
        <row r="2989">
          <cell r="F2989" t="str">
            <v>70657963</v>
          </cell>
          <cell r="G2989" t="str">
            <v>梦洁</v>
          </cell>
          <cell r="H2989" t="str">
            <v>梦洁</v>
          </cell>
          <cell r="I2989" t="str">
            <v>清洁用品</v>
          </cell>
          <cell r="J2989" t="str">
            <v>家居清洁</v>
          </cell>
          <cell r="K2989" t="str">
            <v>梦洁家纺 周抛型加厚懒人抹布 40片</v>
          </cell>
          <cell r="L2989" t="str">
            <v>40片/卷 25*25.5cm</v>
          </cell>
          <cell r="M2989" t="str">
            <v>包</v>
          </cell>
          <cell r="N2989">
            <v>8.08</v>
          </cell>
          <cell r="O2989">
            <v>13</v>
          </cell>
          <cell r="P2989">
            <v>0.37230769230769201</v>
          </cell>
        </row>
        <row r="2990">
          <cell r="F2990" t="str">
            <v>70657958</v>
          </cell>
          <cell r="G2990" t="str">
            <v>梦洁</v>
          </cell>
          <cell r="H2990" t="str">
            <v>梦洁</v>
          </cell>
          <cell r="I2990" t="str">
            <v>清洁用品</v>
          </cell>
          <cell r="J2990" t="str">
            <v>家居清洁</v>
          </cell>
          <cell r="K2990" t="str">
            <v>梦洁家纺 悬挂下拉抽取式量贩装懒人抹布 150抽</v>
          </cell>
          <cell r="L2990" t="str">
            <v>（ 150抽） 20*22cm</v>
          </cell>
          <cell r="M2990" t="str">
            <v>包</v>
          </cell>
          <cell r="N2990">
            <v>14.14</v>
          </cell>
          <cell r="O2990">
            <v>29</v>
          </cell>
          <cell r="P2990">
            <v>0.50758620689655198</v>
          </cell>
        </row>
        <row r="2991">
          <cell r="F2991" t="str">
            <v>70657961</v>
          </cell>
          <cell r="G2991" t="str">
            <v>梦洁</v>
          </cell>
          <cell r="H2991" t="str">
            <v>梦洁</v>
          </cell>
          <cell r="I2991" t="str">
            <v>个人护理用品</v>
          </cell>
          <cell r="J2991" t="str">
            <v>洁面</v>
          </cell>
          <cell r="K2991" t="str">
            <v>梦洁家纺 雅柔纯棉面巾 32*70cm</v>
          </cell>
          <cell r="L2991" t="str">
            <v>32 × 70cm *1条</v>
          </cell>
          <cell r="M2991" t="str">
            <v>个</v>
          </cell>
          <cell r="N2991">
            <v>14.14</v>
          </cell>
          <cell r="O2991">
            <v>19</v>
          </cell>
          <cell r="P2991">
            <v>0.24842105263157899</v>
          </cell>
        </row>
        <row r="2992">
          <cell r="F2992" t="str">
            <v>70657997</v>
          </cell>
          <cell r="G2992" t="str">
            <v>梦洁</v>
          </cell>
          <cell r="H2992" t="str">
            <v>梦洁</v>
          </cell>
          <cell r="I2992" t="str">
            <v>日用品</v>
          </cell>
          <cell r="J2992" t="str">
            <v>家用纺织品</v>
          </cell>
          <cell r="K2992" t="str">
            <v>梦洁家纺 幻彩流年系列纯棉毛巾礼盒
方巾34 × 34cm×1条  毛巾-34 × 70cm×1条</v>
          </cell>
          <cell r="L2992" t="str">
            <v>方巾-34 × 34cm×1条  
毛巾-34 × 70cm×1条</v>
          </cell>
          <cell r="M2992" t="str">
            <v>盒</v>
          </cell>
          <cell r="N2992">
            <v>19.190000000000001</v>
          </cell>
          <cell r="O2992">
            <v>39</v>
          </cell>
          <cell r="P2992">
            <v>0.50307692307692298</v>
          </cell>
        </row>
        <row r="2993">
          <cell r="F2993" t="str">
            <v>70657957</v>
          </cell>
          <cell r="G2993" t="str">
            <v>梦洁</v>
          </cell>
          <cell r="H2993" t="str">
            <v>梦洁</v>
          </cell>
          <cell r="I2993" t="str">
            <v>个人护理用品</v>
          </cell>
          <cell r="J2993" t="str">
            <v>洁面</v>
          </cell>
          <cell r="K2993" t="str">
            <v>梦洁家纺 舒柔纯棉面巾 33*72cm/75g*4条</v>
          </cell>
          <cell r="L2993" t="str">
            <v>33*72cm/75g*4条
 2蓝、粉、黄</v>
          </cell>
          <cell r="M2993" t="str">
            <v>包</v>
          </cell>
          <cell r="N2993">
            <v>56.56</v>
          </cell>
          <cell r="O2993">
            <v>99</v>
          </cell>
          <cell r="P2993">
            <v>0.42303030303030298</v>
          </cell>
        </row>
        <row r="2994">
          <cell r="F2994" t="str">
            <v>70657980</v>
          </cell>
          <cell r="G2994" t="str">
            <v>梦洁</v>
          </cell>
          <cell r="H2994" t="str">
            <v>梦洁</v>
          </cell>
          <cell r="I2994" t="str">
            <v>日用品</v>
          </cell>
          <cell r="J2994" t="str">
            <v>家用纺织品</v>
          </cell>
          <cell r="K2994" t="str">
            <v>梦洁家纺 幻彩流年系列纯棉毛巾礼盒 两面一浴
毛巾 35*75cm*2条  浴巾 70*140cm*1条</v>
          </cell>
          <cell r="L2994" t="str">
            <v>毛巾 35*75cm*2条  
 浴巾 70*140cm*1条</v>
          </cell>
          <cell r="M2994" t="str">
            <v>盒</v>
          </cell>
          <cell r="N2994">
            <v>70.7</v>
          </cell>
          <cell r="O2994">
            <v>159</v>
          </cell>
          <cell r="P2994">
            <v>0.55094339622641497</v>
          </cell>
        </row>
        <row r="2995">
          <cell r="F2995" t="str">
            <v>70539184</v>
          </cell>
          <cell r="G2995" t="str">
            <v>梦洁</v>
          </cell>
          <cell r="H2995" t="str">
            <v>梦洁</v>
          </cell>
          <cell r="I2995" t="str">
            <v>日用品</v>
          </cell>
          <cell r="J2995" t="str">
            <v>家用纺织品</v>
          </cell>
          <cell r="K2995" t="str">
            <v>梦洁家纺 优眠纤柔对枕 50×70cm×2个</v>
          </cell>
          <cell r="L2995" t="str">
            <v>50×70cm×2个</v>
          </cell>
          <cell r="M2995" t="str">
            <v>盒</v>
          </cell>
          <cell r="N2995">
            <v>75.75</v>
          </cell>
          <cell r="O2995">
            <v>129</v>
          </cell>
          <cell r="P2995">
            <v>0.40697674418604701</v>
          </cell>
        </row>
        <row r="2996">
          <cell r="F2996" t="str">
            <v>70657968</v>
          </cell>
          <cell r="G2996" t="str">
            <v>梦洁</v>
          </cell>
          <cell r="H2996" t="str">
            <v>梦洁</v>
          </cell>
          <cell r="I2996" t="str">
            <v>日用品</v>
          </cell>
          <cell r="J2996" t="str">
            <v>家用纺织品</v>
          </cell>
          <cell r="K2996" t="str">
            <v>梦洁家纺 天然抗菌零压记忆枕 57×35cm</v>
          </cell>
          <cell r="L2996" t="str">
            <v>57×35cm</v>
          </cell>
          <cell r="M2996" t="str">
            <v>个</v>
          </cell>
          <cell r="N2996">
            <v>89.89</v>
          </cell>
          <cell r="O2996">
            <v>149</v>
          </cell>
          <cell r="P2996">
            <v>0.39073825503355702</v>
          </cell>
        </row>
        <row r="2997">
          <cell r="F2997" t="str">
            <v>70657967</v>
          </cell>
          <cell r="G2997" t="str">
            <v>梦洁</v>
          </cell>
          <cell r="H2997" t="str">
            <v>梦洁</v>
          </cell>
          <cell r="I2997" t="str">
            <v>日用品</v>
          </cell>
          <cell r="J2997" t="str">
            <v>家用纺织品</v>
          </cell>
          <cell r="K2997" t="str">
            <v>梦洁家纺 旅行套装：云途畅享
U 型枕65*13cm 手毯130*80cm  眼罩67*9cm</v>
          </cell>
          <cell r="L2997" t="str">
            <v>U 型枕65*13cm 
手毯130*80cm 
眼罩67*9cm</v>
          </cell>
          <cell r="M2997" t="str">
            <v>盒</v>
          </cell>
          <cell r="N2997">
            <v>130.29</v>
          </cell>
          <cell r="O2997">
            <v>199</v>
          </cell>
          <cell r="P2997">
            <v>0.33879396984924598</v>
          </cell>
        </row>
        <row r="2998">
          <cell r="F2998" t="str">
            <v>70657956</v>
          </cell>
          <cell r="G2998" t="str">
            <v>梦洁</v>
          </cell>
          <cell r="H2998" t="str">
            <v>梦洁</v>
          </cell>
          <cell r="I2998" t="str">
            <v>日用品</v>
          </cell>
          <cell r="J2998" t="str">
            <v>家用纺织品</v>
          </cell>
          <cell r="K2998" t="str">
            <v>梦洁家纺 多功能羊毛毯：牧歌 130×150cm</v>
          </cell>
          <cell r="L2998" t="str">
            <v>130×150cm</v>
          </cell>
          <cell r="M2998" t="str">
            <v>个</v>
          </cell>
          <cell r="N2998">
            <v>130.29</v>
          </cell>
          <cell r="O2998">
            <v>199</v>
          </cell>
          <cell r="P2998">
            <v>0.33879396984924598</v>
          </cell>
        </row>
        <row r="2999">
          <cell r="F2999" t="str">
            <v>70657995</v>
          </cell>
          <cell r="G2999" t="str">
            <v>梦洁</v>
          </cell>
          <cell r="H2999" t="str">
            <v>梦洁</v>
          </cell>
          <cell r="I2999" t="str">
            <v>日用品</v>
          </cell>
          <cell r="J2999" t="str">
            <v>家用纺织品</v>
          </cell>
          <cell r="K2999" t="str">
            <v>梦洁家纺 云锦缎四套:聆香 200×230cm</v>
          </cell>
          <cell r="L2999" t="str">
            <v>被套：200×230cm
床单：230×235cm
枕套：50×70cm×2个</v>
          </cell>
          <cell r="M2999" t="str">
            <v>盒</v>
          </cell>
          <cell r="N2999">
            <v>160.59</v>
          </cell>
          <cell r="O2999">
            <v>299</v>
          </cell>
          <cell r="P2999">
            <v>0.45759197324414702</v>
          </cell>
        </row>
        <row r="3000">
          <cell r="F3000" t="str">
            <v>70657977</v>
          </cell>
          <cell r="G3000" t="str">
            <v>康师傅顶津</v>
          </cell>
          <cell r="H3000" t="str">
            <v>康师傅顶津</v>
          </cell>
          <cell r="I3000" t="str">
            <v>包装饮料</v>
          </cell>
          <cell r="J3000" t="str">
            <v>茶饮料</v>
          </cell>
          <cell r="K3000" t="str">
            <v>康师傅 雪域盐奶茶 300ml</v>
          </cell>
          <cell r="L3000" t="str">
            <v>300ml</v>
          </cell>
          <cell r="M3000" t="str">
            <v>瓶</v>
          </cell>
          <cell r="N3000">
            <v>3.54</v>
          </cell>
          <cell r="O3000">
            <v>5.5</v>
          </cell>
          <cell r="P3000">
            <v>0.350909090909091</v>
          </cell>
        </row>
        <row r="3001">
          <cell r="F3001" t="str">
            <v>70658091</v>
          </cell>
          <cell r="G3001" t="str">
            <v>康师傅顶津</v>
          </cell>
          <cell r="H3001" t="str">
            <v>康师傅顶津</v>
          </cell>
          <cell r="I3001" t="str">
            <v>包装饮料</v>
          </cell>
          <cell r="J3001" t="str">
            <v>茶饮料</v>
          </cell>
          <cell r="K3001" t="str">
            <v>康师傅 鲜绿茶 500ml</v>
          </cell>
          <cell r="L3001" t="str">
            <v>500ml</v>
          </cell>
          <cell r="M3001" t="str">
            <v>瓶</v>
          </cell>
          <cell r="N3001">
            <v>3.03</v>
          </cell>
          <cell r="O3001">
            <v>4.5</v>
          </cell>
          <cell r="P3001">
            <v>0.32</v>
          </cell>
        </row>
        <row r="3002">
          <cell r="F3002" t="str">
            <v>70658089</v>
          </cell>
          <cell r="G3002" t="str">
            <v>康师傅顶津</v>
          </cell>
          <cell r="H3002" t="str">
            <v>康师傅顶津</v>
          </cell>
          <cell r="I3002" t="str">
            <v>包装饮料</v>
          </cell>
          <cell r="J3002" t="str">
            <v>茶饮料</v>
          </cell>
          <cell r="K3002" t="str">
            <v>康师傅 茉莉龙井 500ml</v>
          </cell>
          <cell r="L3002" t="str">
            <v>500ml</v>
          </cell>
          <cell r="M3002" t="str">
            <v>瓶</v>
          </cell>
          <cell r="N3002">
            <v>3.03</v>
          </cell>
          <cell r="O3002">
            <v>4.5</v>
          </cell>
          <cell r="P3002">
            <v>0.32</v>
          </cell>
        </row>
        <row r="3003">
          <cell r="F3003" t="str">
            <v>70658098</v>
          </cell>
          <cell r="G3003" t="str">
            <v>康师傅顶津</v>
          </cell>
          <cell r="H3003" t="str">
            <v>康师傅顶津</v>
          </cell>
          <cell r="I3003" t="str">
            <v>包装饮料</v>
          </cell>
          <cell r="J3003" t="str">
            <v>功能饮料</v>
          </cell>
          <cell r="K3003" t="str">
            <v>康师傅 无限电青柠味 500ml</v>
          </cell>
          <cell r="L3003" t="str">
            <v>500ml</v>
          </cell>
          <cell r="M3003" t="str">
            <v>瓶</v>
          </cell>
          <cell r="N3003">
            <v>3.54</v>
          </cell>
          <cell r="O3003">
            <v>5</v>
          </cell>
          <cell r="P3003">
            <v>0.28599999999999998</v>
          </cell>
        </row>
        <row r="3004">
          <cell r="F3004" t="str">
            <v>70658101</v>
          </cell>
          <cell r="G3004" t="str">
            <v>康师傅顶津</v>
          </cell>
          <cell r="H3004" t="str">
            <v>康师傅顶津</v>
          </cell>
          <cell r="I3004" t="str">
            <v>包装饮料</v>
          </cell>
          <cell r="J3004" t="str">
            <v>茶饮料</v>
          </cell>
          <cell r="K3004" t="str">
            <v>康师傅 低糖高纤冰红茶 500ml</v>
          </cell>
          <cell r="L3004" t="str">
            <v>500ml</v>
          </cell>
          <cell r="M3004" t="str">
            <v>瓶</v>
          </cell>
          <cell r="N3004">
            <v>3.03</v>
          </cell>
          <cell r="O3004">
            <v>4.5</v>
          </cell>
          <cell r="P3004">
            <v>0.32</v>
          </cell>
        </row>
        <row r="3005">
          <cell r="F3005" t="str">
            <v>70658088</v>
          </cell>
          <cell r="G3005" t="str">
            <v>康师傅顶津</v>
          </cell>
          <cell r="H3005" t="str">
            <v>康师傅顶津</v>
          </cell>
          <cell r="I3005" t="str">
            <v>包装饮料</v>
          </cell>
          <cell r="J3005" t="str">
            <v>功能饮料</v>
          </cell>
          <cell r="K3005" t="str">
            <v>康师傅 无限电西柚味 900ml</v>
          </cell>
          <cell r="L3005" t="str">
            <v>900ml</v>
          </cell>
          <cell r="M3005" t="str">
            <v>瓶</v>
          </cell>
          <cell r="N3005">
            <v>5.39</v>
          </cell>
          <cell r="O3005">
            <v>8.5</v>
          </cell>
          <cell r="P3005">
            <v>0.35882352941176499</v>
          </cell>
        </row>
        <row r="3006">
          <cell r="F3006" t="str">
            <v>70658095</v>
          </cell>
          <cell r="G3006" t="str">
            <v>康师傅顶津</v>
          </cell>
          <cell r="H3006" t="str">
            <v>康师傅顶津</v>
          </cell>
          <cell r="I3006" t="str">
            <v>包装饮料</v>
          </cell>
          <cell r="J3006" t="str">
            <v>功能饮料</v>
          </cell>
          <cell r="K3006" t="str">
            <v>康师傅 无限电荔枝味 900ml</v>
          </cell>
          <cell r="L3006" t="str">
            <v>900ml</v>
          </cell>
          <cell r="M3006" t="str">
            <v>瓶</v>
          </cell>
          <cell r="N3006">
            <v>5.39</v>
          </cell>
          <cell r="O3006">
            <v>8.5</v>
          </cell>
          <cell r="P3006">
            <v>0.35882352941176499</v>
          </cell>
        </row>
        <row r="3007">
          <cell r="F3007" t="str">
            <v>70658087</v>
          </cell>
          <cell r="G3007" t="str">
            <v>康师傅顶津</v>
          </cell>
          <cell r="H3007" t="str">
            <v>康师傅顶津</v>
          </cell>
          <cell r="I3007" t="str">
            <v>包装饮料</v>
          </cell>
          <cell r="J3007" t="str">
            <v>功能饮料</v>
          </cell>
          <cell r="K3007" t="str">
            <v>康师傅 无限电青柠味 900ml</v>
          </cell>
          <cell r="L3007" t="str">
            <v>900ml</v>
          </cell>
          <cell r="M3007" t="str">
            <v>瓶</v>
          </cell>
          <cell r="N3007">
            <v>5.39</v>
          </cell>
          <cell r="O3007">
            <v>8.5</v>
          </cell>
          <cell r="P3007">
            <v>0.35882352941176499</v>
          </cell>
        </row>
        <row r="3008">
          <cell r="F3008" t="str">
            <v>70658092</v>
          </cell>
          <cell r="G3008" t="str">
            <v>康师傅顶津</v>
          </cell>
          <cell r="H3008" t="str">
            <v>康师傅顶津</v>
          </cell>
          <cell r="I3008" t="str">
            <v>包装饮料</v>
          </cell>
          <cell r="J3008" t="str">
            <v>茶饮料</v>
          </cell>
          <cell r="K3008" t="str">
            <v>康师傅 鲜绿茶 900ml</v>
          </cell>
          <cell r="L3008" t="str">
            <v>900ml</v>
          </cell>
          <cell r="M3008" t="str">
            <v>瓶</v>
          </cell>
          <cell r="N3008">
            <v>4.55</v>
          </cell>
          <cell r="O3008">
            <v>6.5</v>
          </cell>
          <cell r="P3008">
            <v>0.29384615384615398</v>
          </cell>
        </row>
        <row r="3009">
          <cell r="F3009" t="str">
            <v>70658090</v>
          </cell>
          <cell r="G3009" t="str">
            <v>康师傅顶津</v>
          </cell>
          <cell r="H3009" t="str">
            <v>康师傅顶津</v>
          </cell>
          <cell r="I3009" t="str">
            <v>包装饮料</v>
          </cell>
          <cell r="J3009" t="str">
            <v>茶饮料</v>
          </cell>
          <cell r="K3009" t="str">
            <v>康师傅 茉莉龙井 900ml</v>
          </cell>
          <cell r="L3009" t="str">
            <v>900ml</v>
          </cell>
          <cell r="M3009" t="str">
            <v>瓶</v>
          </cell>
          <cell r="N3009">
            <v>4.55</v>
          </cell>
          <cell r="O3009">
            <v>6.5</v>
          </cell>
          <cell r="P3009">
            <v>0.29384615384615398</v>
          </cell>
        </row>
        <row r="3010">
          <cell r="F3010" t="str">
            <v>70658099</v>
          </cell>
          <cell r="G3010" t="str">
            <v>康师傅顶津</v>
          </cell>
          <cell r="H3010" t="str">
            <v>康师傅顶津</v>
          </cell>
          <cell r="I3010" t="str">
            <v>包装饮料</v>
          </cell>
          <cell r="J3010" t="str">
            <v>茶饮料</v>
          </cell>
          <cell r="K3010" t="str">
            <v>康师傅 大红袍奶茶 350ml</v>
          </cell>
          <cell r="L3010" t="str">
            <v>350ml</v>
          </cell>
          <cell r="M3010" t="str">
            <v>瓶</v>
          </cell>
          <cell r="N3010">
            <v>2.44</v>
          </cell>
          <cell r="O3010">
            <v>3.5</v>
          </cell>
          <cell r="P3010">
            <v>0.29428571428571398</v>
          </cell>
        </row>
        <row r="3011">
          <cell r="F3011" t="str">
            <v>70658086</v>
          </cell>
          <cell r="G3011" t="str">
            <v>康师傅顶津</v>
          </cell>
          <cell r="H3011" t="str">
            <v>康师傅顶津</v>
          </cell>
          <cell r="I3011" t="str">
            <v>包装饮料</v>
          </cell>
          <cell r="J3011" t="str">
            <v>茶饮料</v>
          </cell>
          <cell r="K3011" t="str">
            <v>康师傅 鲜绿茶 350ml</v>
          </cell>
          <cell r="L3011" t="str">
            <v>350ml</v>
          </cell>
          <cell r="M3011" t="str">
            <v>瓶</v>
          </cell>
          <cell r="N3011">
            <v>2.2200000000000002</v>
          </cell>
          <cell r="O3011">
            <v>3.5</v>
          </cell>
          <cell r="P3011">
            <v>0.36</v>
          </cell>
        </row>
        <row r="3012">
          <cell r="F3012" t="str">
            <v>70658102</v>
          </cell>
          <cell r="G3012" t="str">
            <v>康师傅顶津</v>
          </cell>
          <cell r="H3012" t="str">
            <v>康师傅顶津</v>
          </cell>
          <cell r="I3012" t="str">
            <v>包装饮料</v>
          </cell>
          <cell r="J3012" t="str">
            <v>茶饮料</v>
          </cell>
          <cell r="K3012" t="str">
            <v>康师傅 无糖茉莉花茶 350ml</v>
          </cell>
          <cell r="L3012" t="str">
            <v>350ml</v>
          </cell>
          <cell r="M3012" t="str">
            <v>瓶</v>
          </cell>
          <cell r="N3012">
            <v>2.2200000000000002</v>
          </cell>
          <cell r="O3012">
            <v>3.5</v>
          </cell>
          <cell r="P3012">
            <v>0.36</v>
          </cell>
        </row>
        <row r="3013">
          <cell r="F3013" t="str">
            <v>70656359</v>
          </cell>
          <cell r="G3013" t="str">
            <v>甘源</v>
          </cell>
          <cell r="H3013" t="str">
            <v>甘源</v>
          </cell>
          <cell r="I3013" t="str">
            <v>零食</v>
          </cell>
          <cell r="J3013" t="str">
            <v>膨化食品</v>
          </cell>
          <cell r="K3013" t="str">
            <v>甘源 草莓白桃味米饼袋装 168g</v>
          </cell>
          <cell r="L3013" t="str">
            <v>168g</v>
          </cell>
          <cell r="M3013" t="str">
            <v>袋</v>
          </cell>
          <cell r="N3013">
            <v>10.5</v>
          </cell>
          <cell r="O3013">
            <v>14.9</v>
          </cell>
          <cell r="P3013">
            <v>0.28791946308724797</v>
          </cell>
        </row>
        <row r="3014">
          <cell r="F3014" t="str">
            <v>70656355</v>
          </cell>
          <cell r="G3014" t="str">
            <v>甘源</v>
          </cell>
          <cell r="H3014" t="str">
            <v>甘源</v>
          </cell>
          <cell r="I3014" t="str">
            <v>零食</v>
          </cell>
          <cell r="J3014" t="str">
            <v>膨化食品</v>
          </cell>
          <cell r="K3014" t="str">
            <v>甘源 蓝莓桑葚味米饼袋装 168g</v>
          </cell>
          <cell r="L3014" t="str">
            <v>168g</v>
          </cell>
          <cell r="M3014" t="str">
            <v>袋</v>
          </cell>
          <cell r="N3014">
            <v>10.5</v>
          </cell>
          <cell r="O3014">
            <v>14.9</v>
          </cell>
          <cell r="P3014">
            <v>0.28791946308724797</v>
          </cell>
        </row>
        <row r="3015">
          <cell r="F3015" t="str">
            <v>70656357</v>
          </cell>
          <cell r="G3015" t="str">
            <v>甘源</v>
          </cell>
          <cell r="H3015" t="str">
            <v>甘源</v>
          </cell>
          <cell r="I3015" t="str">
            <v>零食</v>
          </cell>
          <cell r="J3015" t="str">
            <v>膨化食品</v>
          </cell>
          <cell r="K3015" t="str">
            <v>甘源 芥末鳕鱼味五黑米饼袋装 168g</v>
          </cell>
          <cell r="L3015" t="str">
            <v>168g</v>
          </cell>
          <cell r="M3015" t="str">
            <v>袋</v>
          </cell>
          <cell r="N3015">
            <v>10.5</v>
          </cell>
          <cell r="O3015">
            <v>14.9</v>
          </cell>
          <cell r="P3015">
            <v>0.28791946308724797</v>
          </cell>
        </row>
        <row r="3016">
          <cell r="F3016" t="str">
            <v>70656721</v>
          </cell>
          <cell r="G3016" t="str">
            <v>甘源</v>
          </cell>
          <cell r="H3016" t="str">
            <v>甘源</v>
          </cell>
          <cell r="I3016" t="str">
            <v>零食</v>
          </cell>
          <cell r="J3016" t="str">
            <v>膨化食品</v>
          </cell>
          <cell r="K3016" t="str">
            <v>甘源 黑松露火腿味五黑米饼袋装 168g</v>
          </cell>
          <cell r="L3016" t="str">
            <v>168g</v>
          </cell>
          <cell r="M3016" t="str">
            <v>袋</v>
          </cell>
          <cell r="N3016">
            <v>10.5</v>
          </cell>
          <cell r="O3016">
            <v>14.9</v>
          </cell>
          <cell r="P3016">
            <v>0.28791946308724797</v>
          </cell>
        </row>
        <row r="3017">
          <cell r="F3017" t="str">
            <v>70656775</v>
          </cell>
          <cell r="G3017" t="str">
            <v>甘源</v>
          </cell>
          <cell r="H3017" t="str">
            <v>甘源</v>
          </cell>
          <cell r="I3017" t="str">
            <v>零食</v>
          </cell>
          <cell r="J3017" t="str">
            <v>坚果</v>
          </cell>
          <cell r="K3017" t="str">
            <v>甘源 臻果混合柿种果仁 33g</v>
          </cell>
          <cell r="L3017" t="str">
            <v>33g</v>
          </cell>
          <cell r="M3017" t="str">
            <v>袋</v>
          </cell>
          <cell r="N3017">
            <v>3.87</v>
          </cell>
          <cell r="O3017">
            <v>5.8</v>
          </cell>
          <cell r="P3017">
            <v>0.325862068965517</v>
          </cell>
        </row>
        <row r="3018">
          <cell r="F3018" t="str">
            <v>70656726</v>
          </cell>
          <cell r="G3018" t="str">
            <v>甘源</v>
          </cell>
          <cell r="H3018" t="str">
            <v>甘源</v>
          </cell>
          <cell r="I3018" t="str">
            <v>零食</v>
          </cell>
          <cell r="J3018" t="str">
            <v>坚果</v>
          </cell>
          <cell r="K3018" t="str">
            <v>甘源 臻果冻干芒果腰果仁 15g</v>
          </cell>
          <cell r="L3018" t="str">
            <v>15g</v>
          </cell>
          <cell r="M3018" t="str">
            <v>袋</v>
          </cell>
          <cell r="N3018">
            <v>3.87</v>
          </cell>
          <cell r="O3018">
            <v>5.8</v>
          </cell>
          <cell r="P3018">
            <v>0.325862068965517</v>
          </cell>
        </row>
        <row r="3019">
          <cell r="F3019" t="str">
            <v>70657151</v>
          </cell>
          <cell r="G3019" t="str">
            <v>甘源</v>
          </cell>
          <cell r="H3019" t="str">
            <v>甘源</v>
          </cell>
          <cell r="I3019" t="str">
            <v>零食</v>
          </cell>
          <cell r="J3019" t="str">
            <v>坚果</v>
          </cell>
          <cell r="K3019" t="str">
            <v>甘源 臻果综合果仁 35g</v>
          </cell>
          <cell r="L3019" t="str">
            <v>35g</v>
          </cell>
          <cell r="M3019" t="str">
            <v>袋</v>
          </cell>
          <cell r="N3019">
            <v>3.06</v>
          </cell>
          <cell r="O3019">
            <v>4.5</v>
          </cell>
          <cell r="P3019">
            <v>0.31333333333333302</v>
          </cell>
        </row>
        <row r="3020">
          <cell r="F3020" t="str">
            <v>70656955</v>
          </cell>
          <cell r="G3020" t="str">
            <v>甘源</v>
          </cell>
          <cell r="H3020" t="str">
            <v>甘源</v>
          </cell>
          <cell r="I3020" t="str">
            <v>零食</v>
          </cell>
          <cell r="J3020" t="str">
            <v>膨化食品</v>
          </cell>
          <cell r="K3020" t="str">
            <v>甘源 袋装经典原味鲜切薯条 40g</v>
          </cell>
          <cell r="L3020" t="str">
            <v>40g</v>
          </cell>
          <cell r="M3020" t="str">
            <v>袋</v>
          </cell>
          <cell r="N3020">
            <v>3.06</v>
          </cell>
          <cell r="O3020">
            <v>4.5</v>
          </cell>
          <cell r="P3020">
            <v>0.31333333333333302</v>
          </cell>
        </row>
        <row r="3021">
          <cell r="F3021" t="str">
            <v>70657944</v>
          </cell>
          <cell r="G3021" t="str">
            <v>甘源</v>
          </cell>
          <cell r="H3021" t="str">
            <v>甘源</v>
          </cell>
          <cell r="I3021" t="str">
            <v>零食</v>
          </cell>
          <cell r="J3021" t="str">
            <v>膨化食品</v>
          </cell>
          <cell r="K3021" t="str">
            <v>甘源 袋装蜂蜜黄油味鲜切薯条 40g</v>
          </cell>
          <cell r="L3021" t="str">
            <v>40g</v>
          </cell>
          <cell r="M3021" t="str">
            <v>袋</v>
          </cell>
          <cell r="N3021">
            <v>3.06</v>
          </cell>
          <cell r="O3021">
            <v>4.5</v>
          </cell>
          <cell r="P3021">
            <v>0.31333333333333302</v>
          </cell>
        </row>
        <row r="3022">
          <cell r="F3022" t="str">
            <v>70436721</v>
          </cell>
          <cell r="G3022" t="str">
            <v>无穷</v>
          </cell>
          <cell r="H3022" t="str">
            <v>无穷</v>
          </cell>
          <cell r="I3022" t="str">
            <v>零食</v>
          </cell>
          <cell r="J3022" t="str">
            <v>即食蛋</v>
          </cell>
          <cell r="K3022" t="str">
            <v>无穷  蜂蜜鹌鹑蛋 70g</v>
          </cell>
          <cell r="L3022" t="str">
            <v>70g</v>
          </cell>
          <cell r="M3022" t="str">
            <v>包</v>
          </cell>
          <cell r="N3022">
            <v>7.78</v>
          </cell>
          <cell r="O3022">
            <v>11.475</v>
          </cell>
          <cell r="P3022">
            <v>0.315904139433551</v>
          </cell>
        </row>
        <row r="3023">
          <cell r="F3023" t="str">
            <v>70411274</v>
          </cell>
          <cell r="G3023" t="str">
            <v>无穷</v>
          </cell>
          <cell r="H3023" t="str">
            <v>无穷</v>
          </cell>
          <cell r="I3023" t="str">
            <v>零食</v>
          </cell>
          <cell r="J3023" t="str">
            <v>即食蛋</v>
          </cell>
          <cell r="K3023" t="str">
            <v>无穷  盐焗鹌鹑蛋 70g</v>
          </cell>
          <cell r="L3023" t="str">
            <v>70g</v>
          </cell>
          <cell r="M3023" t="str">
            <v>包</v>
          </cell>
          <cell r="N3023">
            <v>7.78</v>
          </cell>
          <cell r="O3023">
            <v>11.475</v>
          </cell>
          <cell r="P3023">
            <v>0.315904139433551</v>
          </cell>
        </row>
        <row r="3024">
          <cell r="F3024" t="str">
            <v>70295044</v>
          </cell>
          <cell r="G3024" t="str">
            <v>无穷</v>
          </cell>
          <cell r="H3024" t="str">
            <v>无穷</v>
          </cell>
          <cell r="I3024" t="str">
            <v>零食</v>
          </cell>
          <cell r="J3024" t="str">
            <v>肉脯</v>
          </cell>
          <cell r="K3024" t="str">
            <v>无穷  酱卤鸭翅根 90g</v>
          </cell>
          <cell r="L3024" t="str">
            <v>90g</v>
          </cell>
          <cell r="M3024" t="str">
            <v>包</v>
          </cell>
          <cell r="N3024">
            <v>9.9</v>
          </cell>
          <cell r="O3024">
            <v>11.815</v>
          </cell>
          <cell r="P3024">
            <v>0.153618281845112</v>
          </cell>
        </row>
        <row r="3025">
          <cell r="F3025" t="str">
            <v>70295043</v>
          </cell>
          <cell r="G3025" t="str">
            <v>无穷</v>
          </cell>
          <cell r="H3025" t="str">
            <v>无穷</v>
          </cell>
          <cell r="I3025" t="str">
            <v>零食</v>
          </cell>
          <cell r="J3025" t="str">
            <v>肉脯</v>
          </cell>
          <cell r="K3025" t="str">
            <v>无穷  酱卤鸭腿 85g</v>
          </cell>
          <cell r="L3025" t="str">
            <v>85g</v>
          </cell>
          <cell r="M3025" t="str">
            <v>包</v>
          </cell>
          <cell r="N3025">
            <v>9.49</v>
          </cell>
          <cell r="O3025">
            <v>11.815</v>
          </cell>
          <cell r="P3025">
            <v>0.188319932289463</v>
          </cell>
        </row>
        <row r="3026">
          <cell r="F3026" t="str">
            <v>70640481</v>
          </cell>
          <cell r="G3026" t="str">
            <v>无穷</v>
          </cell>
          <cell r="H3026" t="str">
            <v>无穷</v>
          </cell>
          <cell r="I3026" t="str">
            <v>零食</v>
          </cell>
          <cell r="J3026" t="str">
            <v>肉脯</v>
          </cell>
          <cell r="K3026" t="str">
            <v>无穷 虎皮辣爪 13g</v>
          </cell>
          <cell r="L3026" t="str">
            <v>13g</v>
          </cell>
          <cell r="M3026" t="str">
            <v>包</v>
          </cell>
          <cell r="N3026">
            <v>2.17</v>
          </cell>
          <cell r="O3026">
            <v>2.4649999999999999</v>
          </cell>
          <cell r="P3026">
            <v>0.11156186612576099</v>
          </cell>
        </row>
        <row r="3027">
          <cell r="F3027" t="str">
            <v>70296221</v>
          </cell>
          <cell r="G3027" t="str">
            <v>无穷</v>
          </cell>
          <cell r="H3027" t="str">
            <v>无穷</v>
          </cell>
          <cell r="I3027" t="str">
            <v>零食</v>
          </cell>
          <cell r="J3027" t="str">
            <v>肉脯</v>
          </cell>
          <cell r="K3027" t="str">
            <v>无穷 酱卤鸭翅根 30g</v>
          </cell>
          <cell r="L3027" t="str">
            <v>30g</v>
          </cell>
          <cell r="M3027" t="str">
            <v>包</v>
          </cell>
          <cell r="N3027">
            <v>3.13</v>
          </cell>
          <cell r="O3027">
            <v>4.165</v>
          </cell>
          <cell r="P3027">
            <v>0.241296518607443</v>
          </cell>
        </row>
        <row r="3028">
          <cell r="F3028" t="str">
            <v>70643803</v>
          </cell>
          <cell r="G3028" t="str">
            <v>无穷</v>
          </cell>
          <cell r="H3028" t="str">
            <v>无穷</v>
          </cell>
          <cell r="I3028" t="str">
            <v>零食</v>
          </cell>
          <cell r="J3028" t="str">
            <v>肉脯</v>
          </cell>
          <cell r="K3028" t="str">
            <v>无穷 烤鸡翅根（蜂蜜味 ）58g</v>
          </cell>
          <cell r="L3028" t="str">
            <v>58g</v>
          </cell>
          <cell r="M3028" t="str">
            <v>包</v>
          </cell>
          <cell r="N3028">
            <v>9.09</v>
          </cell>
          <cell r="O3028">
            <v>10.965</v>
          </cell>
          <cell r="P3028">
            <v>0.162790697674419</v>
          </cell>
        </row>
        <row r="3029">
          <cell r="F3029" t="str">
            <v>70643551</v>
          </cell>
          <cell r="G3029" t="str">
            <v>无穷</v>
          </cell>
          <cell r="H3029" t="str">
            <v>无穷</v>
          </cell>
          <cell r="I3029" t="str">
            <v>零食</v>
          </cell>
          <cell r="J3029" t="str">
            <v>肉脯</v>
          </cell>
          <cell r="K3029" t="str">
            <v>无穷 烤鸡翅根（香辣味）58g</v>
          </cell>
          <cell r="L3029" t="str">
            <v>58g</v>
          </cell>
          <cell r="M3029" t="str">
            <v>包</v>
          </cell>
          <cell r="N3029">
            <v>9.09</v>
          </cell>
          <cell r="O3029">
            <v>10.965</v>
          </cell>
          <cell r="P3029">
            <v>0.162790697674419</v>
          </cell>
        </row>
        <row r="3030">
          <cell r="F3030" t="str">
            <v>70643712</v>
          </cell>
          <cell r="G3030" t="str">
            <v>无穷</v>
          </cell>
          <cell r="H3030" t="str">
            <v>无穷</v>
          </cell>
          <cell r="I3030" t="str">
            <v>零食</v>
          </cell>
          <cell r="J3030" t="str">
            <v>肉脯</v>
          </cell>
          <cell r="K3030" t="str">
            <v>无穷 虎皮肉爪（香辣）105g</v>
          </cell>
          <cell r="L3030" t="str">
            <v>105g</v>
          </cell>
          <cell r="M3030" t="str">
            <v>包</v>
          </cell>
          <cell r="N3030">
            <v>11.31</v>
          </cell>
          <cell r="O3030">
            <v>13.515000000000001</v>
          </cell>
          <cell r="P3030">
            <v>0.15501294857565701</v>
          </cell>
        </row>
        <row r="3031">
          <cell r="F3031" t="str">
            <v>70643557</v>
          </cell>
          <cell r="G3031" t="str">
            <v>无穷</v>
          </cell>
          <cell r="H3031" t="str">
            <v>无穷</v>
          </cell>
          <cell r="I3031" t="str">
            <v>零食</v>
          </cell>
          <cell r="J3031" t="str">
            <v>肉脯</v>
          </cell>
          <cell r="K3031" t="str">
            <v>无穷 虎皮肉爪（卤香）105g</v>
          </cell>
          <cell r="L3031" t="str">
            <v>105g</v>
          </cell>
          <cell r="M3031" t="str">
            <v>包</v>
          </cell>
          <cell r="N3031">
            <v>11.31</v>
          </cell>
          <cell r="O3031">
            <v>13.515000000000001</v>
          </cell>
          <cell r="P3031">
            <v>0.15501294857565701</v>
          </cell>
        </row>
        <row r="3032">
          <cell r="F3032" t="str">
            <v>70291362</v>
          </cell>
          <cell r="G3032" t="str">
            <v>无穷</v>
          </cell>
          <cell r="H3032" t="str">
            <v>无穷</v>
          </cell>
          <cell r="I3032" t="str">
            <v>零食</v>
          </cell>
          <cell r="J3032" t="str">
            <v>即食蛋</v>
          </cell>
          <cell r="K3032" t="str">
            <v>无穷 盐焗鸡蛋 100g</v>
          </cell>
          <cell r="L3032" t="str">
            <v>100g</v>
          </cell>
          <cell r="M3032" t="str">
            <v>包</v>
          </cell>
          <cell r="N3032">
            <v>8.59</v>
          </cell>
          <cell r="O3032">
            <v>10.115</v>
          </cell>
          <cell r="P3032">
            <v>0.14285714285714299</v>
          </cell>
        </row>
        <row r="3033">
          <cell r="F3033" t="str">
            <v>70656362</v>
          </cell>
          <cell r="G3033" t="str">
            <v>川南</v>
          </cell>
          <cell r="H3033" t="str">
            <v>川南</v>
          </cell>
          <cell r="I3033" t="str">
            <v>家庭食品</v>
          </cell>
          <cell r="J3033" t="str">
            <v>调料用酱</v>
          </cell>
          <cell r="K3033" t="str">
            <v>川南 牛肉末油辣子 208g</v>
          </cell>
          <cell r="L3033" t="str">
            <v>208g</v>
          </cell>
          <cell r="M3033" t="str">
            <v>罐</v>
          </cell>
          <cell r="N3033">
            <v>13.34</v>
          </cell>
          <cell r="O3033">
            <v>18.899999999999999</v>
          </cell>
          <cell r="P3033">
            <v>0.287301587301587</v>
          </cell>
        </row>
        <row r="3034">
          <cell r="F3034" t="str">
            <v>70656778</v>
          </cell>
          <cell r="G3034" t="str">
            <v>川南</v>
          </cell>
          <cell r="H3034" t="str">
            <v>川南</v>
          </cell>
          <cell r="I3034" t="str">
            <v>家庭食品</v>
          </cell>
          <cell r="J3034" t="str">
            <v>调料用酱</v>
          </cell>
          <cell r="K3034" t="str">
            <v>川南 五仁油辣子 235g</v>
          </cell>
          <cell r="L3034" t="str">
            <v>235g</v>
          </cell>
          <cell r="M3034" t="str">
            <v>罐</v>
          </cell>
          <cell r="N3034">
            <v>13.55</v>
          </cell>
          <cell r="O3034">
            <v>18.899999999999999</v>
          </cell>
          <cell r="P3034">
            <v>0.275661375661376</v>
          </cell>
        </row>
        <row r="3035">
          <cell r="F3035" t="str">
            <v>70656724</v>
          </cell>
          <cell r="G3035" t="str">
            <v>川南</v>
          </cell>
          <cell r="H3035" t="str">
            <v>川南</v>
          </cell>
          <cell r="I3035" t="str">
            <v>家庭食品</v>
          </cell>
          <cell r="J3035" t="str">
            <v>酱菜</v>
          </cell>
          <cell r="K3035" t="str">
            <v>川南 辣卤海带片 63g</v>
          </cell>
          <cell r="L3035" t="str">
            <v>63g</v>
          </cell>
          <cell r="M3035" t="str">
            <v>袋</v>
          </cell>
          <cell r="N3035">
            <v>2.94</v>
          </cell>
          <cell r="O3035">
            <v>3.5</v>
          </cell>
          <cell r="P3035">
            <v>0.151428571428571</v>
          </cell>
        </row>
        <row r="3036">
          <cell r="F3036" t="str">
            <v>70656365</v>
          </cell>
          <cell r="G3036" t="str">
            <v>川南</v>
          </cell>
          <cell r="H3036" t="str">
            <v>川南</v>
          </cell>
          <cell r="I3036" t="str">
            <v>家庭食品</v>
          </cell>
          <cell r="J3036" t="str">
            <v>酱菜</v>
          </cell>
          <cell r="K3036" t="str">
            <v>川南 川辣海带片 63g</v>
          </cell>
          <cell r="L3036" t="str">
            <v>63g</v>
          </cell>
          <cell r="M3036" t="str">
            <v>袋</v>
          </cell>
          <cell r="N3036">
            <v>2.94</v>
          </cell>
          <cell r="O3036">
            <v>3.5</v>
          </cell>
          <cell r="P3036">
            <v>0.151428571428571</v>
          </cell>
        </row>
        <row r="3037">
          <cell r="F3037" t="str">
            <v>70656368</v>
          </cell>
          <cell r="G3037" t="str">
            <v>川南</v>
          </cell>
          <cell r="H3037" t="str">
            <v>川南</v>
          </cell>
          <cell r="I3037" t="str">
            <v>家庭食品</v>
          </cell>
          <cell r="J3037" t="str">
            <v>酱菜</v>
          </cell>
          <cell r="K3037" t="str">
            <v>川南 酸辣海带片 63g</v>
          </cell>
          <cell r="L3037" t="str">
            <v>63g</v>
          </cell>
          <cell r="M3037" t="str">
            <v>袋</v>
          </cell>
          <cell r="N3037">
            <v>2.94</v>
          </cell>
          <cell r="O3037">
            <v>3.5</v>
          </cell>
          <cell r="P3037">
            <v>0.151428571428571</v>
          </cell>
        </row>
        <row r="3038">
          <cell r="F3038" t="str">
            <v>70656900</v>
          </cell>
          <cell r="G3038" t="str">
            <v>味聚特</v>
          </cell>
          <cell r="H3038" t="str">
            <v>味聚特</v>
          </cell>
          <cell r="I3038" t="str">
            <v>家庭食品</v>
          </cell>
          <cell r="J3038" t="str">
            <v>酱菜</v>
          </cell>
          <cell r="K3038" t="str">
            <v>味聚特 脆爽萝卜丁 81g</v>
          </cell>
          <cell r="L3038" t="str">
            <v>81g</v>
          </cell>
          <cell r="M3038" t="str">
            <v>袋</v>
          </cell>
          <cell r="N3038">
            <v>2.94</v>
          </cell>
          <cell r="O3038">
            <v>3.5</v>
          </cell>
          <cell r="P3038">
            <v>0.151428571428571</v>
          </cell>
        </row>
        <row r="3039">
          <cell r="F3039" t="str">
            <v>70657959</v>
          </cell>
          <cell r="G3039" t="str">
            <v>味聚特</v>
          </cell>
          <cell r="H3039" t="str">
            <v>味聚特</v>
          </cell>
          <cell r="I3039" t="str">
            <v>家庭食品</v>
          </cell>
          <cell r="J3039" t="str">
            <v>酱菜</v>
          </cell>
          <cell r="K3039" t="str">
            <v>味聚特 椒香萝卜丁 81g</v>
          </cell>
          <cell r="L3039" t="str">
            <v>81g</v>
          </cell>
          <cell r="M3039" t="str">
            <v>袋</v>
          </cell>
          <cell r="N3039">
            <v>2.94</v>
          </cell>
          <cell r="O3039">
            <v>3.5</v>
          </cell>
          <cell r="P3039">
            <v>0.151428571428571</v>
          </cell>
        </row>
        <row r="3040">
          <cell r="F3040" t="str">
            <v>70657960</v>
          </cell>
          <cell r="G3040" t="str">
            <v>味聚特</v>
          </cell>
          <cell r="H3040" t="str">
            <v>味聚特</v>
          </cell>
          <cell r="I3040" t="str">
            <v>家庭食品</v>
          </cell>
          <cell r="J3040" t="str">
            <v>酱菜</v>
          </cell>
          <cell r="K3040" t="str">
            <v>味聚特 麻辣萝卜丁 81g</v>
          </cell>
          <cell r="L3040" t="str">
            <v>81g</v>
          </cell>
          <cell r="M3040" t="str">
            <v>袋</v>
          </cell>
          <cell r="N3040">
            <v>2.94</v>
          </cell>
          <cell r="O3040">
            <v>3.5</v>
          </cell>
          <cell r="P3040">
            <v>0.151428571428571</v>
          </cell>
        </row>
        <row r="3041">
          <cell r="F3041" t="str">
            <v>70657962</v>
          </cell>
          <cell r="G3041" t="str">
            <v>味聚特</v>
          </cell>
          <cell r="H3041" t="str">
            <v>味聚特</v>
          </cell>
          <cell r="I3041" t="str">
            <v>家庭食品</v>
          </cell>
          <cell r="J3041" t="str">
            <v>酱菜</v>
          </cell>
          <cell r="K3041" t="str">
            <v>味聚特 辣爽海带片 63g</v>
          </cell>
          <cell r="L3041" t="str">
            <v>63g</v>
          </cell>
          <cell r="M3041" t="str">
            <v>袋</v>
          </cell>
          <cell r="N3041">
            <v>2.94</v>
          </cell>
          <cell r="O3041">
            <v>3.5</v>
          </cell>
          <cell r="P3041">
            <v>0.151428571428571</v>
          </cell>
        </row>
        <row r="3042">
          <cell r="F3042" t="str">
            <v>70657946</v>
          </cell>
          <cell r="G3042" t="str">
            <v>味聚特</v>
          </cell>
          <cell r="H3042" t="str">
            <v>味聚特</v>
          </cell>
          <cell r="I3042" t="str">
            <v>家庭食品</v>
          </cell>
          <cell r="J3042" t="str">
            <v>酱菜</v>
          </cell>
          <cell r="K3042" t="str">
            <v>味聚特 酸辣海带片 63g</v>
          </cell>
          <cell r="L3042" t="str">
            <v>63g</v>
          </cell>
          <cell r="M3042" t="str">
            <v>袋</v>
          </cell>
          <cell r="N3042">
            <v>2.94</v>
          </cell>
          <cell r="O3042">
            <v>3.5</v>
          </cell>
          <cell r="P3042">
            <v>0.151428571428571</v>
          </cell>
        </row>
        <row r="3043">
          <cell r="F3043" t="str">
            <v>70656911</v>
          </cell>
          <cell r="G3043" t="str">
            <v>味聚特</v>
          </cell>
          <cell r="H3043" t="str">
            <v>味聚特</v>
          </cell>
          <cell r="I3043" t="str">
            <v>家庭食品</v>
          </cell>
          <cell r="J3043" t="str">
            <v>酱菜</v>
          </cell>
          <cell r="K3043" t="str">
            <v>味聚特 麻辣海带片 63g</v>
          </cell>
          <cell r="L3043" t="str">
            <v>63g</v>
          </cell>
          <cell r="M3043" t="str">
            <v>袋</v>
          </cell>
          <cell r="N3043">
            <v>2.94</v>
          </cell>
          <cell r="O3043">
            <v>3.5</v>
          </cell>
          <cell r="P3043">
            <v>0.151428571428571</v>
          </cell>
        </row>
        <row r="3044">
          <cell r="F3044" t="str">
            <v>70656935</v>
          </cell>
          <cell r="G3044" t="str">
            <v>澳葡国际</v>
          </cell>
          <cell r="H3044" t="str">
            <v>逅夫人</v>
          </cell>
          <cell r="I3044" t="str">
            <v>饼干/糕点</v>
          </cell>
          <cell r="J3044" t="str">
            <v>曲奇</v>
          </cell>
          <cell r="K3044" t="str">
            <v>逅夫人 小熊曲奇原味 120g</v>
          </cell>
          <cell r="L3044" t="str">
            <v>120g/盒</v>
          </cell>
          <cell r="M3044" t="str">
            <v>盒</v>
          </cell>
          <cell r="N3044">
            <v>31.51</v>
          </cell>
          <cell r="O3044">
            <v>48</v>
          </cell>
          <cell r="P3044">
            <v>0.33708333333333301</v>
          </cell>
        </row>
        <row r="3045">
          <cell r="F3045" t="str">
            <v>70656959</v>
          </cell>
          <cell r="G3045" t="str">
            <v>澳葡国际</v>
          </cell>
          <cell r="H3045" t="str">
            <v>逅夫人</v>
          </cell>
          <cell r="I3045" t="str">
            <v>饼干/糕点</v>
          </cell>
          <cell r="J3045" t="str">
            <v>曲奇</v>
          </cell>
          <cell r="K3045" t="str">
            <v>逅夫人 小熊曲奇樹莓味 120g</v>
          </cell>
          <cell r="L3045" t="str">
            <v>120g/盒</v>
          </cell>
          <cell r="M3045" t="str">
            <v>盒</v>
          </cell>
          <cell r="N3045">
            <v>31.51</v>
          </cell>
          <cell r="O3045">
            <v>48</v>
          </cell>
          <cell r="P3045">
            <v>0.33708333333333301</v>
          </cell>
        </row>
        <row r="3046">
          <cell r="F3046" t="str">
            <v>70656958</v>
          </cell>
          <cell r="G3046" t="str">
            <v>澳葡国际</v>
          </cell>
          <cell r="H3046" t="str">
            <v>逅夫人</v>
          </cell>
          <cell r="I3046" t="str">
            <v>饼干/糕点</v>
          </cell>
          <cell r="J3046" t="str">
            <v>曲奇</v>
          </cell>
          <cell r="K3046" t="str">
            <v>逅夫人 小熊曲奇巧克力味 120g</v>
          </cell>
          <cell r="L3046" t="str">
            <v>120g/盒</v>
          </cell>
          <cell r="M3046" t="str">
            <v>盒</v>
          </cell>
          <cell r="N3046">
            <v>31.51</v>
          </cell>
          <cell r="O3046">
            <v>48</v>
          </cell>
          <cell r="P3046">
            <v>0.33708333333333301</v>
          </cell>
        </row>
        <row r="3047">
          <cell r="F3047" t="str">
            <v>70657010</v>
          </cell>
          <cell r="G3047" t="str">
            <v>澳葡国际</v>
          </cell>
          <cell r="H3047" t="str">
            <v>逅夫人</v>
          </cell>
          <cell r="I3047" t="str">
            <v>饼干/糕点</v>
          </cell>
          <cell r="J3047" t="str">
            <v>曲奇</v>
          </cell>
          <cell r="K3047" t="str">
            <v>逅夫人 小熊曲奇抹茶味 120g</v>
          </cell>
          <cell r="L3047" t="str">
            <v>120g/盒</v>
          </cell>
          <cell r="M3047" t="str">
            <v>盒</v>
          </cell>
          <cell r="N3047">
            <v>31.51</v>
          </cell>
          <cell r="O3047">
            <v>48</v>
          </cell>
          <cell r="P3047">
            <v>0.33708333333333301</v>
          </cell>
        </row>
        <row r="3048">
          <cell r="F3048" t="str">
            <v>70656962</v>
          </cell>
          <cell r="G3048" t="str">
            <v>澳葡国际</v>
          </cell>
          <cell r="H3048" t="str">
            <v>逅夫人</v>
          </cell>
          <cell r="I3048" t="str">
            <v>饼干/糕点</v>
          </cell>
          <cell r="J3048" t="str">
            <v>曲奇</v>
          </cell>
          <cell r="K3048" t="str">
            <v>逅夫人 小熊曲奇咖啡味 120g</v>
          </cell>
          <cell r="L3048" t="str">
            <v>120g/盒</v>
          </cell>
          <cell r="M3048" t="str">
            <v>盒</v>
          </cell>
          <cell r="N3048">
            <v>31.51</v>
          </cell>
          <cell r="O3048">
            <v>48</v>
          </cell>
          <cell r="P3048">
            <v>0.33708333333333301</v>
          </cell>
        </row>
        <row r="3049">
          <cell r="F3049" t="str">
            <v>70656966</v>
          </cell>
          <cell r="G3049" t="str">
            <v>澳葡国际</v>
          </cell>
          <cell r="H3049" t="str">
            <v>逅夫人</v>
          </cell>
          <cell r="I3049" t="str">
            <v>饼干/糕点</v>
          </cell>
          <cell r="J3049" t="str">
            <v>曲奇</v>
          </cell>
          <cell r="K3049" t="str">
            <v>逅夫人 小熊曲奇紅棗黑桑味  120g</v>
          </cell>
          <cell r="L3049" t="str">
            <v>120g/盒</v>
          </cell>
          <cell r="M3049" t="str">
            <v>盒</v>
          </cell>
          <cell r="N3049">
            <v>31.51</v>
          </cell>
          <cell r="O3049">
            <v>48</v>
          </cell>
          <cell r="P3049">
            <v>0.33708333333333301</v>
          </cell>
        </row>
        <row r="3050">
          <cell r="F3050" t="str">
            <v>70656932</v>
          </cell>
          <cell r="G3050" t="str">
            <v>澳葡国际</v>
          </cell>
          <cell r="H3050" t="str">
            <v>逅夫人</v>
          </cell>
          <cell r="I3050" t="str">
            <v>饼干/糕点</v>
          </cell>
          <cell r="J3050" t="str">
            <v>饼干/糕点</v>
          </cell>
          <cell r="K3050" t="str">
            <v>逅夫人 手工蛋卷 250g</v>
          </cell>
          <cell r="L3050" t="str">
            <v>250g/盒</v>
          </cell>
          <cell r="M3050" t="str">
            <v>盒</v>
          </cell>
          <cell r="N3050">
            <v>45.45</v>
          </cell>
          <cell r="O3050">
            <v>78</v>
          </cell>
          <cell r="P3050">
            <v>0.41153846153846202</v>
          </cell>
        </row>
        <row r="3051">
          <cell r="F3051" t="str">
            <v>70657326</v>
          </cell>
          <cell r="G3051" t="str">
            <v>澳葡国际</v>
          </cell>
          <cell r="H3051" t="str">
            <v>逅夫人</v>
          </cell>
          <cell r="I3051" t="str">
            <v>饼干/糕点</v>
          </cell>
          <cell r="J3051" t="str">
            <v>饼干/糕点</v>
          </cell>
          <cell r="K3051" t="str">
            <v>逅夫人 海苔蛋卷 250g</v>
          </cell>
          <cell r="L3051" t="str">
            <v>250g/盒</v>
          </cell>
          <cell r="M3051" t="str">
            <v>盒</v>
          </cell>
          <cell r="N3051">
            <v>45.45</v>
          </cell>
          <cell r="O3051">
            <v>78</v>
          </cell>
          <cell r="P3051">
            <v>0.41153846153846202</v>
          </cell>
        </row>
        <row r="3052">
          <cell r="F3052" t="str">
            <v>70656963</v>
          </cell>
          <cell r="G3052" t="str">
            <v>澳葡国际</v>
          </cell>
          <cell r="H3052" t="str">
            <v>逅夫人</v>
          </cell>
          <cell r="I3052" t="str">
            <v>饼干/糕点</v>
          </cell>
          <cell r="J3052" t="str">
            <v>饼干/糕点</v>
          </cell>
          <cell r="K3052" t="str">
            <v>逅夫人 咖啡蛋卷 250g</v>
          </cell>
          <cell r="L3052" t="str">
            <v>250g/盒</v>
          </cell>
          <cell r="M3052" t="str">
            <v>盒</v>
          </cell>
          <cell r="N3052">
            <v>45.45</v>
          </cell>
          <cell r="O3052">
            <v>78</v>
          </cell>
          <cell r="P3052">
            <v>0.41153846153846202</v>
          </cell>
        </row>
        <row r="3053">
          <cell r="F3053" t="str">
            <v>70656968</v>
          </cell>
          <cell r="G3053" t="str">
            <v>澳葡国际</v>
          </cell>
          <cell r="H3053" t="str">
            <v>逅夫人</v>
          </cell>
          <cell r="I3053" t="str">
            <v>饼干/糕点</v>
          </cell>
          <cell r="J3053" t="str">
            <v>饼干/糕点</v>
          </cell>
          <cell r="K3053" t="str">
            <v>逅夫人 奶茶蛋卷 250g</v>
          </cell>
          <cell r="L3053" t="str">
            <v>250g/盒</v>
          </cell>
          <cell r="M3053" t="str">
            <v>盒</v>
          </cell>
          <cell r="N3053">
            <v>45.45</v>
          </cell>
          <cell r="O3053">
            <v>78</v>
          </cell>
          <cell r="P3053">
            <v>0.41153846153846202</v>
          </cell>
        </row>
        <row r="3054">
          <cell r="F3054" t="str">
            <v>70131732</v>
          </cell>
          <cell r="G3054" t="str">
            <v>隆力奇</v>
          </cell>
          <cell r="H3054" t="str">
            <v>隆力奇</v>
          </cell>
          <cell r="I3054" t="str">
            <v>个人护理用品</v>
          </cell>
          <cell r="J3054" t="str">
            <v>护肤/化妆品</v>
          </cell>
          <cell r="K3054" t="str">
            <v>隆力奇 羊胎素SOD蜜 105ml</v>
          </cell>
          <cell r="L3054" t="str">
            <v>105m</v>
          </cell>
          <cell r="M3054" t="str">
            <v>瓶</v>
          </cell>
          <cell r="N3054">
            <v>8.91</v>
          </cell>
          <cell r="O3054">
            <v>12.9</v>
          </cell>
          <cell r="P3054">
            <v>0.30232558139534899</v>
          </cell>
        </row>
        <row r="3055">
          <cell r="F3055" t="str">
            <v>70656731</v>
          </cell>
          <cell r="G3055" t="str">
            <v>隆力奇</v>
          </cell>
          <cell r="H3055" t="str">
            <v>隆力奇</v>
          </cell>
          <cell r="I3055" t="str">
            <v>个人护理用品</v>
          </cell>
          <cell r="J3055" t="str">
            <v>护肤/化妆品</v>
          </cell>
          <cell r="K3055" t="str">
            <v>隆力奇 嫩肤润体乳 200ml</v>
          </cell>
          <cell r="L3055" t="str">
            <v>200ml</v>
          </cell>
          <cell r="M3055" t="str">
            <v>瓶</v>
          </cell>
          <cell r="N3055">
            <v>13.82</v>
          </cell>
          <cell r="O3055">
            <v>20.9</v>
          </cell>
          <cell r="P3055">
            <v>0.33253588516746402</v>
          </cell>
        </row>
        <row r="3056">
          <cell r="F3056" t="str">
            <v>70135161</v>
          </cell>
          <cell r="G3056" t="str">
            <v>隆力奇</v>
          </cell>
          <cell r="H3056" t="str">
            <v>隆力奇</v>
          </cell>
          <cell r="I3056" t="str">
            <v>个人护理用品</v>
          </cell>
          <cell r="J3056" t="str">
            <v>护发素</v>
          </cell>
          <cell r="K3056" t="str">
            <v>隆力奇 人参营养护发素 500ml</v>
          </cell>
          <cell r="L3056" t="str">
            <v>500ml</v>
          </cell>
          <cell r="M3056" t="str">
            <v>瓶</v>
          </cell>
          <cell r="N3056">
            <v>10.55</v>
          </cell>
          <cell r="O3056">
            <v>15.9</v>
          </cell>
          <cell r="P3056">
            <v>0.32955974842767299</v>
          </cell>
        </row>
        <row r="3057">
          <cell r="F3057" t="str">
            <v>70656366</v>
          </cell>
          <cell r="G3057" t="str">
            <v>隆力奇</v>
          </cell>
          <cell r="H3057" t="str">
            <v>隆力奇</v>
          </cell>
          <cell r="I3057" t="str">
            <v>个人护理用品</v>
          </cell>
          <cell r="J3057" t="str">
            <v>洗发水</v>
          </cell>
          <cell r="K3057" t="str">
            <v>隆力奇 去屑赋活洗发露 400ml</v>
          </cell>
          <cell r="L3057" t="str">
            <v>400ml</v>
          </cell>
          <cell r="M3057" t="str">
            <v>瓶</v>
          </cell>
          <cell r="N3057">
            <v>13.43</v>
          </cell>
          <cell r="O3057">
            <v>20</v>
          </cell>
          <cell r="P3057">
            <v>0.32150000000000001</v>
          </cell>
        </row>
        <row r="3058">
          <cell r="F3058" t="str">
            <v>70656367</v>
          </cell>
          <cell r="G3058" t="str">
            <v>隆力奇</v>
          </cell>
          <cell r="H3058" t="str">
            <v>隆力奇</v>
          </cell>
          <cell r="I3058" t="str">
            <v>个人护理用品</v>
          </cell>
          <cell r="J3058" t="str">
            <v>沐浴液</v>
          </cell>
          <cell r="K3058" t="str">
            <v>隆力奇 牛奶润肤沐浴露 1.8L</v>
          </cell>
          <cell r="L3058" t="str">
            <v>1.8L</v>
          </cell>
          <cell r="M3058" t="str">
            <v>瓶</v>
          </cell>
          <cell r="N3058">
            <v>32.619999999999997</v>
          </cell>
          <cell r="O3058">
            <v>48.9</v>
          </cell>
          <cell r="P3058">
            <v>0.32617586912065399</v>
          </cell>
        </row>
        <row r="3059">
          <cell r="F3059" t="str">
            <v>70658074</v>
          </cell>
          <cell r="G3059" t="str">
            <v>隆力奇</v>
          </cell>
          <cell r="H3059" t="str">
            <v>隆力奇</v>
          </cell>
          <cell r="I3059" t="str">
            <v>个人护理用品</v>
          </cell>
          <cell r="J3059" t="str">
            <v>沐浴液</v>
          </cell>
          <cell r="K3059" t="str">
            <v>隆力奇 芬芳沐浴露（玫瑰香型） 200ml</v>
          </cell>
          <cell r="L3059" t="str">
            <v>200ml</v>
          </cell>
          <cell r="M3059" t="str">
            <v>瓶</v>
          </cell>
          <cell r="N3059">
            <v>8.64</v>
          </cell>
          <cell r="O3059">
            <v>12.9</v>
          </cell>
          <cell r="P3059">
            <v>0.32403100775193799</v>
          </cell>
        </row>
        <row r="3060">
          <cell r="F3060" t="str">
            <v>70319360</v>
          </cell>
          <cell r="G3060" t="str">
            <v>隆力奇</v>
          </cell>
          <cell r="H3060" t="str">
            <v>隆力奇</v>
          </cell>
          <cell r="I3060" t="str">
            <v>个人护理用品</v>
          </cell>
          <cell r="J3060" t="str">
            <v>沐浴液</v>
          </cell>
          <cell r="K3060" t="str">
            <v>隆力奇 芬芳沐浴露（薰衣草香型） 200ml</v>
          </cell>
          <cell r="L3060" t="str">
            <v>200ml</v>
          </cell>
          <cell r="M3060" t="str">
            <v>瓶</v>
          </cell>
          <cell r="N3060">
            <v>8.64</v>
          </cell>
          <cell r="O3060">
            <v>12.9</v>
          </cell>
          <cell r="P3060">
            <v>0.32403100775193799</v>
          </cell>
        </row>
        <row r="3061">
          <cell r="F3061" t="str">
            <v>70108827</v>
          </cell>
          <cell r="G3061" t="str">
            <v>隆力奇</v>
          </cell>
          <cell r="H3061" t="str">
            <v>隆力奇</v>
          </cell>
          <cell r="I3061" t="str">
            <v>个人护理用品</v>
          </cell>
          <cell r="J3061" t="str">
            <v>皂类</v>
          </cell>
          <cell r="K3061" t="str">
            <v>隆力奇 蛇胆金银花香皂  120g</v>
          </cell>
          <cell r="L3061" t="str">
            <v>120g</v>
          </cell>
          <cell r="M3061" t="str">
            <v>个</v>
          </cell>
          <cell r="N3061">
            <v>4.04</v>
          </cell>
          <cell r="O3061">
            <v>6.9</v>
          </cell>
          <cell r="P3061">
            <v>0.40869565217391302</v>
          </cell>
        </row>
        <row r="3062">
          <cell r="F3062" t="str">
            <v>70516375</v>
          </cell>
          <cell r="G3062" t="str">
            <v>隆力奇</v>
          </cell>
          <cell r="H3062" t="str">
            <v>隆力奇</v>
          </cell>
          <cell r="I3062" t="str">
            <v>个人护理用品</v>
          </cell>
          <cell r="J3062" t="str">
            <v>护肤/化妆品</v>
          </cell>
          <cell r="K3062" t="str">
            <v>隆力奇 草本清凉爽肤凝露  60ml</v>
          </cell>
          <cell r="L3062" t="str">
            <v>60ml</v>
          </cell>
          <cell r="M3062" t="str">
            <v>瓶</v>
          </cell>
          <cell r="N3062">
            <v>10.55</v>
          </cell>
          <cell r="O3062">
            <v>15.9</v>
          </cell>
          <cell r="P3062">
            <v>0.32955974842767299</v>
          </cell>
        </row>
        <row r="3063">
          <cell r="F3063" t="str">
            <v>70484273</v>
          </cell>
          <cell r="G3063" t="str">
            <v>隆力奇</v>
          </cell>
          <cell r="H3063" t="str">
            <v>隆力奇</v>
          </cell>
          <cell r="I3063" t="str">
            <v>清洁用品</v>
          </cell>
          <cell r="J3063" t="str">
            <v>洗涤类</v>
          </cell>
          <cell r="K3063" t="str">
            <v>隆力奇 柠檬洗洁精 1.1kg</v>
          </cell>
          <cell r="L3063" t="str">
            <v>1.1k</v>
          </cell>
          <cell r="M3063" t="str">
            <v>瓶</v>
          </cell>
          <cell r="N3063">
            <v>9.9</v>
          </cell>
          <cell r="O3063">
            <v>14.9</v>
          </cell>
          <cell r="P3063">
            <v>0.32885906040268498</v>
          </cell>
        </row>
        <row r="3064">
          <cell r="F3064" t="str">
            <v>70656917</v>
          </cell>
          <cell r="G3064" t="str">
            <v>维达</v>
          </cell>
          <cell r="H3064" t="str">
            <v>维达</v>
          </cell>
          <cell r="I3064" t="str">
            <v>个人护理用品</v>
          </cell>
          <cell r="J3064" t="str">
            <v>抽纸</v>
          </cell>
          <cell r="K3064" t="str">
            <v>维达 超韧3层抽取式纸面巾 120抽</v>
          </cell>
          <cell r="L3064" t="str">
            <v>120抽</v>
          </cell>
          <cell r="M3064" t="str">
            <v>包</v>
          </cell>
          <cell r="N3064">
            <v>2.02</v>
          </cell>
          <cell r="O3064">
            <v>3.5</v>
          </cell>
          <cell r="P3064">
            <v>0.41714285714285698</v>
          </cell>
        </row>
        <row r="3065">
          <cell r="F3065" t="str">
            <v>70656942</v>
          </cell>
          <cell r="G3065" t="str">
            <v>维达</v>
          </cell>
          <cell r="H3065" t="str">
            <v>维达</v>
          </cell>
          <cell r="I3065" t="str">
            <v>个人护理用品</v>
          </cell>
          <cell r="J3065" t="str">
            <v>抽纸</v>
          </cell>
          <cell r="K3065" t="str">
            <v>维达 悬挂式厨房抽纸2层XL码 180抽</v>
          </cell>
          <cell r="L3065" t="str">
            <v>180抽</v>
          </cell>
          <cell r="M3065" t="str">
            <v>包</v>
          </cell>
          <cell r="N3065">
            <v>9.6</v>
          </cell>
          <cell r="O3065">
            <v>14</v>
          </cell>
          <cell r="P3065">
            <v>0.307857142857143</v>
          </cell>
        </row>
        <row r="3066">
          <cell r="F3066" t="str">
            <v>70320536</v>
          </cell>
          <cell r="G3066" t="str">
            <v>维达</v>
          </cell>
          <cell r="H3066" t="str">
            <v>维达</v>
          </cell>
          <cell r="I3066" t="str">
            <v>个人护理用品</v>
          </cell>
          <cell r="J3066" t="str">
            <v>湿巾</v>
          </cell>
          <cell r="K3066" t="str">
            <v>维达 超净化纯水湿巾 80片</v>
          </cell>
          <cell r="L3066" t="str">
            <v>80片</v>
          </cell>
          <cell r="M3066" t="str">
            <v>包</v>
          </cell>
          <cell r="N3066">
            <v>8.69</v>
          </cell>
          <cell r="O3066">
            <v>13</v>
          </cell>
          <cell r="P3066">
            <v>0.32538461538461499</v>
          </cell>
        </row>
        <row r="3067">
          <cell r="F3067" t="str">
            <v>70656967</v>
          </cell>
          <cell r="G3067" t="str">
            <v>维达</v>
          </cell>
          <cell r="H3067" t="str">
            <v>维达</v>
          </cell>
          <cell r="I3067" t="str">
            <v>个人护理用品</v>
          </cell>
          <cell r="J3067" t="str">
            <v>抽纸</v>
          </cell>
          <cell r="K3067" t="str">
            <v>维达 超韧3层抽取式面巾纸122抽</v>
          </cell>
          <cell r="L3067" t="str">
            <v>122抽</v>
          </cell>
          <cell r="M3067" t="str">
            <v>包</v>
          </cell>
          <cell r="N3067">
            <v>2.12</v>
          </cell>
          <cell r="O3067">
            <v>4</v>
          </cell>
          <cell r="P3067">
            <v>0.46500000000000002</v>
          </cell>
        </row>
        <row r="3068">
          <cell r="F3068" t="str">
            <v>70656929</v>
          </cell>
          <cell r="G3068" t="str">
            <v>维达</v>
          </cell>
          <cell r="H3068" t="str">
            <v>维达</v>
          </cell>
          <cell r="I3068" t="str">
            <v>个人护理用品</v>
          </cell>
          <cell r="J3068" t="str">
            <v>卷筒纸</v>
          </cell>
          <cell r="K3068" t="str">
            <v>维达 蓝色经典有芯卷纸4层 145g</v>
          </cell>
          <cell r="L3068" t="str">
            <v>145g</v>
          </cell>
          <cell r="M3068" t="str">
            <v>个</v>
          </cell>
          <cell r="N3068">
            <v>2.02</v>
          </cell>
          <cell r="O3068">
            <v>3.9</v>
          </cell>
          <cell r="P3068">
            <v>0.47692307692307701</v>
          </cell>
        </row>
        <row r="3069">
          <cell r="F3069" t="str">
            <v>70578354</v>
          </cell>
          <cell r="G3069" t="str">
            <v>维达</v>
          </cell>
          <cell r="H3069" t="str">
            <v>维达</v>
          </cell>
          <cell r="I3069" t="str">
            <v>个人护理用品</v>
          </cell>
          <cell r="J3069" t="str">
            <v>湿厕纸</v>
          </cell>
          <cell r="K3069" t="str">
            <v>得宝 洋甘菊湿厕纸40片</v>
          </cell>
          <cell r="L3069" t="str">
            <v>40片</v>
          </cell>
          <cell r="M3069" t="str">
            <v>包</v>
          </cell>
          <cell r="N3069">
            <v>8.08</v>
          </cell>
          <cell r="O3069">
            <v>14.9</v>
          </cell>
          <cell r="P3069">
            <v>0.45234899328859102</v>
          </cell>
        </row>
        <row r="3070">
          <cell r="F3070" t="str">
            <v>70578349</v>
          </cell>
          <cell r="G3070" t="str">
            <v>维达</v>
          </cell>
          <cell r="H3070" t="str">
            <v>维达</v>
          </cell>
          <cell r="I3070" t="str">
            <v>个人护理用品</v>
          </cell>
          <cell r="J3070" t="str">
            <v>湿厕纸</v>
          </cell>
          <cell r="K3070" t="str">
            <v>得宝 芦荟湿厕纸40片</v>
          </cell>
          <cell r="L3070" t="str">
            <v>40片</v>
          </cell>
          <cell r="M3070" t="str">
            <v>包</v>
          </cell>
          <cell r="N3070">
            <v>8.08</v>
          </cell>
          <cell r="O3070">
            <v>14.9</v>
          </cell>
          <cell r="P3070">
            <v>0.45234899328859102</v>
          </cell>
        </row>
        <row r="3071">
          <cell r="F3071" t="str">
            <v>70658068</v>
          </cell>
          <cell r="G3071" t="str">
            <v>维达</v>
          </cell>
          <cell r="H3071" t="str">
            <v>优可舒</v>
          </cell>
          <cell r="I3071" t="str">
            <v>个人护理用品</v>
          </cell>
          <cell r="J3071" t="str">
            <v>洁面</v>
          </cell>
          <cell r="K3071" t="str">
            <v>优可舒 洗脸柔巾珍珠纹 10片</v>
          </cell>
          <cell r="L3071" t="str">
            <v>10片</v>
          </cell>
          <cell r="M3071" t="str">
            <v>包</v>
          </cell>
          <cell r="N3071">
            <v>2.12</v>
          </cell>
          <cell r="O3071">
            <v>3</v>
          </cell>
          <cell r="P3071">
            <v>0.28666666666666701</v>
          </cell>
        </row>
        <row r="3072">
          <cell r="F3072" t="str">
            <v>70656728</v>
          </cell>
          <cell r="G3072" t="str">
            <v>维达</v>
          </cell>
          <cell r="H3072" t="str">
            <v>优可舒</v>
          </cell>
          <cell r="I3072" t="str">
            <v>个人护理用品</v>
          </cell>
          <cell r="J3072" t="str">
            <v>日用品</v>
          </cell>
          <cell r="K3072" t="str">
            <v>优可舒 珍珠纹一次性浴巾 70*140cm</v>
          </cell>
          <cell r="L3072" t="str">
            <v>70*140cm</v>
          </cell>
          <cell r="M3072" t="str">
            <v>包</v>
          </cell>
          <cell r="N3072">
            <v>4.75</v>
          </cell>
          <cell r="O3072">
            <v>7</v>
          </cell>
          <cell r="P3072">
            <v>0.315714285714286</v>
          </cell>
        </row>
        <row r="3073">
          <cell r="F3073" t="str">
            <v>70656918</v>
          </cell>
          <cell r="G3073" t="str">
            <v>孚日</v>
          </cell>
          <cell r="H3073" t="str">
            <v>孚日洁玉</v>
          </cell>
          <cell r="I3073" t="str">
            <v>日用品</v>
          </cell>
          <cell r="J3073" t="str">
            <v>纺织品</v>
          </cell>
          <cell r="K3073" t="str">
            <v>洁玉 叶语毛巾 34cm*74m</v>
          </cell>
          <cell r="L3073" t="str">
            <v>34cm*74m</v>
          </cell>
          <cell r="M3073" t="str">
            <v>个</v>
          </cell>
          <cell r="N3073">
            <v>11.31</v>
          </cell>
          <cell r="O3073">
            <v>17.899999999999999</v>
          </cell>
          <cell r="P3073">
            <v>0.36201117318435699</v>
          </cell>
        </row>
        <row r="3074">
          <cell r="F3074" t="str">
            <v>70658004</v>
          </cell>
          <cell r="G3074" t="str">
            <v>孚日</v>
          </cell>
          <cell r="H3074" t="str">
            <v>孚日洁玉</v>
          </cell>
          <cell r="I3074" t="str">
            <v>日用品</v>
          </cell>
          <cell r="J3074" t="str">
            <v>纺织品</v>
          </cell>
          <cell r="K3074" t="str">
            <v>洁玉 沐兮毛巾 34cm*72cm</v>
          </cell>
          <cell r="L3074" t="str">
            <v>34cm*72cm</v>
          </cell>
          <cell r="M3074" t="str">
            <v>个</v>
          </cell>
          <cell r="N3074">
            <v>11.92</v>
          </cell>
          <cell r="O3074">
            <v>18.899999999999999</v>
          </cell>
          <cell r="P3074">
            <v>0.36296296296296299</v>
          </cell>
        </row>
        <row r="3075">
          <cell r="F3075" t="str">
            <v>70658069</v>
          </cell>
          <cell r="G3075" t="str">
            <v>孚日</v>
          </cell>
          <cell r="H3075" t="str">
            <v>孚日洁玉</v>
          </cell>
          <cell r="I3075" t="str">
            <v>日用品</v>
          </cell>
          <cell r="J3075" t="str">
            <v>纺织品</v>
          </cell>
          <cell r="K3075" t="str">
            <v>洁玉 铭玉毛巾 34cm*74cm</v>
          </cell>
          <cell r="L3075" t="str">
            <v>34cm*74cm</v>
          </cell>
          <cell r="M3075" t="str">
            <v>个</v>
          </cell>
          <cell r="N3075">
            <v>12.63</v>
          </cell>
          <cell r="O3075">
            <v>19.899999999999999</v>
          </cell>
          <cell r="P3075">
            <v>0.35929648241206003</v>
          </cell>
        </row>
        <row r="3076">
          <cell r="F3076" t="str">
            <v>70656730</v>
          </cell>
          <cell r="G3076" t="str">
            <v>孚日</v>
          </cell>
          <cell r="H3076" t="str">
            <v>孚日洁玉</v>
          </cell>
          <cell r="I3076" t="str">
            <v>日用品</v>
          </cell>
          <cell r="J3076" t="str">
            <v>纺织品</v>
          </cell>
          <cell r="K3076" t="str">
            <v>洁玉 柔彩毛巾 34cm*76cm</v>
          </cell>
          <cell r="L3076" t="str">
            <v>34cm*76cm</v>
          </cell>
          <cell r="M3076" t="str">
            <v>个</v>
          </cell>
          <cell r="N3076">
            <v>12.12</v>
          </cell>
          <cell r="O3076">
            <v>21</v>
          </cell>
          <cell r="P3076">
            <v>0.41714285714285698</v>
          </cell>
        </row>
        <row r="3077">
          <cell r="F3077" t="str">
            <v>70658005</v>
          </cell>
          <cell r="G3077" t="str">
            <v>孚日</v>
          </cell>
          <cell r="H3077" t="str">
            <v>孚日洁玉</v>
          </cell>
          <cell r="I3077" t="str">
            <v>日用品</v>
          </cell>
          <cell r="J3077" t="str">
            <v>纺织品</v>
          </cell>
          <cell r="K3077" t="str">
            <v>洁玉 春野樱毛巾 34cm*74cm</v>
          </cell>
          <cell r="L3077" t="str">
            <v>34cm*74cm</v>
          </cell>
          <cell r="M3077" t="str">
            <v>个</v>
          </cell>
          <cell r="N3077">
            <v>14.14</v>
          </cell>
          <cell r="O3077">
            <v>31.2</v>
          </cell>
          <cell r="P3077">
            <v>0.54230769230769205</v>
          </cell>
        </row>
        <row r="3078">
          <cell r="F3078" t="str">
            <v>70656783</v>
          </cell>
          <cell r="G3078" t="str">
            <v>孚日</v>
          </cell>
          <cell r="H3078" t="str">
            <v>孚日洁玉</v>
          </cell>
          <cell r="I3078" t="str">
            <v>日用品</v>
          </cell>
          <cell r="J3078" t="str">
            <v>纺织品</v>
          </cell>
          <cell r="K3078" t="str">
            <v>洁玉 密境花园柔软亲肤印花四套 200cm*230cm</v>
          </cell>
          <cell r="L3078" t="str">
            <v>200cm*230cm</v>
          </cell>
          <cell r="M3078" t="str">
            <v>个</v>
          </cell>
          <cell r="N3078">
            <v>228.26</v>
          </cell>
          <cell r="O3078">
            <v>689</v>
          </cell>
          <cell r="P3078">
            <v>0.66542815674891198</v>
          </cell>
        </row>
        <row r="3079">
          <cell r="F3079" t="str">
            <v>70658070</v>
          </cell>
          <cell r="G3079" t="str">
            <v>孚日</v>
          </cell>
          <cell r="H3079" t="str">
            <v>孚日洁玉</v>
          </cell>
          <cell r="I3079" t="str">
            <v>日用品</v>
          </cell>
          <cell r="J3079" t="str">
            <v>纺织品</v>
          </cell>
          <cell r="K3079" t="str">
            <v>洁玉 密境花园水洗印花夏被 150cm*215cm</v>
          </cell>
          <cell r="L3079" t="str">
            <v>150cm*215cm</v>
          </cell>
          <cell r="M3079" t="str">
            <v>个</v>
          </cell>
          <cell r="N3079">
            <v>131.30000000000001</v>
          </cell>
          <cell r="O3079">
            <v>399</v>
          </cell>
          <cell r="P3079">
            <v>0.66766917293233097</v>
          </cell>
        </row>
        <row r="3080">
          <cell r="F3080" t="str">
            <v>70658071</v>
          </cell>
          <cell r="G3080" t="str">
            <v>孚日</v>
          </cell>
          <cell r="H3080" t="str">
            <v>孚日洁玉</v>
          </cell>
          <cell r="I3080" t="str">
            <v>日用品</v>
          </cell>
          <cell r="J3080" t="str">
            <v>纺织品</v>
          </cell>
          <cell r="K3080" t="str">
            <v>洁玉 岸芷汀兰双层半边绒毯 130cm*170cm</v>
          </cell>
          <cell r="L3080" t="str">
            <v>130cm*170cm</v>
          </cell>
          <cell r="M3080" t="str">
            <v>个</v>
          </cell>
          <cell r="N3080">
            <v>242.4</v>
          </cell>
          <cell r="O3080">
            <v>699</v>
          </cell>
          <cell r="P3080">
            <v>0.64978540772532201</v>
          </cell>
        </row>
        <row r="3081">
          <cell r="F3081" t="str">
            <v>70658096</v>
          </cell>
          <cell r="G3081" t="str">
            <v>立白</v>
          </cell>
          <cell r="H3081" t="str">
            <v>立白</v>
          </cell>
          <cell r="I3081" t="str">
            <v>日用品</v>
          </cell>
          <cell r="J3081" t="str">
            <v>餐具</v>
          </cell>
          <cell r="K3081" t="str">
            <v>丰兔 安心塑碗360mL 20只</v>
          </cell>
          <cell r="L3081" t="str">
            <v>20只</v>
          </cell>
          <cell r="M3081" t="str">
            <v>个</v>
          </cell>
          <cell r="N3081">
            <v>4.71</v>
          </cell>
          <cell r="O3081">
            <v>8</v>
          </cell>
          <cell r="P3081">
            <v>0.40625</v>
          </cell>
        </row>
        <row r="3082">
          <cell r="F3082" t="str">
            <v>70658106</v>
          </cell>
          <cell r="G3082" t="str">
            <v>立白</v>
          </cell>
          <cell r="H3082" t="str">
            <v>立白</v>
          </cell>
          <cell r="I3082" t="str">
            <v>日用品</v>
          </cell>
          <cell r="J3082" t="str">
            <v>餐具</v>
          </cell>
          <cell r="K3082" t="str">
            <v>丰兔 安心纸杯230mL 50只</v>
          </cell>
          <cell r="L3082" t="str">
            <v>50只</v>
          </cell>
          <cell r="M3082" t="str">
            <v>个</v>
          </cell>
          <cell r="N3082">
            <v>7.07</v>
          </cell>
          <cell r="O3082">
            <v>12</v>
          </cell>
          <cell r="P3082">
            <v>0.40500000000000003</v>
          </cell>
        </row>
        <row r="3083">
          <cell r="F3083" t="str">
            <v>70658094</v>
          </cell>
          <cell r="G3083" t="str">
            <v>立白</v>
          </cell>
          <cell r="H3083" t="str">
            <v>立白</v>
          </cell>
          <cell r="I3083" t="str">
            <v>清洁用品</v>
          </cell>
          <cell r="J3083" t="str">
            <v>厨房清洁</v>
          </cell>
          <cell r="K3083" t="str">
            <v>丰兔 耐用钢丝球 2只</v>
          </cell>
          <cell r="L3083" t="str">
            <v>2只</v>
          </cell>
          <cell r="M3083" t="str">
            <v>个</v>
          </cell>
          <cell r="N3083">
            <v>2.98</v>
          </cell>
          <cell r="O3083">
            <v>4.5</v>
          </cell>
          <cell r="P3083">
            <v>0.33111111111111102</v>
          </cell>
        </row>
        <row r="3084">
          <cell r="F3084" t="str">
            <v>70656364</v>
          </cell>
          <cell r="G3084" t="str">
            <v>立白</v>
          </cell>
          <cell r="H3084" t="str">
            <v>立白</v>
          </cell>
          <cell r="I3084" t="str">
            <v>清洁用品</v>
          </cell>
          <cell r="J3084" t="str">
            <v>厨房清洁</v>
          </cell>
          <cell r="K3084" t="str">
            <v>丰兔 耐用钢丝球 6只</v>
          </cell>
          <cell r="L3084" t="str">
            <v>6只</v>
          </cell>
          <cell r="M3084" t="str">
            <v>个</v>
          </cell>
          <cell r="N3084">
            <v>7.86</v>
          </cell>
          <cell r="O3084">
            <v>12</v>
          </cell>
          <cell r="P3084">
            <v>0.33833333333333299</v>
          </cell>
        </row>
        <row r="3085">
          <cell r="F3085" t="str">
            <v>70656363</v>
          </cell>
          <cell r="G3085" t="str">
            <v>立白</v>
          </cell>
          <cell r="H3085" t="str">
            <v>立白</v>
          </cell>
          <cell r="I3085" t="str">
            <v>清洁用品</v>
          </cell>
          <cell r="J3085" t="str">
            <v>家居清洁</v>
          </cell>
          <cell r="K3085" t="str">
            <v>丰兔 棉柔抹布 3片</v>
          </cell>
          <cell r="L3085" t="str">
            <v>3片</v>
          </cell>
          <cell r="M3085" t="str">
            <v>个</v>
          </cell>
          <cell r="N3085">
            <v>7.93</v>
          </cell>
          <cell r="O3085">
            <v>13</v>
          </cell>
          <cell r="P3085">
            <v>0.383846153846154</v>
          </cell>
        </row>
        <row r="3086">
          <cell r="F3086" t="str">
            <v>70658072</v>
          </cell>
          <cell r="G3086" t="str">
            <v>立白</v>
          </cell>
          <cell r="H3086" t="str">
            <v>立白</v>
          </cell>
          <cell r="I3086" t="str">
            <v>清洁用品</v>
          </cell>
          <cell r="J3086" t="str">
            <v>厨房清洁</v>
          </cell>
          <cell r="K3086" t="str">
            <v>丰兔 海绵百洁布单片装 1片</v>
          </cell>
          <cell r="L3086" t="str">
            <v>1片</v>
          </cell>
          <cell r="M3086" t="str">
            <v>个</v>
          </cell>
          <cell r="N3086">
            <v>1.98</v>
          </cell>
          <cell r="O3086">
            <v>3</v>
          </cell>
          <cell r="P3086">
            <v>0.33333333333333298</v>
          </cell>
        </row>
        <row r="3087">
          <cell r="F3087" t="str">
            <v>70658073</v>
          </cell>
          <cell r="G3087" t="str">
            <v>立白</v>
          </cell>
          <cell r="H3087" t="str">
            <v>立白</v>
          </cell>
          <cell r="I3087" t="str">
            <v>清洁用品</v>
          </cell>
          <cell r="J3087" t="str">
            <v>家居清洁</v>
          </cell>
          <cell r="K3087" t="str">
            <v>丰兔 抽绳式垃圾袋（45cm*50cm*4卷） 60只</v>
          </cell>
          <cell r="L3087" t="str">
            <v>60只</v>
          </cell>
          <cell r="M3087" t="str">
            <v>个</v>
          </cell>
          <cell r="N3087">
            <v>12.38</v>
          </cell>
          <cell r="O3087">
            <v>19</v>
          </cell>
          <cell r="P3087">
            <v>0.34157894736842098</v>
          </cell>
        </row>
        <row r="3088">
          <cell r="F3088" t="str">
            <v>70658006</v>
          </cell>
          <cell r="G3088" t="str">
            <v>立白</v>
          </cell>
          <cell r="H3088" t="str">
            <v>立白</v>
          </cell>
          <cell r="I3088" t="str">
            <v>清洁用品</v>
          </cell>
          <cell r="J3088" t="str">
            <v>家居清洁</v>
          </cell>
          <cell r="K3088" t="str">
            <v>丰兔 平口式垃圾袋（45cm*48cm*3卷） 75只</v>
          </cell>
          <cell r="L3088" t="str">
            <v>75只</v>
          </cell>
          <cell r="M3088" t="str">
            <v>个</v>
          </cell>
          <cell r="N3088">
            <v>9.15</v>
          </cell>
          <cell r="O3088">
            <v>14</v>
          </cell>
          <cell r="P3088">
            <v>0.34</v>
          </cell>
        </row>
        <row r="3089">
          <cell r="F3089" t="str">
            <v>70643797</v>
          </cell>
          <cell r="G3089" t="str">
            <v>海天</v>
          </cell>
          <cell r="H3089" t="str">
            <v>海天</v>
          </cell>
          <cell r="I3089" t="str">
            <v>家庭食品</v>
          </cell>
          <cell r="J3089" t="str">
            <v>调味品</v>
          </cell>
          <cell r="K3089" t="str">
            <v>海天致美味-悦享好佳礼礼盒 3.2KG</v>
          </cell>
          <cell r="L3089" t="str">
            <v>3.2KG</v>
          </cell>
          <cell r="M3089" t="str">
            <v>盒</v>
          </cell>
          <cell r="N3089">
            <v>33.130000000000003</v>
          </cell>
          <cell r="O3089">
            <v>64.900000000000006</v>
          </cell>
          <cell r="P3089">
            <v>0.484437596302003</v>
          </cell>
        </row>
        <row r="3090">
          <cell r="F3090" t="str">
            <v>70483907</v>
          </cell>
          <cell r="G3090" t="str">
            <v>海天</v>
          </cell>
          <cell r="H3090" t="str">
            <v>海天</v>
          </cell>
          <cell r="I3090" t="str">
            <v>家庭食品</v>
          </cell>
          <cell r="J3090" t="str">
            <v>调味品</v>
          </cell>
          <cell r="K3090" t="str">
            <v>海天致美味-良辰美景礼盒 2.9KG</v>
          </cell>
          <cell r="L3090" t="str">
            <v>2.9KG</v>
          </cell>
          <cell r="M3090" t="str">
            <v>盒</v>
          </cell>
          <cell r="N3090">
            <v>49.49</v>
          </cell>
          <cell r="O3090">
            <v>78</v>
          </cell>
          <cell r="P3090">
            <v>0.35923076923076902</v>
          </cell>
        </row>
        <row r="3091">
          <cell r="F3091" t="str">
            <v>70291529</v>
          </cell>
          <cell r="G3091" t="str">
            <v>海天</v>
          </cell>
          <cell r="H3091" t="str">
            <v>海天</v>
          </cell>
          <cell r="I3091" t="str">
            <v>家庭食品</v>
          </cell>
          <cell r="J3091" t="str">
            <v>调味品</v>
          </cell>
          <cell r="K3091" t="str">
            <v>海天致美味-安康礼致礼盒 2.8KG</v>
          </cell>
          <cell r="L3091" t="str">
            <v>2.8KG</v>
          </cell>
          <cell r="M3091" t="str">
            <v>盒</v>
          </cell>
          <cell r="N3091">
            <v>35.35</v>
          </cell>
          <cell r="O3091">
            <v>69.900000000000006</v>
          </cell>
          <cell r="P3091">
            <v>0.48927038626609398</v>
          </cell>
        </row>
        <row r="3092">
          <cell r="F3092" t="str">
            <v>70006441</v>
          </cell>
          <cell r="G3092" t="str">
            <v>海天</v>
          </cell>
          <cell r="H3092" t="str">
            <v>海天</v>
          </cell>
          <cell r="I3092" t="str">
            <v>家庭食品</v>
          </cell>
          <cell r="J3092" t="str">
            <v>调味品</v>
          </cell>
          <cell r="K3092" t="str">
            <v>海天 特级金标生抽 500mL</v>
          </cell>
          <cell r="L3092" t="str">
            <v>500ml</v>
          </cell>
          <cell r="M3092" t="str">
            <v>瓶</v>
          </cell>
          <cell r="N3092">
            <v>7.42</v>
          </cell>
          <cell r="O3092">
            <v>9</v>
          </cell>
          <cell r="P3092">
            <v>0.16666666666666699</v>
          </cell>
        </row>
        <row r="3093">
          <cell r="F3093" t="str">
            <v>70445114</v>
          </cell>
          <cell r="G3093" t="str">
            <v>海天</v>
          </cell>
          <cell r="H3093" t="str">
            <v>海天</v>
          </cell>
          <cell r="I3093" t="str">
            <v>家庭食品</v>
          </cell>
          <cell r="J3093" t="str">
            <v>调味品</v>
          </cell>
          <cell r="K3093" t="str">
            <v>海天 上等蚝油 1kg</v>
          </cell>
          <cell r="L3093" t="str">
            <v>1kg</v>
          </cell>
          <cell r="M3093" t="str">
            <v>瓶</v>
          </cell>
          <cell r="N3093">
            <v>8.99</v>
          </cell>
          <cell r="O3093">
            <v>11.5</v>
          </cell>
          <cell r="P3093">
            <v>0.210434782608696</v>
          </cell>
        </row>
        <row r="3094">
          <cell r="F3094" t="str">
            <v>70016830</v>
          </cell>
          <cell r="G3094" t="str">
            <v>海天</v>
          </cell>
          <cell r="H3094" t="str">
            <v>海天</v>
          </cell>
          <cell r="I3094" t="str">
            <v>家庭食品</v>
          </cell>
          <cell r="J3094" t="str">
            <v>调味品</v>
          </cell>
          <cell r="K3094" t="str">
            <v>海天 金标生抽 500ml</v>
          </cell>
          <cell r="L3094" t="str">
            <v>500ml</v>
          </cell>
          <cell r="M3094" t="str">
            <v>瓶</v>
          </cell>
          <cell r="N3094">
            <v>6.39</v>
          </cell>
          <cell r="O3094">
            <v>8.9</v>
          </cell>
          <cell r="P3094">
            <v>0.27415730337078698</v>
          </cell>
        </row>
        <row r="3095">
          <cell r="F3095" t="str">
            <v>70656777</v>
          </cell>
          <cell r="G3095" t="str">
            <v>海天</v>
          </cell>
          <cell r="H3095" t="str">
            <v>海天</v>
          </cell>
          <cell r="I3095" t="str">
            <v>家庭食品</v>
          </cell>
          <cell r="J3095" t="str">
            <v>调味品</v>
          </cell>
          <cell r="K3095" t="str">
            <v>海天 招牌拌饭酱(5袋装) 20g*5</v>
          </cell>
          <cell r="L3095" t="str">
            <v>20g*5</v>
          </cell>
          <cell r="M3095" t="str">
            <v>包</v>
          </cell>
          <cell r="N3095">
            <v>4.4400000000000004</v>
          </cell>
          <cell r="O3095">
            <v>7.5</v>
          </cell>
          <cell r="P3095">
            <v>0.40133333333333299</v>
          </cell>
        </row>
        <row r="3096">
          <cell r="F3096" t="str">
            <v>70656776</v>
          </cell>
          <cell r="G3096" t="str">
            <v>盼盼</v>
          </cell>
          <cell r="H3096" t="str">
            <v>盼盼</v>
          </cell>
          <cell r="I3096" t="str">
            <v>零食</v>
          </cell>
          <cell r="J3096" t="str">
            <v>膨化食品</v>
          </cell>
          <cell r="K3096" t="str">
            <v>盼盼 Hello Kitty萌趣礼包 360g</v>
          </cell>
          <cell r="L3096" t="str">
            <v>360g</v>
          </cell>
          <cell r="M3096" t="str">
            <v>包</v>
          </cell>
          <cell r="N3096">
            <v>13.94</v>
          </cell>
          <cell r="O3096">
            <v>19.899999999999999</v>
          </cell>
          <cell r="P3096">
            <v>0.29246231155778901</v>
          </cell>
        </row>
        <row r="3097">
          <cell r="F3097" t="str">
            <v>70656354</v>
          </cell>
          <cell r="G3097" t="str">
            <v>盼盼</v>
          </cell>
          <cell r="H3097" t="str">
            <v>盼盼</v>
          </cell>
          <cell r="I3097" t="str">
            <v>零食</v>
          </cell>
          <cell r="J3097" t="str">
            <v>膨化食品</v>
          </cell>
          <cell r="K3097" t="str">
            <v>盼盼 Hello Kitty萌力礼包 751g</v>
          </cell>
          <cell r="L3097" t="str">
            <v>751g</v>
          </cell>
          <cell r="M3097" t="str">
            <v>包</v>
          </cell>
          <cell r="N3097">
            <v>21.01</v>
          </cell>
          <cell r="O3097">
            <v>29.9</v>
          </cell>
          <cell r="P3097">
            <v>0.290301003344482</v>
          </cell>
        </row>
        <row r="3098">
          <cell r="F3098" t="str">
            <v>70649938</v>
          </cell>
          <cell r="G3098" t="str">
            <v>盼盼</v>
          </cell>
          <cell r="H3098" t="str">
            <v>盼盼</v>
          </cell>
          <cell r="I3098" t="str">
            <v>零食</v>
          </cell>
          <cell r="J3098" t="str">
            <v>膨化食品</v>
          </cell>
          <cell r="K3098" t="str">
            <v>盼盼 Hello Kitty心愿礼盒 903g</v>
          </cell>
          <cell r="L3098" t="str">
            <v>903g</v>
          </cell>
          <cell r="M3098" t="str">
            <v>包</v>
          </cell>
          <cell r="N3098">
            <v>27.78</v>
          </cell>
          <cell r="O3098">
            <v>39.9</v>
          </cell>
          <cell r="P3098">
            <v>0.29699248120300697</v>
          </cell>
        </row>
        <row r="3099">
          <cell r="F3099" t="str">
            <v>70656899</v>
          </cell>
          <cell r="G3099" t="str">
            <v>盼盼</v>
          </cell>
          <cell r="H3099" t="str">
            <v>盼盼</v>
          </cell>
          <cell r="I3099" t="str">
            <v>零食</v>
          </cell>
          <cell r="J3099" t="str">
            <v>饼干/糕点</v>
          </cell>
          <cell r="K3099" t="str">
            <v>盼盼 低GI无糖饼干健康礼 1010g</v>
          </cell>
          <cell r="L3099" t="str">
            <v>1010g</v>
          </cell>
          <cell r="M3099" t="str">
            <v>盒</v>
          </cell>
          <cell r="N3099">
            <v>34.85</v>
          </cell>
          <cell r="O3099">
            <v>49.9</v>
          </cell>
          <cell r="P3099">
            <v>0.29478957915831699</v>
          </cell>
        </row>
        <row r="3100">
          <cell r="F3100" t="str">
            <v>70649939</v>
          </cell>
          <cell r="G3100" t="str">
            <v>盼盼</v>
          </cell>
          <cell r="H3100" t="str">
            <v>盼盼</v>
          </cell>
          <cell r="I3100" t="str">
            <v>零食</v>
          </cell>
          <cell r="J3100" t="str">
            <v>饼干/糕点</v>
          </cell>
          <cell r="K3100" t="str">
            <v>盼盼 巧克力味·派礼盒-巧克力味 600g</v>
          </cell>
          <cell r="L3100" t="str">
            <v>600g</v>
          </cell>
          <cell r="M3100" t="str">
            <v>盒</v>
          </cell>
          <cell r="N3100">
            <v>17.37</v>
          </cell>
          <cell r="O3100">
            <v>25</v>
          </cell>
          <cell r="P3100">
            <v>0.2984</v>
          </cell>
        </row>
        <row r="3101">
          <cell r="F3101" t="str">
            <v>70553387</v>
          </cell>
          <cell r="G3101" t="str">
            <v>盼盼</v>
          </cell>
          <cell r="H3101" t="str">
            <v>盼盼</v>
          </cell>
          <cell r="I3101" t="str">
            <v>零食</v>
          </cell>
          <cell r="J3101" t="str">
            <v>膨化食品</v>
          </cell>
          <cell r="K3101" t="str">
            <v>盼盼 喜气洋洋礼盒 510g+400ml</v>
          </cell>
          <cell r="L3101" t="str">
            <v>510g+400ml</v>
          </cell>
          <cell r="M3101" t="str">
            <v>盒</v>
          </cell>
          <cell r="N3101">
            <v>26.99</v>
          </cell>
          <cell r="O3101">
            <v>39</v>
          </cell>
          <cell r="P3101">
            <v>0.30128205128205099</v>
          </cell>
        </row>
        <row r="3102">
          <cell r="F3102" t="str">
            <v>70553388</v>
          </cell>
          <cell r="G3102" t="str">
            <v>盼盼</v>
          </cell>
          <cell r="H3102" t="str">
            <v>盼盼</v>
          </cell>
          <cell r="I3102" t="str">
            <v>零食</v>
          </cell>
          <cell r="J3102" t="str">
            <v>膨化食品</v>
          </cell>
          <cell r="K3102" t="str">
            <v>盼盼 福气满满礼盒 460g+400ml</v>
          </cell>
          <cell r="L3102" t="str">
            <v>460g+400ml</v>
          </cell>
          <cell r="M3102" t="str">
            <v>盒</v>
          </cell>
          <cell r="N3102">
            <v>40.4</v>
          </cell>
          <cell r="O3102">
            <v>59</v>
          </cell>
          <cell r="P3102">
            <v>0.30847457627118602</v>
          </cell>
        </row>
        <row r="3103">
          <cell r="F3103" t="str">
            <v>70487353</v>
          </cell>
          <cell r="G3103" t="str">
            <v>全棉时代</v>
          </cell>
          <cell r="H3103" t="str">
            <v>全棉时代</v>
          </cell>
          <cell r="I3103" t="str">
            <v>个人护理用品</v>
          </cell>
          <cell r="J3103" t="str">
            <v>卫生用品</v>
          </cell>
          <cell r="K3103" t="str">
            <v>全棉时代 婴儿棉湿巾手口专用65g,150mm×200mm 20片/包</v>
          </cell>
          <cell r="L3103" t="str">
            <v>20片/包</v>
          </cell>
          <cell r="M3103" t="str">
            <v>包</v>
          </cell>
          <cell r="N3103">
            <v>5.45</v>
          </cell>
          <cell r="O3103">
            <v>8.8000000000000007</v>
          </cell>
          <cell r="P3103">
            <v>0.37386363636363601</v>
          </cell>
        </row>
        <row r="3104">
          <cell r="F3104" t="str">
            <v>70486511</v>
          </cell>
          <cell r="G3104" t="str">
            <v>全棉时代</v>
          </cell>
          <cell r="H3104" t="str">
            <v>全棉时代</v>
          </cell>
          <cell r="I3104" t="str">
            <v>个人护理用品</v>
          </cell>
          <cell r="J3104" t="str">
            <v>卫生用品</v>
          </cell>
          <cell r="K3104" t="str">
            <v>全棉时代 卫生湿巾 40gsm平纹17*18cm,1/包 10包/袋</v>
          </cell>
          <cell r="L3104" t="str">
            <v>1片/包,10包/袋</v>
          </cell>
          <cell r="M3104" t="str">
            <v>包</v>
          </cell>
          <cell r="N3104">
            <v>6.51</v>
          </cell>
          <cell r="O3104">
            <v>10.9</v>
          </cell>
          <cell r="P3104">
            <v>0.39633027522935799</v>
          </cell>
        </row>
        <row r="3105">
          <cell r="F3105" t="str">
            <v>70640534</v>
          </cell>
          <cell r="G3105" t="str">
            <v>全棉时代</v>
          </cell>
          <cell r="H3105" t="str">
            <v>全棉时代</v>
          </cell>
          <cell r="I3105" t="str">
            <v>个人护理用品</v>
          </cell>
          <cell r="J3105" t="str">
            <v>卫生用品</v>
          </cell>
          <cell r="K3105" t="str">
            <v>全棉时代 全棉MINI日抛浴巾60gsm，提花,100cm*60cm 1条/包</v>
          </cell>
          <cell r="L3105" t="str">
            <v>1条/袋</v>
          </cell>
          <cell r="M3105" t="str">
            <v>包</v>
          </cell>
          <cell r="N3105">
            <v>10.1</v>
          </cell>
          <cell r="O3105">
            <v>21.8</v>
          </cell>
          <cell r="P3105">
            <v>0.53211009174311896</v>
          </cell>
        </row>
        <row r="3106">
          <cell r="F3106" t="str">
            <v>70640535</v>
          </cell>
          <cell r="G3106" t="str">
            <v>全棉时代</v>
          </cell>
          <cell r="H3106" t="str">
            <v>全棉时代</v>
          </cell>
          <cell r="I3106" t="str">
            <v>个人护理用品</v>
          </cell>
          <cell r="J3106" t="str">
            <v>卫生用品</v>
          </cell>
          <cell r="K3106" t="str">
            <v>全棉时代 全棉周抛毛巾32cmx100cm  1条/纸袋</v>
          </cell>
          <cell r="L3106" t="str">
            <v>1条/袋</v>
          </cell>
          <cell r="M3106" t="str">
            <v>包</v>
          </cell>
          <cell r="N3106">
            <v>11.67</v>
          </cell>
          <cell r="O3106">
            <v>19.8</v>
          </cell>
          <cell r="P3106">
            <v>0.40505050505050499</v>
          </cell>
        </row>
        <row r="3107">
          <cell r="F3107" t="str">
            <v>70640556</v>
          </cell>
          <cell r="G3107" t="str">
            <v>全棉时代</v>
          </cell>
          <cell r="H3107" t="str">
            <v>全棉时代</v>
          </cell>
          <cell r="I3107" t="str">
            <v>个人护理用品</v>
          </cell>
          <cell r="J3107" t="str">
            <v>卫生用品</v>
          </cell>
          <cell r="K3107" t="str">
            <v>全棉时代 全棉柔巾60g平纹，200mm*200mm  20片/包</v>
          </cell>
          <cell r="L3107" t="str">
            <v>20片/包</v>
          </cell>
          <cell r="M3107" t="str">
            <v>包</v>
          </cell>
          <cell r="N3107">
            <v>7.68</v>
          </cell>
          <cell r="O3107">
            <v>11.8</v>
          </cell>
          <cell r="P3107">
            <v>0.34322033898305099</v>
          </cell>
        </row>
        <row r="3108">
          <cell r="F3108" t="str">
            <v>70563615</v>
          </cell>
          <cell r="G3108" t="str">
            <v>全棉时代</v>
          </cell>
          <cell r="H3108" t="str">
            <v>全棉时代</v>
          </cell>
          <cell r="I3108" t="str">
            <v>个人护理用品</v>
          </cell>
          <cell r="J3108" t="str">
            <v>卫生用品</v>
          </cell>
          <cell r="K3108" t="str">
            <v>全棉时代 全棉柔巾60g平纹，200mm*200mm,50片/包</v>
          </cell>
          <cell r="L3108" t="str">
            <v>50片/包</v>
          </cell>
          <cell r="M3108" t="str">
            <v>包</v>
          </cell>
          <cell r="N3108">
            <v>13.43</v>
          </cell>
          <cell r="O3108">
            <v>18.899999999999999</v>
          </cell>
          <cell r="P3108">
            <v>0.28201058201058199</v>
          </cell>
        </row>
        <row r="3109">
          <cell r="F3109" t="str">
            <v>70656913</v>
          </cell>
          <cell r="G3109" t="str">
            <v>全棉时代</v>
          </cell>
          <cell r="H3109" t="str">
            <v>全棉时代</v>
          </cell>
          <cell r="I3109" t="str">
            <v>个人护理用品</v>
          </cell>
          <cell r="J3109" t="str">
            <v>卫生用品</v>
          </cell>
          <cell r="K3109" t="str">
            <v>全棉时代 纯棉洗脸巾60gsm,200X200mm,60片/包</v>
          </cell>
          <cell r="L3109" t="str">
            <v>60片/包</v>
          </cell>
          <cell r="M3109" t="str">
            <v>包</v>
          </cell>
          <cell r="N3109">
            <v>16.48</v>
          </cell>
          <cell r="O3109">
            <v>24.9</v>
          </cell>
          <cell r="P3109">
            <v>0.33132530120481901</v>
          </cell>
        </row>
        <row r="3110">
          <cell r="F3110" t="str">
            <v>70508963</v>
          </cell>
          <cell r="G3110" t="str">
            <v>永健</v>
          </cell>
          <cell r="H3110" t="str">
            <v>永健</v>
          </cell>
          <cell r="I3110" t="str">
            <v>零食</v>
          </cell>
          <cell r="J3110" t="str">
            <v>肉脯</v>
          </cell>
          <cell r="K3110" t="str">
            <v>永健 脱骨凤爪（柠檬味）20g</v>
          </cell>
          <cell r="L3110" t="str">
            <v>20g</v>
          </cell>
          <cell r="M3110" t="str">
            <v>袋</v>
          </cell>
          <cell r="N3110">
            <v>1.92</v>
          </cell>
          <cell r="O3110">
            <v>2.9</v>
          </cell>
          <cell r="P3110">
            <v>0.33103448275862102</v>
          </cell>
        </row>
        <row r="3111">
          <cell r="F3111" t="str">
            <v>70640599</v>
          </cell>
          <cell r="G3111" t="str">
            <v>永健</v>
          </cell>
          <cell r="H3111" t="str">
            <v>永健</v>
          </cell>
          <cell r="I3111" t="str">
            <v>零食</v>
          </cell>
          <cell r="J3111" t="str">
            <v>肉脯</v>
          </cell>
          <cell r="K3111" t="str">
            <v>永健 泡椒凤爪（山椒经典）70g</v>
          </cell>
          <cell r="L3111" t="str">
            <v>70g</v>
          </cell>
          <cell r="M3111" t="str">
            <v>袋</v>
          </cell>
          <cell r="N3111">
            <v>3.93</v>
          </cell>
          <cell r="O3111">
            <v>5.9</v>
          </cell>
          <cell r="P3111">
            <v>0.327118644067797</v>
          </cell>
        </row>
        <row r="3112">
          <cell r="F3112" t="str">
            <v>70112386</v>
          </cell>
          <cell r="G3112" t="str">
            <v>永健</v>
          </cell>
          <cell r="H3112" t="str">
            <v>永健</v>
          </cell>
          <cell r="I3112" t="str">
            <v>零食</v>
          </cell>
          <cell r="J3112" t="str">
            <v>肉脯</v>
          </cell>
          <cell r="K3112" t="str">
            <v>永健 泡椒鲜笋（山椒经典）80g</v>
          </cell>
          <cell r="L3112" t="str">
            <v>80g</v>
          </cell>
          <cell r="M3112" t="str">
            <v>袋</v>
          </cell>
          <cell r="N3112">
            <v>2.97</v>
          </cell>
          <cell r="O3112">
            <v>4.5</v>
          </cell>
          <cell r="P3112">
            <v>0.33333333333333298</v>
          </cell>
        </row>
        <row r="3113">
          <cell r="F3113" t="str">
            <v>70640575</v>
          </cell>
          <cell r="G3113" t="str">
            <v>永健</v>
          </cell>
          <cell r="H3113" t="str">
            <v>永健</v>
          </cell>
          <cell r="I3113" t="str">
            <v>零食</v>
          </cell>
          <cell r="J3113" t="str">
            <v>肉脯</v>
          </cell>
          <cell r="K3113" t="str">
            <v>永健 霸王笋尖 35g</v>
          </cell>
          <cell r="L3113" t="str">
            <v>35g</v>
          </cell>
          <cell r="M3113" t="str">
            <v>袋</v>
          </cell>
          <cell r="N3113">
            <v>1.92</v>
          </cell>
          <cell r="O3113">
            <v>2.9</v>
          </cell>
          <cell r="P3113">
            <v>0.33103448275862102</v>
          </cell>
        </row>
        <row r="3114">
          <cell r="F3114" t="str">
            <v>70103279</v>
          </cell>
          <cell r="G3114" t="str">
            <v>永健</v>
          </cell>
          <cell r="H3114" t="str">
            <v>永健</v>
          </cell>
          <cell r="I3114" t="str">
            <v>零食</v>
          </cell>
          <cell r="J3114" t="str">
            <v>肉脯</v>
          </cell>
          <cell r="K3114" t="str">
            <v>永健 品3优豆干（五香味）80g</v>
          </cell>
          <cell r="L3114" t="str">
            <v>80g</v>
          </cell>
          <cell r="M3114" t="str">
            <v>袋</v>
          </cell>
          <cell r="N3114">
            <v>2.64</v>
          </cell>
          <cell r="O3114">
            <v>4</v>
          </cell>
          <cell r="P3114">
            <v>0.33500000000000002</v>
          </cell>
        </row>
        <row r="3115">
          <cell r="F3115" t="str">
            <v>70165986</v>
          </cell>
          <cell r="G3115" t="str">
            <v>永健</v>
          </cell>
          <cell r="H3115" t="str">
            <v>永健</v>
          </cell>
          <cell r="I3115" t="str">
            <v>零食</v>
          </cell>
          <cell r="J3115" t="str">
            <v>肉脯</v>
          </cell>
          <cell r="K3115" t="str">
            <v>永健 品3优豆干（香辣味）80g</v>
          </cell>
          <cell r="L3115" t="str">
            <v>80g</v>
          </cell>
          <cell r="M3115" t="str">
            <v>袋</v>
          </cell>
          <cell r="N3115">
            <v>2.64</v>
          </cell>
          <cell r="O3115">
            <v>4</v>
          </cell>
          <cell r="P3115">
            <v>0.33500000000000002</v>
          </cell>
        </row>
        <row r="3116">
          <cell r="F3116" t="str">
            <v>70512692</v>
          </cell>
          <cell r="G3116" t="str">
            <v>永健</v>
          </cell>
          <cell r="H3116" t="str">
            <v>永健</v>
          </cell>
          <cell r="I3116" t="str">
            <v>零食</v>
          </cell>
          <cell r="J3116" t="str">
            <v>肉脯</v>
          </cell>
          <cell r="K3116" t="str">
            <v>永健 脱骨凤爪（泰式风味）15g</v>
          </cell>
          <cell r="L3116" t="str">
            <v>15g</v>
          </cell>
          <cell r="M3116" t="str">
            <v>袋</v>
          </cell>
          <cell r="N3116">
            <v>1.92</v>
          </cell>
          <cell r="O3116">
            <v>2.9</v>
          </cell>
          <cell r="P3116">
            <v>0.33103448275862102</v>
          </cell>
        </row>
        <row r="3117">
          <cell r="F3117" t="str">
            <v>70657945</v>
          </cell>
          <cell r="G3117" t="str">
            <v>玛氏箭牌</v>
          </cell>
          <cell r="H3117" t="str">
            <v>益达</v>
          </cell>
          <cell r="I3117" t="str">
            <v>糖果</v>
          </cell>
          <cell r="J3117" t="str">
            <v>口香糖</v>
          </cell>
          <cell r="K3117" t="str">
            <v>益达 口香糖10粒装薄荷味 14g</v>
          </cell>
          <cell r="L3117" t="str">
            <v>14g</v>
          </cell>
          <cell r="M3117" t="str">
            <v>个</v>
          </cell>
          <cell r="N3117">
            <v>2.5299999999999998</v>
          </cell>
          <cell r="O3117">
            <v>3</v>
          </cell>
          <cell r="P3117">
            <v>0.15</v>
          </cell>
        </row>
        <row r="3118">
          <cell r="F3118" t="str">
            <v>70657964</v>
          </cell>
          <cell r="G3118" t="str">
            <v>玛氏箭牌</v>
          </cell>
          <cell r="H3118" t="str">
            <v>益达</v>
          </cell>
          <cell r="I3118" t="str">
            <v>糖果</v>
          </cell>
          <cell r="J3118" t="str">
            <v>口香糖</v>
          </cell>
          <cell r="K3118" t="str">
            <v>益达 口香糖10粒装草莓味 14g</v>
          </cell>
          <cell r="L3118" t="str">
            <v>14g</v>
          </cell>
          <cell r="M3118" t="str">
            <v>个</v>
          </cell>
          <cell r="N3118">
            <v>2.5299999999999998</v>
          </cell>
          <cell r="O3118">
            <v>3</v>
          </cell>
          <cell r="P3118">
            <v>0.15</v>
          </cell>
        </row>
        <row r="3119">
          <cell r="F3119" t="str">
            <v>70657965</v>
          </cell>
          <cell r="G3119" t="str">
            <v>玛氏箭牌</v>
          </cell>
          <cell r="H3119" t="str">
            <v>德芙</v>
          </cell>
          <cell r="I3119" t="str">
            <v>糖果</v>
          </cell>
          <cell r="J3119" t="str">
            <v>巧克力</v>
          </cell>
          <cell r="K3119" t="str">
            <v>德芙 脆可可巧克力 15g</v>
          </cell>
          <cell r="L3119" t="str">
            <v>15g</v>
          </cell>
          <cell r="M3119" t="str">
            <v>个</v>
          </cell>
          <cell r="N3119">
            <v>2.37</v>
          </cell>
          <cell r="O3119">
            <v>3</v>
          </cell>
          <cell r="P3119">
            <v>0.2</v>
          </cell>
        </row>
        <row r="3120">
          <cell r="F3120" t="str">
            <v>70658066</v>
          </cell>
          <cell r="G3120" t="str">
            <v>玛氏箭牌</v>
          </cell>
          <cell r="H3120" t="str">
            <v>彩虹</v>
          </cell>
          <cell r="I3120" t="str">
            <v>糖果</v>
          </cell>
          <cell r="J3120" t="str">
            <v>糖果</v>
          </cell>
          <cell r="K3120" t="str">
            <v>彩虹糖 吃定彩虹软糖缤纷果味 9g</v>
          </cell>
          <cell r="L3120" t="str">
            <v>9g</v>
          </cell>
          <cell r="M3120" t="str">
            <v>个</v>
          </cell>
          <cell r="N3120">
            <v>0.79</v>
          </cell>
          <cell r="O3120">
            <v>1</v>
          </cell>
          <cell r="P3120">
            <v>0.2</v>
          </cell>
        </row>
        <row r="3121">
          <cell r="F3121" t="str">
            <v>70054793</v>
          </cell>
          <cell r="G3121" t="str">
            <v>玛氏箭牌</v>
          </cell>
          <cell r="H3121" t="str">
            <v>德芙</v>
          </cell>
          <cell r="I3121" t="str">
            <v>糖果</v>
          </cell>
          <cell r="J3121" t="str">
            <v>巧克力</v>
          </cell>
          <cell r="K3121" t="str">
            <v>德芙 奶香白巧克力 43克</v>
          </cell>
          <cell r="L3121" t="str">
            <v>43g</v>
          </cell>
          <cell r="M3121" t="str">
            <v>个</v>
          </cell>
          <cell r="N3121">
            <v>7.07</v>
          </cell>
          <cell r="O3121">
            <v>8</v>
          </cell>
          <cell r="P3121">
            <v>0.1075</v>
          </cell>
        </row>
        <row r="3122">
          <cell r="F3122" t="str">
            <v>70206387</v>
          </cell>
          <cell r="G3122" t="str">
            <v>玛氏箭牌</v>
          </cell>
          <cell r="H3122" t="str">
            <v>脆香米</v>
          </cell>
          <cell r="I3122" t="str">
            <v>糖果</v>
          </cell>
          <cell r="J3122" t="str">
            <v>巧克力</v>
          </cell>
          <cell r="K3122" t="str">
            <v>脆香米 24克</v>
          </cell>
          <cell r="L3122" t="str">
            <v>24g</v>
          </cell>
          <cell r="M3122" t="str">
            <v>个</v>
          </cell>
          <cell r="N3122">
            <v>3.33</v>
          </cell>
          <cell r="O3122">
            <v>4</v>
          </cell>
          <cell r="P3122">
            <v>0.1575</v>
          </cell>
        </row>
        <row r="3123">
          <cell r="F3123" t="str">
            <v>70641264</v>
          </cell>
          <cell r="G3123" t="str">
            <v>中粮名庄荟</v>
          </cell>
          <cell r="H3123" t="str">
            <v>长城</v>
          </cell>
          <cell r="I3123" t="str">
            <v>酒类</v>
          </cell>
          <cell r="J3123" t="str">
            <v>气泡酒</v>
          </cell>
          <cell r="K3123" t="str">
            <v>长城 悦-炫甜瓜茉莉乌龙味气泡酒 330ml</v>
          </cell>
          <cell r="L3123" t="str">
            <v>330ml</v>
          </cell>
          <cell r="M3123" t="str">
            <v>瓶</v>
          </cell>
          <cell r="N3123">
            <v>6.06</v>
          </cell>
          <cell r="O3123">
            <v>8.9</v>
          </cell>
          <cell r="P3123">
            <v>0.31235955056179798</v>
          </cell>
        </row>
        <row r="3124">
          <cell r="F3124" t="str">
            <v>70641263</v>
          </cell>
          <cell r="G3124" t="str">
            <v>中粮名庄荟</v>
          </cell>
          <cell r="H3124" t="str">
            <v>长城</v>
          </cell>
          <cell r="I3124" t="str">
            <v>酒类</v>
          </cell>
          <cell r="J3124" t="str">
            <v>气泡酒</v>
          </cell>
          <cell r="K3124" t="str">
            <v>长城 悦-炫白桃接骨木味气泡酒 330ml</v>
          </cell>
          <cell r="L3124" t="str">
            <v>330ml</v>
          </cell>
          <cell r="M3124" t="str">
            <v>瓶</v>
          </cell>
          <cell r="N3124">
            <v>6.06</v>
          </cell>
          <cell r="O3124">
            <v>8.9</v>
          </cell>
          <cell r="P3124">
            <v>0.31235955056179798</v>
          </cell>
        </row>
        <row r="3125">
          <cell r="F3125" t="str">
            <v>70642057</v>
          </cell>
          <cell r="G3125" t="str">
            <v>中粮名庄荟</v>
          </cell>
          <cell r="H3125" t="str">
            <v>长城</v>
          </cell>
          <cell r="I3125" t="str">
            <v>酒类</v>
          </cell>
          <cell r="J3125" t="str">
            <v>气泡酒</v>
          </cell>
          <cell r="K3125" t="str">
            <v>长城 悦-炫鲜橙红茶味气泡酒 330ml</v>
          </cell>
          <cell r="L3125" t="str">
            <v>330ml</v>
          </cell>
          <cell r="M3125" t="str">
            <v>瓶</v>
          </cell>
          <cell r="N3125">
            <v>6.06</v>
          </cell>
          <cell r="O3125">
            <v>8.9</v>
          </cell>
          <cell r="P3125">
            <v>0.31235955056179798</v>
          </cell>
        </row>
        <row r="3126">
          <cell r="F3126" t="str">
            <v>70656360</v>
          </cell>
          <cell r="G3126" t="str">
            <v>中粮名庄荟</v>
          </cell>
          <cell r="H3126" t="str">
            <v>长城</v>
          </cell>
          <cell r="I3126" t="str">
            <v>酒类</v>
          </cell>
          <cell r="J3126" t="str">
            <v>果酒</v>
          </cell>
          <cell r="K3126" t="str">
            <v>长城 悦-青梅酒 365ml</v>
          </cell>
          <cell r="L3126" t="str">
            <v>365ml</v>
          </cell>
          <cell r="M3126" t="str">
            <v>瓶</v>
          </cell>
          <cell r="N3126">
            <v>24.24</v>
          </cell>
          <cell r="O3126">
            <v>38</v>
          </cell>
          <cell r="P3126">
            <v>0.35578947368420999</v>
          </cell>
        </row>
        <row r="3127">
          <cell r="F3127" t="str">
            <v>70266169</v>
          </cell>
          <cell r="G3127" t="str">
            <v>中粮名庄荟</v>
          </cell>
          <cell r="H3127" t="str">
            <v>麦格根</v>
          </cell>
          <cell r="I3127" t="str">
            <v>酒类</v>
          </cell>
          <cell r="J3127" t="str">
            <v>进口葡萄酒</v>
          </cell>
          <cell r="K3127" t="str">
            <v>麦格根 黑牌红葡萄酒 750ml</v>
          </cell>
          <cell r="L3127" t="str">
            <v>750ml</v>
          </cell>
          <cell r="M3127" t="str">
            <v>瓶</v>
          </cell>
          <cell r="N3127">
            <v>64.64</v>
          </cell>
          <cell r="O3127">
            <v>158</v>
          </cell>
          <cell r="P3127">
            <v>0.58683544303797497</v>
          </cell>
        </row>
        <row r="3128">
          <cell r="F3128" t="str">
            <v>70656914</v>
          </cell>
          <cell r="G3128" t="str">
            <v>九三</v>
          </cell>
          <cell r="H3128" t="str">
            <v>九三</v>
          </cell>
          <cell r="I3128" t="str">
            <v>家庭食品</v>
          </cell>
          <cell r="J3128" t="str">
            <v>油</v>
          </cell>
          <cell r="K3128" t="str">
            <v>九三 大豆二酯食用油（马口铁） 1L</v>
          </cell>
          <cell r="L3128" t="str">
            <v>1L</v>
          </cell>
          <cell r="M3128" t="str">
            <v>瓶</v>
          </cell>
          <cell r="N3128">
            <v>47.47</v>
          </cell>
          <cell r="O3128">
            <v>69.900000000000006</v>
          </cell>
          <cell r="P3128">
            <v>0.31416309012875498</v>
          </cell>
        </row>
        <row r="3129">
          <cell r="F3129" t="str">
            <v>70656912</v>
          </cell>
          <cell r="G3129" t="str">
            <v>九三</v>
          </cell>
          <cell r="H3129" t="str">
            <v>九三</v>
          </cell>
          <cell r="I3129" t="str">
            <v>家庭食品</v>
          </cell>
          <cell r="J3129" t="str">
            <v>油</v>
          </cell>
          <cell r="K3129" t="str">
            <v>九三 大豆二酯食用油（马口铁） 4L</v>
          </cell>
          <cell r="L3129" t="str">
            <v>4L</v>
          </cell>
          <cell r="M3129" t="str">
            <v>桶</v>
          </cell>
          <cell r="N3129">
            <v>165.64</v>
          </cell>
          <cell r="O3129">
            <v>199.9</v>
          </cell>
          <cell r="P3129">
            <v>0.16318159079539801</v>
          </cell>
        </row>
        <row r="3130">
          <cell r="F3130" t="str">
            <v>70656906</v>
          </cell>
          <cell r="G3130" t="str">
            <v>九三</v>
          </cell>
          <cell r="H3130" t="str">
            <v>九三</v>
          </cell>
          <cell r="I3130" t="str">
            <v>家庭食品</v>
          </cell>
          <cell r="J3130" t="str">
            <v>油</v>
          </cell>
          <cell r="K3130" t="str">
            <v>九三 有机压榨浓香大豆油 5L</v>
          </cell>
          <cell r="L3130" t="str">
            <v>5L</v>
          </cell>
          <cell r="M3130" t="str">
            <v>桶</v>
          </cell>
          <cell r="N3130">
            <v>96.96</v>
          </cell>
          <cell r="O3130">
            <v>115</v>
          </cell>
          <cell r="P3130">
            <v>0.14852173913043501</v>
          </cell>
        </row>
        <row r="3131">
          <cell r="F3131" t="str">
            <v>70656908</v>
          </cell>
          <cell r="G3131" t="str">
            <v>九三</v>
          </cell>
          <cell r="H3131" t="str">
            <v>九三</v>
          </cell>
          <cell r="I3131" t="str">
            <v>家庭食品</v>
          </cell>
          <cell r="J3131" t="str">
            <v>油</v>
          </cell>
          <cell r="K3131" t="str">
            <v>九三 有机压榨清香大豆油 5L</v>
          </cell>
          <cell r="L3131" t="str">
            <v>5L</v>
          </cell>
          <cell r="M3131" t="str">
            <v>桶</v>
          </cell>
          <cell r="N3131">
            <v>96.96</v>
          </cell>
          <cell r="O3131">
            <v>122</v>
          </cell>
          <cell r="P3131">
            <v>0.197377049180328</v>
          </cell>
        </row>
        <row r="3132">
          <cell r="F3132" t="str">
            <v>70656905</v>
          </cell>
          <cell r="G3132" t="str">
            <v>五粮液</v>
          </cell>
          <cell r="H3132" t="str">
            <v>丝路花雨</v>
          </cell>
          <cell r="I3132" t="str">
            <v>酒类</v>
          </cell>
          <cell r="J3132" t="str">
            <v>白酒</v>
          </cell>
          <cell r="K3132" t="str">
            <v>丝路花雨 五粮浓香 500ml</v>
          </cell>
          <cell r="L3132" t="str">
            <v>500ml</v>
          </cell>
          <cell r="M3132" t="str">
            <v>瓶</v>
          </cell>
          <cell r="N3132">
            <v>142.41</v>
          </cell>
          <cell r="O3132">
            <v>480</v>
          </cell>
          <cell r="P3132">
            <v>0.70331250000000001</v>
          </cell>
        </row>
        <row r="3133">
          <cell r="F3133" t="str">
            <v>70593074</v>
          </cell>
          <cell r="G3133" t="str">
            <v>五粮液</v>
          </cell>
          <cell r="H3133" t="str">
            <v>澳奇拉-西拉</v>
          </cell>
          <cell r="I3133" t="str">
            <v>酒类</v>
          </cell>
          <cell r="J3133" t="str">
            <v>葡萄酒</v>
          </cell>
          <cell r="K3133" t="str">
            <v>澳奇拉-西拉 2022干红葡萄酒 750ml</v>
          </cell>
          <cell r="L3133" t="str">
            <v>750ml/瓶</v>
          </cell>
          <cell r="M3133" t="str">
            <v>瓶</v>
          </cell>
          <cell r="N3133">
            <v>101</v>
          </cell>
          <cell r="O3133">
            <v>399</v>
          </cell>
          <cell r="P3133">
            <v>0.744360902255639</v>
          </cell>
        </row>
        <row r="3134">
          <cell r="F3134" t="str">
            <v>70617095</v>
          </cell>
          <cell r="G3134" t="str">
            <v>五粮液</v>
          </cell>
          <cell r="H3134" t="str">
            <v>川红茶业</v>
          </cell>
          <cell r="I3134" t="str">
            <v>家庭食品</v>
          </cell>
          <cell r="J3134" t="str">
            <v>茶</v>
          </cell>
          <cell r="K3134" t="str">
            <v>川红茶业 川红工夫红茶礼盒 120g</v>
          </cell>
          <cell r="L3134" t="str">
            <v>120g/盒</v>
          </cell>
          <cell r="M3134" t="str">
            <v>盒</v>
          </cell>
          <cell r="N3134">
            <v>80.8</v>
          </cell>
          <cell r="O3134">
            <v>299</v>
          </cell>
          <cell r="P3134">
            <v>0.72709030100334404</v>
          </cell>
        </row>
        <row r="3135">
          <cell r="F3135" t="str">
            <v>75000753</v>
          </cell>
          <cell r="G3135" t="str">
            <v>统一饮料</v>
          </cell>
          <cell r="H3135" t="str">
            <v>统一饮料</v>
          </cell>
          <cell r="I3135" t="str">
            <v>包装饮料</v>
          </cell>
          <cell r="J3135" t="str">
            <v>茶饮料</v>
          </cell>
          <cell r="K3135" t="str">
            <v>统一 无糖春拂奇兰乌龙 900ml</v>
          </cell>
          <cell r="L3135" t="str">
            <v>900ml</v>
          </cell>
          <cell r="M3135" t="str">
            <v>瓶</v>
          </cell>
          <cell r="N3135">
            <v>3.67</v>
          </cell>
          <cell r="O3135">
            <v>6</v>
          </cell>
          <cell r="P3135">
            <v>0.38333333333333303</v>
          </cell>
        </row>
        <row r="3136">
          <cell r="F3136" t="str">
            <v>75000754</v>
          </cell>
          <cell r="G3136" t="str">
            <v>统一饮料</v>
          </cell>
          <cell r="H3136" t="str">
            <v>统一饮料</v>
          </cell>
          <cell r="I3136" t="str">
            <v>包装饮料</v>
          </cell>
          <cell r="J3136" t="str">
            <v>茶饮料</v>
          </cell>
          <cell r="K3136" t="str">
            <v>统一 无糖春拂奇兰乌龙 500ml</v>
          </cell>
          <cell r="L3136" t="str">
            <v>500ml</v>
          </cell>
          <cell r="M3136" t="str">
            <v>瓶</v>
          </cell>
          <cell r="N3136">
            <v>2.5499999999999998</v>
          </cell>
          <cell r="O3136">
            <v>4</v>
          </cell>
          <cell r="P3136">
            <v>0.35749999999999998</v>
          </cell>
        </row>
        <row r="3137">
          <cell r="F3137" t="str">
            <v>70357172</v>
          </cell>
          <cell r="G3137" t="str">
            <v>中粮油脂</v>
          </cell>
          <cell r="H3137" t="str">
            <v>福临门</v>
          </cell>
          <cell r="I3137" t="str">
            <v>家庭食品</v>
          </cell>
          <cell r="J3137" t="str">
            <v>油</v>
          </cell>
          <cell r="K3137" t="str">
            <v>福临门 非转基因纯正玉米油 5L</v>
          </cell>
          <cell r="L3137" t="str">
            <v>5L</v>
          </cell>
          <cell r="M3137" t="str">
            <v>桶</v>
          </cell>
          <cell r="N3137">
            <v>60.6</v>
          </cell>
          <cell r="O3137">
            <v>65</v>
          </cell>
          <cell r="P3137">
            <v>5.8461538461538398E-2</v>
          </cell>
        </row>
        <row r="3138">
          <cell r="F3138" t="str">
            <v>70265540</v>
          </cell>
          <cell r="G3138" t="str">
            <v>中粮油脂</v>
          </cell>
          <cell r="H3138" t="str">
            <v>福临门</v>
          </cell>
          <cell r="I3138" t="str">
            <v>家庭食品</v>
          </cell>
          <cell r="J3138" t="str">
            <v>油</v>
          </cell>
          <cell r="K3138" t="str">
            <v>福临门 非转基因小榨花生香食用植物调和油 5L</v>
          </cell>
          <cell r="L3138" t="str">
            <v>5L</v>
          </cell>
          <cell r="M3138" t="str">
            <v>桶</v>
          </cell>
          <cell r="N3138">
            <v>64.64</v>
          </cell>
          <cell r="O3138">
            <v>69.900000000000006</v>
          </cell>
          <cell r="P3138">
            <v>6.6094420600858406E-2</v>
          </cell>
        </row>
        <row r="3139">
          <cell r="F3139" t="str">
            <v>70656358</v>
          </cell>
          <cell r="G3139" t="str">
            <v>中粮油脂</v>
          </cell>
          <cell r="H3139" t="str">
            <v>福临门</v>
          </cell>
          <cell r="I3139" t="str">
            <v>家庭食品</v>
          </cell>
          <cell r="J3139" t="str">
            <v>油</v>
          </cell>
          <cell r="K3139" t="str">
            <v>福临门 压榨一级花生油 4L</v>
          </cell>
          <cell r="L3139" t="str">
            <v>4L</v>
          </cell>
          <cell r="M3139" t="str">
            <v>桶</v>
          </cell>
          <cell r="N3139">
            <v>79.790000000000006</v>
          </cell>
          <cell r="O3139">
            <v>99.9</v>
          </cell>
          <cell r="P3139">
            <v>0.19339339339339301</v>
          </cell>
        </row>
        <row r="3140">
          <cell r="F3140" t="str">
            <v>70656781</v>
          </cell>
          <cell r="G3140" t="str">
            <v>劲仔</v>
          </cell>
          <cell r="H3140" t="str">
            <v>劲仔</v>
          </cell>
          <cell r="I3140" t="str">
            <v>零食</v>
          </cell>
          <cell r="J3140" t="str">
            <v>豆制品零食</v>
          </cell>
          <cell r="K3140" t="str">
            <v>劲仔 京门爆肚醇香麻酱味 18g</v>
          </cell>
          <cell r="L3140" t="str">
            <v>18g</v>
          </cell>
          <cell r="M3140" t="str">
            <v>个</v>
          </cell>
          <cell r="N3140">
            <v>1.01</v>
          </cell>
          <cell r="O3140">
            <v>1.5</v>
          </cell>
          <cell r="P3140">
            <v>0.32</v>
          </cell>
        </row>
        <row r="3141">
          <cell r="F3141" t="str">
            <v>70656780</v>
          </cell>
          <cell r="G3141" t="str">
            <v>劲仔</v>
          </cell>
          <cell r="H3141" t="str">
            <v>劲仔</v>
          </cell>
          <cell r="I3141" t="str">
            <v>零食</v>
          </cell>
          <cell r="J3141" t="str">
            <v>豆制品零食</v>
          </cell>
          <cell r="K3141" t="str">
            <v>劲仔 京门爆肚麻辣麻酱味 18g</v>
          </cell>
          <cell r="L3141" t="str">
            <v>18g</v>
          </cell>
          <cell r="M3141" t="str">
            <v>个</v>
          </cell>
          <cell r="N3141">
            <v>1.01</v>
          </cell>
          <cell r="O3141">
            <v>1.5</v>
          </cell>
          <cell r="P3141">
            <v>0.32</v>
          </cell>
        </row>
        <row r="3142">
          <cell r="F3142" t="str">
            <v>70658067</v>
          </cell>
          <cell r="G3142" t="str">
            <v>剑南春</v>
          </cell>
          <cell r="H3142" t="str">
            <v>剑南春</v>
          </cell>
          <cell r="I3142" t="str">
            <v>酒类</v>
          </cell>
          <cell r="J3142" t="str">
            <v>白酒</v>
          </cell>
          <cell r="K3142" t="str">
            <v>剑南春 剑南头曲 500ML</v>
          </cell>
          <cell r="L3142" t="str">
            <v>500ml</v>
          </cell>
          <cell r="M3142" t="str">
            <v>瓶</v>
          </cell>
          <cell r="N3142">
            <v>179.78</v>
          </cell>
          <cell r="O3142">
            <v>280</v>
          </cell>
          <cell r="P3142">
            <v>0.35157142857142898</v>
          </cell>
        </row>
        <row r="3143">
          <cell r="F3143" t="str">
            <v>70656916</v>
          </cell>
          <cell r="G3143" t="str">
            <v>剑南春</v>
          </cell>
          <cell r="H3143" t="str">
            <v>剑南春</v>
          </cell>
          <cell r="I3143" t="str">
            <v>酒类</v>
          </cell>
          <cell r="J3143" t="str">
            <v>白酒</v>
          </cell>
          <cell r="K3143" t="str">
            <v>剑南春 文君酒 500ML</v>
          </cell>
          <cell r="L3143" t="str">
            <v>500ml</v>
          </cell>
          <cell r="M3143" t="str">
            <v>瓶</v>
          </cell>
          <cell r="N3143">
            <v>240.38</v>
          </cell>
          <cell r="O3143">
            <v>398</v>
          </cell>
          <cell r="P3143">
            <v>0.39005025125628101</v>
          </cell>
        </row>
        <row r="3144">
          <cell r="F3144" t="str">
            <v>70035614</v>
          </cell>
          <cell r="G3144" t="str">
            <v>旺旺</v>
          </cell>
          <cell r="H3144" t="str">
            <v>旺旺</v>
          </cell>
          <cell r="I3144" t="str">
            <v>零食</v>
          </cell>
          <cell r="J3144" t="str">
            <v>膨化食品</v>
          </cell>
          <cell r="K3144" t="str">
            <v>旺旺 大礼包 628g</v>
          </cell>
          <cell r="L3144" t="str">
            <v>628g</v>
          </cell>
          <cell r="M3144" t="str">
            <v>包</v>
          </cell>
          <cell r="N3144">
            <v>33.33</v>
          </cell>
          <cell r="O3144">
            <v>46.6</v>
          </cell>
          <cell r="P3144">
            <v>0.277682403433476</v>
          </cell>
        </row>
        <row r="3145">
          <cell r="F3145" t="str">
            <v>70656720</v>
          </cell>
          <cell r="G3145" t="str">
            <v>旺旺</v>
          </cell>
          <cell r="H3145" t="str">
            <v>旺旺</v>
          </cell>
          <cell r="I3145" t="str">
            <v>奶类</v>
          </cell>
          <cell r="J3145" t="str">
            <v>奶类饮料</v>
          </cell>
          <cell r="K3145" t="str">
            <v>旺旺 旺仔牛奶（瓶） 245ml</v>
          </cell>
          <cell r="L3145" t="str">
            <v>245ml</v>
          </cell>
          <cell r="M3145" t="str">
            <v>瓶</v>
          </cell>
          <cell r="N3145">
            <v>4.16</v>
          </cell>
          <cell r="O3145">
            <v>6</v>
          </cell>
          <cell r="P3145">
            <v>0.3</v>
          </cell>
        </row>
        <row r="3146">
          <cell r="F3146" t="str">
            <v>70641901</v>
          </cell>
          <cell r="G3146" t="str">
            <v>农夫山泉</v>
          </cell>
          <cell r="H3146" t="str">
            <v>东方树叶</v>
          </cell>
          <cell r="I3146" t="str">
            <v>包装饮料</v>
          </cell>
          <cell r="J3146" t="str">
            <v>茶饮料</v>
          </cell>
          <cell r="K3146" t="str">
            <v>农夫山泉 东方树叶-陈皮白茶 500mL</v>
          </cell>
          <cell r="L3146" t="str">
            <v>500mL</v>
          </cell>
          <cell r="M3146" t="str">
            <v>瓶</v>
          </cell>
          <cell r="N3146">
            <v>3.64</v>
          </cell>
          <cell r="O3146">
            <v>5</v>
          </cell>
          <cell r="P3146">
            <v>0.26600000000000001</v>
          </cell>
        </row>
        <row r="3147">
          <cell r="F3147" t="str">
            <v>70656952</v>
          </cell>
          <cell r="G3147" t="str">
            <v>农夫山泉</v>
          </cell>
          <cell r="H3147" t="str">
            <v>冰茶</v>
          </cell>
          <cell r="I3147" t="str">
            <v>包装饮料</v>
          </cell>
          <cell r="J3147" t="str">
            <v>茶饮料</v>
          </cell>
          <cell r="K3147" t="str">
            <v>农夫山泉 冰茶碳酸茶饮料（冰柠檬味）600mL</v>
          </cell>
          <cell r="L3147" t="str">
            <v>600mL</v>
          </cell>
          <cell r="M3147" t="str">
            <v>瓶</v>
          </cell>
          <cell r="N3147">
            <v>3.71</v>
          </cell>
          <cell r="O3147">
            <v>5</v>
          </cell>
          <cell r="P3147">
            <v>0.252</v>
          </cell>
        </row>
        <row r="3148">
          <cell r="F3148" t="str">
            <v>70656718</v>
          </cell>
          <cell r="G3148" t="str">
            <v>青岛啤酒</v>
          </cell>
          <cell r="H3148" t="str">
            <v>青岛啤酒</v>
          </cell>
          <cell r="I3148" t="str">
            <v>酒类</v>
          </cell>
          <cell r="J3148" t="str">
            <v>啤酒</v>
          </cell>
          <cell r="K3148" t="str">
            <v>青岛啤酒 经典10度节日马口铁桶啤 1000ml</v>
          </cell>
          <cell r="L3148" t="str">
            <v>1000ml</v>
          </cell>
          <cell r="M3148" t="str">
            <v>罐</v>
          </cell>
          <cell r="N3148">
            <v>13.13</v>
          </cell>
          <cell r="O3148">
            <v>16.899999999999999</v>
          </cell>
          <cell r="P3148">
            <v>0.21538461538461501</v>
          </cell>
        </row>
        <row r="3149">
          <cell r="F3149" t="str">
            <v>70656719</v>
          </cell>
          <cell r="G3149" t="str">
            <v>青岛啤酒</v>
          </cell>
          <cell r="H3149" t="str">
            <v>青岛啤酒</v>
          </cell>
          <cell r="I3149" t="str">
            <v>酒类</v>
          </cell>
          <cell r="J3149" t="str">
            <v>啤酒</v>
          </cell>
          <cell r="K3149" t="str">
            <v>青岛啤酒 经典茉莉花味10度马口铁桶啤 1000ml</v>
          </cell>
          <cell r="L3149" t="str">
            <v>1000ml</v>
          </cell>
          <cell r="M3149" t="str">
            <v>罐</v>
          </cell>
          <cell r="N3149">
            <v>13.13</v>
          </cell>
          <cell r="O3149">
            <v>16.899999999999999</v>
          </cell>
          <cell r="P3149">
            <v>0.21538461538461501</v>
          </cell>
        </row>
        <row r="3150">
          <cell r="F3150" t="str">
            <v>70656903</v>
          </cell>
          <cell r="G3150" t="str">
            <v>东鹏</v>
          </cell>
          <cell r="H3150" t="str">
            <v>东鹏</v>
          </cell>
          <cell r="I3150" t="str">
            <v>包装饮料</v>
          </cell>
          <cell r="J3150" t="str">
            <v>功能饮料</v>
          </cell>
          <cell r="K3150" t="str">
            <v>东鹏 特饮牛磺酸B族维生素饮料瓶装 250ML*4</v>
          </cell>
          <cell r="L3150" t="str">
            <v>250ML*4</v>
          </cell>
          <cell r="M3150" t="str">
            <v>包</v>
          </cell>
          <cell r="N3150">
            <v>10.75</v>
          </cell>
          <cell r="O3150">
            <v>14</v>
          </cell>
          <cell r="P3150">
            <v>0.22500000000000001</v>
          </cell>
        </row>
        <row r="3151">
          <cell r="F3151" t="str">
            <v>70656901</v>
          </cell>
          <cell r="G3151" t="str">
            <v>蒙牛低温</v>
          </cell>
          <cell r="H3151" t="str">
            <v>蒙牛低温</v>
          </cell>
          <cell r="I3151" t="str">
            <v>奶类</v>
          </cell>
          <cell r="J3151" t="str">
            <v>奶类饮料</v>
          </cell>
          <cell r="K3151" t="str">
            <v>蒙牛 迈胜静燃™奶咖 220g</v>
          </cell>
          <cell r="L3151" t="str">
            <v>220g</v>
          </cell>
          <cell r="M3151" t="str">
            <v>瓶</v>
          </cell>
          <cell r="N3151">
            <v>5.05</v>
          </cell>
          <cell r="O3151">
            <v>7.5</v>
          </cell>
          <cell r="P3151">
            <v>0.32</v>
          </cell>
        </row>
        <row r="3152">
          <cell r="F3152" t="str">
            <v>70330410</v>
          </cell>
          <cell r="G3152" t="str">
            <v>伊利</v>
          </cell>
          <cell r="H3152" t="str">
            <v>伊利</v>
          </cell>
          <cell r="I3152" t="str">
            <v>奶类</v>
          </cell>
          <cell r="J3152" t="str">
            <v>液态奶</v>
          </cell>
          <cell r="K3152" t="str">
            <v>伊利 金典有机纯牛奶梦幻盖 10*250ml</v>
          </cell>
          <cell r="L3152" t="str">
            <v>10*250ml</v>
          </cell>
          <cell r="M3152" t="str">
            <v>箱</v>
          </cell>
          <cell r="N3152">
            <v>60.6</v>
          </cell>
          <cell r="O3152">
            <v>75</v>
          </cell>
          <cell r="P3152">
            <v>0.184</v>
          </cell>
        </row>
        <row r="3153">
          <cell r="F3153" t="str">
            <v>70658108</v>
          </cell>
          <cell r="G3153" t="str">
            <v>亿滋</v>
          </cell>
          <cell r="H3153" t="str">
            <v>太平</v>
          </cell>
          <cell r="I3153" t="str">
            <v>饼干/糕点</v>
          </cell>
          <cell r="J3153" t="str">
            <v>苏打饼干</v>
          </cell>
          <cell r="K3153" t="str">
            <v>太平 燕麦咔咔脆白松露帕玛森味 25g</v>
          </cell>
          <cell r="L3153" t="str">
            <v>25g</v>
          </cell>
          <cell r="M3153" t="str">
            <v>袋</v>
          </cell>
          <cell r="N3153">
            <v>2.39</v>
          </cell>
          <cell r="O3153">
            <v>3.5</v>
          </cell>
          <cell r="P3153">
            <v>0.308571428571429</v>
          </cell>
        </row>
        <row r="3154">
          <cell r="F3154" t="str">
            <v>70658107</v>
          </cell>
          <cell r="G3154" t="str">
            <v>亿滋</v>
          </cell>
          <cell r="H3154" t="str">
            <v>太平</v>
          </cell>
          <cell r="I3154" t="str">
            <v>饼干/糕点</v>
          </cell>
          <cell r="J3154" t="str">
            <v>苏打饼干</v>
          </cell>
          <cell r="K3154" t="str">
            <v>太平 燕麦咔咔脆意式鲜蔬味 25g</v>
          </cell>
          <cell r="L3154" t="str">
            <v>25g</v>
          </cell>
          <cell r="M3154" t="str">
            <v>袋</v>
          </cell>
          <cell r="N3154">
            <v>2.39</v>
          </cell>
          <cell r="O3154">
            <v>3.5</v>
          </cell>
          <cell r="P3154">
            <v>0.308571428571429</v>
          </cell>
        </row>
        <row r="3155">
          <cell r="F3155" t="str">
            <v>70658124</v>
          </cell>
          <cell r="G3155" t="str">
            <v>甘源</v>
          </cell>
          <cell r="H3155" t="str">
            <v>甘源</v>
          </cell>
          <cell r="I3155" t="str">
            <v>零食</v>
          </cell>
          <cell r="J3155" t="str">
            <v>坚果</v>
          </cell>
          <cell r="K3155" t="str">
            <v>甘源 黑金蒜龙虾翡翠豆袋装 170g</v>
          </cell>
          <cell r="L3155" t="str">
            <v>170g</v>
          </cell>
          <cell r="M3155" t="str">
            <v>袋</v>
          </cell>
          <cell r="N3155">
            <v>14.04</v>
          </cell>
          <cell r="O3155">
            <v>20</v>
          </cell>
          <cell r="P3155">
            <v>0.29099999999999998</v>
          </cell>
        </row>
        <row r="3156">
          <cell r="F3156" t="str">
            <v>70658125</v>
          </cell>
          <cell r="G3156" t="str">
            <v>甘源</v>
          </cell>
          <cell r="H3156" t="str">
            <v>甘源</v>
          </cell>
          <cell r="I3156" t="str">
            <v>零食</v>
          </cell>
          <cell r="J3156" t="str">
            <v>坚果</v>
          </cell>
          <cell r="K3156" t="str">
            <v>甘源 臻果龙井绿豆沙味混合坚果仁 27g</v>
          </cell>
          <cell r="L3156" t="str">
            <v>27g</v>
          </cell>
          <cell r="M3156" t="str">
            <v>袋</v>
          </cell>
          <cell r="N3156">
            <v>3.87</v>
          </cell>
          <cell r="O3156">
            <v>5.8</v>
          </cell>
          <cell r="P3156">
            <v>0.325862068965517</v>
          </cell>
        </row>
        <row r="3157">
          <cell r="F3157" t="str">
            <v>70658126</v>
          </cell>
          <cell r="G3157" t="str">
            <v>甘源</v>
          </cell>
          <cell r="H3157" t="str">
            <v>甘源</v>
          </cell>
          <cell r="I3157" t="str">
            <v>零食</v>
          </cell>
          <cell r="J3157" t="str">
            <v>坚果</v>
          </cell>
          <cell r="K3157" t="str">
            <v>甘源 臻果蜂蜜夏威夷果仁混合坚果仁 23g</v>
          </cell>
          <cell r="L3157" t="str">
            <v>23g</v>
          </cell>
          <cell r="M3157" t="str">
            <v>袋</v>
          </cell>
          <cell r="N3157">
            <v>3.87</v>
          </cell>
          <cell r="O3157">
            <v>5.8</v>
          </cell>
          <cell r="P3157">
            <v>0.325862068965517</v>
          </cell>
        </row>
        <row r="3158">
          <cell r="F3158" t="str">
            <v>70658084</v>
          </cell>
          <cell r="G3158" t="str">
            <v>康师傅顶益</v>
          </cell>
          <cell r="H3158" t="str">
            <v>康师傅顶益</v>
          </cell>
          <cell r="I3158" t="str">
            <v>速食</v>
          </cell>
          <cell r="J3158" t="str">
            <v>包装方便食品</v>
          </cell>
          <cell r="K3158" t="str">
            <v>康师傅 韩式火鸡盒面 113g</v>
          </cell>
          <cell r="L3158" t="str">
            <v>113g</v>
          </cell>
          <cell r="M3158" t="str">
            <v>桶</v>
          </cell>
          <cell r="N3158">
            <v>4.22</v>
          </cell>
          <cell r="O3158">
            <v>5.5</v>
          </cell>
          <cell r="P3158">
            <v>0.22545454545454499</v>
          </cell>
        </row>
        <row r="3159">
          <cell r="F3159" t="str">
            <v>70656784</v>
          </cell>
          <cell r="G3159" t="str">
            <v>康师傅顶益</v>
          </cell>
          <cell r="H3159" t="str">
            <v>康师傅顶益</v>
          </cell>
          <cell r="I3159" t="str">
            <v>速食</v>
          </cell>
          <cell r="J3159" t="str">
            <v>包装方便食品</v>
          </cell>
          <cell r="K3159" t="str">
            <v>康师傅 红烧牛肉拌面 110g</v>
          </cell>
          <cell r="L3159" t="str">
            <v>110g</v>
          </cell>
          <cell r="M3159" t="str">
            <v>桶</v>
          </cell>
          <cell r="N3159">
            <v>4.22</v>
          </cell>
          <cell r="O3159">
            <v>5.5</v>
          </cell>
          <cell r="P3159">
            <v>0.22545454545454499</v>
          </cell>
        </row>
        <row r="3160">
          <cell r="F3160" t="str">
            <v>70658085</v>
          </cell>
          <cell r="G3160" t="str">
            <v>康师傅顶益</v>
          </cell>
          <cell r="H3160" t="str">
            <v>康师傅顶益</v>
          </cell>
          <cell r="I3160" t="str">
            <v>速食</v>
          </cell>
          <cell r="J3160" t="str">
            <v>包装方便食品</v>
          </cell>
          <cell r="K3160" t="str">
            <v>康师傅 酸菜牛肉拌面 119g</v>
          </cell>
          <cell r="L3160" t="str">
            <v>119g</v>
          </cell>
          <cell r="M3160" t="str">
            <v>桶</v>
          </cell>
          <cell r="N3160">
            <v>4.22</v>
          </cell>
          <cell r="O3160">
            <v>5.5</v>
          </cell>
          <cell r="P3160">
            <v>0.22545454545454499</v>
          </cell>
        </row>
        <row r="3161">
          <cell r="F3161" t="str">
            <v>70657983</v>
          </cell>
          <cell r="G3161" t="str">
            <v>康师傅顶益</v>
          </cell>
          <cell r="H3161" t="str">
            <v>康师傅顶益</v>
          </cell>
          <cell r="I3161" t="str">
            <v>速食</v>
          </cell>
          <cell r="J3161" t="str">
            <v>包装方便食品</v>
          </cell>
          <cell r="K3161" t="str">
            <v>康师傅 香辣牛肉拌面 108g</v>
          </cell>
          <cell r="L3161" t="str">
            <v>108g</v>
          </cell>
          <cell r="M3161" t="str">
            <v>桶</v>
          </cell>
          <cell r="N3161">
            <v>4.22</v>
          </cell>
          <cell r="O3161">
            <v>5.5</v>
          </cell>
          <cell r="P3161">
            <v>0.22545454545454499</v>
          </cell>
        </row>
        <row r="3162">
          <cell r="F3162" t="str">
            <v>70657144</v>
          </cell>
          <cell r="G3162" t="str">
            <v>自带干粮的猫</v>
          </cell>
          <cell r="H3162" t="str">
            <v>自带干粮的猫</v>
          </cell>
          <cell r="I3162" t="str">
            <v>日用品</v>
          </cell>
          <cell r="J3162" t="str">
            <v>日用品</v>
          </cell>
          <cell r="K3162" t="str">
            <v>自带干粮的猫 单人一次性旅行用品1天5（通用型） CS101</v>
          </cell>
          <cell r="L3162" t="str">
            <v>套</v>
          </cell>
          <cell r="M3162" t="str">
            <v>套</v>
          </cell>
          <cell r="N3162">
            <v>20.2</v>
          </cell>
          <cell r="O3162">
            <v>49</v>
          </cell>
          <cell r="P3162">
            <v>0.583673469387755</v>
          </cell>
        </row>
        <row r="3163">
          <cell r="F3163" t="str">
            <v>70656927</v>
          </cell>
          <cell r="G3163" t="str">
            <v>京狼途</v>
          </cell>
          <cell r="H3163" t="str">
            <v>京狼途</v>
          </cell>
          <cell r="I3163" t="str">
            <v>日用品</v>
          </cell>
          <cell r="J3163" t="str">
            <v>日用品</v>
          </cell>
          <cell r="K3163" t="str">
            <v>京狼途 冰丝防晒袖夏薄款防晒手臂袖套蓝色 JLT-BX03</v>
          </cell>
          <cell r="L3163" t="str">
            <v>包</v>
          </cell>
          <cell r="M3163" t="str">
            <v>包</v>
          </cell>
          <cell r="N3163">
            <v>8.08</v>
          </cell>
          <cell r="O3163">
            <v>99</v>
          </cell>
          <cell r="P3163">
            <v>0.91757575757575804</v>
          </cell>
        </row>
        <row r="3164">
          <cell r="F3164" t="str">
            <v>70657141</v>
          </cell>
          <cell r="G3164" t="str">
            <v>京狼途</v>
          </cell>
          <cell r="H3164" t="str">
            <v>京狼途</v>
          </cell>
          <cell r="I3164" t="str">
            <v>日用品</v>
          </cell>
          <cell r="J3164" t="str">
            <v>日用品</v>
          </cell>
          <cell r="K3164" t="str">
            <v>京狼途 垃圾袋50*55cm JLT-LJD03</v>
          </cell>
          <cell r="L3164" t="str">
            <v>包</v>
          </cell>
          <cell r="M3164" t="str">
            <v>包</v>
          </cell>
          <cell r="N3164">
            <v>14.14</v>
          </cell>
          <cell r="O3164">
            <v>69</v>
          </cell>
          <cell r="P3164">
            <v>0.79304347826086996</v>
          </cell>
        </row>
        <row r="3165">
          <cell r="F3165" t="str">
            <v>70656926</v>
          </cell>
          <cell r="G3165" t="str">
            <v>京狼途</v>
          </cell>
          <cell r="H3165" t="str">
            <v>京狼途</v>
          </cell>
          <cell r="I3165" t="str">
            <v>清洁用品</v>
          </cell>
          <cell r="J3165" t="str">
            <v>清洁用品</v>
          </cell>
          <cell r="K3165" t="str">
            <v>京狼途 扫簸箕套装清洁套装JLT-QJTZ01</v>
          </cell>
          <cell r="L3165" t="str">
            <v>套</v>
          </cell>
          <cell r="M3165" t="str">
            <v>套</v>
          </cell>
          <cell r="N3165">
            <v>20.2</v>
          </cell>
          <cell r="O3165">
            <v>79</v>
          </cell>
          <cell r="P3165">
            <v>0.74177215189873402</v>
          </cell>
        </row>
        <row r="3166">
          <cell r="F3166" t="str">
            <v>70656925</v>
          </cell>
          <cell r="G3166" t="str">
            <v>京狼途</v>
          </cell>
          <cell r="H3166" t="str">
            <v>京狼途</v>
          </cell>
          <cell r="I3166" t="str">
            <v>清洁用品</v>
          </cell>
          <cell r="J3166" t="str">
            <v>清洁用品</v>
          </cell>
          <cell r="K3166" t="str">
            <v>京狼途 新款便携式PEVA一次性雨衣大帽檐雨衣紫色 JLT-MY02</v>
          </cell>
          <cell r="L3166" t="str">
            <v>件</v>
          </cell>
          <cell r="M3166" t="str">
            <v>件</v>
          </cell>
          <cell r="N3166">
            <v>7.58</v>
          </cell>
          <cell r="O3166">
            <v>19.899999999999999</v>
          </cell>
          <cell r="P3166">
            <v>0.61557788944723602</v>
          </cell>
        </row>
        <row r="3167">
          <cell r="F3167" t="str">
            <v>70581515</v>
          </cell>
          <cell r="G3167" t="str">
            <v>匹克</v>
          </cell>
          <cell r="H3167" t="str">
            <v>匹克</v>
          </cell>
          <cell r="I3167" t="str">
            <v>日用品</v>
          </cell>
          <cell r="J3167" t="str">
            <v>日用品</v>
          </cell>
          <cell r="K3167" t="str">
            <v>匹克 训练羽毛球拍金色银色对拍 YY41310</v>
          </cell>
          <cell r="L3167" t="str">
            <v>对</v>
          </cell>
          <cell r="M3167" t="str">
            <v>对</v>
          </cell>
          <cell r="N3167">
            <v>109.08</v>
          </cell>
          <cell r="O3167">
            <v>299</v>
          </cell>
          <cell r="P3167">
            <v>0.63157190635451499</v>
          </cell>
        </row>
        <row r="3168">
          <cell r="F3168" t="str">
            <v>70580471</v>
          </cell>
          <cell r="G3168" t="str">
            <v>匹克</v>
          </cell>
          <cell r="H3168" t="str">
            <v>匹克</v>
          </cell>
          <cell r="I3168" t="str">
            <v>日用品</v>
          </cell>
          <cell r="J3168" t="str">
            <v>日用品</v>
          </cell>
          <cell r="K3168" t="str">
            <v>匹克 羽毛球六只装 YY52305</v>
          </cell>
          <cell r="L3168" t="str">
            <v>筒</v>
          </cell>
          <cell r="M3168" t="str">
            <v>筒</v>
          </cell>
          <cell r="N3168">
            <v>42.42</v>
          </cell>
          <cell r="O3168">
            <v>79</v>
          </cell>
          <cell r="P3168">
            <v>0.45772151898734198</v>
          </cell>
        </row>
        <row r="3169">
          <cell r="F3169" t="str">
            <v>70656924</v>
          </cell>
          <cell r="G3169" t="str">
            <v>最生活</v>
          </cell>
          <cell r="H3169" t="str">
            <v>最生活</v>
          </cell>
          <cell r="I3169" t="str">
            <v>日用品</v>
          </cell>
          <cell r="J3169" t="str">
            <v>日用品</v>
          </cell>
          <cell r="K3169" t="str">
            <v>最生活便携U型枕 Z-9999</v>
          </cell>
          <cell r="L3169" t="str">
            <v>套</v>
          </cell>
          <cell r="M3169" t="str">
            <v>套</v>
          </cell>
          <cell r="N3169">
            <v>65.650000000000006</v>
          </cell>
          <cell r="O3169">
            <v>179</v>
          </cell>
          <cell r="P3169">
            <v>0.62960893854748601</v>
          </cell>
        </row>
        <row r="3170">
          <cell r="F3170" t="str">
            <v>70657327</v>
          </cell>
          <cell r="G3170" t="str">
            <v>倍思</v>
          </cell>
          <cell r="H3170" t="str">
            <v>倍思</v>
          </cell>
          <cell r="I3170" t="str">
            <v>日用品</v>
          </cell>
          <cell r="J3170" t="str">
            <v>日用品</v>
          </cell>
          <cell r="K3170" t="str">
            <v>倍思 车载手机支架磁吸车载支架 C02</v>
          </cell>
          <cell r="L3170" t="str">
            <v>个</v>
          </cell>
          <cell r="M3170" t="str">
            <v>个</v>
          </cell>
          <cell r="N3170">
            <v>67.67</v>
          </cell>
          <cell r="O3170">
            <v>129</v>
          </cell>
          <cell r="P3170">
            <v>0.47023255813953502</v>
          </cell>
        </row>
        <row r="3171">
          <cell r="F3171" t="str">
            <v>70656923</v>
          </cell>
          <cell r="G3171" t="str">
            <v>倍思</v>
          </cell>
          <cell r="H3171" t="str">
            <v>倍思</v>
          </cell>
          <cell r="I3171" t="str">
            <v>日用品</v>
          </cell>
          <cell r="J3171" t="str">
            <v>日用品</v>
          </cell>
          <cell r="K3171" t="str">
            <v>倍思 车载吸尘器 （5000pa） AT</v>
          </cell>
          <cell r="L3171" t="str">
            <v>个</v>
          </cell>
          <cell r="M3171" t="str">
            <v>个</v>
          </cell>
          <cell r="N3171">
            <v>101</v>
          </cell>
          <cell r="O3171">
            <v>199</v>
          </cell>
          <cell r="P3171">
            <v>0.48743718592964802</v>
          </cell>
        </row>
        <row r="3172">
          <cell r="F3172" t="str">
            <v>70656921</v>
          </cell>
          <cell r="G3172" t="str">
            <v>倍思</v>
          </cell>
          <cell r="H3172" t="str">
            <v>倍思</v>
          </cell>
          <cell r="I3172" t="str">
            <v>日用品</v>
          </cell>
          <cell r="J3172" t="str">
            <v>日用品</v>
          </cell>
          <cell r="K3172" t="str">
            <v>倍思 悬浮仓头腰枕套装星耀黑</v>
          </cell>
          <cell r="L3172" t="str">
            <v>套</v>
          </cell>
          <cell r="M3172" t="str">
            <v>套</v>
          </cell>
          <cell r="N3172">
            <v>121.2</v>
          </cell>
          <cell r="O3172">
            <v>199</v>
          </cell>
          <cell r="P3172">
            <v>0.38492462311557801</v>
          </cell>
        </row>
        <row r="3173">
          <cell r="F3173" t="str">
            <v>70389549</v>
          </cell>
          <cell r="G3173" t="str">
            <v>倍思</v>
          </cell>
          <cell r="H3173" t="str">
            <v>倍思</v>
          </cell>
          <cell r="I3173" t="str">
            <v>日用品</v>
          </cell>
          <cell r="J3173" t="str">
            <v>日用品</v>
          </cell>
          <cell r="K3173" t="str">
            <v>倍思 优胜系列 快充一拖三数据线 1.5m</v>
          </cell>
          <cell r="L3173" t="str">
            <v>个</v>
          </cell>
          <cell r="M3173" t="str">
            <v>个</v>
          </cell>
          <cell r="N3173">
            <v>18.18</v>
          </cell>
          <cell r="O3173">
            <v>49</v>
          </cell>
          <cell r="P3173">
            <v>0.62530612244897998</v>
          </cell>
        </row>
        <row r="3174">
          <cell r="F3174" t="str">
            <v>70657004</v>
          </cell>
          <cell r="G3174" t="str">
            <v>斯阁睿</v>
          </cell>
          <cell r="H3174" t="str">
            <v>斯阁睿</v>
          </cell>
          <cell r="I3174" t="str">
            <v>日用品</v>
          </cell>
          <cell r="J3174" t="str">
            <v>日用品</v>
          </cell>
          <cell r="K3174" t="str">
            <v>斯阁睿 带餐具耐热玻璃保鲜盒 SGR-TD101</v>
          </cell>
          <cell r="L3174" t="str">
            <v>套</v>
          </cell>
          <cell r="M3174" t="str">
            <v>套</v>
          </cell>
          <cell r="N3174">
            <v>30.3</v>
          </cell>
          <cell r="O3174">
            <v>99</v>
          </cell>
          <cell r="P3174">
            <v>0.69090909090909103</v>
          </cell>
        </row>
        <row r="3175">
          <cell r="F3175" t="str">
            <v>70656987</v>
          </cell>
          <cell r="G3175" t="str">
            <v>几素</v>
          </cell>
          <cell r="H3175" t="str">
            <v>几素</v>
          </cell>
          <cell r="I3175" t="str">
            <v>日用品</v>
          </cell>
          <cell r="J3175" t="str">
            <v>日用品</v>
          </cell>
          <cell r="K3175" t="str">
            <v>几素 挂脖风扇（FA14第二代）Neck Fan Life3</v>
          </cell>
          <cell r="L3175" t="str">
            <v>个</v>
          </cell>
          <cell r="M3175" t="str">
            <v>个</v>
          </cell>
          <cell r="N3175">
            <v>101</v>
          </cell>
          <cell r="O3175">
            <v>199</v>
          </cell>
          <cell r="P3175">
            <v>0.48743718592964802</v>
          </cell>
        </row>
        <row r="3176">
          <cell r="F3176" t="str">
            <v>70656988</v>
          </cell>
          <cell r="G3176" t="str">
            <v>几素</v>
          </cell>
          <cell r="H3176" t="str">
            <v>几素</v>
          </cell>
          <cell r="I3176" t="str">
            <v>日用品</v>
          </cell>
          <cell r="J3176" t="str">
            <v>日用品</v>
          </cell>
          <cell r="K3176" t="str">
            <v>几素 FA43_涡轮手持风扇</v>
          </cell>
          <cell r="L3176" t="str">
            <v>个</v>
          </cell>
          <cell r="M3176" t="str">
            <v>个</v>
          </cell>
          <cell r="N3176">
            <v>65.650000000000006</v>
          </cell>
          <cell r="O3176">
            <v>129</v>
          </cell>
          <cell r="P3176">
            <v>0.48604651162790702</v>
          </cell>
        </row>
        <row r="3177">
          <cell r="F3177" t="str">
            <v>70656920</v>
          </cell>
          <cell r="G3177" t="str">
            <v>西屋Westinghouse</v>
          </cell>
          <cell r="H3177" t="str">
            <v>西屋Westinghouse</v>
          </cell>
          <cell r="I3177" t="str">
            <v>日用品</v>
          </cell>
          <cell r="J3177" t="str">
            <v>日用品</v>
          </cell>
          <cell r="K3177" t="str">
            <v>西屋Westinghouse 沙式跳绳 ME09</v>
          </cell>
          <cell r="L3177" t="str">
            <v>个</v>
          </cell>
          <cell r="M3177" t="str">
            <v>个</v>
          </cell>
          <cell r="N3177">
            <v>30.3</v>
          </cell>
          <cell r="O3177">
            <v>99</v>
          </cell>
          <cell r="P3177">
            <v>0.69090909090909103</v>
          </cell>
        </row>
        <row r="3178">
          <cell r="F3178" t="str">
            <v>70657142</v>
          </cell>
          <cell r="G3178" t="str">
            <v>西屋Westinghouse</v>
          </cell>
          <cell r="H3178" t="str">
            <v>西屋Westinghouse</v>
          </cell>
          <cell r="I3178" t="str">
            <v>日用品</v>
          </cell>
          <cell r="J3178" t="str">
            <v>日用品</v>
          </cell>
          <cell r="K3178" t="str">
            <v>西屋Westinghouse 空气炸锅 WAF-LZ3503F</v>
          </cell>
          <cell r="L3178" t="str">
            <v>个</v>
          </cell>
          <cell r="M3178" t="str">
            <v>个</v>
          </cell>
          <cell r="N3178">
            <v>212.1</v>
          </cell>
          <cell r="O3178">
            <v>698</v>
          </cell>
          <cell r="P3178">
            <v>0.69312320916905401</v>
          </cell>
        </row>
        <row r="3179">
          <cell r="F3179" t="str">
            <v>70600643</v>
          </cell>
          <cell r="G3179" t="str">
            <v>西屋Westinghouse</v>
          </cell>
          <cell r="H3179" t="str">
            <v>西屋Westinghouse</v>
          </cell>
          <cell r="I3179" t="str">
            <v>日用品</v>
          </cell>
          <cell r="J3179" t="str">
            <v>日用品</v>
          </cell>
          <cell r="K3179" t="str">
            <v>西屋Westinghouse-足浴按摩器 WZY410</v>
          </cell>
          <cell r="L3179" t="str">
            <v>个</v>
          </cell>
          <cell r="M3179" t="str">
            <v>个</v>
          </cell>
          <cell r="N3179">
            <v>151.5</v>
          </cell>
          <cell r="O3179">
            <v>810</v>
          </cell>
          <cell r="P3179">
            <v>0.81111111111111101</v>
          </cell>
        </row>
        <row r="3180">
          <cell r="F3180" t="str">
            <v>70656989</v>
          </cell>
          <cell r="G3180" t="str">
            <v>西屋Westinghouse</v>
          </cell>
          <cell r="H3180" t="str">
            <v>西屋Westinghouse</v>
          </cell>
          <cell r="I3180" t="str">
            <v>日用品</v>
          </cell>
          <cell r="J3180" t="str">
            <v>日用品</v>
          </cell>
          <cell r="K3180" t="str">
            <v>西屋Westinghouse护腰矫姿仪 WJZ-K1</v>
          </cell>
          <cell r="L3180" t="str">
            <v>个</v>
          </cell>
          <cell r="M3180" t="str">
            <v>个</v>
          </cell>
          <cell r="N3180">
            <v>75.75</v>
          </cell>
          <cell r="O3180">
            <v>399</v>
          </cell>
          <cell r="P3180">
            <v>0.80827067669172903</v>
          </cell>
        </row>
        <row r="3181">
          <cell r="F3181" t="str">
            <v>70657013</v>
          </cell>
          <cell r="G3181" t="str">
            <v>西屋Westinghouse</v>
          </cell>
          <cell r="H3181" t="str">
            <v>西屋Westinghouse</v>
          </cell>
          <cell r="I3181" t="str">
            <v>日用品</v>
          </cell>
          <cell r="J3181" t="str">
            <v>日用品</v>
          </cell>
          <cell r="K3181" t="str">
            <v>西屋Westinghouse桌面取暖器 WTH-520</v>
          </cell>
          <cell r="L3181" t="str">
            <v>个</v>
          </cell>
          <cell r="M3181" t="str">
            <v>个</v>
          </cell>
          <cell r="N3181">
            <v>111.1</v>
          </cell>
          <cell r="O3181">
            <v>349</v>
          </cell>
          <cell r="P3181">
            <v>0.67851002865329502</v>
          </cell>
        </row>
        <row r="3182">
          <cell r="F3182" t="str">
            <v>70656990</v>
          </cell>
          <cell r="G3182" t="str">
            <v>利仁</v>
          </cell>
          <cell r="H3182" t="str">
            <v>利仁</v>
          </cell>
          <cell r="I3182" t="str">
            <v>日用品</v>
          </cell>
          <cell r="J3182" t="str">
            <v>日用品</v>
          </cell>
          <cell r="K3182" t="str">
            <v>利仁（Liven） 电饼铛家用加深电饼锅 LPBC-2301F</v>
          </cell>
          <cell r="L3182" t="str">
            <v>台</v>
          </cell>
          <cell r="M3182" t="str">
            <v>台</v>
          </cell>
          <cell r="N3182">
            <v>99.99</v>
          </cell>
          <cell r="O3182">
            <v>269</v>
          </cell>
          <cell r="P3182">
            <v>0.62460966542750895</v>
          </cell>
        </row>
        <row r="3183">
          <cell r="F3183" t="str">
            <v>70656922</v>
          </cell>
          <cell r="G3183" t="str">
            <v>苏软软</v>
          </cell>
          <cell r="H3183" t="str">
            <v>苏软软</v>
          </cell>
          <cell r="I3183" t="str">
            <v>个人护理用品</v>
          </cell>
          <cell r="J3183" t="str">
            <v>个人护理用品</v>
          </cell>
          <cell r="K3183" t="str">
            <v>苏软软 全棉珍珠纹60抽/包</v>
          </cell>
          <cell r="L3183" t="str">
            <v>包</v>
          </cell>
          <cell r="M3183" t="str">
            <v>包</v>
          </cell>
          <cell r="N3183">
            <v>13.13</v>
          </cell>
          <cell r="O3183">
            <v>29.9</v>
          </cell>
          <cell r="P3183">
            <v>0.55652173913043501</v>
          </cell>
        </row>
        <row r="3184">
          <cell r="F3184" t="str">
            <v>70656919</v>
          </cell>
          <cell r="G3184" t="str">
            <v>川崎</v>
          </cell>
          <cell r="H3184" t="str">
            <v>川崎</v>
          </cell>
          <cell r="I3184" t="str">
            <v>日用品</v>
          </cell>
          <cell r="J3184" t="str">
            <v>日用品</v>
          </cell>
          <cell r="K3184" t="str">
            <v>川崎（KAWASAKI） 乒乓球拍套装(长+短) K3L00-C5303</v>
          </cell>
          <cell r="L3184" t="str">
            <v>套</v>
          </cell>
          <cell r="M3184" t="str">
            <v>套</v>
          </cell>
          <cell r="N3184">
            <v>85.85</v>
          </cell>
          <cell r="O3184">
            <v>259</v>
          </cell>
          <cell r="P3184">
            <v>0.66525096525096505</v>
          </cell>
        </row>
        <row r="3185">
          <cell r="F3185" t="str">
            <v>70657008</v>
          </cell>
          <cell r="G3185" t="str">
            <v>川崎</v>
          </cell>
          <cell r="H3185" t="str">
            <v>川崎</v>
          </cell>
          <cell r="I3185" t="str">
            <v>日用品</v>
          </cell>
          <cell r="J3185" t="str">
            <v>日用品</v>
          </cell>
          <cell r="K3185" t="str">
            <v>川崎（KAWASAKI） 瑜伽垫 K3I00-A0810-2</v>
          </cell>
          <cell r="L3185" t="str">
            <v>条</v>
          </cell>
          <cell r="M3185" t="str">
            <v>条</v>
          </cell>
          <cell r="N3185">
            <v>80.8</v>
          </cell>
          <cell r="O3185">
            <v>200</v>
          </cell>
          <cell r="P3185">
            <v>0.59199999999999997</v>
          </cell>
        </row>
        <row r="3186">
          <cell r="F3186" t="str">
            <v>70657324</v>
          </cell>
          <cell r="G3186" t="str">
            <v>外交官</v>
          </cell>
          <cell r="H3186" t="str">
            <v>外交官</v>
          </cell>
          <cell r="I3186" t="str">
            <v>日用品</v>
          </cell>
          <cell r="J3186" t="str">
            <v>日用品</v>
          </cell>
          <cell r="K3186" t="str">
            <v>外交官 28寸拉杆箱 DS-1304-1</v>
          </cell>
          <cell r="L3186" t="str">
            <v>个</v>
          </cell>
          <cell r="M3186" t="str">
            <v>个</v>
          </cell>
          <cell r="N3186">
            <v>505</v>
          </cell>
          <cell r="O3186">
            <v>2280</v>
          </cell>
          <cell r="P3186">
            <v>0.77631578947368396</v>
          </cell>
        </row>
        <row r="3187">
          <cell r="F3187" t="str">
            <v>70583019</v>
          </cell>
          <cell r="G3187" t="str">
            <v>AIRMATE艾美特</v>
          </cell>
          <cell r="H3187" t="str">
            <v>AIRMATE艾美特</v>
          </cell>
          <cell r="I3187" t="str">
            <v>日用品</v>
          </cell>
          <cell r="J3187" t="str">
            <v>日用品</v>
          </cell>
          <cell r="K3187" t="str">
            <v>艾美特AIRMATE 手持风扇（黄色） CM-RD25-2</v>
          </cell>
          <cell r="L3187" t="str">
            <v>台</v>
          </cell>
          <cell r="M3187" t="str">
            <v>台</v>
          </cell>
          <cell r="N3187">
            <v>55.55</v>
          </cell>
          <cell r="O3187">
            <v>139</v>
          </cell>
          <cell r="P3187">
            <v>0.59640287769784195</v>
          </cell>
        </row>
        <row r="3188">
          <cell r="F3188" t="str">
            <v>70656997</v>
          </cell>
          <cell r="G3188" t="str">
            <v>美旅</v>
          </cell>
          <cell r="H3188" t="str">
            <v>美旅</v>
          </cell>
          <cell r="I3188" t="str">
            <v>日用品</v>
          </cell>
          <cell r="J3188" t="str">
            <v>日用品</v>
          </cell>
          <cell r="K3188" t="str">
            <v>美旅 双肩包黑色300*465*150</v>
          </cell>
          <cell r="L3188" t="str">
            <v>个</v>
          </cell>
          <cell r="M3188" t="str">
            <v>个</v>
          </cell>
          <cell r="N3188">
            <v>80.8</v>
          </cell>
          <cell r="O3188">
            <v>254</v>
          </cell>
          <cell r="P3188">
            <v>0.67874015748031502</v>
          </cell>
        </row>
        <row r="3189">
          <cell r="F3189" t="str">
            <v>70657325</v>
          </cell>
          <cell r="G3189" t="str">
            <v>美旅</v>
          </cell>
          <cell r="H3189" t="str">
            <v>美旅</v>
          </cell>
          <cell r="I3189" t="str">
            <v>日用品</v>
          </cell>
          <cell r="J3189" t="str">
            <v>日用品</v>
          </cell>
          <cell r="K3189" t="str">
            <v>美旅 拉杆箱灰色57/20</v>
          </cell>
          <cell r="L3189" t="str">
            <v>个</v>
          </cell>
          <cell r="M3189" t="str">
            <v>个</v>
          </cell>
          <cell r="N3189">
            <v>373.7</v>
          </cell>
          <cell r="O3189">
            <v>899</v>
          </cell>
          <cell r="P3189">
            <v>0.58020022246941005</v>
          </cell>
        </row>
        <row r="3190">
          <cell r="F3190" t="str">
            <v>70656995</v>
          </cell>
          <cell r="G3190" t="str">
            <v>美旅</v>
          </cell>
          <cell r="H3190" t="str">
            <v>美旅</v>
          </cell>
          <cell r="I3190" t="str">
            <v>日用品</v>
          </cell>
          <cell r="J3190" t="str">
            <v>日用品</v>
          </cell>
          <cell r="K3190" t="str">
            <v>美旅 拉杆箱灰色68/25</v>
          </cell>
          <cell r="L3190" t="str">
            <v>个</v>
          </cell>
          <cell r="M3190" t="str">
            <v>个</v>
          </cell>
          <cell r="N3190">
            <v>474.7</v>
          </cell>
          <cell r="O3190">
            <v>999</v>
          </cell>
          <cell r="P3190">
            <v>0.52012012012011999</v>
          </cell>
        </row>
        <row r="3191">
          <cell r="F3191" t="str">
            <v>70656991</v>
          </cell>
          <cell r="G3191" t="str">
            <v>乐扣乐扣</v>
          </cell>
          <cell r="H3191" t="str">
            <v>乐扣乐扣</v>
          </cell>
          <cell r="I3191" t="str">
            <v>日用品</v>
          </cell>
          <cell r="J3191" t="str">
            <v>日用品</v>
          </cell>
          <cell r="K3191" t="str">
            <v>乐扣乐扣 晶彩琉光玻璃保鲜盒三套琥珀色</v>
          </cell>
          <cell r="L3191" t="str">
            <v>套</v>
          </cell>
          <cell r="M3191" t="str">
            <v>套</v>
          </cell>
          <cell r="N3191">
            <v>70.7</v>
          </cell>
          <cell r="O3191">
            <v>158</v>
          </cell>
          <cell r="P3191">
            <v>0.54810126582278496</v>
          </cell>
        </row>
        <row r="3192">
          <cell r="F3192" t="str">
            <v>70656993</v>
          </cell>
          <cell r="G3192" t="str">
            <v>乐扣乐扣</v>
          </cell>
          <cell r="H3192" t="str">
            <v>乐扣乐扣</v>
          </cell>
          <cell r="I3192" t="str">
            <v>日用品</v>
          </cell>
          <cell r="J3192" t="str">
            <v>日用品</v>
          </cell>
          <cell r="K3192" t="str">
            <v>乐扣乐扣 马卡龙保鲜盒3套（小）</v>
          </cell>
          <cell r="L3192" t="str">
            <v>套</v>
          </cell>
          <cell r="M3192" t="str">
            <v>套</v>
          </cell>
          <cell r="N3192">
            <v>45.45</v>
          </cell>
          <cell r="O3192">
            <v>99</v>
          </cell>
          <cell r="P3192">
            <v>0.53636363636363604</v>
          </cell>
        </row>
        <row r="3193">
          <cell r="F3193" t="str">
            <v>70578724</v>
          </cell>
          <cell r="G3193" t="str">
            <v>乐扣乐扣</v>
          </cell>
          <cell r="H3193" t="str">
            <v>乐扣乐扣</v>
          </cell>
          <cell r="I3193" t="str">
            <v>日用品</v>
          </cell>
          <cell r="J3193" t="str">
            <v>日用品</v>
          </cell>
          <cell r="K3193" t="str">
            <v>乐扣乐扣 多功能折叠储物箱</v>
          </cell>
          <cell r="L3193" t="str">
            <v>个</v>
          </cell>
          <cell r="M3193" t="str">
            <v>个</v>
          </cell>
          <cell r="N3193">
            <v>131.30000000000001</v>
          </cell>
          <cell r="O3193">
            <v>599</v>
          </cell>
          <cell r="P3193">
            <v>0.77863105175292102</v>
          </cell>
        </row>
        <row r="3194">
          <cell r="F3194" t="str">
            <v>70508406</v>
          </cell>
          <cell r="G3194" t="str">
            <v>乐扣乐扣</v>
          </cell>
          <cell r="H3194" t="str">
            <v>乐扣乐扣</v>
          </cell>
          <cell r="I3194" t="str">
            <v>个人护理用品</v>
          </cell>
          <cell r="J3194" t="str">
            <v>个人护理用品</v>
          </cell>
          <cell r="K3194" t="str">
            <v>乐扣乐扣 冲牙器白色DC5V</v>
          </cell>
          <cell r="L3194" t="str">
            <v>个</v>
          </cell>
          <cell r="M3194" t="str">
            <v>个</v>
          </cell>
          <cell r="N3194">
            <v>131.30000000000001</v>
          </cell>
          <cell r="O3194">
            <v>399</v>
          </cell>
          <cell r="P3194">
            <v>0.66766917293233097</v>
          </cell>
        </row>
        <row r="3195">
          <cell r="F3195" t="str">
            <v>70573247</v>
          </cell>
          <cell r="G3195" t="str">
            <v>苏泊尔</v>
          </cell>
          <cell r="H3195" t="str">
            <v>苏泊尔</v>
          </cell>
          <cell r="I3195" t="str">
            <v>日用品</v>
          </cell>
          <cell r="J3195" t="str">
            <v>日用品</v>
          </cell>
          <cell r="K3195" t="str">
            <v>苏泊尔 厨尚无涂层精铁锅VC32BH01</v>
          </cell>
          <cell r="L3195" t="str">
            <v>个</v>
          </cell>
          <cell r="M3195" t="str">
            <v>个</v>
          </cell>
          <cell r="N3195">
            <v>106.05</v>
          </cell>
          <cell r="O3195">
            <v>199</v>
          </cell>
          <cell r="P3195">
            <v>0.46180904522613098</v>
          </cell>
        </row>
        <row r="3196">
          <cell r="F3196" t="str">
            <v>75000752</v>
          </cell>
          <cell r="G3196" t="str">
            <v>五粮液</v>
          </cell>
          <cell r="H3196" t="str">
            <v>丝路花雨</v>
          </cell>
          <cell r="I3196" t="str">
            <v>酒类</v>
          </cell>
          <cell r="J3196" t="str">
            <v>白酒</v>
          </cell>
          <cell r="K3196" t="str">
            <v>五粮液 丝路花雨抚琴系列盛世52度 500ml</v>
          </cell>
          <cell r="L3196" t="str">
            <v>52度 500mL×4</v>
          </cell>
          <cell r="M3196" t="str">
            <v>瓶</v>
          </cell>
          <cell r="N3196">
            <v>96.96</v>
          </cell>
          <cell r="O3196">
            <v>138</v>
          </cell>
          <cell r="P3196">
            <v>0.29043478260869598</v>
          </cell>
        </row>
        <row r="3197">
          <cell r="F3197" t="str">
            <v>70658805</v>
          </cell>
          <cell r="G3197" t="str">
            <v>乐扣乐扣</v>
          </cell>
          <cell r="H3197" t="str">
            <v>乐扣乐扣</v>
          </cell>
          <cell r="I3197" t="str">
            <v>日用品</v>
          </cell>
          <cell r="J3197" t="str">
            <v>日用品</v>
          </cell>
          <cell r="K3197" t="str">
            <v>乐扣乐扣 经典商务晴雨伞21寸 1把</v>
          </cell>
          <cell r="L3197" t="str">
            <v>1把</v>
          </cell>
          <cell r="M3197" t="str">
            <v>个</v>
          </cell>
          <cell r="N3197">
            <v>40.4</v>
          </cell>
          <cell r="O3197">
            <v>99</v>
          </cell>
          <cell r="P3197">
            <v>0.587878787878788</v>
          </cell>
        </row>
        <row r="3198">
          <cell r="F3198" t="str">
            <v>70662668</v>
          </cell>
          <cell r="G3198" t="str">
            <v>统一饮料</v>
          </cell>
          <cell r="H3198" t="str">
            <v>统一饮料</v>
          </cell>
          <cell r="I3198" t="str">
            <v>包装饮料</v>
          </cell>
          <cell r="J3198" t="str">
            <v>茶饮料</v>
          </cell>
          <cell r="K3198" t="str">
            <v>统一 阿萨姆原味低糖茉莉奶绿 500ml</v>
          </cell>
          <cell r="L3198" t="str">
            <v>500ml</v>
          </cell>
          <cell r="M3198" t="str">
            <v>瓶</v>
          </cell>
          <cell r="N3198">
            <v>3.43</v>
          </cell>
          <cell r="O3198">
            <v>5</v>
          </cell>
          <cell r="P3198">
            <v>0.35749999999999998</v>
          </cell>
        </row>
        <row r="3199">
          <cell r="F3199" t="str">
            <v>70007014</v>
          </cell>
          <cell r="G3199" t="str">
            <v>双汇</v>
          </cell>
          <cell r="H3199" t="str">
            <v>双汇</v>
          </cell>
          <cell r="I3199" t="str">
            <v>速食</v>
          </cell>
          <cell r="J3199" t="str">
            <v>肉肠</v>
          </cell>
          <cell r="K3199" t="str">
            <v>双汇 王中王 60G</v>
          </cell>
          <cell r="L3199" t="str">
            <v>60g</v>
          </cell>
          <cell r="M3199" t="str">
            <v>个</v>
          </cell>
          <cell r="N3199">
            <v>1.83</v>
          </cell>
          <cell r="O3199">
            <v>2.5</v>
          </cell>
          <cell r="P3199">
            <v>0.26</v>
          </cell>
        </row>
        <row r="3200">
          <cell r="F3200" t="str">
            <v>70000181</v>
          </cell>
          <cell r="G3200" t="str">
            <v>双汇</v>
          </cell>
          <cell r="H3200" t="str">
            <v>双汇</v>
          </cell>
          <cell r="I3200" t="str">
            <v>速食</v>
          </cell>
          <cell r="J3200" t="str">
            <v>肉肠</v>
          </cell>
          <cell r="K3200" t="str">
            <v>双汇 王中王 90G</v>
          </cell>
          <cell r="L3200" t="str">
            <v>90g</v>
          </cell>
          <cell r="M3200" t="str">
            <v>个</v>
          </cell>
          <cell r="N3200">
            <v>2.75</v>
          </cell>
          <cell r="O3200">
            <v>4</v>
          </cell>
          <cell r="P3200">
            <v>0.3075</v>
          </cell>
        </row>
        <row r="3201">
          <cell r="F3201" t="str">
            <v>70027076</v>
          </cell>
          <cell r="G3201" t="str">
            <v>双汇</v>
          </cell>
          <cell r="H3201" t="str">
            <v>双汇</v>
          </cell>
          <cell r="I3201" t="str">
            <v>速食</v>
          </cell>
          <cell r="J3201" t="str">
            <v>肉肠</v>
          </cell>
          <cell r="K3201" t="str">
            <v>双汇 王中王 65g</v>
          </cell>
          <cell r="L3201" t="str">
            <v>65g</v>
          </cell>
          <cell r="M3201" t="str">
            <v>个</v>
          </cell>
          <cell r="N3201">
            <v>2.14</v>
          </cell>
          <cell r="O3201">
            <v>2.8</v>
          </cell>
          <cell r="P3201">
            <v>0.22857142857142801</v>
          </cell>
        </row>
        <row r="3202">
          <cell r="F3202" t="str">
            <v>70339832</v>
          </cell>
          <cell r="G3202" t="str">
            <v>双汇</v>
          </cell>
          <cell r="H3202" t="str">
            <v>双汇</v>
          </cell>
          <cell r="I3202" t="str">
            <v>速食</v>
          </cell>
          <cell r="J3202" t="str">
            <v>肉肠</v>
          </cell>
          <cell r="K3202" t="str">
            <v>双汇 马可波罗 60g*9支</v>
          </cell>
          <cell r="L3202" t="str">
            <v>60g*9</v>
          </cell>
          <cell r="M3202" t="str">
            <v>个</v>
          </cell>
          <cell r="N3202">
            <v>21.01</v>
          </cell>
          <cell r="O3202">
            <v>25.9</v>
          </cell>
          <cell r="P3202">
            <v>0.18069498069498099</v>
          </cell>
        </row>
        <row r="3203">
          <cell r="F3203" t="str">
            <v>70471305</v>
          </cell>
          <cell r="G3203" t="str">
            <v>双汇</v>
          </cell>
          <cell r="H3203" t="str">
            <v>双汇</v>
          </cell>
          <cell r="I3203" t="str">
            <v>速食</v>
          </cell>
          <cell r="J3203" t="str">
            <v>礼盒</v>
          </cell>
          <cell r="K3203" t="str">
            <v>双汇 酱卤牛肉(红色礼品箱) 1.39kg</v>
          </cell>
          <cell r="L3203" t="str">
            <v>1.12kg</v>
          </cell>
          <cell r="M3203" t="str">
            <v>箱</v>
          </cell>
          <cell r="N3203">
            <v>155.54</v>
          </cell>
          <cell r="O3203">
            <v>218</v>
          </cell>
          <cell r="P3203">
            <v>0.27944954128440402</v>
          </cell>
        </row>
        <row r="3204">
          <cell r="F3204" t="str">
            <v>70274202</v>
          </cell>
          <cell r="G3204" t="str">
            <v>双汇</v>
          </cell>
          <cell r="H3204" t="str">
            <v>双汇</v>
          </cell>
          <cell r="I3204" t="str">
            <v>速食</v>
          </cell>
          <cell r="J3204" t="str">
            <v>肉肠</v>
          </cell>
          <cell r="K3204" t="str">
            <v>双汇 清真鸡肉香肠 120G</v>
          </cell>
          <cell r="L3204" t="str">
            <v>120g</v>
          </cell>
          <cell r="M3204" t="str">
            <v>个</v>
          </cell>
          <cell r="N3204">
            <v>2.12</v>
          </cell>
          <cell r="O3204">
            <v>2.8</v>
          </cell>
          <cell r="P3204">
            <v>0.23571428571428599</v>
          </cell>
        </row>
        <row r="3205">
          <cell r="F3205" t="str">
            <v>70220781</v>
          </cell>
          <cell r="G3205" t="str">
            <v>双汇</v>
          </cell>
          <cell r="H3205" t="str">
            <v>双汇</v>
          </cell>
          <cell r="I3205" t="str">
            <v>速食</v>
          </cell>
          <cell r="J3205" t="str">
            <v>肉肠</v>
          </cell>
          <cell r="K3205" t="str">
            <v>双汇 王中王火腿肠 68G</v>
          </cell>
          <cell r="L3205" t="str">
            <v>68g</v>
          </cell>
          <cell r="M3205" t="str">
            <v>个</v>
          </cell>
          <cell r="N3205">
            <v>2.54</v>
          </cell>
          <cell r="O3205">
            <v>4</v>
          </cell>
          <cell r="P3205">
            <v>0.36</v>
          </cell>
        </row>
        <row r="3206">
          <cell r="F3206" t="str">
            <v>70236530</v>
          </cell>
          <cell r="G3206" t="str">
            <v>双汇</v>
          </cell>
          <cell r="H3206" t="str">
            <v>双汇</v>
          </cell>
          <cell r="I3206" t="str">
            <v>速食</v>
          </cell>
          <cell r="J3206" t="str">
            <v>肉肠</v>
          </cell>
          <cell r="K3206" t="str">
            <v>双汇 清真牛肉肠 120G</v>
          </cell>
          <cell r="L3206" t="str">
            <v>120g</v>
          </cell>
          <cell r="M3206" t="str">
            <v>个</v>
          </cell>
          <cell r="N3206">
            <v>1.88</v>
          </cell>
          <cell r="O3206">
            <v>2.8</v>
          </cell>
          <cell r="P3206">
            <v>0.32142857142857101</v>
          </cell>
        </row>
        <row r="3207">
          <cell r="F3207" t="str">
            <v>70000178</v>
          </cell>
          <cell r="G3207" t="str">
            <v>双汇</v>
          </cell>
          <cell r="H3207" t="str">
            <v>双汇</v>
          </cell>
          <cell r="I3207" t="str">
            <v>速食</v>
          </cell>
          <cell r="J3207" t="str">
            <v>肉肠</v>
          </cell>
          <cell r="K3207" t="str">
            <v>双汇 王中王优级火腿肠 40g*10</v>
          </cell>
          <cell r="L3207" t="str">
            <v>40g*10</v>
          </cell>
          <cell r="M3207" t="str">
            <v>包</v>
          </cell>
          <cell r="N3207">
            <v>12.47</v>
          </cell>
          <cell r="O3207">
            <v>16.899999999999999</v>
          </cell>
          <cell r="P3207">
            <v>0.25443786982248501</v>
          </cell>
        </row>
        <row r="3208">
          <cell r="F3208" t="str">
            <v>70000179</v>
          </cell>
          <cell r="G3208" t="str">
            <v>双汇</v>
          </cell>
          <cell r="H3208" t="str">
            <v>双汇</v>
          </cell>
          <cell r="I3208" t="str">
            <v>速食</v>
          </cell>
          <cell r="J3208" t="str">
            <v>肉肠</v>
          </cell>
          <cell r="K3208" t="str">
            <v>双汇 王中王 60G*10</v>
          </cell>
          <cell r="L3208" t="str">
            <v>60g*10</v>
          </cell>
          <cell r="M3208" t="str">
            <v>包</v>
          </cell>
          <cell r="N3208">
            <v>17.82</v>
          </cell>
          <cell r="O3208">
            <v>25</v>
          </cell>
          <cell r="P3208">
            <v>0.28039999999999998</v>
          </cell>
        </row>
        <row r="3209">
          <cell r="F3209" t="str">
            <v>70327137</v>
          </cell>
          <cell r="G3209" t="str">
            <v>双汇</v>
          </cell>
          <cell r="H3209" t="str">
            <v>双汇</v>
          </cell>
          <cell r="I3209" t="str">
            <v>速食</v>
          </cell>
          <cell r="J3209" t="str">
            <v>肉肠</v>
          </cell>
          <cell r="K3209" t="str">
            <v>双汇 藤椒风味香肠 70g</v>
          </cell>
          <cell r="L3209" t="str">
            <v>70g</v>
          </cell>
          <cell r="M3209" t="str">
            <v>个</v>
          </cell>
          <cell r="N3209">
            <v>1.84</v>
          </cell>
          <cell r="O3209">
            <v>2.9</v>
          </cell>
          <cell r="P3209">
            <v>0.35862068965517202</v>
          </cell>
        </row>
        <row r="3210">
          <cell r="F3210" t="str">
            <v>70506576</v>
          </cell>
          <cell r="G3210" t="str">
            <v>双汇</v>
          </cell>
          <cell r="H3210" t="str">
            <v>双汇</v>
          </cell>
          <cell r="I3210" t="str">
            <v>速食</v>
          </cell>
          <cell r="J3210" t="str">
            <v>肉肠</v>
          </cell>
          <cell r="K3210" t="str">
            <v>双汇 椒麻鸡 1.14kg</v>
          </cell>
          <cell r="L3210" t="str">
            <v>1.14kg</v>
          </cell>
          <cell r="M3210" t="str">
            <v>个</v>
          </cell>
          <cell r="N3210">
            <v>75.75</v>
          </cell>
          <cell r="O3210">
            <v>90</v>
          </cell>
          <cell r="P3210">
            <v>0.15</v>
          </cell>
        </row>
        <row r="3211">
          <cell r="F3211" t="str">
            <v>70337847</v>
          </cell>
          <cell r="G3211" t="str">
            <v>双汇</v>
          </cell>
          <cell r="H3211" t="str">
            <v>双汇</v>
          </cell>
          <cell r="I3211" t="str">
            <v>速食</v>
          </cell>
          <cell r="J3211" t="str">
            <v>肉肠</v>
          </cell>
          <cell r="K3211" t="str">
            <v>双汇 泡面拍档香肠 70G</v>
          </cell>
          <cell r="L3211" t="str">
            <v>70g</v>
          </cell>
          <cell r="M3211" t="str">
            <v>个</v>
          </cell>
          <cell r="N3211">
            <v>1.7</v>
          </cell>
          <cell r="O3211">
            <v>2.5</v>
          </cell>
          <cell r="P3211">
            <v>0.316</v>
          </cell>
        </row>
        <row r="3212">
          <cell r="F3212" t="str">
            <v>70139821</v>
          </cell>
          <cell r="G3212" t="str">
            <v>双汇</v>
          </cell>
          <cell r="H3212" t="str">
            <v>双汇</v>
          </cell>
          <cell r="I3212" t="str">
            <v>速食</v>
          </cell>
          <cell r="J3212" t="str">
            <v>肉肠</v>
          </cell>
          <cell r="K3212" t="str">
            <v>双汇 马可波罗 65g</v>
          </cell>
          <cell r="L3212" t="str">
            <v>65g</v>
          </cell>
          <cell r="M3212" t="str">
            <v>个</v>
          </cell>
          <cell r="N3212">
            <v>2.15</v>
          </cell>
          <cell r="O3212">
            <v>3</v>
          </cell>
          <cell r="P3212">
            <v>0.276666666666667</v>
          </cell>
        </row>
        <row r="3213">
          <cell r="F3213" t="str">
            <v>70063930</v>
          </cell>
          <cell r="G3213" t="str">
            <v>双汇</v>
          </cell>
          <cell r="H3213" t="str">
            <v>双汇</v>
          </cell>
          <cell r="I3213" t="str">
            <v>速食</v>
          </cell>
          <cell r="J3213" t="str">
            <v>罐头</v>
          </cell>
          <cell r="K3213" t="str">
            <v>双汇 午餐猪肉风味罐头 340g</v>
          </cell>
          <cell r="L3213" t="str">
            <v>340g</v>
          </cell>
          <cell r="M3213" t="str">
            <v>包</v>
          </cell>
          <cell r="N3213">
            <v>8.91</v>
          </cell>
          <cell r="O3213">
            <v>12.8</v>
          </cell>
          <cell r="P3213">
            <v>0.296875</v>
          </cell>
        </row>
        <row r="3214">
          <cell r="F3214" t="str">
            <v>70506466</v>
          </cell>
          <cell r="G3214" t="str">
            <v>双汇</v>
          </cell>
          <cell r="H3214" t="str">
            <v>双汇</v>
          </cell>
          <cell r="I3214" t="str">
            <v>速食</v>
          </cell>
          <cell r="J3214" t="str">
            <v>肉肠</v>
          </cell>
          <cell r="K3214" t="str">
            <v>双汇 王中王 70g*30（配手提袋）</v>
          </cell>
          <cell r="L3214" t="str">
            <v>70g*30</v>
          </cell>
          <cell r="M3214" t="str">
            <v>个</v>
          </cell>
          <cell r="N3214">
            <v>72.72</v>
          </cell>
          <cell r="O3214">
            <v>90</v>
          </cell>
          <cell r="P3214">
            <v>0.184</v>
          </cell>
        </row>
        <row r="3215">
          <cell r="F3215" t="str">
            <v>70170836</v>
          </cell>
          <cell r="G3215" t="str">
            <v>双汇</v>
          </cell>
          <cell r="H3215" t="str">
            <v>双汇</v>
          </cell>
          <cell r="I3215" t="str">
            <v>速食</v>
          </cell>
          <cell r="J3215" t="str">
            <v>罐头</v>
          </cell>
          <cell r="K3215" t="str">
            <v>双汇 清伊坊午餐牛肉风味罐头 340g</v>
          </cell>
          <cell r="L3215" t="str">
            <v>340g</v>
          </cell>
          <cell r="M3215" t="str">
            <v>个</v>
          </cell>
          <cell r="N3215">
            <v>11.28</v>
          </cell>
          <cell r="O3215">
            <v>16.8</v>
          </cell>
          <cell r="P3215">
            <v>0.32202380952380999</v>
          </cell>
        </row>
        <row r="3216">
          <cell r="F3216" t="str">
            <v>70366212</v>
          </cell>
          <cell r="G3216" t="str">
            <v>双汇</v>
          </cell>
          <cell r="H3216" t="str">
            <v>双汇</v>
          </cell>
          <cell r="I3216" t="str">
            <v>速食</v>
          </cell>
          <cell r="J3216" t="str">
            <v>肉肠</v>
          </cell>
          <cell r="K3216" t="str">
            <v>双汇 润口香甜王香肠 65G</v>
          </cell>
          <cell r="L3216" t="str">
            <v>65g</v>
          </cell>
          <cell r="M3216" t="str">
            <v>个</v>
          </cell>
          <cell r="N3216">
            <v>1.78</v>
          </cell>
          <cell r="O3216">
            <v>2.5</v>
          </cell>
          <cell r="P3216">
            <v>0.28000000000000003</v>
          </cell>
        </row>
        <row r="3217">
          <cell r="F3217" t="str">
            <v>70472176</v>
          </cell>
          <cell r="G3217" t="str">
            <v>双汇</v>
          </cell>
          <cell r="H3217" t="str">
            <v>双汇</v>
          </cell>
          <cell r="I3217" t="str">
            <v>速食</v>
          </cell>
          <cell r="J3217" t="str">
            <v>肉肠</v>
          </cell>
          <cell r="K3217" t="str">
            <v>双汇 香熏烤鸡 1.14kg</v>
          </cell>
          <cell r="L3217" t="str">
            <v>1.14kg</v>
          </cell>
          <cell r="M3217" t="str">
            <v>个</v>
          </cell>
          <cell r="N3217">
            <v>70.7</v>
          </cell>
          <cell r="O3217">
            <v>85</v>
          </cell>
          <cell r="P3217">
            <v>0.16</v>
          </cell>
        </row>
        <row r="3218">
          <cell r="F3218" t="str">
            <v>70506259</v>
          </cell>
          <cell r="G3218" t="str">
            <v>双汇</v>
          </cell>
          <cell r="H3218" t="str">
            <v>双汇</v>
          </cell>
          <cell r="I3218" t="str">
            <v>速食</v>
          </cell>
          <cell r="J3218" t="str">
            <v>礼盒</v>
          </cell>
          <cell r="K3218" t="str">
            <v>双汇 大肘子礼盒 1.7kg</v>
          </cell>
          <cell r="L3218" t="str">
            <v>1.7kg</v>
          </cell>
          <cell r="M3218" t="str">
            <v>盒</v>
          </cell>
          <cell r="N3218">
            <v>113.12</v>
          </cell>
          <cell r="O3218">
            <v>138</v>
          </cell>
          <cell r="P3218">
            <v>0.17217391304347801</v>
          </cell>
        </row>
        <row r="3219">
          <cell r="F3219" t="str">
            <v>70486133</v>
          </cell>
          <cell r="G3219" t="str">
            <v>双汇</v>
          </cell>
          <cell r="H3219" t="str">
            <v>双汇</v>
          </cell>
          <cell r="I3219" t="str">
            <v>速食</v>
          </cell>
          <cell r="J3219" t="str">
            <v>肉肠</v>
          </cell>
          <cell r="K3219" t="str">
            <v>双汇 泡面轻盐派香肠 65g</v>
          </cell>
          <cell r="L3219" t="str">
            <v>65g</v>
          </cell>
          <cell r="M3219" t="str">
            <v>包</v>
          </cell>
          <cell r="N3219">
            <v>2.11</v>
          </cell>
          <cell r="O3219">
            <v>3</v>
          </cell>
          <cell r="P3219">
            <v>0.28999999999999998</v>
          </cell>
        </row>
        <row r="3220">
          <cell r="F3220" t="str">
            <v>70351052</v>
          </cell>
          <cell r="G3220" t="str">
            <v>双汇</v>
          </cell>
          <cell r="H3220" t="str">
            <v>双汇</v>
          </cell>
          <cell r="I3220" t="str">
            <v>速食</v>
          </cell>
          <cell r="J3220" t="str">
            <v>肉肠</v>
          </cell>
          <cell r="K3220" t="str">
            <v>双汇 香辣香脆肠 60g</v>
          </cell>
          <cell r="L3220" t="str">
            <v>60g</v>
          </cell>
          <cell r="M3220" t="str">
            <v>个</v>
          </cell>
          <cell r="N3220">
            <v>1.88</v>
          </cell>
          <cell r="O3220">
            <v>2.9</v>
          </cell>
          <cell r="P3220">
            <v>0.34482758620689702</v>
          </cell>
        </row>
        <row r="3221">
          <cell r="F3221" t="str">
            <v>70338677</v>
          </cell>
          <cell r="G3221" t="str">
            <v>双汇</v>
          </cell>
          <cell r="H3221" t="str">
            <v>双汇</v>
          </cell>
          <cell r="I3221" t="str">
            <v>速食</v>
          </cell>
          <cell r="J3221" t="str">
            <v>肉肠</v>
          </cell>
          <cell r="K3221" t="str">
            <v>双汇 玉米热狗肠 60g</v>
          </cell>
          <cell r="L3221" t="str">
            <v>60g</v>
          </cell>
          <cell r="M3221" t="str">
            <v>个</v>
          </cell>
          <cell r="N3221">
            <v>1.78</v>
          </cell>
          <cell r="O3221">
            <v>3</v>
          </cell>
          <cell r="P3221">
            <v>0.4</v>
          </cell>
        </row>
        <row r="3222">
          <cell r="F3222" t="str">
            <v>70031722</v>
          </cell>
          <cell r="G3222" t="str">
            <v>双汇</v>
          </cell>
          <cell r="H3222" t="str">
            <v>双汇</v>
          </cell>
          <cell r="I3222" t="str">
            <v>速食</v>
          </cell>
          <cell r="J3222" t="str">
            <v>肉肠</v>
          </cell>
          <cell r="K3222" t="str">
            <v>双汇 润口香甜王 30G*9</v>
          </cell>
          <cell r="L3222" t="str">
            <v>30g*9</v>
          </cell>
          <cell r="M3222" t="str">
            <v>袋</v>
          </cell>
          <cell r="N3222">
            <v>6.43</v>
          </cell>
          <cell r="O3222">
            <v>8.9</v>
          </cell>
          <cell r="P3222">
            <v>0.26966292134831499</v>
          </cell>
        </row>
        <row r="3223">
          <cell r="F3223" t="str">
            <v>70428723</v>
          </cell>
          <cell r="G3223" t="str">
            <v>双汇</v>
          </cell>
          <cell r="H3223" t="str">
            <v>双汇</v>
          </cell>
          <cell r="I3223" t="str">
            <v>速食</v>
          </cell>
          <cell r="J3223" t="str">
            <v>包装方便食品</v>
          </cell>
          <cell r="K3223" t="str">
            <v>双汇 笋丁牛肉拌饭 154g</v>
          </cell>
          <cell r="L3223" t="str">
            <v>154g</v>
          </cell>
          <cell r="M3223" t="str">
            <v>盒</v>
          </cell>
          <cell r="N3223">
            <v>7.07</v>
          </cell>
          <cell r="O3223">
            <v>9.9</v>
          </cell>
          <cell r="P3223">
            <v>0.27878787878787897</v>
          </cell>
        </row>
        <row r="3224">
          <cell r="F3224" t="str">
            <v>70428721</v>
          </cell>
          <cell r="G3224" t="str">
            <v>双汇</v>
          </cell>
          <cell r="H3224" t="str">
            <v>双汇</v>
          </cell>
          <cell r="I3224" t="str">
            <v>速食</v>
          </cell>
          <cell r="J3224" t="str">
            <v>包装方便食品</v>
          </cell>
          <cell r="K3224" t="str">
            <v>双汇 鱼香肉丝拌饭 154g</v>
          </cell>
          <cell r="L3224" t="str">
            <v>154g</v>
          </cell>
          <cell r="M3224" t="str">
            <v>盒</v>
          </cell>
          <cell r="N3224">
            <v>7.07</v>
          </cell>
          <cell r="O3224">
            <v>9.9</v>
          </cell>
          <cell r="P3224">
            <v>0.27878787878787897</v>
          </cell>
        </row>
        <row r="3225">
          <cell r="F3225" t="str">
            <v>70020551</v>
          </cell>
          <cell r="G3225" t="str">
            <v>双汇</v>
          </cell>
          <cell r="H3225" t="str">
            <v>双汇</v>
          </cell>
          <cell r="I3225" t="str">
            <v>速食</v>
          </cell>
          <cell r="J3225" t="str">
            <v>肉肠</v>
          </cell>
          <cell r="K3225" t="str">
            <v>双汇 超市马可波罗 250G</v>
          </cell>
          <cell r="L3225" t="str">
            <v>50g*5</v>
          </cell>
          <cell r="M3225" t="str">
            <v>袋</v>
          </cell>
          <cell r="N3225">
            <v>8.08</v>
          </cell>
          <cell r="O3225">
            <v>12</v>
          </cell>
          <cell r="P3225">
            <v>0.32</v>
          </cell>
        </row>
        <row r="3226">
          <cell r="F3226" t="str">
            <v>70428722</v>
          </cell>
          <cell r="G3226" t="str">
            <v>双汇</v>
          </cell>
          <cell r="H3226" t="str">
            <v>双汇</v>
          </cell>
          <cell r="I3226" t="str">
            <v>速食</v>
          </cell>
          <cell r="J3226" t="str">
            <v>包装方便食品</v>
          </cell>
          <cell r="K3226" t="str">
            <v>双汇 香菇红烧肉拌饭 154g</v>
          </cell>
          <cell r="L3226" t="str">
            <v>154g</v>
          </cell>
          <cell r="M3226" t="str">
            <v>盒</v>
          </cell>
          <cell r="N3226">
            <v>7.07</v>
          </cell>
          <cell r="O3226">
            <v>9.9</v>
          </cell>
          <cell r="P3226">
            <v>0.27878787878787897</v>
          </cell>
        </row>
        <row r="3227">
          <cell r="F3227" t="str">
            <v>70467394</v>
          </cell>
          <cell r="G3227" t="str">
            <v>双汇</v>
          </cell>
          <cell r="H3227" t="str">
            <v>双汇</v>
          </cell>
          <cell r="I3227" t="str">
            <v>速食</v>
          </cell>
          <cell r="J3227" t="str">
            <v>包装方便食品</v>
          </cell>
          <cell r="K3227" t="str">
            <v>双汇 招牌面(笋丁牛肉拌面)  213g</v>
          </cell>
          <cell r="L3227" t="str">
            <v>213g</v>
          </cell>
          <cell r="M3227" t="str">
            <v>盒</v>
          </cell>
          <cell r="N3227">
            <v>6.73</v>
          </cell>
          <cell r="O3227">
            <v>11</v>
          </cell>
          <cell r="P3227">
            <v>0.38272727272727303</v>
          </cell>
        </row>
        <row r="3228">
          <cell r="F3228" t="str">
            <v>70452747</v>
          </cell>
          <cell r="G3228" t="str">
            <v>双汇</v>
          </cell>
          <cell r="H3228" t="str">
            <v>双汇</v>
          </cell>
          <cell r="I3228" t="str">
            <v>速食</v>
          </cell>
          <cell r="J3228" t="str">
            <v>肉肠</v>
          </cell>
          <cell r="K3228" t="str">
            <v>双汇 轻咔能靓 70g</v>
          </cell>
          <cell r="L3228" t="str">
            <v>70g</v>
          </cell>
          <cell r="M3228" t="str">
            <v>个</v>
          </cell>
          <cell r="N3228">
            <v>2.92</v>
          </cell>
          <cell r="O3228">
            <v>4</v>
          </cell>
          <cell r="P3228">
            <v>0.26250000000000001</v>
          </cell>
        </row>
        <row r="3229">
          <cell r="F3229" t="str">
            <v>70337844</v>
          </cell>
          <cell r="G3229" t="str">
            <v>双汇</v>
          </cell>
          <cell r="H3229" t="str">
            <v>双汇</v>
          </cell>
          <cell r="I3229" t="str">
            <v>速食</v>
          </cell>
          <cell r="J3229" t="str">
            <v>肉肠</v>
          </cell>
          <cell r="K3229" t="str">
            <v>双汇 泡面拍档香肠(细长)  35G</v>
          </cell>
          <cell r="L3229" t="str">
            <v>35g</v>
          </cell>
          <cell r="M3229" t="str">
            <v>个</v>
          </cell>
          <cell r="N3229">
            <v>1.1100000000000001</v>
          </cell>
          <cell r="O3229">
            <v>1.5</v>
          </cell>
          <cell r="P3229">
            <v>0.25333333333333302</v>
          </cell>
        </row>
        <row r="3230">
          <cell r="F3230" t="str">
            <v>70343245</v>
          </cell>
          <cell r="G3230" t="str">
            <v>双汇</v>
          </cell>
          <cell r="H3230" t="str">
            <v>双汇</v>
          </cell>
          <cell r="I3230" t="str">
            <v>速食</v>
          </cell>
          <cell r="J3230" t="str">
            <v>肉肠</v>
          </cell>
          <cell r="K3230" t="str">
            <v>双汇 润口香甜王(玉米风味香肠) 75g</v>
          </cell>
          <cell r="L3230" t="str">
            <v>75g</v>
          </cell>
          <cell r="M3230" t="str">
            <v>个</v>
          </cell>
          <cell r="N3230">
            <v>2.4700000000000002</v>
          </cell>
          <cell r="O3230">
            <v>3.2</v>
          </cell>
          <cell r="P3230">
            <v>0.21875</v>
          </cell>
        </row>
        <row r="3231">
          <cell r="F3231" t="str">
            <v>70467395</v>
          </cell>
          <cell r="G3231" t="str">
            <v>双汇</v>
          </cell>
          <cell r="H3231" t="str">
            <v>双汇</v>
          </cell>
          <cell r="I3231" t="str">
            <v>速食</v>
          </cell>
          <cell r="J3231" t="str">
            <v>包装方便食品</v>
          </cell>
          <cell r="K3231" t="str">
            <v>双汇 招牌面(酱香肉丝拌面)  213g</v>
          </cell>
          <cell r="L3231" t="str">
            <v>213g</v>
          </cell>
          <cell r="M3231" t="str">
            <v>盒</v>
          </cell>
          <cell r="N3231">
            <v>6.73</v>
          </cell>
          <cell r="O3231">
            <v>11</v>
          </cell>
          <cell r="P3231">
            <v>0.38272727272727303</v>
          </cell>
        </row>
        <row r="3232">
          <cell r="F3232" t="str">
            <v>70486226</v>
          </cell>
          <cell r="G3232" t="str">
            <v>双汇</v>
          </cell>
          <cell r="H3232" t="str">
            <v>双汇</v>
          </cell>
          <cell r="I3232" t="str">
            <v>速食</v>
          </cell>
          <cell r="J3232" t="str">
            <v>肉肠</v>
          </cell>
          <cell r="K3232" t="str">
            <v>双汇 黄焖小酥肉(常温) 320g</v>
          </cell>
          <cell r="L3232" t="str">
            <v>320g</v>
          </cell>
          <cell r="M3232" t="str">
            <v>盒</v>
          </cell>
          <cell r="N3232">
            <v>15.15</v>
          </cell>
          <cell r="O3232">
            <v>19.899999999999999</v>
          </cell>
          <cell r="P3232">
            <v>0.231155778894472</v>
          </cell>
        </row>
        <row r="3233">
          <cell r="F3233" t="str">
            <v>70486143</v>
          </cell>
          <cell r="G3233" t="str">
            <v>双汇</v>
          </cell>
          <cell r="H3233" t="str">
            <v>双汇</v>
          </cell>
          <cell r="I3233" t="str">
            <v>速食</v>
          </cell>
          <cell r="J3233" t="str">
            <v>包装方便食品</v>
          </cell>
          <cell r="K3233" t="str">
            <v>双汇 招牌面(香菇红烧肉拌面)  213g</v>
          </cell>
          <cell r="L3233" t="str">
            <v>213g</v>
          </cell>
          <cell r="M3233" t="str">
            <v>盒</v>
          </cell>
          <cell r="N3233">
            <v>6.73</v>
          </cell>
          <cell r="O3233">
            <v>11</v>
          </cell>
          <cell r="P3233">
            <v>0.38272727272727303</v>
          </cell>
        </row>
        <row r="3234">
          <cell r="F3234" t="str">
            <v>70452745</v>
          </cell>
          <cell r="G3234" t="str">
            <v>双汇</v>
          </cell>
          <cell r="H3234" t="str">
            <v>双汇</v>
          </cell>
          <cell r="I3234" t="str">
            <v>速食</v>
          </cell>
          <cell r="J3234" t="str">
            <v>肉肠</v>
          </cell>
          <cell r="K3234" t="str">
            <v>双汇 轻享鸡肉肠38g*10支</v>
          </cell>
          <cell r="L3234" t="str">
            <v>38g*10</v>
          </cell>
          <cell r="M3234" t="str">
            <v>袋</v>
          </cell>
          <cell r="N3234">
            <v>9.5</v>
          </cell>
          <cell r="O3234">
            <v>13.5</v>
          </cell>
          <cell r="P3234">
            <v>0.28888888888888897</v>
          </cell>
        </row>
        <row r="3235">
          <cell r="F3235" t="str">
            <v>70007020</v>
          </cell>
          <cell r="G3235" t="str">
            <v>双汇</v>
          </cell>
          <cell r="H3235" t="str">
            <v>双汇</v>
          </cell>
          <cell r="I3235" t="str">
            <v>速食</v>
          </cell>
          <cell r="J3235" t="str">
            <v>肉肠</v>
          </cell>
          <cell r="K3235" t="str">
            <v>双汇 清伊坊牛肉王牛肉风味香肠 40g*9支</v>
          </cell>
          <cell r="L3235" t="str">
            <v>40g*9</v>
          </cell>
          <cell r="M3235" t="str">
            <v>个</v>
          </cell>
          <cell r="N3235">
            <v>12.32</v>
          </cell>
          <cell r="O3235">
            <v>15.9</v>
          </cell>
          <cell r="P3235">
            <v>0.21761006289308199</v>
          </cell>
        </row>
        <row r="3236">
          <cell r="F3236" t="str">
            <v>70428724</v>
          </cell>
          <cell r="G3236" t="str">
            <v>双汇</v>
          </cell>
          <cell r="H3236" t="str">
            <v>双汇</v>
          </cell>
          <cell r="I3236" t="str">
            <v>速食</v>
          </cell>
          <cell r="J3236" t="str">
            <v>包装方便食品</v>
          </cell>
          <cell r="K3236" t="str">
            <v>双汇 藤椒鸡肉拌饭 154g</v>
          </cell>
          <cell r="L3236" t="str">
            <v>154g</v>
          </cell>
          <cell r="M3236" t="str">
            <v>盒</v>
          </cell>
          <cell r="N3236">
            <v>7.07</v>
          </cell>
          <cell r="O3236">
            <v>9.9</v>
          </cell>
          <cell r="P3236">
            <v>0.27878787878787897</v>
          </cell>
        </row>
        <row r="3237">
          <cell r="F3237" t="str">
            <v>70506268</v>
          </cell>
          <cell r="G3237" t="str">
            <v>双汇</v>
          </cell>
          <cell r="H3237" t="str">
            <v>双汇</v>
          </cell>
          <cell r="I3237" t="str">
            <v>速食</v>
          </cell>
          <cell r="J3237" t="str">
            <v>礼盒</v>
          </cell>
          <cell r="K3237" t="str">
            <v>双汇 梅菜扣肉(常温八大碗) 320g</v>
          </cell>
          <cell r="L3237" t="str">
            <v>1*12</v>
          </cell>
          <cell r="M3237" t="str">
            <v>个</v>
          </cell>
          <cell r="N3237">
            <v>18.18</v>
          </cell>
          <cell r="O3237">
            <v>25</v>
          </cell>
          <cell r="P3237">
            <v>0.2656</v>
          </cell>
        </row>
        <row r="3238">
          <cell r="F3238" t="str">
            <v>70506270</v>
          </cell>
          <cell r="G3238" t="str">
            <v>双汇</v>
          </cell>
          <cell r="H3238" t="str">
            <v>双汇</v>
          </cell>
          <cell r="I3238" t="str">
            <v>速食</v>
          </cell>
          <cell r="J3238" t="str">
            <v>礼盒</v>
          </cell>
          <cell r="K3238" t="str">
            <v>双汇 红烧狮子头(常温八大碗) 300g</v>
          </cell>
          <cell r="L3238" t="str">
            <v>1*12</v>
          </cell>
          <cell r="M3238" t="str">
            <v>个</v>
          </cell>
          <cell r="N3238">
            <v>15.15</v>
          </cell>
          <cell r="O3238">
            <v>19.899999999999999</v>
          </cell>
          <cell r="P3238">
            <v>0.231155778894472</v>
          </cell>
        </row>
        <row r="3239">
          <cell r="F3239" t="str">
            <v>70486144</v>
          </cell>
          <cell r="G3239" t="str">
            <v>双汇</v>
          </cell>
          <cell r="H3239" t="str">
            <v>双汇</v>
          </cell>
          <cell r="I3239" t="str">
            <v>速食</v>
          </cell>
          <cell r="J3239" t="str">
            <v>包装方便食品</v>
          </cell>
          <cell r="K3239" t="str">
            <v>双汇 招牌面(藤椒鸡肉拌面)  213g</v>
          </cell>
          <cell r="L3239" t="str">
            <v>213g</v>
          </cell>
          <cell r="M3239" t="str">
            <v>盒</v>
          </cell>
          <cell r="N3239">
            <v>6.73</v>
          </cell>
          <cell r="O3239">
            <v>11</v>
          </cell>
          <cell r="P3239">
            <v>0.38272727272727303</v>
          </cell>
        </row>
        <row r="3240">
          <cell r="F3240" t="str">
            <v>70182455</v>
          </cell>
          <cell r="G3240" t="str">
            <v>双汇</v>
          </cell>
          <cell r="H3240" t="str">
            <v>双汇</v>
          </cell>
          <cell r="I3240" t="str">
            <v>速食</v>
          </cell>
          <cell r="J3240" t="str">
            <v>肉肠</v>
          </cell>
          <cell r="K3240" t="str">
            <v>双汇 润口香甜王 38g</v>
          </cell>
          <cell r="L3240" t="str">
            <v>38g</v>
          </cell>
          <cell r="M3240" t="str">
            <v>个</v>
          </cell>
          <cell r="N3240">
            <v>1.1100000000000001</v>
          </cell>
          <cell r="O3240">
            <v>1.5</v>
          </cell>
          <cell r="P3240">
            <v>0.25333333333333302</v>
          </cell>
        </row>
        <row r="3241">
          <cell r="F3241" t="str">
            <v>70040886</v>
          </cell>
          <cell r="G3241" t="str">
            <v>双汇</v>
          </cell>
          <cell r="H3241" t="str">
            <v>双汇</v>
          </cell>
          <cell r="I3241" t="str">
            <v>速食</v>
          </cell>
          <cell r="J3241" t="str">
            <v>肉肠</v>
          </cell>
          <cell r="K3241" t="str">
            <v>双汇 鱼肉肠 50g*5</v>
          </cell>
          <cell r="L3241" t="str">
            <v>50g*5</v>
          </cell>
          <cell r="M3241" t="str">
            <v>包</v>
          </cell>
          <cell r="N3241">
            <v>8.15</v>
          </cell>
          <cell r="O3241">
            <v>11</v>
          </cell>
          <cell r="P3241">
            <v>0.251818181818182</v>
          </cell>
        </row>
        <row r="3242">
          <cell r="F3242" t="str">
            <v>70452743</v>
          </cell>
          <cell r="G3242" t="str">
            <v>双汇</v>
          </cell>
          <cell r="H3242" t="str">
            <v>双汇</v>
          </cell>
          <cell r="I3242" t="str">
            <v>速食</v>
          </cell>
          <cell r="J3242" t="str">
            <v>肉肠</v>
          </cell>
          <cell r="K3242" t="str">
            <v>双汇 熏烤肉肠 300g</v>
          </cell>
          <cell r="L3242" t="str">
            <v>300g</v>
          </cell>
          <cell r="M3242" t="str">
            <v>个</v>
          </cell>
          <cell r="N3242">
            <v>9.8000000000000007</v>
          </cell>
          <cell r="O3242">
            <v>13.9</v>
          </cell>
          <cell r="P3242">
            <v>0.28848920863309402</v>
          </cell>
        </row>
        <row r="3243">
          <cell r="F3243" t="str">
            <v>70452744</v>
          </cell>
          <cell r="G3243" t="str">
            <v>双汇</v>
          </cell>
          <cell r="H3243" t="str">
            <v>双汇</v>
          </cell>
          <cell r="I3243" t="str">
            <v>速食</v>
          </cell>
          <cell r="J3243" t="str">
            <v>肉肠</v>
          </cell>
          <cell r="K3243" t="str">
            <v>双汇 地道烤肠 105g</v>
          </cell>
          <cell r="L3243" t="str">
            <v>105g</v>
          </cell>
          <cell r="M3243" t="str">
            <v>个</v>
          </cell>
          <cell r="N3243">
            <v>4.4400000000000004</v>
          </cell>
          <cell r="O3243">
            <v>6</v>
          </cell>
          <cell r="P3243">
            <v>0.25166666666666698</v>
          </cell>
        </row>
        <row r="3244">
          <cell r="F3244" t="str">
            <v>70452742</v>
          </cell>
          <cell r="G3244" t="str">
            <v>双汇</v>
          </cell>
          <cell r="H3244" t="str">
            <v>双汇</v>
          </cell>
          <cell r="I3244" t="str">
            <v>速食</v>
          </cell>
          <cell r="J3244" t="str">
            <v>肉肠</v>
          </cell>
          <cell r="K3244" t="str">
            <v>双汇 火炫风 即食烤香肠(奥尔良风味) 60g</v>
          </cell>
          <cell r="L3244" t="str">
            <v>60g</v>
          </cell>
          <cell r="M3244" t="str">
            <v>个</v>
          </cell>
          <cell r="N3244">
            <v>2.02</v>
          </cell>
          <cell r="O3244">
            <v>3</v>
          </cell>
          <cell r="P3244">
            <v>0.32</v>
          </cell>
        </row>
        <row r="3245">
          <cell r="F3245" t="str">
            <v>70171600</v>
          </cell>
          <cell r="G3245" t="str">
            <v>双汇</v>
          </cell>
          <cell r="H3245" t="str">
            <v>双汇</v>
          </cell>
          <cell r="I3245" t="str">
            <v>速食</v>
          </cell>
          <cell r="J3245" t="str">
            <v>肉肠</v>
          </cell>
          <cell r="K3245" t="str">
            <v>双汇上选肘花小火腿85g</v>
          </cell>
          <cell r="L3245" t="str">
            <v>85g</v>
          </cell>
          <cell r="M3245" t="str">
            <v>个</v>
          </cell>
          <cell r="N3245">
            <v>4.33</v>
          </cell>
          <cell r="O3245">
            <v>6.5</v>
          </cell>
          <cell r="P3245">
            <v>0.32615384615384602</v>
          </cell>
        </row>
        <row r="3246">
          <cell r="F3246" t="str">
            <v>70514561</v>
          </cell>
          <cell r="G3246" t="str">
            <v>双汇</v>
          </cell>
          <cell r="H3246" t="str">
            <v>双汇</v>
          </cell>
          <cell r="I3246" t="str">
            <v>速食</v>
          </cell>
          <cell r="J3246" t="str">
            <v>肉肠</v>
          </cell>
          <cell r="K3246" t="str">
            <v>双汇 臻品大肉块特技火腿肠 70g</v>
          </cell>
          <cell r="L3246" t="str">
            <v>70g</v>
          </cell>
          <cell r="M3246" t="str">
            <v>个</v>
          </cell>
          <cell r="N3246">
            <v>3.26</v>
          </cell>
          <cell r="O3246">
            <v>4.5</v>
          </cell>
          <cell r="P3246">
            <v>0.26888888888888901</v>
          </cell>
        </row>
        <row r="3247">
          <cell r="F3247" t="str">
            <v>70514559</v>
          </cell>
          <cell r="G3247" t="str">
            <v>双汇</v>
          </cell>
          <cell r="H3247" t="str">
            <v>双汇</v>
          </cell>
          <cell r="I3247" t="str">
            <v>速食</v>
          </cell>
          <cell r="J3247" t="str">
            <v>肉肠</v>
          </cell>
          <cell r="K3247" t="str">
            <v>双汇 炫动玉米芝士肠（熏煮香肠）60g</v>
          </cell>
          <cell r="L3247" t="str">
            <v>60g</v>
          </cell>
          <cell r="M3247" t="str">
            <v>个</v>
          </cell>
          <cell r="N3247">
            <v>2.88</v>
          </cell>
          <cell r="O3247">
            <v>4</v>
          </cell>
          <cell r="P3247">
            <v>0.27250000000000002</v>
          </cell>
        </row>
        <row r="3248">
          <cell r="F3248" t="str">
            <v>70152939</v>
          </cell>
          <cell r="G3248" t="str">
            <v>双汇</v>
          </cell>
          <cell r="H3248" t="str">
            <v>双汇</v>
          </cell>
          <cell r="I3248" t="str">
            <v>速食</v>
          </cell>
          <cell r="J3248" t="str">
            <v>肉肠</v>
          </cell>
          <cell r="K3248" t="str">
            <v>双汇 香辣香脆肠 32g</v>
          </cell>
          <cell r="L3248" t="str">
            <v>32g</v>
          </cell>
          <cell r="M3248" t="str">
            <v>个</v>
          </cell>
          <cell r="N3248">
            <v>1.1100000000000001</v>
          </cell>
          <cell r="O3248">
            <v>1.5</v>
          </cell>
          <cell r="P3248">
            <v>0.25333333333333302</v>
          </cell>
        </row>
        <row r="3249">
          <cell r="F3249" t="str">
            <v>70486135</v>
          </cell>
          <cell r="G3249" t="str">
            <v>双汇</v>
          </cell>
          <cell r="H3249" t="str">
            <v>双汇</v>
          </cell>
          <cell r="I3249" t="str">
            <v>速食</v>
          </cell>
          <cell r="J3249" t="str">
            <v>肉肠</v>
          </cell>
          <cell r="K3249" t="str">
            <v>双汇 筷厨午餐肉(熏煮香肠) 260g</v>
          </cell>
          <cell r="L3249" t="str">
            <v>260g</v>
          </cell>
          <cell r="M3249" t="str">
            <v>包</v>
          </cell>
          <cell r="N3249">
            <v>14.78</v>
          </cell>
          <cell r="O3249">
            <v>20.9</v>
          </cell>
          <cell r="P3249">
            <v>0.286124401913876</v>
          </cell>
        </row>
        <row r="3250">
          <cell r="F3250" t="str">
            <v>70506511</v>
          </cell>
          <cell r="G3250" t="str">
            <v>双汇</v>
          </cell>
          <cell r="H3250" t="str">
            <v>双汇</v>
          </cell>
          <cell r="I3250" t="str">
            <v>速食</v>
          </cell>
          <cell r="J3250" t="str">
            <v>肉肠</v>
          </cell>
          <cell r="K3250" t="str">
            <v>双汇 哈尔滨风味红肠 100g</v>
          </cell>
          <cell r="L3250" t="str">
            <v>100g</v>
          </cell>
          <cell r="M3250" t="str">
            <v>个</v>
          </cell>
          <cell r="N3250">
            <v>5.35</v>
          </cell>
          <cell r="O3250">
            <v>6.9</v>
          </cell>
          <cell r="P3250">
            <v>0.21594202898550699</v>
          </cell>
        </row>
        <row r="3251">
          <cell r="F3251" t="str">
            <v>70514328</v>
          </cell>
          <cell r="G3251" t="str">
            <v>双汇</v>
          </cell>
          <cell r="H3251" t="str">
            <v>双汇</v>
          </cell>
          <cell r="I3251" t="str">
            <v>速食</v>
          </cell>
          <cell r="J3251" t="str">
            <v>肉肠</v>
          </cell>
          <cell r="K3251" t="str">
            <v>双汇 炫动番茄肠（熏煮香肠）60g</v>
          </cell>
          <cell r="L3251" t="str">
            <v>60g</v>
          </cell>
          <cell r="M3251" t="str">
            <v>个</v>
          </cell>
          <cell r="N3251">
            <v>2.88</v>
          </cell>
          <cell r="O3251">
            <v>4</v>
          </cell>
          <cell r="P3251">
            <v>0.27250000000000002</v>
          </cell>
        </row>
        <row r="3252">
          <cell r="F3252" t="str">
            <v>70486134</v>
          </cell>
          <cell r="G3252" t="str">
            <v>双汇</v>
          </cell>
          <cell r="H3252" t="str">
            <v>双汇</v>
          </cell>
          <cell r="I3252" t="str">
            <v>速食</v>
          </cell>
          <cell r="J3252" t="str">
            <v>肉肠</v>
          </cell>
          <cell r="K3252" t="str">
            <v>双汇 臻品台式烤香肠60g</v>
          </cell>
          <cell r="L3252" t="str">
            <v>60g</v>
          </cell>
          <cell r="M3252" t="str">
            <v>包</v>
          </cell>
          <cell r="N3252">
            <v>2.97</v>
          </cell>
          <cell r="O3252">
            <v>4.2</v>
          </cell>
          <cell r="P3252">
            <v>0.28571428571428598</v>
          </cell>
        </row>
        <row r="3253">
          <cell r="F3253" t="str">
            <v>70328461</v>
          </cell>
          <cell r="G3253" t="str">
            <v>双汇</v>
          </cell>
          <cell r="H3253" t="str">
            <v>双汇</v>
          </cell>
          <cell r="I3253" t="str">
            <v>速食</v>
          </cell>
          <cell r="J3253" t="str">
            <v>肉肠</v>
          </cell>
          <cell r="K3253" t="str">
            <v>双汇 蒜味肠（香辣风味）190g</v>
          </cell>
          <cell r="L3253" t="str">
            <v>190g</v>
          </cell>
          <cell r="M3253" t="str">
            <v>个</v>
          </cell>
          <cell r="N3253">
            <v>6.33</v>
          </cell>
          <cell r="O3253">
            <v>9</v>
          </cell>
          <cell r="P3253">
            <v>0.28888888888888897</v>
          </cell>
        </row>
        <row r="3254">
          <cell r="F3254" t="str">
            <v>70514535</v>
          </cell>
          <cell r="G3254" t="str">
            <v>双汇</v>
          </cell>
          <cell r="H3254" t="str">
            <v>双汇</v>
          </cell>
          <cell r="I3254" t="str">
            <v>速食</v>
          </cell>
          <cell r="J3254" t="str">
            <v>礼盒</v>
          </cell>
          <cell r="K3254" t="str">
            <v>双汇 私厨八拼礼盒 1.96kg</v>
          </cell>
          <cell r="L3254" t="str">
            <v>96kg</v>
          </cell>
          <cell r="M3254" t="str">
            <v>盒</v>
          </cell>
          <cell r="N3254">
            <v>181.3</v>
          </cell>
          <cell r="O3254">
            <v>268</v>
          </cell>
          <cell r="P3254">
            <v>0.316828358208955</v>
          </cell>
        </row>
        <row r="3255">
          <cell r="F3255" t="str">
            <v>70000197</v>
          </cell>
          <cell r="G3255" t="str">
            <v>双汇</v>
          </cell>
          <cell r="H3255" t="str">
            <v>双汇</v>
          </cell>
          <cell r="I3255" t="str">
            <v>速食</v>
          </cell>
          <cell r="J3255" t="str">
            <v>肉肠</v>
          </cell>
          <cell r="K3255" t="str">
            <v>双汇 玉米热狗肠(细长型) 32g</v>
          </cell>
          <cell r="L3255" t="str">
            <v>32g</v>
          </cell>
          <cell r="M3255" t="str">
            <v>个</v>
          </cell>
          <cell r="N3255">
            <v>1.1100000000000001</v>
          </cell>
          <cell r="O3255">
            <v>1.5</v>
          </cell>
          <cell r="P3255">
            <v>0.25333333333333302</v>
          </cell>
        </row>
        <row r="3256">
          <cell r="F3256" t="str">
            <v>70514560</v>
          </cell>
          <cell r="G3256" t="str">
            <v>双汇</v>
          </cell>
          <cell r="H3256" t="str">
            <v>双汇</v>
          </cell>
          <cell r="I3256" t="str">
            <v>速食</v>
          </cell>
          <cell r="J3256" t="str">
            <v>肉肠</v>
          </cell>
          <cell r="K3256" t="str">
            <v>双汇 爆浆芝士肠 50g</v>
          </cell>
          <cell r="L3256" t="str">
            <v>50g</v>
          </cell>
          <cell r="M3256" t="str">
            <v>个</v>
          </cell>
          <cell r="N3256">
            <v>3.07</v>
          </cell>
          <cell r="O3256">
            <v>4</v>
          </cell>
          <cell r="P3256">
            <v>0.22500000000000001</v>
          </cell>
        </row>
        <row r="3257">
          <cell r="F3257" t="str">
            <v>70283400</v>
          </cell>
          <cell r="G3257" t="str">
            <v>双汇</v>
          </cell>
          <cell r="H3257" t="str">
            <v>双汇</v>
          </cell>
          <cell r="I3257" t="str">
            <v>速食</v>
          </cell>
          <cell r="J3257" t="str">
            <v>肉肠</v>
          </cell>
          <cell r="K3257" t="str">
            <v>双汇 蒜味肠190g</v>
          </cell>
          <cell r="L3257" t="str">
            <v>190g</v>
          </cell>
          <cell r="M3257" t="str">
            <v>个</v>
          </cell>
          <cell r="N3257">
            <v>6.33</v>
          </cell>
          <cell r="O3257">
            <v>9</v>
          </cell>
          <cell r="P3257">
            <v>0.28888888888888897</v>
          </cell>
        </row>
        <row r="3258">
          <cell r="F3258" t="str">
            <v>70008911</v>
          </cell>
          <cell r="G3258" t="str">
            <v>双汇</v>
          </cell>
          <cell r="H3258" t="str">
            <v>双汇</v>
          </cell>
          <cell r="I3258" t="str">
            <v>速食</v>
          </cell>
          <cell r="J3258" t="str">
            <v>肉肠</v>
          </cell>
          <cell r="K3258" t="str">
            <v>双汇 王中王(130g)</v>
          </cell>
          <cell r="L3258" t="str">
            <v>130g</v>
          </cell>
          <cell r="M3258" t="str">
            <v>个</v>
          </cell>
          <cell r="N3258">
            <v>4.12</v>
          </cell>
          <cell r="O3258">
            <v>5.5</v>
          </cell>
          <cell r="P3258">
            <v>0.24363636363636401</v>
          </cell>
        </row>
        <row r="3259">
          <cell r="F3259" t="str">
            <v>70020789</v>
          </cell>
          <cell r="G3259" t="str">
            <v>双汇</v>
          </cell>
          <cell r="H3259" t="str">
            <v>双汇</v>
          </cell>
          <cell r="I3259" t="str">
            <v>速食</v>
          </cell>
          <cell r="J3259" t="str">
            <v>肉肠</v>
          </cell>
          <cell r="K3259" t="str">
            <v>双汇 王中王火腿肠 50g*10</v>
          </cell>
          <cell r="L3259" t="str">
            <v>50g</v>
          </cell>
          <cell r="M3259" t="str">
            <v>袋</v>
          </cell>
          <cell r="N3259">
            <v>15.44</v>
          </cell>
          <cell r="O3259">
            <v>22.8</v>
          </cell>
          <cell r="P3259">
            <v>0.31578947368421101</v>
          </cell>
        </row>
        <row r="3260">
          <cell r="F3260" t="str">
            <v>70292037</v>
          </cell>
          <cell r="G3260" t="str">
            <v>双汇</v>
          </cell>
          <cell r="H3260" t="str">
            <v>双汇</v>
          </cell>
          <cell r="I3260" t="str">
            <v>速食</v>
          </cell>
          <cell r="J3260" t="str">
            <v>肉肠</v>
          </cell>
          <cell r="K3260" t="str">
            <v>双汇 鱼肉火腿肠 35g</v>
          </cell>
          <cell r="L3260" t="str">
            <v>35g</v>
          </cell>
          <cell r="M3260" t="str">
            <v>个</v>
          </cell>
          <cell r="N3260">
            <v>0.99</v>
          </cell>
          <cell r="O3260">
            <v>1.5</v>
          </cell>
          <cell r="P3260">
            <v>0.33333333333333298</v>
          </cell>
        </row>
        <row r="3261">
          <cell r="F3261" t="str">
            <v>70344951</v>
          </cell>
          <cell r="G3261" t="str">
            <v>双汇</v>
          </cell>
          <cell r="H3261" t="str">
            <v>双汇</v>
          </cell>
          <cell r="I3261" t="str">
            <v>速食</v>
          </cell>
          <cell r="J3261" t="str">
            <v>肉肠</v>
          </cell>
          <cell r="K3261" t="str">
            <v>双汇 多彩营养棒（奥尔良风味）45g</v>
          </cell>
          <cell r="L3261" t="str">
            <v>45g</v>
          </cell>
          <cell r="M3261" t="str">
            <v>个</v>
          </cell>
          <cell r="N3261">
            <v>1.92</v>
          </cell>
          <cell r="O3261">
            <v>2.6</v>
          </cell>
          <cell r="P3261">
            <v>0.253846153846154</v>
          </cell>
        </row>
        <row r="3262">
          <cell r="F3262" t="str">
            <v>70135006</v>
          </cell>
          <cell r="G3262" t="str">
            <v>双汇</v>
          </cell>
          <cell r="H3262" t="str">
            <v>双汇</v>
          </cell>
          <cell r="I3262" t="str">
            <v>速食</v>
          </cell>
          <cell r="J3262" t="str">
            <v>肉肠</v>
          </cell>
          <cell r="K3262" t="str">
            <v>双汇 鸡肉香肠（东北风味）135g</v>
          </cell>
          <cell r="L3262" t="str">
            <v>135g</v>
          </cell>
          <cell r="M3262" t="str">
            <v>个</v>
          </cell>
          <cell r="N3262">
            <v>2.68</v>
          </cell>
          <cell r="O3262">
            <v>3.3</v>
          </cell>
          <cell r="P3262">
            <v>0.18181818181818199</v>
          </cell>
        </row>
        <row r="3263">
          <cell r="F3263" t="str">
            <v>70575304</v>
          </cell>
          <cell r="G3263" t="str">
            <v>双汇</v>
          </cell>
          <cell r="H3263" t="str">
            <v>双汇</v>
          </cell>
          <cell r="I3263" t="str">
            <v>速食</v>
          </cell>
          <cell r="J3263" t="str">
            <v>肉肠</v>
          </cell>
          <cell r="K3263" t="str">
            <v>双汇 家家汇鸡肉香肠(新版) 120g</v>
          </cell>
          <cell r="L3263" t="str">
            <v>120g</v>
          </cell>
          <cell r="M3263" t="str">
            <v>个</v>
          </cell>
          <cell r="N3263">
            <v>2.37</v>
          </cell>
          <cell r="O3263">
            <v>3</v>
          </cell>
          <cell r="P3263">
            <v>0.2</v>
          </cell>
        </row>
        <row r="3264">
          <cell r="F3264" t="str">
            <v>70575300</v>
          </cell>
          <cell r="G3264" t="str">
            <v>双汇</v>
          </cell>
          <cell r="H3264" t="str">
            <v>双汇</v>
          </cell>
          <cell r="I3264" t="str">
            <v>速食</v>
          </cell>
          <cell r="J3264" t="str">
            <v>肉肠</v>
          </cell>
          <cell r="K3264" t="str">
            <v>双汇 家家汇牛肉风味香肠(新版) 110g</v>
          </cell>
          <cell r="L3264" t="str">
            <v>120g</v>
          </cell>
          <cell r="M3264" t="str">
            <v>个</v>
          </cell>
          <cell r="N3264">
            <v>2.37</v>
          </cell>
          <cell r="O3264">
            <v>3</v>
          </cell>
          <cell r="P3264">
            <v>0.2</v>
          </cell>
        </row>
        <row r="3265">
          <cell r="F3265" t="str">
            <v>70356050</v>
          </cell>
          <cell r="G3265" t="str">
            <v>双汇</v>
          </cell>
          <cell r="H3265" t="str">
            <v>双汇</v>
          </cell>
          <cell r="I3265" t="str">
            <v>速食</v>
          </cell>
          <cell r="J3265" t="str">
            <v>肉肠</v>
          </cell>
          <cell r="K3265" t="str">
            <v>双汇 辣吗？辣(藤椒风味香肠) 32g*10</v>
          </cell>
          <cell r="L3265" t="str">
            <v>320g</v>
          </cell>
          <cell r="M3265" t="str">
            <v>个</v>
          </cell>
          <cell r="N3265">
            <v>10.61</v>
          </cell>
          <cell r="O3265">
            <v>14.5</v>
          </cell>
          <cell r="P3265">
            <v>0.26137931034482798</v>
          </cell>
        </row>
        <row r="3266">
          <cell r="F3266" t="str">
            <v>70575299</v>
          </cell>
          <cell r="G3266" t="str">
            <v>双汇</v>
          </cell>
          <cell r="H3266" t="str">
            <v>双汇</v>
          </cell>
          <cell r="I3266" t="str">
            <v>速食</v>
          </cell>
          <cell r="J3266" t="str">
            <v>肉肠</v>
          </cell>
          <cell r="K3266" t="str">
            <v>双汇 润口香甜王（玉米风味香肠） 45g*10</v>
          </cell>
          <cell r="L3266" t="str">
            <v>450g</v>
          </cell>
          <cell r="M3266" t="str">
            <v>个</v>
          </cell>
          <cell r="N3266">
            <v>11.92</v>
          </cell>
          <cell r="O3266">
            <v>14.8</v>
          </cell>
          <cell r="P3266">
            <v>0.186486486486487</v>
          </cell>
        </row>
        <row r="3267">
          <cell r="F3267" t="str">
            <v>70559848</v>
          </cell>
          <cell r="G3267" t="str">
            <v>双汇</v>
          </cell>
          <cell r="H3267" t="str">
            <v>双汇</v>
          </cell>
          <cell r="I3267" t="str">
            <v>速食</v>
          </cell>
          <cell r="J3267" t="str">
            <v>肉肠</v>
          </cell>
          <cell r="K3267" t="str">
            <v>双汇 泡面轻盐派香肠 35g*10</v>
          </cell>
          <cell r="L3267" t="str">
            <v>350g</v>
          </cell>
          <cell r="M3267" t="str">
            <v>个</v>
          </cell>
          <cell r="N3267">
            <v>10.61</v>
          </cell>
          <cell r="O3267">
            <v>14</v>
          </cell>
          <cell r="P3267">
            <v>0.23499999999999999</v>
          </cell>
        </row>
        <row r="3268">
          <cell r="F3268" t="str">
            <v>70557630</v>
          </cell>
          <cell r="G3268" t="str">
            <v>双汇</v>
          </cell>
          <cell r="H3268" t="str">
            <v>双汇</v>
          </cell>
          <cell r="I3268" t="str">
            <v>速食</v>
          </cell>
          <cell r="J3268" t="str">
            <v>肉肠</v>
          </cell>
          <cell r="K3268" t="str">
            <v>双汇 金马可减盐火腿肠 100g</v>
          </cell>
          <cell r="L3268" t="str">
            <v>100g</v>
          </cell>
          <cell r="M3268" t="str">
            <v>个</v>
          </cell>
          <cell r="N3268">
            <v>4.1399999999999997</v>
          </cell>
          <cell r="O3268">
            <v>5.5</v>
          </cell>
          <cell r="P3268">
            <v>0.24</v>
          </cell>
        </row>
        <row r="3269">
          <cell r="F3269" t="str">
            <v>70575303</v>
          </cell>
          <cell r="G3269" t="str">
            <v>双汇</v>
          </cell>
          <cell r="H3269" t="str">
            <v>双汇</v>
          </cell>
          <cell r="I3269" t="str">
            <v>速食</v>
          </cell>
          <cell r="J3269" t="str">
            <v>肉肠</v>
          </cell>
          <cell r="K3269" t="str">
            <v>双汇 金马可减盐火腿肠 30g*10</v>
          </cell>
          <cell r="L3269" t="str">
            <v>300g</v>
          </cell>
          <cell r="M3269" t="str">
            <v>个</v>
          </cell>
          <cell r="N3269">
            <v>12.47</v>
          </cell>
          <cell r="O3269">
            <v>15.8</v>
          </cell>
          <cell r="P3269">
            <v>0.20253164556962</v>
          </cell>
        </row>
        <row r="3270">
          <cell r="F3270" t="str">
            <v>70575301</v>
          </cell>
          <cell r="G3270" t="str">
            <v>双汇</v>
          </cell>
          <cell r="H3270" t="str">
            <v>双汇</v>
          </cell>
          <cell r="I3270" t="str">
            <v>速食</v>
          </cell>
          <cell r="J3270" t="str">
            <v>包装方便食品</v>
          </cell>
          <cell r="K3270" t="str">
            <v>双汇 重庆风味小面 120g</v>
          </cell>
          <cell r="L3270" t="str">
            <v>120g</v>
          </cell>
          <cell r="M3270" t="str">
            <v>桶</v>
          </cell>
          <cell r="N3270">
            <v>6.67</v>
          </cell>
          <cell r="O3270">
            <v>9</v>
          </cell>
          <cell r="P3270">
            <v>0.25222222222222201</v>
          </cell>
        </row>
        <row r="3271">
          <cell r="F3271" t="str">
            <v>70575302</v>
          </cell>
          <cell r="G3271" t="str">
            <v>双汇</v>
          </cell>
          <cell r="H3271" t="str">
            <v>双汇</v>
          </cell>
          <cell r="I3271" t="str">
            <v>速食</v>
          </cell>
          <cell r="J3271" t="str">
            <v>包装方便食品</v>
          </cell>
          <cell r="K3271" t="str">
            <v>双汇 酸辣粉 135g</v>
          </cell>
          <cell r="L3271" t="str">
            <v>135g</v>
          </cell>
          <cell r="M3271" t="str">
            <v>桶</v>
          </cell>
          <cell r="N3271">
            <v>6.67</v>
          </cell>
          <cell r="O3271">
            <v>9</v>
          </cell>
          <cell r="P3271">
            <v>0.25222222222222201</v>
          </cell>
        </row>
        <row r="3272">
          <cell r="F3272" t="str">
            <v>70575296</v>
          </cell>
          <cell r="G3272" t="str">
            <v>双汇</v>
          </cell>
          <cell r="H3272" t="str">
            <v>双汇</v>
          </cell>
          <cell r="I3272" t="str">
            <v>速食</v>
          </cell>
          <cell r="J3272" t="str">
            <v>肉肠</v>
          </cell>
          <cell r="K3272" t="str">
            <v>双汇 臻品牛肉块（牛肉风味香肠）  65g</v>
          </cell>
          <cell r="L3272" t="str">
            <v>65g</v>
          </cell>
          <cell r="M3272" t="str">
            <v>个</v>
          </cell>
          <cell r="N3272">
            <v>3.01</v>
          </cell>
          <cell r="O3272">
            <v>3.8</v>
          </cell>
          <cell r="P3272">
            <v>0.2</v>
          </cell>
        </row>
        <row r="3273">
          <cell r="F3273" t="str">
            <v>70575294</v>
          </cell>
          <cell r="G3273" t="str">
            <v>双汇</v>
          </cell>
          <cell r="H3273" t="str">
            <v>双汇</v>
          </cell>
          <cell r="I3273" t="str">
            <v>速食</v>
          </cell>
          <cell r="J3273" t="str">
            <v>肉肠</v>
          </cell>
          <cell r="K3273" t="str">
            <v>双汇 椒麻鸡风味香肠 65g</v>
          </cell>
          <cell r="L3273" t="str">
            <v>65g</v>
          </cell>
          <cell r="M3273" t="str">
            <v>个</v>
          </cell>
          <cell r="N3273">
            <v>2.12</v>
          </cell>
          <cell r="O3273">
            <v>2.9</v>
          </cell>
          <cell r="P3273">
            <v>0.26206896551724101</v>
          </cell>
        </row>
        <row r="3274">
          <cell r="F3274" t="str">
            <v>70575297</v>
          </cell>
          <cell r="G3274" t="str">
            <v>双汇</v>
          </cell>
          <cell r="H3274" t="str">
            <v>双汇</v>
          </cell>
          <cell r="I3274" t="str">
            <v>速食</v>
          </cell>
          <cell r="J3274" t="str">
            <v>肉肠</v>
          </cell>
          <cell r="K3274" t="str">
            <v>双汇 金马可减盐火腿肠 50g*5</v>
          </cell>
          <cell r="L3274" t="str">
            <v>250g</v>
          </cell>
          <cell r="M3274" t="str">
            <v>个</v>
          </cell>
          <cell r="N3274">
            <v>11.44</v>
          </cell>
          <cell r="O3274">
            <v>14.8</v>
          </cell>
          <cell r="P3274">
            <v>0.21891891891891899</v>
          </cell>
        </row>
        <row r="3275">
          <cell r="F3275" t="str">
            <v>70575292</v>
          </cell>
          <cell r="G3275" t="str">
            <v>双汇</v>
          </cell>
          <cell r="H3275" t="str">
            <v>双汇</v>
          </cell>
          <cell r="I3275" t="str">
            <v>速食</v>
          </cell>
          <cell r="J3275" t="str">
            <v>肉肠</v>
          </cell>
          <cell r="K3275" t="str">
            <v>双汇 辣椒炒肉风味香肠 55g</v>
          </cell>
          <cell r="L3275" t="str">
            <v>55g</v>
          </cell>
          <cell r="M3275" t="str">
            <v>个</v>
          </cell>
          <cell r="N3275">
            <v>2.15</v>
          </cell>
          <cell r="O3275">
            <v>2.7</v>
          </cell>
          <cell r="P3275">
            <v>0.196296296296296</v>
          </cell>
        </row>
        <row r="3276">
          <cell r="F3276" t="str">
            <v>70575293</v>
          </cell>
          <cell r="G3276" t="str">
            <v>双汇</v>
          </cell>
          <cell r="H3276" t="str">
            <v>双汇</v>
          </cell>
          <cell r="I3276" t="str">
            <v>速食</v>
          </cell>
          <cell r="J3276" t="str">
            <v>肉肠</v>
          </cell>
          <cell r="K3276" t="str">
            <v>双汇 王中王轻盐特级火腿肠 50g</v>
          </cell>
          <cell r="L3276" t="str">
            <v>50g</v>
          </cell>
          <cell r="M3276" t="str">
            <v>个</v>
          </cell>
          <cell r="N3276">
            <v>2.12</v>
          </cell>
          <cell r="O3276">
            <v>2.9</v>
          </cell>
          <cell r="P3276">
            <v>0.26206896551724101</v>
          </cell>
        </row>
        <row r="3277">
          <cell r="F3277" t="str">
            <v>70069880</v>
          </cell>
          <cell r="G3277" t="str">
            <v>双汇</v>
          </cell>
          <cell r="H3277" t="str">
            <v>双汇</v>
          </cell>
          <cell r="I3277" t="str">
            <v>速食</v>
          </cell>
          <cell r="J3277" t="str">
            <v>肉肠</v>
          </cell>
          <cell r="K3277" t="str">
            <v>双汇 无淀粉蒜香烤肠 85g</v>
          </cell>
          <cell r="L3277" t="str">
            <v>85g</v>
          </cell>
          <cell r="M3277" t="str">
            <v>个</v>
          </cell>
          <cell r="N3277">
            <v>3.33</v>
          </cell>
          <cell r="O3277">
            <v>4.2</v>
          </cell>
          <cell r="P3277">
            <v>0.197619047619048</v>
          </cell>
        </row>
        <row r="3278">
          <cell r="F3278" t="str">
            <v>70575311</v>
          </cell>
          <cell r="G3278" t="str">
            <v>双汇</v>
          </cell>
          <cell r="H3278" t="str">
            <v>双汇</v>
          </cell>
          <cell r="I3278" t="str">
            <v>速食</v>
          </cell>
          <cell r="J3278" t="str">
            <v>肉肠</v>
          </cell>
          <cell r="K3278" t="str">
            <v>双汇 卤鸡大腿（熏烤风味）160g</v>
          </cell>
          <cell r="L3278" t="str">
            <v>160g</v>
          </cell>
          <cell r="M3278" t="str">
            <v>个</v>
          </cell>
          <cell r="N3278">
            <v>9.9</v>
          </cell>
          <cell r="O3278">
            <v>12.5</v>
          </cell>
          <cell r="P3278">
            <v>0.2</v>
          </cell>
        </row>
        <row r="3279">
          <cell r="F3279" t="str">
            <v>70559856</v>
          </cell>
          <cell r="G3279" t="str">
            <v>双汇</v>
          </cell>
          <cell r="H3279" t="str">
            <v>双汇</v>
          </cell>
          <cell r="I3279" t="str">
            <v>速食</v>
          </cell>
          <cell r="J3279" t="str">
            <v>肉肠</v>
          </cell>
          <cell r="K3279" t="str">
            <v>双汇 卤鸡琵琶腿（熏烤风味）80g</v>
          </cell>
          <cell r="L3279" t="str">
            <v>80g</v>
          </cell>
          <cell r="M3279" t="str">
            <v>个</v>
          </cell>
          <cell r="N3279">
            <v>5.56</v>
          </cell>
          <cell r="O3279">
            <v>7.9</v>
          </cell>
          <cell r="P3279">
            <v>0.28987341772151898</v>
          </cell>
        </row>
        <row r="3280">
          <cell r="F3280" t="str">
            <v>70575305</v>
          </cell>
          <cell r="G3280" t="str">
            <v>双汇</v>
          </cell>
          <cell r="H3280" t="str">
            <v>双汇</v>
          </cell>
          <cell r="I3280" t="str">
            <v>速食</v>
          </cell>
          <cell r="J3280" t="str">
            <v>礼盒</v>
          </cell>
          <cell r="K3280" t="str">
            <v>双汇 双汇猪八件礼盒 2.01kg</v>
          </cell>
          <cell r="L3280" t="str">
            <v>2.01kg</v>
          </cell>
          <cell r="M3280" t="str">
            <v>盒</v>
          </cell>
          <cell r="N3280">
            <v>212.1</v>
          </cell>
          <cell r="O3280">
            <v>298</v>
          </cell>
          <cell r="P3280">
            <v>0.281208053691275</v>
          </cell>
        </row>
        <row r="3281">
          <cell r="F3281" t="str">
            <v>70575298</v>
          </cell>
          <cell r="G3281" t="str">
            <v>双汇</v>
          </cell>
          <cell r="H3281" t="str">
            <v>双汇</v>
          </cell>
          <cell r="I3281" t="str">
            <v>速食</v>
          </cell>
          <cell r="J3281" t="str">
            <v>肉肠</v>
          </cell>
          <cell r="K3281" t="str">
            <v>双汇 马可波罗 30g*10支*7袋</v>
          </cell>
          <cell r="L3281" t="str">
            <v>30*10*7</v>
          </cell>
          <cell r="M3281" t="str">
            <v>袋</v>
          </cell>
          <cell r="N3281">
            <v>78.78</v>
          </cell>
          <cell r="O3281">
            <v>98</v>
          </cell>
          <cell r="P3281">
            <v>0.18816326530612201</v>
          </cell>
        </row>
        <row r="3282">
          <cell r="F3282" t="str">
            <v>70659556</v>
          </cell>
          <cell r="G3282" t="str">
            <v>双汇</v>
          </cell>
          <cell r="H3282" t="str">
            <v>双汇</v>
          </cell>
          <cell r="I3282" t="str">
            <v>速食</v>
          </cell>
          <cell r="J3282" t="str">
            <v>肉肠</v>
          </cell>
          <cell r="K3282" t="str">
            <v>双汇 卤福斋酱牛肉礼盒 1.1kg</v>
          </cell>
          <cell r="L3282" t="str">
            <v>1.1kg</v>
          </cell>
          <cell r="M3282" t="str">
            <v>盒</v>
          </cell>
          <cell r="N3282">
            <v>117.16</v>
          </cell>
          <cell r="O3282">
            <v>168</v>
          </cell>
          <cell r="P3282">
            <v>0.29571428571428598</v>
          </cell>
        </row>
        <row r="3283">
          <cell r="F3283" t="str">
            <v>70656715</v>
          </cell>
          <cell r="G3283" t="str">
            <v>双汇</v>
          </cell>
          <cell r="H3283" t="str">
            <v>双汇</v>
          </cell>
          <cell r="I3283" t="str">
            <v>速食</v>
          </cell>
          <cell r="J3283" t="str">
            <v>肉肠</v>
          </cell>
          <cell r="K3283" t="str">
            <v>双汇 卤福斋酱牛腱礼盒 1.2kg</v>
          </cell>
          <cell r="L3283" t="str">
            <v>1.2kg</v>
          </cell>
          <cell r="M3283" t="str">
            <v>盒</v>
          </cell>
          <cell r="N3283">
            <v>144.43</v>
          </cell>
          <cell r="O3283">
            <v>198</v>
          </cell>
          <cell r="P3283">
            <v>0.26333333333333298</v>
          </cell>
        </row>
        <row r="3284">
          <cell r="F3284" t="str">
            <v>70656714</v>
          </cell>
          <cell r="G3284" t="str">
            <v>双汇</v>
          </cell>
          <cell r="H3284" t="str">
            <v>双汇</v>
          </cell>
          <cell r="I3284" t="str">
            <v>速食</v>
          </cell>
          <cell r="J3284" t="str">
            <v>肉肠</v>
          </cell>
          <cell r="K3284" t="str">
            <v>双汇 卤福斋牛肉组合礼盒 1.26kg</v>
          </cell>
          <cell r="L3284" t="str">
            <v>1.26kg</v>
          </cell>
          <cell r="M3284" t="str">
            <v>盒</v>
          </cell>
          <cell r="N3284">
            <v>140.38999999999999</v>
          </cell>
          <cell r="O3284">
            <v>188</v>
          </cell>
          <cell r="P3284">
            <v>0.245851063829787</v>
          </cell>
        </row>
        <row r="3285">
          <cell r="F3285" t="str">
            <v>70656716</v>
          </cell>
          <cell r="G3285" t="str">
            <v>双汇</v>
          </cell>
          <cell r="H3285" t="str">
            <v>双汇</v>
          </cell>
          <cell r="I3285" t="str">
            <v>速食</v>
          </cell>
          <cell r="J3285" t="str">
            <v>肉肠</v>
          </cell>
          <cell r="K3285" t="str">
            <v>双汇 卤福斋猪头肉+猪蹄组合礼盒 1.14kg</v>
          </cell>
          <cell r="L3285" t="str">
            <v>1.14kg</v>
          </cell>
          <cell r="M3285" t="str">
            <v>盒</v>
          </cell>
          <cell r="N3285">
            <v>101</v>
          </cell>
          <cell r="O3285">
            <v>139</v>
          </cell>
          <cell r="P3285">
            <v>0.26618705035971202</v>
          </cell>
        </row>
        <row r="3286">
          <cell r="F3286" t="str">
            <v>70656353</v>
          </cell>
          <cell r="G3286" t="str">
            <v>双汇</v>
          </cell>
          <cell r="H3286" t="str">
            <v>双汇</v>
          </cell>
          <cell r="I3286" t="str">
            <v>速食</v>
          </cell>
          <cell r="J3286" t="str">
            <v>肉肠</v>
          </cell>
          <cell r="K3286" t="str">
            <v>双汇 道口烧鸡礼盒 1.14kg</v>
          </cell>
          <cell r="L3286" t="str">
            <v>1.14kg</v>
          </cell>
          <cell r="M3286" t="str">
            <v>盒</v>
          </cell>
          <cell r="N3286">
            <v>63.63</v>
          </cell>
          <cell r="O3286">
            <v>88</v>
          </cell>
          <cell r="P3286">
            <v>0.269772727272727</v>
          </cell>
        </row>
        <row r="3287">
          <cell r="F3287" t="str">
            <v>70666833</v>
          </cell>
          <cell r="G3287" t="str">
            <v>乐事</v>
          </cell>
          <cell r="H3287" t="str">
            <v>乐事</v>
          </cell>
          <cell r="I3287" t="str">
            <v>零食</v>
          </cell>
          <cell r="J3287" t="str">
            <v>膨化食品</v>
          </cell>
          <cell r="K3287" t="str">
            <v>乐事 大礼包 385g</v>
          </cell>
          <cell r="L3287" t="str">
            <v>385g</v>
          </cell>
          <cell r="M3287" t="str">
            <v>包</v>
          </cell>
          <cell r="N3287">
            <v>29.09</v>
          </cell>
          <cell r="O3287">
            <v>39</v>
          </cell>
          <cell r="P3287">
            <v>0.24666666666666701</v>
          </cell>
        </row>
        <row r="3288">
          <cell r="F3288" t="str">
            <v>70666834</v>
          </cell>
          <cell r="G3288" t="str">
            <v>乐事</v>
          </cell>
          <cell r="H3288" t="str">
            <v>乐事</v>
          </cell>
          <cell r="I3288" t="str">
            <v>零食</v>
          </cell>
          <cell r="J3288" t="str">
            <v>膨化食品</v>
          </cell>
          <cell r="K3288" t="str">
            <v>乐事 米饼仙贝全家桶 193g</v>
          </cell>
          <cell r="L3288" t="str">
            <v>193g</v>
          </cell>
          <cell r="M3288" t="str">
            <v>桶</v>
          </cell>
          <cell r="N3288">
            <v>20.100000000000001</v>
          </cell>
          <cell r="O3288">
            <v>25.9</v>
          </cell>
          <cell r="P3288">
            <v>0.21621621621621601</v>
          </cell>
        </row>
        <row r="3289">
          <cell r="F3289" t="str">
            <v>70666832</v>
          </cell>
          <cell r="G3289" t="str">
            <v>乐事</v>
          </cell>
          <cell r="H3289" t="str">
            <v>乐事</v>
          </cell>
          <cell r="I3289" t="str">
            <v>零食</v>
          </cell>
          <cell r="J3289" t="str">
            <v>膨化食品</v>
          </cell>
          <cell r="K3289" t="str">
            <v>乐事 全家桶 620g</v>
          </cell>
          <cell r="L3289" t="str">
            <v>620g</v>
          </cell>
          <cell r="M3289" t="str">
            <v>桶</v>
          </cell>
          <cell r="N3289">
            <v>62.62</v>
          </cell>
          <cell r="O3289">
            <v>84.9</v>
          </cell>
          <cell r="P3289">
            <v>0.25512367491166099</v>
          </cell>
        </row>
        <row r="3290">
          <cell r="F3290" t="str">
            <v>70666831</v>
          </cell>
          <cell r="G3290" t="str">
            <v>乐事</v>
          </cell>
          <cell r="H3290" t="str">
            <v>百草味</v>
          </cell>
          <cell r="I3290" t="str">
            <v>零食</v>
          </cell>
          <cell r="J3290" t="str">
            <v>坚果</v>
          </cell>
          <cell r="K3290" t="str">
            <v>百草味 富贵礼 1730g</v>
          </cell>
          <cell r="L3290" t="str">
            <v>1730g</v>
          </cell>
          <cell r="M3290" t="str">
            <v>盒</v>
          </cell>
          <cell r="N3290">
            <v>64.89</v>
          </cell>
          <cell r="O3290">
            <v>89</v>
          </cell>
          <cell r="P3290">
            <v>0.26359550561797701</v>
          </cell>
        </row>
        <row r="3291">
          <cell r="F3291" t="str">
            <v>70666830</v>
          </cell>
          <cell r="G3291" t="str">
            <v>乐事</v>
          </cell>
          <cell r="H3291" t="str">
            <v>百草味</v>
          </cell>
          <cell r="I3291" t="str">
            <v>零食</v>
          </cell>
          <cell r="J3291" t="str">
            <v>坚果</v>
          </cell>
          <cell r="K3291" t="str">
            <v>百草味 瑞福礼 1930g</v>
          </cell>
          <cell r="L3291" t="str">
            <v>1930g</v>
          </cell>
          <cell r="M3291" t="str">
            <v>盒</v>
          </cell>
          <cell r="N3291">
            <v>85.14</v>
          </cell>
          <cell r="O3291">
            <v>109</v>
          </cell>
          <cell r="P3291">
            <v>0.211100917431193</v>
          </cell>
        </row>
        <row r="3292">
          <cell r="F3292" t="str">
            <v>70666829</v>
          </cell>
          <cell r="G3292" t="str">
            <v>乐事</v>
          </cell>
          <cell r="H3292" t="str">
            <v>百草味</v>
          </cell>
          <cell r="I3292" t="str">
            <v>零食</v>
          </cell>
          <cell r="J3292" t="str">
            <v>坚果</v>
          </cell>
          <cell r="K3292" t="str">
            <v>百草味 锦绣礼 2065g</v>
          </cell>
          <cell r="L3292" t="str">
            <v>2065g</v>
          </cell>
          <cell r="M3292" t="str">
            <v>盒</v>
          </cell>
          <cell r="N3292">
            <v>106.35</v>
          </cell>
          <cell r="O3292">
            <v>159</v>
          </cell>
          <cell r="P3292">
            <v>0.324465408805031</v>
          </cell>
        </row>
        <row r="3293">
          <cell r="F3293" t="str">
            <v>70726662</v>
          </cell>
          <cell r="G3293" t="str">
            <v>洋河</v>
          </cell>
          <cell r="H3293" t="str">
            <v>海之蓝</v>
          </cell>
          <cell r="I3293" t="str">
            <v>酒类</v>
          </cell>
          <cell r="J3293" t="str">
            <v>白酒</v>
          </cell>
          <cell r="K3293" t="str">
            <v>42度海之蓝 (22版)商超 480mL</v>
          </cell>
          <cell r="L3293" t="str">
            <v>480mL</v>
          </cell>
          <cell r="M3293" t="str">
            <v>瓶</v>
          </cell>
          <cell r="N3293">
            <v>136.35</v>
          </cell>
          <cell r="O3293">
            <v>148</v>
          </cell>
          <cell r="P3293">
            <v>6.9594594594594703E-2</v>
          </cell>
        </row>
        <row r="3294">
          <cell r="F3294" t="str">
            <v>70726661</v>
          </cell>
          <cell r="G3294" t="str">
            <v>洋河</v>
          </cell>
          <cell r="H3294" t="str">
            <v>海之蓝</v>
          </cell>
          <cell r="I3294" t="str">
            <v>酒类</v>
          </cell>
          <cell r="J3294" t="str">
            <v>白酒</v>
          </cell>
          <cell r="K3294" t="str">
            <v>52度海之蓝 (22版)商超 480mL</v>
          </cell>
          <cell r="L3294" t="str">
            <v>480mL</v>
          </cell>
          <cell r="M3294" t="str">
            <v>瓶</v>
          </cell>
          <cell r="N3294">
            <v>149.47999999999999</v>
          </cell>
          <cell r="O3294">
            <v>178</v>
          </cell>
          <cell r="P3294">
            <v>0.15191011235955099</v>
          </cell>
        </row>
        <row r="3295">
          <cell r="F3295" t="str">
            <v>70434401</v>
          </cell>
          <cell r="G3295" t="str">
            <v>洋河</v>
          </cell>
          <cell r="H3295" t="str">
            <v>天之蓝</v>
          </cell>
          <cell r="I3295" t="str">
            <v>酒类</v>
          </cell>
          <cell r="J3295" t="str">
            <v>白酒</v>
          </cell>
          <cell r="K3295" t="str">
            <v>42度天之蓝（21版）省外商超 500mL</v>
          </cell>
          <cell r="L3295" t="str">
            <v>500mL</v>
          </cell>
          <cell r="M3295" t="str">
            <v>瓶</v>
          </cell>
          <cell r="N3295">
            <v>281.79000000000002</v>
          </cell>
          <cell r="O3295">
            <v>345</v>
          </cell>
          <cell r="P3295">
            <v>0.17513043478260901</v>
          </cell>
        </row>
        <row r="3296">
          <cell r="F3296" t="str">
            <v>70410065</v>
          </cell>
          <cell r="G3296" t="str">
            <v>洋河</v>
          </cell>
          <cell r="H3296" t="str">
            <v>天之蓝</v>
          </cell>
          <cell r="I3296" t="str">
            <v>酒类</v>
          </cell>
          <cell r="J3296" t="str">
            <v>白酒</v>
          </cell>
          <cell r="K3296" t="str">
            <v>52度天之蓝（21版）省外商超 500mL</v>
          </cell>
          <cell r="L3296" t="str">
            <v>500mL</v>
          </cell>
          <cell r="M3296" t="str">
            <v>瓶</v>
          </cell>
          <cell r="N3296">
            <v>333.3</v>
          </cell>
          <cell r="O3296">
            <v>368</v>
          </cell>
          <cell r="P3296">
            <v>8.5326086956521704E-2</v>
          </cell>
        </row>
        <row r="3297">
          <cell r="F3297" t="str">
            <v>70413645</v>
          </cell>
          <cell r="G3297" t="str">
            <v>洋河</v>
          </cell>
          <cell r="H3297" t="str">
            <v>梦之蓝</v>
          </cell>
          <cell r="I3297" t="str">
            <v>酒类</v>
          </cell>
          <cell r="J3297" t="str">
            <v>白酒</v>
          </cell>
          <cell r="K3297" t="str">
            <v>45度梦之蓝水晶版 (商超） 550mL</v>
          </cell>
          <cell r="L3297" t="str">
            <v>550mL</v>
          </cell>
          <cell r="M3297" t="str">
            <v>瓶</v>
          </cell>
          <cell r="N3297">
            <v>454.5</v>
          </cell>
          <cell r="O3297">
            <v>488</v>
          </cell>
          <cell r="P3297">
            <v>5.9426229508196697E-2</v>
          </cell>
        </row>
        <row r="3298">
          <cell r="F3298" t="str">
            <v>70375458</v>
          </cell>
          <cell r="G3298" t="str">
            <v>洋河</v>
          </cell>
          <cell r="H3298" t="str">
            <v>梦之蓝</v>
          </cell>
          <cell r="I3298" t="str">
            <v>酒类</v>
          </cell>
          <cell r="J3298" t="str">
            <v>白酒</v>
          </cell>
          <cell r="K3298" t="str">
            <v>52度梦之蓝水晶版（商超） 550mL</v>
          </cell>
          <cell r="L3298" t="str">
            <v>550mL</v>
          </cell>
          <cell r="M3298" t="str">
            <v>瓶</v>
          </cell>
          <cell r="N3298">
            <v>499.95</v>
          </cell>
          <cell r="O3298">
            <v>528</v>
          </cell>
          <cell r="P3298">
            <v>4.3749999999999997E-2</v>
          </cell>
        </row>
        <row r="3299">
          <cell r="F3299" t="str">
            <v>70375456</v>
          </cell>
          <cell r="G3299" t="str">
            <v>洋河</v>
          </cell>
          <cell r="H3299" t="str">
            <v>梦之蓝</v>
          </cell>
          <cell r="I3299" t="str">
            <v>酒类</v>
          </cell>
          <cell r="J3299" t="str">
            <v>白酒</v>
          </cell>
          <cell r="K3299" t="str">
            <v>52度梦之蓝(M6+)商超版 550mL</v>
          </cell>
          <cell r="L3299" t="str">
            <v>550mL</v>
          </cell>
          <cell r="M3299" t="str">
            <v>瓶</v>
          </cell>
          <cell r="N3299">
            <v>694.88</v>
          </cell>
          <cell r="O3299">
            <v>778</v>
          </cell>
          <cell r="P3299">
            <v>9.7994858611825206E-2</v>
          </cell>
        </row>
        <row r="3300">
          <cell r="F3300" t="str">
            <v>70597625</v>
          </cell>
          <cell r="G3300" t="str">
            <v>洋河</v>
          </cell>
          <cell r="H3300" t="str">
            <v>梦之蓝</v>
          </cell>
          <cell r="I3300" t="str">
            <v>酒类</v>
          </cell>
          <cell r="J3300" t="str">
            <v>白酒</v>
          </cell>
          <cell r="K3300" t="str">
            <v>40.8度梦之蓝水晶版（商超） 550mL</v>
          </cell>
          <cell r="L3300" t="str">
            <v>550mL</v>
          </cell>
          <cell r="M3300" t="str">
            <v>瓶</v>
          </cell>
          <cell r="N3300">
            <v>418.14</v>
          </cell>
          <cell r="O3300">
            <v>488</v>
          </cell>
          <cell r="P3300">
            <v>0.13467213114754101</v>
          </cell>
        </row>
        <row r="3301">
          <cell r="F3301" t="str">
            <v>70597340</v>
          </cell>
          <cell r="G3301" t="str">
            <v>洋河</v>
          </cell>
          <cell r="H3301" t="str">
            <v>梦之蓝</v>
          </cell>
          <cell r="I3301" t="str">
            <v>酒类</v>
          </cell>
          <cell r="J3301" t="str">
            <v>白酒</v>
          </cell>
          <cell r="K3301" t="str">
            <v>40.8度梦之蓝(M6+) 商超版 550mL</v>
          </cell>
          <cell r="L3301" t="str">
            <v>550mL</v>
          </cell>
          <cell r="M3301" t="str">
            <v>瓶</v>
          </cell>
          <cell r="N3301">
            <v>616.1</v>
          </cell>
          <cell r="O3301">
            <v>699</v>
          </cell>
          <cell r="P3301">
            <v>0.109871244635193</v>
          </cell>
        </row>
        <row r="3302">
          <cell r="F3302" t="str">
            <v>70293234</v>
          </cell>
          <cell r="G3302" t="str">
            <v>洋河</v>
          </cell>
          <cell r="H3302" t="str">
            <v>洋河大曲</v>
          </cell>
          <cell r="I3302" t="str">
            <v>酒类</v>
          </cell>
          <cell r="J3302" t="str">
            <v>白酒</v>
          </cell>
          <cell r="K3302" t="str">
            <v>42度洋河大曲天蓝瓶 375ML</v>
          </cell>
          <cell r="L3302" t="str">
            <v>375mL</v>
          </cell>
          <cell r="M3302" t="str">
            <v>瓶</v>
          </cell>
          <cell r="N3302">
            <v>27.27</v>
          </cell>
          <cell r="O3302">
            <v>34</v>
          </cell>
          <cell r="P3302">
            <v>0.19</v>
          </cell>
        </row>
        <row r="3303">
          <cell r="F3303" t="str">
            <v>70597335</v>
          </cell>
          <cell r="G3303" t="str">
            <v>洋河</v>
          </cell>
          <cell r="H3303" t="str">
            <v>海之蓝</v>
          </cell>
          <cell r="I3303" t="str">
            <v>酒类</v>
          </cell>
          <cell r="J3303" t="str">
            <v>白酒</v>
          </cell>
          <cell r="K3303" t="str">
            <v>42度海之蓝（22版） 100ML</v>
          </cell>
          <cell r="L3303" t="str">
            <v>100mL</v>
          </cell>
          <cell r="M3303" t="str">
            <v>瓶</v>
          </cell>
          <cell r="N3303">
            <v>29.29</v>
          </cell>
          <cell r="O3303">
            <v>35</v>
          </cell>
          <cell r="P3303">
            <v>0.154857142857143</v>
          </cell>
        </row>
        <row r="3304">
          <cell r="F3304" t="str">
            <v>70597441</v>
          </cell>
          <cell r="G3304" t="str">
            <v>洋河</v>
          </cell>
          <cell r="H3304" t="str">
            <v>天之蓝</v>
          </cell>
          <cell r="I3304" t="str">
            <v>酒类</v>
          </cell>
          <cell r="J3304" t="str">
            <v>白酒</v>
          </cell>
          <cell r="K3304" t="str">
            <v>42度天之蓝（21版） 100ML</v>
          </cell>
          <cell r="L3304" t="str">
            <v>100mL</v>
          </cell>
          <cell r="M3304" t="str">
            <v>瓶</v>
          </cell>
          <cell r="N3304">
            <v>66.66</v>
          </cell>
          <cell r="O3304">
            <v>80</v>
          </cell>
          <cell r="P3304">
            <v>0.1585</v>
          </cell>
        </row>
        <row r="3305">
          <cell r="F3305" t="str">
            <v>70597337</v>
          </cell>
          <cell r="G3305" t="str">
            <v>洋河</v>
          </cell>
          <cell r="H3305" t="str">
            <v>梦之蓝</v>
          </cell>
          <cell r="I3305" t="str">
            <v>酒类</v>
          </cell>
          <cell r="J3305" t="str">
            <v>白酒</v>
          </cell>
          <cell r="K3305" t="str">
            <v>52度梦之蓝水晶版 100ML</v>
          </cell>
          <cell r="L3305" t="str">
            <v>100mL</v>
          </cell>
          <cell r="M3305" t="str">
            <v>瓶</v>
          </cell>
          <cell r="N3305">
            <v>90.9</v>
          </cell>
          <cell r="O3305">
            <v>115</v>
          </cell>
          <cell r="P3305">
            <v>0.201739130434783</v>
          </cell>
        </row>
        <row r="3306">
          <cell r="F3306" t="str">
            <v>70597344</v>
          </cell>
          <cell r="G3306" t="str">
            <v>洋河</v>
          </cell>
          <cell r="H3306" t="str">
            <v>梦之蓝</v>
          </cell>
          <cell r="I3306" t="str">
            <v>酒类</v>
          </cell>
          <cell r="J3306" t="str">
            <v>白酒</v>
          </cell>
          <cell r="K3306" t="str">
            <v>52度梦之蓝M6+ 100ML</v>
          </cell>
          <cell r="L3306" t="str">
            <v>100mL</v>
          </cell>
          <cell r="M3306" t="str">
            <v>瓶</v>
          </cell>
          <cell r="N3306">
            <v>127.26</v>
          </cell>
          <cell r="O3306">
            <v>159</v>
          </cell>
          <cell r="P3306">
            <v>0.19169811320754701</v>
          </cell>
        </row>
        <row r="3307">
          <cell r="F3307" t="str">
            <v>70121385</v>
          </cell>
          <cell r="G3307" t="str">
            <v>洋河</v>
          </cell>
          <cell r="H3307" t="str">
            <v>梦之蓝</v>
          </cell>
          <cell r="I3307" t="str">
            <v>酒类</v>
          </cell>
          <cell r="J3307" t="str">
            <v>白酒</v>
          </cell>
          <cell r="K3307" t="str">
            <v>52度梦之蓝（M9）17版数字化 500Ml</v>
          </cell>
          <cell r="L3307" t="str">
            <v>500Ml</v>
          </cell>
          <cell r="M3307" t="str">
            <v>瓶</v>
          </cell>
          <cell r="N3307">
            <v>732.25</v>
          </cell>
          <cell r="O3307">
            <v>899</v>
          </cell>
          <cell r="P3307">
            <v>0.17741935483870999</v>
          </cell>
        </row>
        <row r="3308">
          <cell r="F3308" t="str">
            <v>70469309</v>
          </cell>
          <cell r="G3308" t="str">
            <v>泸州福</v>
          </cell>
          <cell r="H3308" t="str">
            <v>泸州福</v>
          </cell>
          <cell r="I3308" t="str">
            <v>酒类</v>
          </cell>
          <cell r="J3308" t="str">
            <v>白酒</v>
          </cell>
          <cell r="K3308" t="str">
            <v>泸州老窖 泸州福祥之礼 500mL</v>
          </cell>
          <cell r="L3308" t="str">
            <v>500mL</v>
          </cell>
          <cell r="M3308" t="str">
            <v>瓶</v>
          </cell>
          <cell r="N3308">
            <v>95.95</v>
          </cell>
          <cell r="O3308">
            <v>268</v>
          </cell>
          <cell r="P3308">
            <v>0.63843283582089505</v>
          </cell>
        </row>
        <row r="3309">
          <cell r="F3309" t="str">
            <v>70475072</v>
          </cell>
          <cell r="G3309" t="str">
            <v>泸州福</v>
          </cell>
          <cell r="H3309" t="str">
            <v>泸州福</v>
          </cell>
          <cell r="I3309" t="str">
            <v>酒类</v>
          </cell>
          <cell r="J3309" t="str">
            <v>白酒</v>
          </cell>
          <cell r="K3309" t="str">
            <v>泸州老窖 泸州福红耀 500mL</v>
          </cell>
          <cell r="L3309" t="str">
            <v>500mL</v>
          </cell>
          <cell r="M3309" t="str">
            <v>瓶</v>
          </cell>
          <cell r="N3309">
            <v>91.91</v>
          </cell>
          <cell r="O3309">
            <v>268</v>
          </cell>
          <cell r="P3309">
            <v>0.65365671641791001</v>
          </cell>
        </row>
        <row r="3310">
          <cell r="F3310" t="str">
            <v>70516838</v>
          </cell>
          <cell r="G3310" t="str">
            <v>泸州福</v>
          </cell>
          <cell r="H3310" t="str">
            <v>泸州福</v>
          </cell>
          <cell r="I3310" t="str">
            <v>酒类</v>
          </cell>
          <cell r="J3310" t="str">
            <v>白酒</v>
          </cell>
          <cell r="K3310" t="str">
            <v>泸州老窖 泸州福盛典 500mL</v>
          </cell>
          <cell r="L3310" t="str">
            <v>500mL</v>
          </cell>
          <cell r="M3310" t="str">
            <v>瓶</v>
          </cell>
          <cell r="N3310">
            <v>91.91</v>
          </cell>
          <cell r="O3310">
            <v>298</v>
          </cell>
          <cell r="P3310">
            <v>0.68852348993288603</v>
          </cell>
        </row>
        <row r="3311">
          <cell r="F3311" t="str">
            <v>70524444</v>
          </cell>
          <cell r="G3311" t="str">
            <v>泸州福</v>
          </cell>
          <cell r="H3311" t="str">
            <v>泸州福</v>
          </cell>
          <cell r="I3311" t="str">
            <v>酒类</v>
          </cell>
          <cell r="J3311" t="str">
            <v>白酒</v>
          </cell>
          <cell r="K3311" t="str">
            <v>泸州老窖 泸州福珍品  500mL</v>
          </cell>
          <cell r="L3311" t="str">
            <v>500mL</v>
          </cell>
          <cell r="M3311" t="str">
            <v>瓶</v>
          </cell>
          <cell r="N3311">
            <v>89.89</v>
          </cell>
          <cell r="O3311">
            <v>268</v>
          </cell>
          <cell r="P3311">
            <v>0.66126865671641799</v>
          </cell>
        </row>
        <row r="3312">
          <cell r="F3312" t="str">
            <v>70524445</v>
          </cell>
          <cell r="G3312" t="str">
            <v>泸州福</v>
          </cell>
          <cell r="H3312" t="str">
            <v>泸州福</v>
          </cell>
          <cell r="I3312" t="str">
            <v>酒类</v>
          </cell>
          <cell r="J3312" t="str">
            <v>白酒</v>
          </cell>
          <cell r="K3312" t="str">
            <v>泸州老窖 泸州福臻传 500mL</v>
          </cell>
          <cell r="L3312" t="str">
            <v>500mL</v>
          </cell>
          <cell r="M3312" t="str">
            <v>瓶</v>
          </cell>
          <cell r="N3312">
            <v>169.68</v>
          </cell>
          <cell r="O3312">
            <v>468</v>
          </cell>
          <cell r="P3312">
            <v>0.63384615384615395</v>
          </cell>
        </row>
        <row r="3313">
          <cell r="F3313" t="str">
            <v>70574845</v>
          </cell>
          <cell r="G3313" t="str">
            <v>泸州福</v>
          </cell>
          <cell r="H3313" t="str">
            <v>泸州福</v>
          </cell>
          <cell r="I3313" t="str">
            <v>酒类</v>
          </cell>
          <cell r="J3313" t="str">
            <v>白酒</v>
          </cell>
          <cell r="K3313" t="str">
            <v>泸州老窖 泸州福福庆双辉 500mL</v>
          </cell>
          <cell r="L3313" t="str">
            <v>500mL</v>
          </cell>
          <cell r="M3313" t="str">
            <v>瓶</v>
          </cell>
          <cell r="N3313">
            <v>95.95</v>
          </cell>
          <cell r="O3313">
            <v>398</v>
          </cell>
          <cell r="P3313">
            <v>0.75653266331658298</v>
          </cell>
        </row>
        <row r="3314">
          <cell r="F3314" t="str">
            <v>70453858</v>
          </cell>
          <cell r="G3314" t="str">
            <v>泰国红牛（牛磺酸）</v>
          </cell>
          <cell r="H3314" t="str">
            <v>红牛牛磺酸</v>
          </cell>
          <cell r="I3314" t="str">
            <v>包装饮料</v>
          </cell>
          <cell r="J3314" t="str">
            <v>功能饮料</v>
          </cell>
          <cell r="K3314" t="str">
            <v>红牛 维生素牛磺酸饮料 250mL</v>
          </cell>
          <cell r="L3314" t="str">
            <v>250Ml</v>
          </cell>
          <cell r="M3314" t="str">
            <v>罐</v>
          </cell>
          <cell r="N3314">
            <v>4.3</v>
          </cell>
          <cell r="O3314">
            <v>6.5</v>
          </cell>
          <cell r="P3314">
            <v>0.33076923076923098</v>
          </cell>
        </row>
        <row r="3315">
          <cell r="F3315" t="str">
            <v>70339852</v>
          </cell>
          <cell r="G3315" t="str">
            <v>白象</v>
          </cell>
          <cell r="H3315" t="str">
            <v>白象</v>
          </cell>
          <cell r="I3315" t="str">
            <v>速食</v>
          </cell>
          <cell r="J3315" t="str">
            <v>包装方便食品</v>
          </cell>
          <cell r="K3315" t="str">
            <v>白象 汤好喝老母鸡汤桶面 116g</v>
          </cell>
          <cell r="L3315" t="str">
            <v>116g</v>
          </cell>
          <cell r="M3315" t="str">
            <v>桶</v>
          </cell>
          <cell r="N3315">
            <v>3.99</v>
          </cell>
          <cell r="O3315">
            <v>6</v>
          </cell>
          <cell r="P3315">
            <v>0.32833333333333298</v>
          </cell>
        </row>
        <row r="3316">
          <cell r="F3316" t="str">
            <v>70339854</v>
          </cell>
          <cell r="G3316" t="str">
            <v>白象</v>
          </cell>
          <cell r="H3316" t="str">
            <v>白象</v>
          </cell>
          <cell r="I3316" t="str">
            <v>速食</v>
          </cell>
          <cell r="J3316" t="str">
            <v>包装方便食品</v>
          </cell>
          <cell r="K3316" t="str">
            <v>白象 汤好喝辣牛肉汤桶面 119g</v>
          </cell>
          <cell r="L3316" t="str">
            <v>119g</v>
          </cell>
          <cell r="M3316" t="str">
            <v>桶</v>
          </cell>
          <cell r="N3316">
            <v>3.99</v>
          </cell>
          <cell r="O3316">
            <v>6</v>
          </cell>
          <cell r="P3316">
            <v>0.32833333333333298</v>
          </cell>
        </row>
        <row r="3317">
          <cell r="F3317" t="str">
            <v>70339850</v>
          </cell>
          <cell r="G3317" t="str">
            <v>白象</v>
          </cell>
          <cell r="H3317" t="str">
            <v>白象</v>
          </cell>
          <cell r="I3317" t="str">
            <v>速食</v>
          </cell>
          <cell r="J3317" t="str">
            <v>包装方便食品</v>
          </cell>
          <cell r="K3317" t="str">
            <v>白象 汤好喝招牌猪骨汤桶面 112g</v>
          </cell>
          <cell r="L3317" t="str">
            <v>112g</v>
          </cell>
          <cell r="M3317" t="str">
            <v>桶</v>
          </cell>
          <cell r="N3317">
            <v>3.99</v>
          </cell>
          <cell r="O3317">
            <v>6</v>
          </cell>
          <cell r="P3317">
            <v>0.32833333333333298</v>
          </cell>
        </row>
        <row r="3318">
          <cell r="F3318" t="str">
            <v>70339844</v>
          </cell>
          <cell r="G3318" t="str">
            <v>白象</v>
          </cell>
          <cell r="H3318" t="str">
            <v>白象</v>
          </cell>
          <cell r="I3318" t="str">
            <v>速食</v>
          </cell>
          <cell r="J3318" t="str">
            <v>包装方便食品</v>
          </cell>
          <cell r="K3318" t="str">
            <v>白象 面饼120克红烧牛肉桶面 140g</v>
          </cell>
          <cell r="L3318" t="str">
            <v>140g</v>
          </cell>
          <cell r="M3318" t="str">
            <v>桶</v>
          </cell>
          <cell r="N3318">
            <v>4.03</v>
          </cell>
          <cell r="O3318">
            <v>6</v>
          </cell>
          <cell r="P3318">
            <v>0.32166666666666699</v>
          </cell>
        </row>
        <row r="3319">
          <cell r="F3319" t="str">
            <v>70339846</v>
          </cell>
          <cell r="G3319" t="str">
            <v>白象</v>
          </cell>
          <cell r="H3319" t="str">
            <v>白象</v>
          </cell>
          <cell r="I3319" t="str">
            <v>速食</v>
          </cell>
          <cell r="J3319" t="str">
            <v>包装方便食品</v>
          </cell>
          <cell r="K3319" t="str">
            <v>白象 面饼120克香辣牛肉桶面 142g</v>
          </cell>
          <cell r="L3319" t="str">
            <v>142g</v>
          </cell>
          <cell r="M3319" t="str">
            <v>桶</v>
          </cell>
          <cell r="N3319">
            <v>4.03</v>
          </cell>
          <cell r="O3319">
            <v>6</v>
          </cell>
          <cell r="P3319">
            <v>0.32166666666666699</v>
          </cell>
        </row>
        <row r="3320">
          <cell r="F3320" t="str">
            <v>70339848</v>
          </cell>
          <cell r="G3320" t="str">
            <v>白象</v>
          </cell>
          <cell r="H3320" t="str">
            <v>白象</v>
          </cell>
          <cell r="I3320" t="str">
            <v>速食</v>
          </cell>
          <cell r="J3320" t="str">
            <v>包装方便食品</v>
          </cell>
          <cell r="K3320" t="str">
            <v>白象 面饼120克老坛酸菜牛肉桶面 160g</v>
          </cell>
          <cell r="L3320" t="str">
            <v>160g</v>
          </cell>
          <cell r="M3320" t="str">
            <v>桶</v>
          </cell>
          <cell r="N3320">
            <v>4.03</v>
          </cell>
          <cell r="O3320">
            <v>6</v>
          </cell>
          <cell r="P3320">
            <v>0.32166666666666699</v>
          </cell>
        </row>
        <row r="3321">
          <cell r="F3321" t="str">
            <v>70447914</v>
          </cell>
          <cell r="G3321" t="str">
            <v>白象</v>
          </cell>
          <cell r="H3321" t="str">
            <v>白象</v>
          </cell>
          <cell r="I3321" t="str">
            <v>速食</v>
          </cell>
          <cell r="J3321" t="str">
            <v>包装方便食品</v>
          </cell>
          <cell r="K3321" t="str">
            <v>白象 粉面菜蛋酸酸辣辣豚骨味桶面 156g</v>
          </cell>
          <cell r="L3321" t="str">
            <v>156g</v>
          </cell>
          <cell r="M3321" t="str">
            <v>桶</v>
          </cell>
          <cell r="N3321">
            <v>5.25</v>
          </cell>
          <cell r="O3321">
            <v>6.5</v>
          </cell>
          <cell r="P3321">
            <v>0.18461538461538499</v>
          </cell>
        </row>
        <row r="3322">
          <cell r="F3322" t="str">
            <v>70447915</v>
          </cell>
          <cell r="G3322" t="str">
            <v>白象</v>
          </cell>
          <cell r="H3322" t="str">
            <v>白象</v>
          </cell>
          <cell r="I3322" t="str">
            <v>速食</v>
          </cell>
          <cell r="J3322" t="str">
            <v>包装方便食品</v>
          </cell>
          <cell r="K3322" t="str">
            <v>白象 粉面菜蛋骨汤麻辣烫味桶面 157g</v>
          </cell>
          <cell r="L3322" t="str">
            <v>157g</v>
          </cell>
          <cell r="M3322" t="str">
            <v>桶</v>
          </cell>
          <cell r="N3322">
            <v>5.25</v>
          </cell>
          <cell r="O3322">
            <v>6.5</v>
          </cell>
          <cell r="P3322">
            <v>0.18461538461538499</v>
          </cell>
        </row>
        <row r="3323">
          <cell r="F3323" t="str">
            <v>70450704</v>
          </cell>
          <cell r="G3323" t="str">
            <v>白象</v>
          </cell>
          <cell r="H3323" t="str">
            <v>白象</v>
          </cell>
          <cell r="I3323" t="str">
            <v>速食</v>
          </cell>
          <cell r="J3323" t="str">
            <v>包装方便食品</v>
          </cell>
          <cell r="K3323" t="str">
            <v>白象 粉面菜蛋金汤肥牛味桶面 157g</v>
          </cell>
          <cell r="L3323" t="str">
            <v>157g</v>
          </cell>
          <cell r="M3323" t="str">
            <v>桶</v>
          </cell>
          <cell r="N3323">
            <v>5.25</v>
          </cell>
          <cell r="O3323">
            <v>6.5</v>
          </cell>
          <cell r="P3323">
            <v>0.18461538461538499</v>
          </cell>
        </row>
        <row r="3324">
          <cell r="F3324" t="str">
            <v>70483985</v>
          </cell>
          <cell r="G3324" t="str">
            <v>白象</v>
          </cell>
          <cell r="H3324" t="str">
            <v>白象</v>
          </cell>
          <cell r="I3324" t="str">
            <v>速食</v>
          </cell>
          <cell r="J3324" t="str">
            <v>包装方便食品</v>
          </cell>
          <cell r="K3324" t="str">
            <v>白象 粉面菜蛋蒜蓉花甲味桶面 163g</v>
          </cell>
          <cell r="L3324" t="str">
            <v>163g</v>
          </cell>
          <cell r="M3324" t="str">
            <v>包</v>
          </cell>
          <cell r="N3324">
            <v>5.25</v>
          </cell>
          <cell r="O3324">
            <v>6.5</v>
          </cell>
          <cell r="P3324">
            <v>0.18461538461538499</v>
          </cell>
        </row>
        <row r="3325">
          <cell r="F3325" t="str">
            <v>70540175</v>
          </cell>
          <cell r="G3325" t="str">
            <v>白象</v>
          </cell>
          <cell r="H3325" t="str">
            <v>白象</v>
          </cell>
          <cell r="I3325" t="str">
            <v>速食</v>
          </cell>
          <cell r="J3325" t="str">
            <v>包装方便食品</v>
          </cell>
          <cell r="K3325" t="str">
            <v>白象 麻辣小龙虾拌面 115g</v>
          </cell>
          <cell r="L3325" t="str">
            <v>115g</v>
          </cell>
          <cell r="M3325" t="str">
            <v>桶</v>
          </cell>
          <cell r="N3325">
            <v>4.6500000000000004</v>
          </cell>
          <cell r="O3325">
            <v>6.5</v>
          </cell>
          <cell r="P3325">
            <v>0.27846153846153798</v>
          </cell>
        </row>
        <row r="3326">
          <cell r="F3326" t="str">
            <v>70403729</v>
          </cell>
          <cell r="G3326" t="str">
            <v>白象</v>
          </cell>
          <cell r="H3326" t="str">
            <v>白象</v>
          </cell>
          <cell r="I3326" t="str">
            <v>速食</v>
          </cell>
          <cell r="J3326" t="str">
            <v>包装方便食品</v>
          </cell>
          <cell r="K3326" t="str">
            <v>白象 韩式甜辣火鸡面拌面 119g</v>
          </cell>
          <cell r="L3326" t="str">
            <v>119g</v>
          </cell>
          <cell r="M3326" t="str">
            <v>包</v>
          </cell>
          <cell r="N3326">
            <v>4.6500000000000004</v>
          </cell>
          <cell r="O3326">
            <v>6.5</v>
          </cell>
          <cell r="P3326">
            <v>0.27846153846153798</v>
          </cell>
        </row>
        <row r="3327">
          <cell r="F3327" t="str">
            <v>70215696</v>
          </cell>
          <cell r="G3327" t="str">
            <v>白象</v>
          </cell>
          <cell r="H3327" t="str">
            <v>白象</v>
          </cell>
          <cell r="I3327" t="str">
            <v>速食</v>
          </cell>
          <cell r="J3327" t="str">
            <v>包装方便食品</v>
          </cell>
          <cell r="K3327" t="str">
            <v>白象 新经典红烧牛肉桶面 103g</v>
          </cell>
          <cell r="L3327" t="str">
            <v>103g</v>
          </cell>
          <cell r="M3327" t="str">
            <v>桶</v>
          </cell>
          <cell r="N3327">
            <v>3.99</v>
          </cell>
          <cell r="O3327">
            <v>6</v>
          </cell>
          <cell r="P3327">
            <v>0.32833333333333298</v>
          </cell>
        </row>
        <row r="3328">
          <cell r="F3328" t="str">
            <v>70036713</v>
          </cell>
          <cell r="G3328" t="str">
            <v>白象</v>
          </cell>
          <cell r="H3328" t="str">
            <v>白象</v>
          </cell>
          <cell r="I3328" t="str">
            <v>速食</v>
          </cell>
          <cell r="J3328" t="str">
            <v>包装方便食品</v>
          </cell>
          <cell r="K3328" t="str">
            <v>白象 新经典香辣牛肉桶面 100g</v>
          </cell>
          <cell r="L3328" t="str">
            <v>100g</v>
          </cell>
          <cell r="M3328" t="str">
            <v>桶</v>
          </cell>
          <cell r="N3328">
            <v>3.99</v>
          </cell>
          <cell r="O3328">
            <v>6</v>
          </cell>
          <cell r="P3328">
            <v>0.32833333333333298</v>
          </cell>
        </row>
        <row r="3329">
          <cell r="F3329" t="str">
            <v>70445835</v>
          </cell>
          <cell r="G3329" t="str">
            <v>白象</v>
          </cell>
          <cell r="H3329" t="str">
            <v>白象</v>
          </cell>
          <cell r="I3329" t="str">
            <v>速食</v>
          </cell>
          <cell r="J3329" t="str">
            <v>包装方便食品</v>
          </cell>
          <cell r="K3329" t="str">
            <v>白象 大辣娇Big桶麻辣香锅牛肉桶面 135g</v>
          </cell>
          <cell r="L3329" t="str">
            <v>135g</v>
          </cell>
          <cell r="M3329" t="str">
            <v>桶</v>
          </cell>
          <cell r="N3329">
            <v>3.54</v>
          </cell>
          <cell r="O3329">
            <v>6</v>
          </cell>
          <cell r="P3329">
            <v>0.40500000000000003</v>
          </cell>
        </row>
        <row r="3330">
          <cell r="F3330" t="str">
            <v>70560286</v>
          </cell>
          <cell r="G3330" t="str">
            <v>白象</v>
          </cell>
          <cell r="H3330" t="str">
            <v>白象</v>
          </cell>
          <cell r="I3330" t="str">
            <v>速食</v>
          </cell>
          <cell r="J3330" t="str">
            <v>包装方便食品</v>
          </cell>
          <cell r="K3330" t="str">
            <v>白象 新经典老坛酸菜牛肉桶面 123g</v>
          </cell>
          <cell r="L3330" t="str">
            <v>123g</v>
          </cell>
          <cell r="M3330" t="str">
            <v>桶</v>
          </cell>
          <cell r="N3330">
            <v>3.99</v>
          </cell>
          <cell r="O3330">
            <v>6</v>
          </cell>
          <cell r="P3330">
            <v>0.32833333333333298</v>
          </cell>
        </row>
        <row r="3331">
          <cell r="F3331" t="str">
            <v>70597329</v>
          </cell>
          <cell r="G3331" t="str">
            <v>白象</v>
          </cell>
          <cell r="H3331" t="str">
            <v>白象</v>
          </cell>
          <cell r="I3331" t="str">
            <v>速食</v>
          </cell>
          <cell r="J3331" t="str">
            <v>包装方便食品</v>
          </cell>
          <cell r="K3331" t="str">
            <v>白象 大辣娇辣条拌面麻辣味 123g</v>
          </cell>
          <cell r="L3331" t="str">
            <v>123g</v>
          </cell>
          <cell r="M3331" t="str">
            <v>桶</v>
          </cell>
          <cell r="N3331">
            <v>5.56</v>
          </cell>
          <cell r="O3331">
            <v>7.5</v>
          </cell>
          <cell r="P3331">
            <v>0.252</v>
          </cell>
        </row>
        <row r="3332">
          <cell r="F3332" t="str">
            <v>70597333</v>
          </cell>
          <cell r="G3332" t="str">
            <v>白象</v>
          </cell>
          <cell r="H3332" t="str">
            <v>白象</v>
          </cell>
          <cell r="I3332" t="str">
            <v>速食</v>
          </cell>
          <cell r="J3332" t="str">
            <v>包装方便食品</v>
          </cell>
          <cell r="K3332" t="str">
            <v>白象 大辣娇辣条拌面香辣味 122g</v>
          </cell>
          <cell r="L3332" t="str">
            <v>122g</v>
          </cell>
          <cell r="M3332" t="str">
            <v>桶</v>
          </cell>
          <cell r="N3332">
            <v>5.56</v>
          </cell>
          <cell r="O3332">
            <v>7.5</v>
          </cell>
          <cell r="P3332">
            <v>0.252</v>
          </cell>
        </row>
        <row r="3333">
          <cell r="F3333" t="str">
            <v>70448742</v>
          </cell>
          <cell r="G3333" t="str">
            <v>白象</v>
          </cell>
          <cell r="H3333" t="str">
            <v>白象</v>
          </cell>
          <cell r="I3333" t="str">
            <v>速食</v>
          </cell>
          <cell r="J3333" t="str">
            <v>包装方便食品</v>
          </cell>
          <cell r="K3333" t="str">
            <v>白象 面饼120克红烧牛肉桶面（清真版） 140g</v>
          </cell>
          <cell r="L3333" t="str">
            <v>140g</v>
          </cell>
          <cell r="M3333" t="str">
            <v>桶</v>
          </cell>
          <cell r="N3333">
            <v>4.03</v>
          </cell>
          <cell r="O3333">
            <v>6</v>
          </cell>
          <cell r="P3333">
            <v>0.32166666666666699</v>
          </cell>
        </row>
        <row r="3334">
          <cell r="F3334" t="str">
            <v>70597332</v>
          </cell>
          <cell r="G3334" t="str">
            <v>白象</v>
          </cell>
          <cell r="H3334" t="str">
            <v>白象</v>
          </cell>
          <cell r="I3334" t="str">
            <v>速食</v>
          </cell>
          <cell r="J3334" t="str">
            <v>包装方便食品</v>
          </cell>
          <cell r="K3334" t="str">
            <v>白象 面饼120克原汁鸡汤桶面（清真版） 142g</v>
          </cell>
          <cell r="L3334" t="str">
            <v>142g</v>
          </cell>
          <cell r="M3334" t="str">
            <v>桶</v>
          </cell>
          <cell r="N3334">
            <v>4.03</v>
          </cell>
          <cell r="O3334">
            <v>6</v>
          </cell>
          <cell r="P3334">
            <v>0.32166666666666699</v>
          </cell>
        </row>
        <row r="3335">
          <cell r="F3335" t="str">
            <v>70597543</v>
          </cell>
          <cell r="G3335" t="str">
            <v>白象</v>
          </cell>
          <cell r="H3335" t="str">
            <v>白象</v>
          </cell>
          <cell r="I3335" t="str">
            <v>速食</v>
          </cell>
          <cell r="J3335" t="str">
            <v>包装方便食品</v>
          </cell>
          <cell r="K3335" t="str">
            <v>白象 面饼120克老坛酸菜牛肉桶面（清真版） 162g</v>
          </cell>
          <cell r="L3335" t="str">
            <v>162g</v>
          </cell>
          <cell r="M3335" t="str">
            <v>桶</v>
          </cell>
          <cell r="N3335">
            <v>4.03</v>
          </cell>
          <cell r="O3335">
            <v>6</v>
          </cell>
          <cell r="P3335">
            <v>0.32166666666666699</v>
          </cell>
        </row>
        <row r="3336">
          <cell r="F3336" t="str">
            <v>70597331</v>
          </cell>
          <cell r="G3336" t="str">
            <v>白象</v>
          </cell>
          <cell r="H3336" t="str">
            <v>白象</v>
          </cell>
          <cell r="I3336" t="str">
            <v>速食</v>
          </cell>
          <cell r="J3336" t="str">
            <v>包装方便食品</v>
          </cell>
          <cell r="K3336" t="str">
            <v>白象 粉面菜蛋番茄浓汤味桶面（清真版） 159g</v>
          </cell>
          <cell r="L3336" t="str">
            <v>159g</v>
          </cell>
          <cell r="M3336" t="str">
            <v>桶</v>
          </cell>
          <cell r="N3336">
            <v>5.25</v>
          </cell>
          <cell r="O3336">
            <v>6.5</v>
          </cell>
          <cell r="P3336">
            <v>0.18461538461538499</v>
          </cell>
        </row>
        <row r="3337">
          <cell r="F3337" t="str">
            <v>70597620</v>
          </cell>
          <cell r="G3337" t="str">
            <v>白象</v>
          </cell>
          <cell r="H3337" t="str">
            <v>白象</v>
          </cell>
          <cell r="I3337" t="str">
            <v>速食</v>
          </cell>
          <cell r="J3337" t="str">
            <v>包装方便食品</v>
          </cell>
          <cell r="K3337" t="str">
            <v>白象 粉面菜蛋金汤肥牛味桶面（清真版） 157g</v>
          </cell>
          <cell r="L3337" t="str">
            <v>157g</v>
          </cell>
          <cell r="M3337" t="str">
            <v>桶</v>
          </cell>
          <cell r="N3337">
            <v>5.25</v>
          </cell>
          <cell r="O3337">
            <v>6.5</v>
          </cell>
          <cell r="P3337">
            <v>0.18461538461538499</v>
          </cell>
        </row>
        <row r="3338">
          <cell r="F3338" t="str">
            <v>70597334</v>
          </cell>
          <cell r="G3338" t="str">
            <v>白象</v>
          </cell>
          <cell r="H3338" t="str">
            <v>白象</v>
          </cell>
          <cell r="I3338" t="str">
            <v>速食</v>
          </cell>
          <cell r="J3338" t="str">
            <v>包装方便食品</v>
          </cell>
          <cell r="K3338" t="str">
            <v>白象 粉面菜蛋牛骨汤麻辣烫味桶面（清真版） 152g</v>
          </cell>
          <cell r="L3338" t="str">
            <v>152g</v>
          </cell>
          <cell r="M3338" t="str">
            <v>桶</v>
          </cell>
          <cell r="N3338">
            <v>5.25</v>
          </cell>
          <cell r="O3338">
            <v>6.5</v>
          </cell>
          <cell r="P3338">
            <v>0.18461538461538499</v>
          </cell>
        </row>
        <row r="3339">
          <cell r="F3339" t="str">
            <v>70448726</v>
          </cell>
          <cell r="G3339" t="str">
            <v>白象</v>
          </cell>
          <cell r="H3339" t="str">
            <v>白象</v>
          </cell>
          <cell r="I3339" t="str">
            <v>速食</v>
          </cell>
          <cell r="J3339" t="str">
            <v>包装方便食品</v>
          </cell>
          <cell r="K3339" t="str">
            <v>白象 韩式甜辣火鸡面拌面（清真版） 115g</v>
          </cell>
          <cell r="L3339" t="str">
            <v>115g</v>
          </cell>
          <cell r="M3339" t="str">
            <v>桶</v>
          </cell>
          <cell r="N3339">
            <v>4.6500000000000004</v>
          </cell>
          <cell r="O3339">
            <v>6.5</v>
          </cell>
          <cell r="P3339">
            <v>0.27846153846153798</v>
          </cell>
        </row>
        <row r="3340">
          <cell r="F3340" t="str">
            <v>70597330</v>
          </cell>
          <cell r="G3340" t="str">
            <v>白象</v>
          </cell>
          <cell r="H3340" t="str">
            <v>白象</v>
          </cell>
          <cell r="I3340" t="str">
            <v>速食</v>
          </cell>
          <cell r="J3340" t="str">
            <v>包装方便食品</v>
          </cell>
          <cell r="K3340" t="str">
            <v>白象 咔芝脆新奥尔良烤翅味 45.5g</v>
          </cell>
          <cell r="L3340" t="str">
            <v>45.5g</v>
          </cell>
          <cell r="M3340" t="str">
            <v>袋</v>
          </cell>
          <cell r="N3340">
            <v>0.76</v>
          </cell>
          <cell r="O3340">
            <v>1.5</v>
          </cell>
          <cell r="P3340">
            <v>0.48666666666666702</v>
          </cell>
        </row>
        <row r="3341">
          <cell r="F3341" t="str">
            <v>70597542</v>
          </cell>
          <cell r="G3341" t="str">
            <v>白象</v>
          </cell>
          <cell r="H3341" t="str">
            <v>白象</v>
          </cell>
          <cell r="I3341" t="str">
            <v>速食</v>
          </cell>
          <cell r="J3341" t="str">
            <v>包装方便食品</v>
          </cell>
          <cell r="K3341" t="str">
            <v>白象 咔吮指原味鸡排味 45.5g</v>
          </cell>
          <cell r="L3341" t="str">
            <v>45.5g</v>
          </cell>
          <cell r="M3341" t="str">
            <v>袋</v>
          </cell>
          <cell r="N3341">
            <v>0.76</v>
          </cell>
          <cell r="O3341">
            <v>1.5</v>
          </cell>
          <cell r="P3341">
            <v>0.48666666666666702</v>
          </cell>
        </row>
        <row r="3342">
          <cell r="F3342" t="str">
            <v>70599615</v>
          </cell>
          <cell r="G3342" t="str">
            <v>白象</v>
          </cell>
          <cell r="H3342" t="str">
            <v>白象</v>
          </cell>
          <cell r="I3342" t="str">
            <v>速食</v>
          </cell>
          <cell r="J3342" t="str">
            <v>包装方便食品</v>
          </cell>
          <cell r="K3342" t="str">
            <v>白象 咔芝脆脆椒香麻辣牛排味 45.5g</v>
          </cell>
          <cell r="L3342" t="str">
            <v>45.5g</v>
          </cell>
          <cell r="M3342" t="str">
            <v>袋</v>
          </cell>
          <cell r="N3342">
            <v>0.76</v>
          </cell>
          <cell r="O3342">
            <v>1.5</v>
          </cell>
          <cell r="P3342">
            <v>0.48666666666666702</v>
          </cell>
        </row>
        <row r="3343">
          <cell r="F3343" t="str">
            <v>70597327</v>
          </cell>
          <cell r="G3343" t="str">
            <v>白象</v>
          </cell>
          <cell r="H3343" t="str">
            <v>白象</v>
          </cell>
          <cell r="I3343" t="str">
            <v>速食</v>
          </cell>
          <cell r="J3343" t="str">
            <v>包装方便食品</v>
          </cell>
          <cell r="K3343" t="str">
            <v>白象 咔芝脆烧烤轰炸鱿鱼味 45.5g</v>
          </cell>
          <cell r="L3343" t="str">
            <v>45.5g</v>
          </cell>
          <cell r="M3343" t="str">
            <v>袋</v>
          </cell>
          <cell r="N3343">
            <v>0.76</v>
          </cell>
          <cell r="O3343">
            <v>1.5</v>
          </cell>
          <cell r="P3343">
            <v>0.48666666666666702</v>
          </cell>
        </row>
        <row r="3344">
          <cell r="F3344" t="str">
            <v>70448728</v>
          </cell>
          <cell r="G3344" t="str">
            <v>白象</v>
          </cell>
          <cell r="H3344" t="str">
            <v>白象</v>
          </cell>
          <cell r="I3344" t="str">
            <v>速食</v>
          </cell>
          <cell r="J3344" t="str">
            <v>包装方便食品</v>
          </cell>
          <cell r="K3344" t="str">
            <v>白象 麻辣小龙虾拌面（清真版） 119g</v>
          </cell>
          <cell r="L3344" t="str">
            <v>119g</v>
          </cell>
          <cell r="M3344" t="str">
            <v>桶</v>
          </cell>
          <cell r="N3344">
            <v>4.6500000000000004</v>
          </cell>
          <cell r="O3344">
            <v>6.5</v>
          </cell>
          <cell r="P3344">
            <v>0.27846153846153798</v>
          </cell>
        </row>
        <row r="3345">
          <cell r="F3345" t="str">
            <v>70448736</v>
          </cell>
          <cell r="G3345" t="str">
            <v>白象</v>
          </cell>
          <cell r="H3345" t="str">
            <v>白象</v>
          </cell>
          <cell r="I3345" t="str">
            <v>速食</v>
          </cell>
          <cell r="J3345" t="str">
            <v>包装方便食品</v>
          </cell>
          <cell r="K3345" t="str">
            <v>白象 汤好喝辣牛肉汤桶面（清真版） 119g</v>
          </cell>
          <cell r="L3345" t="str">
            <v>119g</v>
          </cell>
          <cell r="M3345" t="str">
            <v>桶</v>
          </cell>
          <cell r="N3345">
            <v>3.99</v>
          </cell>
          <cell r="O3345">
            <v>6</v>
          </cell>
          <cell r="P3345">
            <v>0.32833333333333298</v>
          </cell>
        </row>
        <row r="3346">
          <cell r="F3346" t="str">
            <v>70597631</v>
          </cell>
          <cell r="G3346" t="str">
            <v>白象</v>
          </cell>
          <cell r="H3346" t="str">
            <v>白象</v>
          </cell>
          <cell r="I3346" t="str">
            <v>速食</v>
          </cell>
          <cell r="J3346" t="str">
            <v>包装方便食品</v>
          </cell>
          <cell r="K3346" t="str">
            <v>白象 汤好喝兰州牛肉桶面（清真版） 113g</v>
          </cell>
          <cell r="L3346" t="str">
            <v>113g</v>
          </cell>
          <cell r="M3346" t="str">
            <v>桶</v>
          </cell>
          <cell r="N3346">
            <v>3.99</v>
          </cell>
          <cell r="O3346">
            <v>6</v>
          </cell>
          <cell r="P3346">
            <v>0.32833333333333298</v>
          </cell>
        </row>
        <row r="3347">
          <cell r="F3347" t="str">
            <v>70419389</v>
          </cell>
          <cell r="G3347" t="str">
            <v>白象</v>
          </cell>
          <cell r="H3347" t="str">
            <v>白象</v>
          </cell>
          <cell r="I3347" t="str">
            <v>速食</v>
          </cell>
          <cell r="J3347" t="str">
            <v>包装方便食品</v>
          </cell>
          <cell r="K3347" t="str">
            <v>白象 汤好喝老母鸡汤桶面（清真版） 116g</v>
          </cell>
          <cell r="L3347" t="str">
            <v>116g</v>
          </cell>
          <cell r="M3347" t="str">
            <v>桶</v>
          </cell>
          <cell r="N3347">
            <v>3.99</v>
          </cell>
          <cell r="O3347">
            <v>6</v>
          </cell>
          <cell r="P3347">
            <v>0.32833333333333298</v>
          </cell>
        </row>
        <row r="3348">
          <cell r="F3348" t="str">
            <v>70467009</v>
          </cell>
          <cell r="G3348" t="str">
            <v>白象</v>
          </cell>
          <cell r="H3348" t="str">
            <v>白象</v>
          </cell>
          <cell r="I3348" t="str">
            <v>速食</v>
          </cell>
          <cell r="J3348" t="str">
            <v>包装方便食品</v>
          </cell>
          <cell r="K3348" t="str">
            <v>白象 大辣娇酸辣粉 108g</v>
          </cell>
          <cell r="L3348" t="str">
            <v>108g</v>
          </cell>
          <cell r="M3348" t="str">
            <v>桶</v>
          </cell>
          <cell r="N3348">
            <v>5.25</v>
          </cell>
          <cell r="O3348">
            <v>6.5</v>
          </cell>
          <cell r="P3348">
            <v>0.18461538461538499</v>
          </cell>
        </row>
        <row r="3349">
          <cell r="F3349" t="str">
            <v>70451275</v>
          </cell>
          <cell r="G3349" t="str">
            <v>白象</v>
          </cell>
          <cell r="H3349" t="str">
            <v>白象</v>
          </cell>
          <cell r="I3349" t="str">
            <v>速食</v>
          </cell>
          <cell r="J3349" t="str">
            <v>包装方便食品</v>
          </cell>
          <cell r="K3349" t="str">
            <v>白象 新经典桶红烧牛肉桶面（清真版） 103g</v>
          </cell>
          <cell r="L3349" t="str">
            <v>103g</v>
          </cell>
          <cell r="M3349" t="str">
            <v>桶</v>
          </cell>
          <cell r="N3349">
            <v>3.99</v>
          </cell>
          <cell r="O3349">
            <v>6</v>
          </cell>
          <cell r="P3349">
            <v>0.32833333333333298</v>
          </cell>
        </row>
        <row r="3350">
          <cell r="F3350" t="str">
            <v>70597317</v>
          </cell>
          <cell r="G3350" t="str">
            <v>白象</v>
          </cell>
          <cell r="H3350" t="str">
            <v>白象</v>
          </cell>
          <cell r="I3350" t="str">
            <v>速食</v>
          </cell>
          <cell r="J3350" t="str">
            <v>包装方便食品</v>
          </cell>
          <cell r="K3350" t="str">
            <v>白象 新经典桶老坛酸菜牛肉桶面（清真版） 116g</v>
          </cell>
          <cell r="L3350" t="str">
            <v>116g</v>
          </cell>
          <cell r="M3350" t="str">
            <v>桶</v>
          </cell>
          <cell r="N3350">
            <v>3.99</v>
          </cell>
          <cell r="O3350">
            <v>6</v>
          </cell>
          <cell r="P3350">
            <v>0.32833333333333298</v>
          </cell>
        </row>
        <row r="3351">
          <cell r="F3351" t="str">
            <v>70597326</v>
          </cell>
          <cell r="G3351" t="str">
            <v>白象</v>
          </cell>
          <cell r="H3351" t="str">
            <v>白象</v>
          </cell>
          <cell r="I3351" t="str">
            <v>速食</v>
          </cell>
          <cell r="J3351" t="str">
            <v>包装方便食品</v>
          </cell>
          <cell r="K3351" t="str">
            <v>白象 新经典桶香辣牛肉桶面（清真版） 100g</v>
          </cell>
          <cell r="L3351" t="str">
            <v>100g</v>
          </cell>
          <cell r="M3351" t="str">
            <v>桶</v>
          </cell>
          <cell r="N3351">
            <v>3.99</v>
          </cell>
          <cell r="O3351">
            <v>6</v>
          </cell>
          <cell r="P3351">
            <v>0.32833333333333298</v>
          </cell>
        </row>
        <row r="3352">
          <cell r="F3352" t="str">
            <v>70524304</v>
          </cell>
          <cell r="G3352" t="str">
            <v>白象</v>
          </cell>
          <cell r="H3352" t="str">
            <v>白象</v>
          </cell>
          <cell r="I3352" t="str">
            <v>速食</v>
          </cell>
          <cell r="J3352" t="str">
            <v>包装方便食品</v>
          </cell>
          <cell r="K3352" t="str">
            <v>白象 香菜桶面 115g</v>
          </cell>
          <cell r="L3352" t="str">
            <v>115g</v>
          </cell>
          <cell r="M3352" t="str">
            <v>桶</v>
          </cell>
          <cell r="N3352">
            <v>4.63</v>
          </cell>
          <cell r="O3352">
            <v>6.5</v>
          </cell>
          <cell r="P3352">
            <v>0.28153846153846201</v>
          </cell>
        </row>
        <row r="3353">
          <cell r="F3353" t="str">
            <v>70469079</v>
          </cell>
          <cell r="G3353" t="str">
            <v>白象</v>
          </cell>
          <cell r="H3353" t="str">
            <v>白象</v>
          </cell>
          <cell r="I3353" t="str">
            <v>速食</v>
          </cell>
          <cell r="J3353" t="str">
            <v>包装方便食品</v>
          </cell>
          <cell r="K3353" t="str">
            <v>白象 大辣娇BIG老坛酸菜牛肉桶面 143g</v>
          </cell>
          <cell r="L3353" t="str">
            <v>143g</v>
          </cell>
          <cell r="M3353" t="str">
            <v>桶</v>
          </cell>
          <cell r="N3353">
            <v>3.54</v>
          </cell>
          <cell r="O3353">
            <v>6</v>
          </cell>
          <cell r="P3353">
            <v>0.40500000000000003</v>
          </cell>
        </row>
        <row r="3354">
          <cell r="F3354" t="str">
            <v>70681080</v>
          </cell>
          <cell r="G3354" t="str">
            <v>维他</v>
          </cell>
          <cell r="H3354" t="str">
            <v>维他奶</v>
          </cell>
          <cell r="I3354" t="str">
            <v>奶类</v>
          </cell>
          <cell r="J3354" t="str">
            <v>豆奶</v>
          </cell>
          <cell r="K3354" t="str">
            <v>维他奶 原味豆奶分享定制装礼盒装 250ML*12</v>
          </cell>
          <cell r="L3354" t="str">
            <v>250ML*12</v>
          </cell>
          <cell r="M3354" t="str">
            <v>箱</v>
          </cell>
          <cell r="N3354">
            <v>26.3</v>
          </cell>
          <cell r="O3354">
            <v>36</v>
          </cell>
          <cell r="P3354">
            <v>0.26222222222222202</v>
          </cell>
        </row>
        <row r="3355">
          <cell r="F3355" t="str">
            <v>70685221</v>
          </cell>
          <cell r="G3355" t="str">
            <v>四川港投</v>
          </cell>
          <cell r="H3355" t="str">
            <v>COCO Royal</v>
          </cell>
          <cell r="I3355" t="str">
            <v>包装饮料</v>
          </cell>
          <cell r="J3355" t="str">
            <v>果汁饮料</v>
          </cell>
          <cell r="K3355" t="str">
            <v>COCO Royal 椰子水 350ML</v>
          </cell>
          <cell r="L3355" t="str">
            <v>350mL</v>
          </cell>
          <cell r="M3355" t="str">
            <v>袋</v>
          </cell>
          <cell r="N3355">
            <v>4.34</v>
          </cell>
          <cell r="O3355">
            <v>4.7</v>
          </cell>
          <cell r="P3355">
            <v>6.5957446808510706E-2</v>
          </cell>
        </row>
        <row r="3356">
          <cell r="F3356" t="str">
            <v>70711061</v>
          </cell>
          <cell r="G3356" t="str">
            <v>康师傅顶津</v>
          </cell>
          <cell r="H3356" t="str">
            <v>康师傅顶津</v>
          </cell>
          <cell r="I3356" t="str">
            <v>包装饮料</v>
          </cell>
          <cell r="J3356" t="str">
            <v>果汁饮料</v>
          </cell>
          <cell r="K3356" t="str">
            <v>康师傅 多维计划芭乐桃桃 450ml</v>
          </cell>
          <cell r="L3356" t="str">
            <v>450ml</v>
          </cell>
          <cell r="M3356" t="str">
            <v>瓶</v>
          </cell>
          <cell r="N3356">
            <v>3.43</v>
          </cell>
          <cell r="O3356">
            <v>5</v>
          </cell>
          <cell r="P3356">
            <v>0.314</v>
          </cell>
        </row>
        <row r="3357">
          <cell r="F3357" t="str">
            <v>70712986</v>
          </cell>
          <cell r="G3357" t="str">
            <v>康师傅顶津</v>
          </cell>
          <cell r="H3357" t="str">
            <v>康师傅顶津</v>
          </cell>
          <cell r="I3357" t="str">
            <v>包装饮料</v>
          </cell>
          <cell r="J3357" t="str">
            <v>果汁饮料</v>
          </cell>
          <cell r="K3357" t="str">
            <v>康师傅 多维计划柠柠刺梨 450ml</v>
          </cell>
          <cell r="L3357" t="str">
            <v>450ml</v>
          </cell>
          <cell r="M3357" t="str">
            <v>瓶</v>
          </cell>
          <cell r="N3357">
            <v>3.43</v>
          </cell>
          <cell r="O3357">
            <v>5</v>
          </cell>
          <cell r="P3357">
            <v>0.314</v>
          </cell>
        </row>
        <row r="3358">
          <cell r="F3358" t="str">
            <v>70712769</v>
          </cell>
          <cell r="G3358" t="str">
            <v>康师傅顶津</v>
          </cell>
          <cell r="H3358" t="str">
            <v>康师傅顶津</v>
          </cell>
          <cell r="I3358" t="str">
            <v>包装饮料</v>
          </cell>
          <cell r="J3358" t="str">
            <v>果汁饮料</v>
          </cell>
          <cell r="K3358" t="str">
            <v>康师傅 多维计划红葡桑葚 450ml</v>
          </cell>
          <cell r="L3358" t="str">
            <v>450ml</v>
          </cell>
          <cell r="M3358" t="str">
            <v>瓶</v>
          </cell>
          <cell r="N3358">
            <v>3.43</v>
          </cell>
          <cell r="O3358">
            <v>5</v>
          </cell>
          <cell r="P3358">
            <v>0.314</v>
          </cell>
        </row>
        <row r="3359">
          <cell r="F3359" t="str">
            <v>70711060</v>
          </cell>
          <cell r="G3359" t="str">
            <v>康师傅顶津</v>
          </cell>
          <cell r="H3359" t="str">
            <v>康师傅顶津</v>
          </cell>
          <cell r="I3359" t="str">
            <v>包装饮料</v>
          </cell>
          <cell r="J3359" t="str">
            <v>果汁饮料</v>
          </cell>
          <cell r="K3359" t="str">
            <v>康师傅 冰红茶能量系列 420ml</v>
          </cell>
          <cell r="L3359" t="str">
            <v>420ml</v>
          </cell>
          <cell r="M3359" t="str">
            <v>瓶</v>
          </cell>
          <cell r="N3359">
            <v>4.5999999999999996</v>
          </cell>
          <cell r="O3359">
            <v>7</v>
          </cell>
          <cell r="P3359">
            <v>0.19</v>
          </cell>
        </row>
        <row r="3360">
          <cell r="F3360" t="str">
            <v>70711059</v>
          </cell>
          <cell r="G3360" t="str">
            <v>康师傅顶津</v>
          </cell>
          <cell r="H3360" t="str">
            <v>康师傅顶津</v>
          </cell>
          <cell r="I3360" t="str">
            <v>包装饮料</v>
          </cell>
          <cell r="J3360" t="str">
            <v>果汁饮料</v>
          </cell>
          <cell r="K3360" t="str">
            <v>康师傅 茉莉白茶 500ml</v>
          </cell>
          <cell r="L3360" t="str">
            <v>500ml</v>
          </cell>
          <cell r="M3360" t="str">
            <v>瓶</v>
          </cell>
          <cell r="N3360">
            <v>3.03</v>
          </cell>
          <cell r="O3360">
            <v>4.5</v>
          </cell>
          <cell r="P3360">
            <v>0.32666666666666699</v>
          </cell>
        </row>
        <row r="3361">
          <cell r="F3361" t="str">
            <v>70286984</v>
          </cell>
          <cell r="G3361" t="str">
            <v>农夫山泉</v>
          </cell>
          <cell r="H3361" t="str">
            <v>NFC</v>
          </cell>
          <cell r="I3361" t="str">
            <v>包装饮料</v>
          </cell>
          <cell r="J3361" t="str">
            <v>蔬/果汁</v>
          </cell>
          <cell r="K3361" t="str">
            <v>农夫山泉 NFC100%橙汁 300ML*10</v>
          </cell>
          <cell r="L3361" t="str">
            <v>300ML*10</v>
          </cell>
          <cell r="M3361" t="str">
            <v>箱</v>
          </cell>
          <cell r="N3361">
            <v>54.71</v>
          </cell>
          <cell r="O3361">
            <v>75</v>
          </cell>
          <cell r="P3361">
            <v>0.27053333333333301</v>
          </cell>
        </row>
        <row r="3362">
          <cell r="F3362" t="str">
            <v>70713227</v>
          </cell>
          <cell r="G3362" t="str">
            <v>农夫山泉</v>
          </cell>
          <cell r="H3362" t="str">
            <v>NFC</v>
          </cell>
          <cell r="I3362" t="str">
            <v>包装饮料</v>
          </cell>
          <cell r="J3362" t="str">
            <v>蔬/果汁</v>
          </cell>
          <cell r="K3362" t="str">
            <v>农夫山泉 NFC100%芒果混合汁 300ML*10</v>
          </cell>
          <cell r="L3362" t="str">
            <v>300ML*10</v>
          </cell>
          <cell r="M3362" t="str">
            <v>箱</v>
          </cell>
          <cell r="N3362">
            <v>54.71</v>
          </cell>
          <cell r="O3362">
            <v>75</v>
          </cell>
          <cell r="P3362">
            <v>0.27053333333333301</v>
          </cell>
        </row>
        <row r="3363">
          <cell r="F3363" t="str">
            <v>70713228</v>
          </cell>
          <cell r="G3363" t="str">
            <v>农夫山泉</v>
          </cell>
          <cell r="H3363" t="str">
            <v>NFC</v>
          </cell>
          <cell r="I3363" t="str">
            <v>包装饮料</v>
          </cell>
          <cell r="J3363" t="str">
            <v>蔬/果汁</v>
          </cell>
          <cell r="K3363" t="str">
            <v>农夫山泉 NFC100%鲜果冷压榨番石榴混合汁 300ML*10</v>
          </cell>
          <cell r="L3363" t="str">
            <v>300ML*10</v>
          </cell>
          <cell r="M3363" t="str">
            <v>箱</v>
          </cell>
          <cell r="N3363">
            <v>54.71</v>
          </cell>
          <cell r="O3363">
            <v>75</v>
          </cell>
          <cell r="P3363">
            <v>0.27053333333333301</v>
          </cell>
        </row>
        <row r="3364">
          <cell r="F3364" t="str">
            <v>70286985</v>
          </cell>
          <cell r="G3364" t="str">
            <v>农夫山泉</v>
          </cell>
          <cell r="H3364" t="str">
            <v>NFC</v>
          </cell>
          <cell r="I3364" t="str">
            <v>包装饮料</v>
          </cell>
          <cell r="J3364" t="str">
            <v>蔬/果汁</v>
          </cell>
          <cell r="K3364" t="str">
            <v>农夫山泉 NFC100%苹果香蕉 300ML*10</v>
          </cell>
          <cell r="L3364" t="str">
            <v>300ML*10</v>
          </cell>
          <cell r="M3364" t="str">
            <v>箱</v>
          </cell>
          <cell r="N3364">
            <v>54.71</v>
          </cell>
          <cell r="O3364">
            <v>75</v>
          </cell>
          <cell r="P3364">
            <v>0.27053333333333301</v>
          </cell>
        </row>
        <row r="3365">
          <cell r="F3365" t="str">
            <v>70529409</v>
          </cell>
          <cell r="G3365" t="str">
            <v>农夫山泉</v>
          </cell>
          <cell r="H3365" t="str">
            <v>东方树叶</v>
          </cell>
          <cell r="I3365" t="str">
            <v>包装饮料</v>
          </cell>
          <cell r="J3365" t="str">
            <v>茶饮料</v>
          </cell>
          <cell r="K3365" t="str">
            <v>农夫山泉 东方树叶原味茶饮料乌龙茶 900mL</v>
          </cell>
          <cell r="L3365" t="str">
            <v>900ml</v>
          </cell>
          <cell r="M3365" t="str">
            <v>瓶</v>
          </cell>
          <cell r="N3365">
            <v>5.66</v>
          </cell>
          <cell r="O3365">
            <v>7</v>
          </cell>
          <cell r="P3365">
            <v>0.191428571428571</v>
          </cell>
        </row>
        <row r="3366">
          <cell r="F3366" t="str">
            <v>70518738</v>
          </cell>
          <cell r="G3366" t="str">
            <v>农夫山泉</v>
          </cell>
          <cell r="H3366" t="str">
            <v>东方树叶</v>
          </cell>
          <cell r="I3366" t="str">
            <v>包装饮料</v>
          </cell>
          <cell r="J3366" t="str">
            <v>茶饮料</v>
          </cell>
          <cell r="K3366" t="str">
            <v>农夫山泉 东方树叶原味茶饮料黑乌龙 900mL</v>
          </cell>
          <cell r="L3366" t="str">
            <v>900ml</v>
          </cell>
          <cell r="M3366" t="str">
            <v>瓶</v>
          </cell>
          <cell r="N3366">
            <v>5.66</v>
          </cell>
          <cell r="O3366">
            <v>7</v>
          </cell>
          <cell r="P3366">
            <v>0.191428571428571</v>
          </cell>
        </row>
        <row r="3367">
          <cell r="F3367" t="str">
            <v>70712776</v>
          </cell>
          <cell r="G3367" t="str">
            <v>农夫山泉</v>
          </cell>
          <cell r="H3367" t="str">
            <v>东方树叶</v>
          </cell>
          <cell r="I3367" t="str">
            <v>包装饮料</v>
          </cell>
          <cell r="J3367" t="str">
            <v>茶饮料</v>
          </cell>
          <cell r="K3367" t="str">
            <v>农夫山泉 东方树叶原味茶饮料红茶 900mL</v>
          </cell>
          <cell r="L3367" t="str">
            <v>900ml</v>
          </cell>
          <cell r="M3367" t="str">
            <v>瓶</v>
          </cell>
          <cell r="N3367">
            <v>5.66</v>
          </cell>
          <cell r="O3367">
            <v>7</v>
          </cell>
          <cell r="P3367">
            <v>0.191428571428571</v>
          </cell>
        </row>
        <row r="3368">
          <cell r="F3368" t="str">
            <v>70712990</v>
          </cell>
          <cell r="G3368" t="str">
            <v>农夫山泉</v>
          </cell>
          <cell r="H3368" t="str">
            <v>东方树叶</v>
          </cell>
          <cell r="I3368" t="str">
            <v>包装饮料</v>
          </cell>
          <cell r="J3368" t="str">
            <v>茶饮料</v>
          </cell>
          <cell r="K3368" t="str">
            <v>农夫山泉 东方树叶原味茶饮料陈皮白茶 900mL</v>
          </cell>
          <cell r="L3368" t="str">
            <v>900ml</v>
          </cell>
          <cell r="M3368" t="str">
            <v>瓶</v>
          </cell>
          <cell r="N3368">
            <v>5.66</v>
          </cell>
          <cell r="O3368">
            <v>7</v>
          </cell>
          <cell r="P3368">
            <v>0.191428571428571</v>
          </cell>
        </row>
        <row r="3369">
          <cell r="F3369" t="str">
            <v>70580104</v>
          </cell>
          <cell r="G3369" t="str">
            <v>农夫山泉</v>
          </cell>
          <cell r="H3369" t="str">
            <v>东方树叶</v>
          </cell>
          <cell r="I3369" t="str">
            <v>包装饮料</v>
          </cell>
          <cell r="J3369" t="str">
            <v>茶饮料</v>
          </cell>
          <cell r="K3369" t="str">
            <v>农夫山泉 东方树叶原味茶饮料茉莉花茶 1.5L</v>
          </cell>
          <cell r="L3369" t="str">
            <v>1.5L</v>
          </cell>
          <cell r="M3369" t="str">
            <v>瓶</v>
          </cell>
          <cell r="N3369">
            <v>8.3800000000000008</v>
          </cell>
          <cell r="O3369">
            <v>11</v>
          </cell>
          <cell r="P3369">
            <v>0.23818181818181799</v>
          </cell>
        </row>
        <row r="3370">
          <cell r="F3370" t="str">
            <v>75000796</v>
          </cell>
          <cell r="G3370" t="str">
            <v>农夫山泉</v>
          </cell>
          <cell r="H3370" t="str">
            <v>东方树叶</v>
          </cell>
          <cell r="I3370" t="str">
            <v>包装饮料</v>
          </cell>
          <cell r="J3370" t="str">
            <v>茶饮料</v>
          </cell>
          <cell r="K3370" t="str">
            <v>农夫山泉 东方树叶原味茶饮料乌龙茶 1.5L</v>
          </cell>
          <cell r="L3370" t="str">
            <v>1.5L</v>
          </cell>
          <cell r="M3370" t="str">
            <v>瓶</v>
          </cell>
          <cell r="N3370">
            <v>8.3800000000000008</v>
          </cell>
          <cell r="O3370">
            <v>11</v>
          </cell>
          <cell r="P3370">
            <v>0.23818181818181799</v>
          </cell>
        </row>
        <row r="3371">
          <cell r="F3371" t="str">
            <v>70580103</v>
          </cell>
          <cell r="G3371" t="str">
            <v>农夫山泉</v>
          </cell>
          <cell r="H3371" t="str">
            <v>东方树叶</v>
          </cell>
          <cell r="I3371" t="str">
            <v>包装饮料</v>
          </cell>
          <cell r="J3371" t="str">
            <v>茶饮料</v>
          </cell>
          <cell r="K3371" t="str">
            <v>农夫山泉 东方树叶青柑普洱复合茶饮料 1.5L</v>
          </cell>
          <cell r="L3371" t="str">
            <v>1.5L</v>
          </cell>
          <cell r="M3371" t="str">
            <v>瓶</v>
          </cell>
          <cell r="N3371">
            <v>8.3800000000000008</v>
          </cell>
          <cell r="O3371">
            <v>11</v>
          </cell>
          <cell r="P3371">
            <v>0.23818181818181799</v>
          </cell>
        </row>
        <row r="3372">
          <cell r="F3372" t="str">
            <v>75000798</v>
          </cell>
          <cell r="G3372" t="str">
            <v>东鹏</v>
          </cell>
          <cell r="H3372" t="str">
            <v>东鹏</v>
          </cell>
          <cell r="I3372" t="str">
            <v>包装饮料</v>
          </cell>
          <cell r="J3372" t="str">
            <v>功能饮料</v>
          </cell>
          <cell r="K3372" t="str">
            <v>东鹏特饮 牛磺酸维生素饮料 400ml</v>
          </cell>
          <cell r="L3372" t="str">
            <v>400ML</v>
          </cell>
          <cell r="M3372" t="str">
            <v>瓶</v>
          </cell>
          <cell r="N3372">
            <v>4.16</v>
          </cell>
          <cell r="O3372">
            <v>5</v>
          </cell>
          <cell r="P3372">
            <v>0.16800000000000001</v>
          </cell>
        </row>
        <row r="3373">
          <cell r="F3373" t="str">
            <v>70712737</v>
          </cell>
          <cell r="G3373" t="str">
            <v>东鹏</v>
          </cell>
          <cell r="H3373" t="str">
            <v>东鹏</v>
          </cell>
          <cell r="I3373" t="str">
            <v>包装饮料</v>
          </cell>
          <cell r="J3373" t="str">
            <v>功能饮料</v>
          </cell>
          <cell r="K3373" t="str">
            <v>东鹏特饮 P10礼品装 500ml*10</v>
          </cell>
          <cell r="L3373" t="str">
            <v>500ml*10</v>
          </cell>
          <cell r="M3373" t="str">
            <v>箱</v>
          </cell>
          <cell r="N3373">
            <v>41.61</v>
          </cell>
          <cell r="O3373">
            <v>49.9</v>
          </cell>
          <cell r="P3373">
            <v>0.16613226452905799</v>
          </cell>
        </row>
        <row r="3374">
          <cell r="F3374" t="str">
            <v>70712743</v>
          </cell>
          <cell r="G3374" t="str">
            <v>雀巢</v>
          </cell>
          <cell r="H3374" t="str">
            <v>雀巢</v>
          </cell>
          <cell r="I3374" t="str">
            <v>包装饮料</v>
          </cell>
          <cell r="J3374" t="str">
            <v>咖啡</v>
          </cell>
          <cell r="K3374" t="str">
            <v>雀巢 浓醇拿铁六连包 180ml*6</v>
          </cell>
          <cell r="L3374" t="str">
            <v>180ml*6</v>
          </cell>
          <cell r="M3374" t="str">
            <v>包</v>
          </cell>
          <cell r="N3374">
            <v>20.2</v>
          </cell>
          <cell r="O3374">
            <v>31</v>
          </cell>
          <cell r="P3374">
            <v>0.34838709677419399</v>
          </cell>
        </row>
        <row r="3375">
          <cell r="F3375" t="str">
            <v>75000797</v>
          </cell>
          <cell r="G3375" t="str">
            <v>雀巢</v>
          </cell>
          <cell r="H3375" t="str">
            <v>雀巢</v>
          </cell>
          <cell r="I3375" t="str">
            <v>包装饮料</v>
          </cell>
          <cell r="J3375" t="str">
            <v>咖啡</v>
          </cell>
          <cell r="K3375" t="str">
            <v>雀巢 生椰拿铁 268ml</v>
          </cell>
          <cell r="L3375" t="str">
            <v>268ml</v>
          </cell>
          <cell r="M3375" t="str">
            <v>瓶</v>
          </cell>
          <cell r="N3375">
            <v>4.67</v>
          </cell>
          <cell r="O3375">
            <v>6</v>
          </cell>
          <cell r="P3375">
            <v>0.22166666666666701</v>
          </cell>
        </row>
        <row r="3376">
          <cell r="F3376" t="str">
            <v>70688918</v>
          </cell>
          <cell r="G3376" t="str">
            <v>加多宝</v>
          </cell>
          <cell r="H3376" t="str">
            <v>加多宝</v>
          </cell>
          <cell r="I3376" t="str">
            <v>包装饮料</v>
          </cell>
          <cell r="J3376" t="str">
            <v>凉茶</v>
          </cell>
          <cell r="K3376" t="str">
            <v>加多宝 盒装植物凉茶 200ml</v>
          </cell>
          <cell r="L3376" t="str">
            <v>200ml</v>
          </cell>
          <cell r="M3376" t="str">
            <v>盒</v>
          </cell>
          <cell r="N3376">
            <v>1.41</v>
          </cell>
          <cell r="O3376">
            <v>2</v>
          </cell>
          <cell r="P3376">
            <v>0.29499999999999998</v>
          </cell>
        </row>
        <row r="3377">
          <cell r="F3377" t="str">
            <v>70712962</v>
          </cell>
          <cell r="G3377" t="str">
            <v>加多宝</v>
          </cell>
          <cell r="H3377" t="str">
            <v>加多宝</v>
          </cell>
          <cell r="I3377" t="str">
            <v>包装饮料</v>
          </cell>
          <cell r="J3377" t="str">
            <v>凉茶</v>
          </cell>
          <cell r="K3377" t="str">
            <v>加多宝 瓶装植物凉茶 500ml*3</v>
          </cell>
          <cell r="L3377" t="str">
            <v>500ml*3</v>
          </cell>
          <cell r="M3377" t="str">
            <v>包</v>
          </cell>
          <cell r="N3377">
            <v>7.07</v>
          </cell>
          <cell r="O3377">
            <v>12</v>
          </cell>
          <cell r="P3377">
            <v>0.410833333333333</v>
          </cell>
        </row>
        <row r="3378">
          <cell r="F3378" t="str">
            <v>70711058</v>
          </cell>
          <cell r="G3378" t="str">
            <v>杞见</v>
          </cell>
          <cell r="H3378" t="str">
            <v>杞见</v>
          </cell>
          <cell r="I3378" t="str">
            <v>包装饮料</v>
          </cell>
          <cell r="J3378" t="str">
            <v>茶饮料</v>
          </cell>
          <cell r="K3378" t="str">
            <v>杞见 蓝罐红参营养素饮料 240ml</v>
          </cell>
          <cell r="L3378" t="str">
            <v>240ml</v>
          </cell>
          <cell r="M3378" t="str">
            <v>瓶</v>
          </cell>
          <cell r="N3378">
            <v>2.63</v>
          </cell>
          <cell r="O3378">
            <v>5</v>
          </cell>
          <cell r="P3378">
            <v>0.47399999999999998</v>
          </cell>
        </row>
        <row r="3379">
          <cell r="F3379" t="str">
            <v>70712987</v>
          </cell>
          <cell r="G3379" t="str">
            <v>杞见</v>
          </cell>
          <cell r="H3379" t="str">
            <v>杞见</v>
          </cell>
          <cell r="I3379" t="str">
            <v>包装饮料</v>
          </cell>
          <cell r="J3379" t="str">
            <v>茶饮料</v>
          </cell>
          <cell r="K3379" t="str">
            <v>杞见 姜汁牛奶饮品 200ml</v>
          </cell>
          <cell r="L3379" t="str">
            <v>200ml</v>
          </cell>
          <cell r="M3379" t="str">
            <v>瓶</v>
          </cell>
          <cell r="N3379">
            <v>2.85</v>
          </cell>
          <cell r="O3379">
            <v>5</v>
          </cell>
          <cell r="P3379">
            <v>0.43</v>
          </cell>
        </row>
        <row r="3380">
          <cell r="F3380" t="str">
            <v>70712768</v>
          </cell>
          <cell r="G3380" t="str">
            <v>达利</v>
          </cell>
          <cell r="H3380" t="str">
            <v>可比克</v>
          </cell>
          <cell r="I3380" t="str">
            <v>包装饮料</v>
          </cell>
          <cell r="J3380" t="str">
            <v>功能饮料</v>
          </cell>
          <cell r="K3380" t="str">
            <v>乐虎 瓶装氨基酸功能饮料 250ml</v>
          </cell>
          <cell r="L3380" t="str">
            <v>250ml</v>
          </cell>
          <cell r="M3380" t="str">
            <v>瓶</v>
          </cell>
          <cell r="N3380">
            <v>2.4700000000000002</v>
          </cell>
          <cell r="O3380">
            <v>3</v>
          </cell>
          <cell r="P3380">
            <v>0.176666666666667</v>
          </cell>
        </row>
        <row r="3381">
          <cell r="F3381" t="str">
            <v>70712935</v>
          </cell>
          <cell r="G3381" t="str">
            <v>达利</v>
          </cell>
          <cell r="H3381" t="str">
            <v>可比克</v>
          </cell>
          <cell r="I3381" t="str">
            <v>包装饮料</v>
          </cell>
          <cell r="J3381" t="str">
            <v>功能饮料</v>
          </cell>
          <cell r="K3381" t="str">
            <v>乐虎 瓶装氨基酸功能饮料 250ml*4</v>
          </cell>
          <cell r="L3381" t="str">
            <v>250ml*4</v>
          </cell>
          <cell r="M3381" t="str">
            <v>包</v>
          </cell>
          <cell r="N3381">
            <v>9.9</v>
          </cell>
          <cell r="O3381">
            <v>14</v>
          </cell>
          <cell r="P3381">
            <v>0.29285714285714298</v>
          </cell>
        </row>
        <row r="3382">
          <cell r="F3382" t="str">
            <v>70712948</v>
          </cell>
          <cell r="G3382" t="str">
            <v>宜简</v>
          </cell>
          <cell r="H3382" t="str">
            <v>宜简</v>
          </cell>
          <cell r="I3382" t="str">
            <v>包装饮料</v>
          </cell>
          <cell r="J3382" t="str">
            <v>苏打水</v>
          </cell>
          <cell r="K3382" t="str">
            <v>宜简 金银花饮品 450ml</v>
          </cell>
          <cell r="L3382" t="str">
            <v>450ml</v>
          </cell>
          <cell r="M3382" t="str">
            <v>瓶</v>
          </cell>
          <cell r="N3382">
            <v>2.02</v>
          </cell>
          <cell r="O3382">
            <v>3</v>
          </cell>
          <cell r="P3382">
            <v>0.32666666666666699</v>
          </cell>
        </row>
        <row r="3383">
          <cell r="F3383" t="str">
            <v>70712771</v>
          </cell>
          <cell r="G3383" t="str">
            <v>宜简</v>
          </cell>
          <cell r="H3383" t="str">
            <v>宜简</v>
          </cell>
          <cell r="I3383" t="str">
            <v>包装饮料</v>
          </cell>
          <cell r="J3383" t="str">
            <v>苏打水</v>
          </cell>
          <cell r="K3383" t="str">
            <v>宜简 菊花水饮品 450ml</v>
          </cell>
          <cell r="L3383" t="str">
            <v>450ml</v>
          </cell>
          <cell r="M3383" t="str">
            <v>瓶</v>
          </cell>
          <cell r="N3383">
            <v>2.02</v>
          </cell>
          <cell r="O3383">
            <v>3</v>
          </cell>
          <cell r="P3383">
            <v>0.32666666666666699</v>
          </cell>
        </row>
        <row r="3384">
          <cell r="F3384" t="str">
            <v>70712949</v>
          </cell>
          <cell r="G3384" t="str">
            <v>苏萨</v>
          </cell>
          <cell r="H3384" t="str">
            <v>苏萨</v>
          </cell>
          <cell r="I3384" t="str">
            <v>包装饮料</v>
          </cell>
          <cell r="J3384" t="str">
            <v>含乳饮料</v>
          </cell>
          <cell r="K3384" t="str">
            <v>苏萨 椰号生椰牛乳 333g</v>
          </cell>
          <cell r="L3384" t="str">
            <v>333g</v>
          </cell>
          <cell r="M3384" t="str">
            <v>瓶</v>
          </cell>
          <cell r="N3384">
            <v>4.6500000000000004</v>
          </cell>
          <cell r="O3384">
            <v>7</v>
          </cell>
          <cell r="P3384">
            <v>0.33571428571428602</v>
          </cell>
        </row>
        <row r="3385">
          <cell r="F3385" t="str">
            <v>70712989</v>
          </cell>
          <cell r="G3385" t="str">
            <v>苏萨</v>
          </cell>
          <cell r="H3385" t="str">
            <v>苏萨</v>
          </cell>
          <cell r="I3385" t="str">
            <v>包装饮料</v>
          </cell>
          <cell r="J3385" t="str">
            <v>含乳饮料</v>
          </cell>
          <cell r="K3385" t="str">
            <v>苏萨 椰号生椰乳茶 333g</v>
          </cell>
          <cell r="L3385" t="str">
            <v>333g</v>
          </cell>
          <cell r="M3385" t="str">
            <v>瓶</v>
          </cell>
          <cell r="N3385">
            <v>4.6500000000000004</v>
          </cell>
          <cell r="O3385">
            <v>7</v>
          </cell>
          <cell r="P3385">
            <v>0.33571428571428602</v>
          </cell>
        </row>
        <row r="3386">
          <cell r="F3386" t="str">
            <v>70392613</v>
          </cell>
          <cell r="G3386" t="str">
            <v>蒙牛</v>
          </cell>
          <cell r="H3386" t="str">
            <v>蒙牛</v>
          </cell>
          <cell r="I3386" t="str">
            <v>奶类</v>
          </cell>
          <cell r="J3386" t="str">
            <v>酸奶</v>
          </cell>
          <cell r="K3386" t="str">
            <v>蒙牛 纯甄巴氏杀菌热处理维生素D原味风味酸奶利乐钻 200g</v>
          </cell>
          <cell r="L3386" t="str">
            <v>200g</v>
          </cell>
          <cell r="M3386" t="str">
            <v>箱</v>
          </cell>
          <cell r="N3386">
            <v>3.84</v>
          </cell>
          <cell r="O3386">
            <v>5.5</v>
          </cell>
          <cell r="P3386">
            <v>0.30181818181818199</v>
          </cell>
        </row>
        <row r="3387">
          <cell r="F3387" t="str">
            <v>70316202</v>
          </cell>
          <cell r="G3387" t="str">
            <v>蒙牛</v>
          </cell>
          <cell r="H3387" t="str">
            <v>蒙牛</v>
          </cell>
          <cell r="I3387" t="str">
            <v>奶类</v>
          </cell>
          <cell r="J3387" t="str">
            <v>纯牛奶</v>
          </cell>
          <cell r="K3387" t="str">
            <v>蒙牛 利乐包尊享装纯牛奶 200ml*24</v>
          </cell>
          <cell r="L3387" t="str">
            <v>200ml*24</v>
          </cell>
          <cell r="M3387" t="str">
            <v>箱</v>
          </cell>
          <cell r="N3387">
            <v>40.4</v>
          </cell>
          <cell r="O3387">
            <v>57.9</v>
          </cell>
          <cell r="P3387">
            <v>0.30224525043177902</v>
          </cell>
        </row>
        <row r="3388">
          <cell r="F3388" t="str">
            <v>70712955</v>
          </cell>
          <cell r="G3388" t="str">
            <v>蒙牛</v>
          </cell>
          <cell r="H3388" t="str">
            <v>蒙牛</v>
          </cell>
          <cell r="I3388" t="str">
            <v>奶类</v>
          </cell>
          <cell r="J3388" t="str">
            <v>纯牛奶</v>
          </cell>
          <cell r="K3388" t="str">
            <v>蒙牛 纯牛奶康美包 150ml*24</v>
          </cell>
          <cell r="L3388" t="str">
            <v>150ml*24</v>
          </cell>
          <cell r="M3388" t="str">
            <v>箱</v>
          </cell>
          <cell r="N3388">
            <v>33.840000000000003</v>
          </cell>
          <cell r="O3388">
            <v>49</v>
          </cell>
          <cell r="P3388">
            <v>0.30938775510204097</v>
          </cell>
        </row>
        <row r="3389">
          <cell r="F3389" t="str">
            <v>70712770</v>
          </cell>
          <cell r="G3389" t="str">
            <v>李子园</v>
          </cell>
          <cell r="H3389" t="str">
            <v>李子园</v>
          </cell>
          <cell r="I3389" t="str">
            <v>奶类</v>
          </cell>
          <cell r="J3389" t="str">
            <v>牛奶饮料</v>
          </cell>
          <cell r="K3389" t="str">
            <v>李子园 AD钙奶饮品 220g</v>
          </cell>
          <cell r="L3389" t="str">
            <v>220g</v>
          </cell>
          <cell r="M3389" t="str">
            <v>瓶</v>
          </cell>
          <cell r="N3389">
            <v>2.4900000000000002</v>
          </cell>
          <cell r="O3389">
            <v>3.5</v>
          </cell>
          <cell r="P3389">
            <v>0.28857142857142898</v>
          </cell>
        </row>
        <row r="3390">
          <cell r="F3390" t="str">
            <v>70712774</v>
          </cell>
          <cell r="G3390" t="str">
            <v>李子园</v>
          </cell>
          <cell r="H3390" t="str">
            <v>李子园</v>
          </cell>
          <cell r="I3390" t="str">
            <v>奶类</v>
          </cell>
          <cell r="J3390" t="str">
            <v>牛奶饮料</v>
          </cell>
          <cell r="K3390" t="str">
            <v>李子园 AD钙奶饮品 450g</v>
          </cell>
          <cell r="L3390" t="str">
            <v>450g</v>
          </cell>
          <cell r="M3390" t="str">
            <v>瓶</v>
          </cell>
          <cell r="N3390">
            <v>5.15</v>
          </cell>
          <cell r="O3390">
            <v>7.5</v>
          </cell>
          <cell r="P3390">
            <v>0.31333333333333302</v>
          </cell>
        </row>
        <row r="3391">
          <cell r="F3391" t="str">
            <v>70410964</v>
          </cell>
          <cell r="G3391" t="str">
            <v>李子园</v>
          </cell>
          <cell r="H3391" t="str">
            <v>李子园</v>
          </cell>
          <cell r="I3391" t="str">
            <v>奶类</v>
          </cell>
          <cell r="J3391" t="str">
            <v>牛奶饮料</v>
          </cell>
          <cell r="K3391" t="str">
            <v>李子园 哈密瓜味乳饮料 450ml</v>
          </cell>
          <cell r="L3391" t="str">
            <v>450ml</v>
          </cell>
          <cell r="M3391" t="str">
            <v>瓶</v>
          </cell>
          <cell r="N3391">
            <v>4.79</v>
          </cell>
          <cell r="O3391">
            <v>6.5</v>
          </cell>
          <cell r="P3391">
            <v>0.26307692307692299</v>
          </cell>
        </row>
        <row r="3392">
          <cell r="F3392" t="str">
            <v>70712736</v>
          </cell>
          <cell r="G3392" t="str">
            <v>李子园</v>
          </cell>
          <cell r="H3392" t="str">
            <v>李子园</v>
          </cell>
          <cell r="I3392" t="str">
            <v>奶类</v>
          </cell>
          <cell r="J3392" t="str">
            <v>风味奶</v>
          </cell>
          <cell r="K3392" t="str">
            <v>李子园 甜牛奶礼盒 450ml*10</v>
          </cell>
          <cell r="L3392" t="str">
            <v>450*10</v>
          </cell>
          <cell r="M3392" t="str">
            <v>箱</v>
          </cell>
          <cell r="N3392">
            <v>47.87</v>
          </cell>
          <cell r="O3392">
            <v>69</v>
          </cell>
          <cell r="P3392">
            <v>0.30623188405797103</v>
          </cell>
        </row>
        <row r="3393">
          <cell r="F3393" t="str">
            <v>70711057</v>
          </cell>
          <cell r="G3393" t="str">
            <v>维他</v>
          </cell>
          <cell r="H3393" t="str">
            <v>维他奶</v>
          </cell>
          <cell r="I3393" t="str">
            <v>包装饮料</v>
          </cell>
          <cell r="J3393" t="str">
            <v>豆奶</v>
          </cell>
          <cell r="K3393" t="str">
            <v>维他奶 茉莉花茶豆乳饮料 250ml</v>
          </cell>
          <cell r="L3393" t="str">
            <v>250ml</v>
          </cell>
          <cell r="M3393" t="str">
            <v>瓶</v>
          </cell>
          <cell r="N3393">
            <v>2.3199999999999998</v>
          </cell>
          <cell r="O3393">
            <v>3.5</v>
          </cell>
          <cell r="P3393">
            <v>0.33714285714285702</v>
          </cell>
        </row>
        <row r="3394">
          <cell r="F3394" t="str">
            <v>70711056</v>
          </cell>
          <cell r="G3394" t="str">
            <v>维他</v>
          </cell>
          <cell r="H3394" t="str">
            <v>维他奶</v>
          </cell>
          <cell r="I3394" t="str">
            <v>包装饮料</v>
          </cell>
          <cell r="J3394" t="str">
            <v>豆奶</v>
          </cell>
          <cell r="K3394" t="str">
            <v>维他奶 咖啡拿铁味豆乳饮料 250ml</v>
          </cell>
          <cell r="L3394" t="str">
            <v>250ml</v>
          </cell>
          <cell r="M3394" t="str">
            <v>瓶</v>
          </cell>
          <cell r="N3394">
            <v>2.3199999999999998</v>
          </cell>
          <cell r="O3394">
            <v>3.5</v>
          </cell>
          <cell r="P3394">
            <v>0.33714285714285702</v>
          </cell>
        </row>
        <row r="3395">
          <cell r="F3395" t="str">
            <v>70712950</v>
          </cell>
          <cell r="G3395" t="str">
            <v>维他</v>
          </cell>
          <cell r="H3395" t="str">
            <v>维他</v>
          </cell>
          <cell r="I3395" t="str">
            <v>包装饮料</v>
          </cell>
          <cell r="J3395" t="str">
            <v>茶饮料</v>
          </cell>
          <cell r="K3395" t="str">
            <v>维他 手指柠檬柠檬茶 500ml</v>
          </cell>
          <cell r="L3395" t="str">
            <v>500ml</v>
          </cell>
          <cell r="M3395" t="str">
            <v>瓶</v>
          </cell>
          <cell r="N3395">
            <v>3.99</v>
          </cell>
          <cell r="O3395">
            <v>6</v>
          </cell>
          <cell r="P3395">
            <v>0.33500000000000002</v>
          </cell>
        </row>
        <row r="3396">
          <cell r="F3396" t="str">
            <v>70712952</v>
          </cell>
          <cell r="G3396" t="str">
            <v>维他</v>
          </cell>
          <cell r="H3396" t="str">
            <v>维他</v>
          </cell>
          <cell r="I3396" t="str">
            <v>包装饮料</v>
          </cell>
          <cell r="J3396" t="str">
            <v>茶饮料</v>
          </cell>
          <cell r="K3396" t="str">
            <v>维他 手指柠檬柠檬茶 250ml</v>
          </cell>
          <cell r="L3396" t="str">
            <v>250ml</v>
          </cell>
          <cell r="M3396" t="str">
            <v>瓶</v>
          </cell>
          <cell r="N3396">
            <v>2.21</v>
          </cell>
          <cell r="O3396">
            <v>3.5</v>
          </cell>
          <cell r="P3396">
            <v>0.36857142857142899</v>
          </cell>
        </row>
        <row r="3397">
          <cell r="F3397" t="str">
            <v>70712775</v>
          </cell>
          <cell r="G3397" t="str">
            <v>维他</v>
          </cell>
          <cell r="H3397" t="str">
            <v>维他</v>
          </cell>
          <cell r="I3397" t="str">
            <v>包装饮料</v>
          </cell>
          <cell r="J3397" t="str">
            <v>茶饮料</v>
          </cell>
          <cell r="K3397" t="str">
            <v>维他 低糖蜜桃乌龙果味茶饮料 500ml</v>
          </cell>
          <cell r="L3397" t="str">
            <v>500ml</v>
          </cell>
          <cell r="M3397" t="str">
            <v>瓶</v>
          </cell>
          <cell r="N3397">
            <v>3.99</v>
          </cell>
          <cell r="O3397">
            <v>6</v>
          </cell>
          <cell r="P3397">
            <v>0.33500000000000002</v>
          </cell>
        </row>
        <row r="3398">
          <cell r="F3398" t="str">
            <v>70712772</v>
          </cell>
          <cell r="G3398" t="str">
            <v>维他</v>
          </cell>
          <cell r="H3398" t="str">
            <v>维他</v>
          </cell>
          <cell r="I3398" t="str">
            <v>包装饮料</v>
          </cell>
          <cell r="J3398" t="str">
            <v>茶饮料</v>
          </cell>
          <cell r="K3398" t="str">
            <v>维他 低糖蜜桃乌龙果味茶饮料 250ml</v>
          </cell>
          <cell r="L3398" t="str">
            <v>250ml</v>
          </cell>
          <cell r="M3398" t="str">
            <v>瓶</v>
          </cell>
          <cell r="N3398">
            <v>2.21</v>
          </cell>
          <cell r="O3398">
            <v>3.5</v>
          </cell>
          <cell r="P3398">
            <v>0.36857142857142899</v>
          </cell>
        </row>
        <row r="3399">
          <cell r="F3399" t="str">
            <v>70711055</v>
          </cell>
          <cell r="G3399" t="str">
            <v>维他</v>
          </cell>
          <cell r="H3399" t="str">
            <v>维他</v>
          </cell>
          <cell r="I3399" t="str">
            <v>包装饮料</v>
          </cell>
          <cell r="J3399" t="str">
            <v>茶饮料</v>
          </cell>
          <cell r="K3399" t="str">
            <v>维他 苹果味绿茶果味茶饮料 500ml</v>
          </cell>
          <cell r="L3399" t="str">
            <v>500ml</v>
          </cell>
          <cell r="M3399" t="str">
            <v>瓶</v>
          </cell>
          <cell r="N3399">
            <v>3.99</v>
          </cell>
          <cell r="O3399">
            <v>6</v>
          </cell>
          <cell r="P3399">
            <v>0.33500000000000002</v>
          </cell>
        </row>
        <row r="3400">
          <cell r="F3400" t="str">
            <v>70712773</v>
          </cell>
          <cell r="G3400" t="str">
            <v>维他</v>
          </cell>
          <cell r="H3400" t="str">
            <v>维他</v>
          </cell>
          <cell r="I3400" t="str">
            <v>包装饮料</v>
          </cell>
          <cell r="J3400" t="str">
            <v>茶饮料</v>
          </cell>
          <cell r="K3400" t="str">
            <v>维他 苹果味绿茶果味茶饮料 250ml</v>
          </cell>
          <cell r="L3400" t="str">
            <v>250ml</v>
          </cell>
          <cell r="M3400" t="str">
            <v>瓶</v>
          </cell>
          <cell r="N3400">
            <v>2.21</v>
          </cell>
          <cell r="O3400">
            <v>3.5</v>
          </cell>
          <cell r="P3400">
            <v>0.36857142857142899</v>
          </cell>
        </row>
        <row r="3401">
          <cell r="F3401" t="str">
            <v>70712968</v>
          </cell>
          <cell r="G3401" t="str">
            <v>三利</v>
          </cell>
          <cell r="H3401" t="str">
            <v>三利</v>
          </cell>
          <cell r="I3401" t="str">
            <v>日用品</v>
          </cell>
          <cell r="J3401" t="str">
            <v>纺织品</v>
          </cell>
          <cell r="K3401" t="str">
            <v>三利 C8031松绵触感毛巾 1条</v>
          </cell>
          <cell r="L3401" t="str">
            <v>1条</v>
          </cell>
          <cell r="M3401" t="str">
            <v>个</v>
          </cell>
          <cell r="N3401">
            <v>10.46</v>
          </cell>
          <cell r="O3401">
            <v>16.899999999999999</v>
          </cell>
          <cell r="P3401">
            <v>0.38106508875739598</v>
          </cell>
        </row>
        <row r="3402">
          <cell r="F3402" t="str">
            <v>70712324</v>
          </cell>
          <cell r="G3402" t="str">
            <v>三利</v>
          </cell>
          <cell r="H3402" t="str">
            <v>三利</v>
          </cell>
          <cell r="I3402" t="str">
            <v>日用品</v>
          </cell>
          <cell r="J3402" t="str">
            <v>纺织品</v>
          </cell>
          <cell r="K3402" t="str">
            <v>三利 C3031松绵触感浴巾 80*150</v>
          </cell>
          <cell r="L3402" t="str">
            <v>1条（规格80*150 500g）</v>
          </cell>
          <cell r="M3402" t="str">
            <v>个</v>
          </cell>
          <cell r="N3402">
            <v>39.76</v>
          </cell>
          <cell r="O3402">
            <v>70</v>
          </cell>
          <cell r="P3402">
            <v>0.432</v>
          </cell>
        </row>
        <row r="3403">
          <cell r="F3403" t="str">
            <v>70711116</v>
          </cell>
          <cell r="G3403" t="str">
            <v>三利</v>
          </cell>
          <cell r="H3403" t="str">
            <v>三利</v>
          </cell>
          <cell r="I3403" t="str">
            <v>日用品</v>
          </cell>
          <cell r="J3403" t="str">
            <v>纺织品</v>
          </cell>
          <cell r="K3403" t="str">
            <v>三利 C8007柔纹甜奶面巾 34*73</v>
          </cell>
          <cell r="L3403" t="str">
            <v>1条（规格34*73 95g）</v>
          </cell>
          <cell r="M3403" t="str">
            <v>个</v>
          </cell>
          <cell r="N3403">
            <v>8.4600000000000009</v>
          </cell>
          <cell r="O3403">
            <v>29.9</v>
          </cell>
          <cell r="P3403">
            <v>0.71705685618729098</v>
          </cell>
        </row>
        <row r="3404">
          <cell r="F3404" t="str">
            <v>70711119</v>
          </cell>
          <cell r="G3404" t="str">
            <v>三利</v>
          </cell>
          <cell r="H3404" t="str">
            <v>三利</v>
          </cell>
          <cell r="I3404" t="str">
            <v>日用品</v>
          </cell>
          <cell r="J3404" t="str">
            <v>纺织品</v>
          </cell>
          <cell r="K3404" t="str">
            <v>三利 C9012恬色毛巾 34*72</v>
          </cell>
          <cell r="L3404" t="str">
            <v>1条（规格34*72 80g）</v>
          </cell>
          <cell r="M3404" t="str">
            <v>个</v>
          </cell>
          <cell r="N3404">
            <v>4.8899999999999997</v>
          </cell>
          <cell r="O3404">
            <v>9.9</v>
          </cell>
          <cell r="P3404">
            <v>0.50606060606060599</v>
          </cell>
        </row>
        <row r="3405">
          <cell r="F3405" t="str">
            <v>70711117</v>
          </cell>
          <cell r="G3405" t="str">
            <v>三利</v>
          </cell>
          <cell r="H3405" t="str">
            <v>三利</v>
          </cell>
          <cell r="I3405" t="str">
            <v>日用品</v>
          </cell>
          <cell r="J3405" t="str">
            <v>纺织品</v>
          </cell>
          <cell r="K3405" t="str">
            <v>三利 V3116素色浴巾 71*140</v>
          </cell>
          <cell r="L3405" t="str">
            <v>1条（规格71*140 340g）</v>
          </cell>
          <cell r="M3405" t="str">
            <v>个</v>
          </cell>
          <cell r="N3405">
            <v>23.2</v>
          </cell>
          <cell r="O3405">
            <v>38.5</v>
          </cell>
          <cell r="P3405">
            <v>0.39740259740259698</v>
          </cell>
        </row>
        <row r="3406">
          <cell r="F3406" t="str">
            <v>70711115</v>
          </cell>
          <cell r="G3406" t="str">
            <v>三利</v>
          </cell>
          <cell r="H3406" t="str">
            <v>三利</v>
          </cell>
          <cell r="I3406" t="str">
            <v>日用品</v>
          </cell>
          <cell r="J3406" t="str">
            <v>纺织品</v>
          </cell>
          <cell r="K3406" t="str">
            <v>三利 KRMH010三丽鸥正版授权斜纹酷洛米干发帽 25*65</v>
          </cell>
          <cell r="L3406" t="str">
            <v>1条（规格25*65 80g）</v>
          </cell>
          <cell r="M3406" t="str">
            <v>个</v>
          </cell>
          <cell r="N3406">
            <v>8.08</v>
          </cell>
          <cell r="O3406">
            <v>26</v>
          </cell>
          <cell r="P3406">
            <v>0.68923076923076898</v>
          </cell>
        </row>
        <row r="3407">
          <cell r="F3407" t="str">
            <v>70712741</v>
          </cell>
          <cell r="G3407" t="str">
            <v>三利</v>
          </cell>
          <cell r="H3407" t="str">
            <v>三利</v>
          </cell>
          <cell r="I3407" t="str">
            <v>日用品</v>
          </cell>
          <cell r="J3407" t="str">
            <v>纺织品</v>
          </cell>
          <cell r="K3407" t="str">
            <v>三利 KRM3010三丽鸥正版授权斜纹酷洛米浴巾 70*140</v>
          </cell>
          <cell r="L3407" t="str">
            <v>1条（规格70*140 270g）</v>
          </cell>
          <cell r="M3407" t="str">
            <v>个</v>
          </cell>
          <cell r="N3407">
            <v>19.82</v>
          </cell>
          <cell r="O3407">
            <v>57</v>
          </cell>
          <cell r="P3407">
            <v>0.65228070175438602</v>
          </cell>
        </row>
        <row r="3408">
          <cell r="F3408" t="str">
            <v>70712739</v>
          </cell>
          <cell r="G3408" t="str">
            <v>三利</v>
          </cell>
          <cell r="H3408" t="str">
            <v>三利</v>
          </cell>
          <cell r="I3408" t="str">
            <v>日用品</v>
          </cell>
          <cell r="J3408" t="str">
            <v>纺织品</v>
          </cell>
          <cell r="K3408" t="str">
            <v>三利 8618绿野仙踪毛巾 35*72</v>
          </cell>
          <cell r="L3408" t="str">
            <v>1条（规格35*72 100g）</v>
          </cell>
          <cell r="M3408" t="str">
            <v>个</v>
          </cell>
          <cell r="N3408">
            <v>9.09</v>
          </cell>
          <cell r="O3408">
            <v>19.899999999999999</v>
          </cell>
          <cell r="P3408">
            <v>0.54321608040200997</v>
          </cell>
        </row>
        <row r="3409">
          <cell r="F3409" t="str">
            <v>70712938</v>
          </cell>
          <cell r="G3409" t="str">
            <v>三利</v>
          </cell>
          <cell r="H3409" t="str">
            <v>三利</v>
          </cell>
          <cell r="I3409" t="str">
            <v>日用品</v>
          </cell>
          <cell r="J3409" t="str">
            <v>纺织品</v>
          </cell>
          <cell r="K3409" t="str">
            <v>三利 SLCSJ11-3森林小镇章鱼擦手巾 24*24cm</v>
          </cell>
          <cell r="L3409" t="str">
            <v>1条（规格24*24cm 45g）</v>
          </cell>
          <cell r="M3409" t="str">
            <v>个</v>
          </cell>
          <cell r="N3409">
            <v>6.46</v>
          </cell>
          <cell r="O3409">
            <v>13.8</v>
          </cell>
          <cell r="P3409">
            <v>0.53188405797101501</v>
          </cell>
        </row>
        <row r="3410">
          <cell r="F3410" t="str">
            <v>70711114</v>
          </cell>
          <cell r="G3410" t="str">
            <v>三利</v>
          </cell>
          <cell r="H3410" t="str">
            <v>三利</v>
          </cell>
          <cell r="I3410" t="str">
            <v>日用品</v>
          </cell>
          <cell r="J3410" t="str">
            <v>纺织品</v>
          </cell>
          <cell r="K3410" t="str">
            <v>三利 C3002HERE PUPPY刺绣浴巾 73*140</v>
          </cell>
          <cell r="L3410" t="str">
            <v>1条(规格73*140 390g)</v>
          </cell>
          <cell r="M3410" t="str">
            <v>个</v>
          </cell>
          <cell r="N3410">
            <v>37.85</v>
          </cell>
          <cell r="O3410">
            <v>110</v>
          </cell>
          <cell r="P3410">
            <v>0.655909090909091</v>
          </cell>
        </row>
        <row r="3411">
          <cell r="F3411" t="str">
            <v>70712740</v>
          </cell>
          <cell r="G3411" t="str">
            <v>三利</v>
          </cell>
          <cell r="H3411" t="str">
            <v>三利</v>
          </cell>
          <cell r="I3411" t="str">
            <v>日用品</v>
          </cell>
          <cell r="J3411" t="str">
            <v>纺织品</v>
          </cell>
          <cell r="K3411" t="str">
            <v>三利C8033卡通乐悠毛巾 34*75</v>
          </cell>
          <cell r="L3411" t="str">
            <v>1条(规格34*75 105g）</v>
          </cell>
          <cell r="M3411" t="str">
            <v>个</v>
          </cell>
          <cell r="N3411">
            <v>8.65</v>
          </cell>
          <cell r="O3411">
            <v>29.8</v>
          </cell>
          <cell r="P3411">
            <v>0.70973154362416102</v>
          </cell>
        </row>
        <row r="3412">
          <cell r="F3412" t="str">
            <v>70712738</v>
          </cell>
          <cell r="G3412" t="str">
            <v>罗莱家纺</v>
          </cell>
          <cell r="H3412" t="str">
            <v>罗莱</v>
          </cell>
          <cell r="I3412" t="str">
            <v>日用品</v>
          </cell>
          <cell r="J3412" t="str">
            <v>纺织品</v>
          </cell>
          <cell r="K3412" t="str">
            <v>罗莱家纺 A类防螨抗菌对枕 47cm*73cm</v>
          </cell>
          <cell r="L3412" t="str">
            <v>47cm*73cm*2</v>
          </cell>
          <cell r="M3412" t="str">
            <v>对</v>
          </cell>
          <cell r="N3412">
            <v>89.89</v>
          </cell>
          <cell r="O3412">
            <v>369</v>
          </cell>
          <cell r="P3412">
            <v>0.75639566395664004</v>
          </cell>
        </row>
        <row r="3413">
          <cell r="F3413" t="str">
            <v>70441783</v>
          </cell>
          <cell r="G3413" t="str">
            <v>罗莱家纺</v>
          </cell>
          <cell r="H3413" t="str">
            <v>罗莱</v>
          </cell>
          <cell r="I3413" t="str">
            <v>日用品</v>
          </cell>
          <cell r="J3413" t="str">
            <v>纺织品</v>
          </cell>
          <cell r="K3413" t="str">
            <v>罗莱家纺 七孔云柔四季被 200cm*230cm</v>
          </cell>
          <cell r="L3413" t="str">
            <v>200cm*230cm</v>
          </cell>
          <cell r="M3413" t="str">
            <v>床</v>
          </cell>
          <cell r="N3413">
            <v>276.74</v>
          </cell>
          <cell r="O3413">
            <v>990</v>
          </cell>
          <cell r="P3413">
            <v>0.72046464646464603</v>
          </cell>
        </row>
        <row r="3414">
          <cell r="F3414" t="str">
            <v>70711118</v>
          </cell>
          <cell r="G3414" t="str">
            <v>罗莱家纺</v>
          </cell>
          <cell r="H3414" t="str">
            <v>罗莱</v>
          </cell>
          <cell r="I3414" t="str">
            <v>日用品</v>
          </cell>
          <cell r="J3414" t="str">
            <v>纺织品</v>
          </cell>
          <cell r="K3414" t="str">
            <v>罗莱家纺 七孔云柔冬被 200cm*230cm</v>
          </cell>
          <cell r="L3414" t="str">
            <v>200cm*230cm</v>
          </cell>
          <cell r="M3414" t="str">
            <v>床</v>
          </cell>
          <cell r="N3414">
            <v>248.46</v>
          </cell>
          <cell r="O3414">
            <v>1180</v>
          </cell>
          <cell r="P3414">
            <v>0.78944067796610196</v>
          </cell>
        </row>
        <row r="3415">
          <cell r="F3415" t="str">
            <v>70575191</v>
          </cell>
          <cell r="G3415" t="str">
            <v>罗莱家纺</v>
          </cell>
          <cell r="H3415" t="str">
            <v>罗莱</v>
          </cell>
          <cell r="I3415" t="str">
            <v>日用品</v>
          </cell>
          <cell r="J3415" t="str">
            <v>纺织品</v>
          </cell>
          <cell r="K3415" t="str">
            <v>罗莱家纺 诺曼全棉四件套 200cm*230cm</v>
          </cell>
          <cell r="L3415" t="str">
            <v>枕套:48cm*74cmX2
被套：200cm*230cmX1
床单：230cm*240cmX1</v>
          </cell>
          <cell r="M3415" t="str">
            <v>套</v>
          </cell>
          <cell r="N3415">
            <v>340.37</v>
          </cell>
          <cell r="O3415">
            <v>1480</v>
          </cell>
          <cell r="P3415">
            <v>0.77002027027026998</v>
          </cell>
        </row>
        <row r="3416">
          <cell r="F3416" t="str">
            <v>70685198</v>
          </cell>
          <cell r="G3416" t="str">
            <v>罗莱家纺</v>
          </cell>
          <cell r="H3416" t="str">
            <v>罗莱</v>
          </cell>
          <cell r="I3416" t="str">
            <v>日用品</v>
          </cell>
          <cell r="J3416" t="str">
            <v>纺织品</v>
          </cell>
          <cell r="K3416" t="str">
            <v>罗莱家纺 防螨抗菌澳洲羊毛被 200cm*230cm</v>
          </cell>
          <cell r="L3416" t="str">
            <v>200cm*230cm</v>
          </cell>
          <cell r="M3416" t="str">
            <v>床</v>
          </cell>
          <cell r="N3416">
            <v>281.79000000000002</v>
          </cell>
          <cell r="O3416">
            <v>1999</v>
          </cell>
          <cell r="P3416">
            <v>0.859034517258629</v>
          </cell>
        </row>
        <row r="3417">
          <cell r="F3417" t="str">
            <v>70713122</v>
          </cell>
          <cell r="G3417" t="str">
            <v>罗莱家纺</v>
          </cell>
          <cell r="H3417" t="str">
            <v>罗莱</v>
          </cell>
          <cell r="I3417" t="str">
            <v>日用品</v>
          </cell>
          <cell r="J3417" t="str">
            <v>纺织品</v>
          </cell>
          <cell r="K3417" t="str">
            <v>罗莱家纺 A类澳洲羊毛抗菌阻螨冬被 200cm*230cm</v>
          </cell>
          <cell r="L3417" t="str">
            <v>200cm*230cm</v>
          </cell>
          <cell r="M3417" t="str">
            <v>床</v>
          </cell>
          <cell r="N3417">
            <v>341.38</v>
          </cell>
          <cell r="O3417">
            <v>2599</v>
          </cell>
          <cell r="P3417">
            <v>0.86864948056945002</v>
          </cell>
        </row>
        <row r="3418">
          <cell r="F3418" t="str">
            <v>70684197</v>
          </cell>
          <cell r="G3418" t="str">
            <v>罗莱家纺</v>
          </cell>
          <cell r="H3418" t="str">
            <v>罗莱</v>
          </cell>
          <cell r="I3418" t="str">
            <v>日用品</v>
          </cell>
          <cell r="J3418" t="str">
            <v>纺织品</v>
          </cell>
          <cell r="K3418" t="str">
            <v>罗莱家纺 光影幻梦冰丝席三件套 1套</v>
          </cell>
          <cell r="L3418" t="str">
            <v>枕套：48cm×74cm×2
被套：180cm×200cmX1</v>
          </cell>
          <cell r="M3418" t="str">
            <v>套</v>
          </cell>
          <cell r="N3418">
            <v>279.77</v>
          </cell>
          <cell r="O3418">
            <v>899</v>
          </cell>
          <cell r="P3418">
            <v>0.68879866518353705</v>
          </cell>
        </row>
        <row r="3419">
          <cell r="F3419" t="str">
            <v>70712940</v>
          </cell>
          <cell r="G3419" t="str">
            <v>罗莱家纺</v>
          </cell>
          <cell r="H3419" t="str">
            <v>罗莱</v>
          </cell>
          <cell r="I3419" t="str">
            <v>日用品</v>
          </cell>
          <cell r="J3419" t="str">
            <v>纺织品</v>
          </cell>
          <cell r="K3419" t="str">
            <v>罗莱家纺 果色天香夏被 200cm*230cm</v>
          </cell>
          <cell r="L3419" t="str">
            <v>200cm*230cm</v>
          </cell>
          <cell r="M3419" t="str">
            <v>床</v>
          </cell>
          <cell r="N3419">
            <v>275.73</v>
          </cell>
          <cell r="O3419">
            <v>579</v>
          </cell>
          <cell r="P3419">
            <v>0.52378238341968897</v>
          </cell>
        </row>
        <row r="3420">
          <cell r="F3420" t="str">
            <v>70575185</v>
          </cell>
          <cell r="G3420" t="str">
            <v>罗莱家纺</v>
          </cell>
          <cell r="H3420" t="str">
            <v>罗莱</v>
          </cell>
          <cell r="I3420" t="str">
            <v>日用品</v>
          </cell>
          <cell r="J3420" t="str">
            <v>纺织品</v>
          </cell>
          <cell r="K3420" t="str">
            <v>罗莱家纺 大漠暖阳全棉四件套 200cm*230cm</v>
          </cell>
          <cell r="L3420" t="str">
            <v>枕套：48cm*74cmX2
被套：200cm*230cmX1
床单：230cm*240cmX1</v>
          </cell>
          <cell r="M3420" t="str">
            <v>套</v>
          </cell>
          <cell r="N3420">
            <v>351.48</v>
          </cell>
          <cell r="O3420">
            <v>1480</v>
          </cell>
          <cell r="P3420">
            <v>0.76251351351351304</v>
          </cell>
        </row>
        <row r="3421">
          <cell r="F3421" t="str">
            <v>70713204</v>
          </cell>
          <cell r="G3421" t="str">
            <v>四川港投</v>
          </cell>
          <cell r="H3421" t="str">
            <v>ThaiHirudin</v>
          </cell>
          <cell r="I3421" t="str">
            <v>药品/计生/保健</v>
          </cell>
          <cell r="J3421" t="str">
            <v>保健品</v>
          </cell>
          <cell r="K3421" t="str">
            <v>ThaiHirudin 泰蛭素 33g*60粒</v>
          </cell>
          <cell r="L3421" t="str">
            <v>33g*60粒</v>
          </cell>
          <cell r="M3421" t="str">
            <v>瓶</v>
          </cell>
          <cell r="N3421">
            <v>464.6</v>
          </cell>
          <cell r="O3421">
            <v>780</v>
          </cell>
          <cell r="P3421">
            <v>0.404358974358974</v>
          </cell>
        </row>
        <row r="3422">
          <cell r="F3422" t="str">
            <v>70712991</v>
          </cell>
          <cell r="G3422" t="str">
            <v>四川港投</v>
          </cell>
          <cell r="H3422" t="str">
            <v>Followsun</v>
          </cell>
          <cell r="I3422" t="str">
            <v>日用品</v>
          </cell>
          <cell r="J3422" t="str">
            <v>宠物用品</v>
          </cell>
          <cell r="K3422" t="str">
            <v>Followsun 氨基酸宠物香波 400ml</v>
          </cell>
          <cell r="L3422" t="str">
            <v>400ml</v>
          </cell>
          <cell r="M3422" t="str">
            <v>瓶</v>
          </cell>
          <cell r="N3422">
            <v>68.680000000000007</v>
          </cell>
          <cell r="O3422">
            <v>128</v>
          </cell>
          <cell r="P3422">
            <v>0.4634375</v>
          </cell>
        </row>
        <row r="3423">
          <cell r="F3423" t="str">
            <v>70712762</v>
          </cell>
          <cell r="G3423" t="str">
            <v>四川港投</v>
          </cell>
          <cell r="H3423" t="str">
            <v>Followsun</v>
          </cell>
          <cell r="I3423" t="str">
            <v>日用品</v>
          </cell>
          <cell r="J3423" t="str">
            <v>宠物用品</v>
          </cell>
          <cell r="K3423" t="str">
            <v>Followsun 全犬通用沐浴露 400ml</v>
          </cell>
          <cell r="L3423" t="str">
            <v>400ml</v>
          </cell>
          <cell r="M3423" t="str">
            <v>瓶</v>
          </cell>
          <cell r="N3423">
            <v>78.78</v>
          </cell>
          <cell r="O3423">
            <v>138</v>
          </cell>
          <cell r="P3423">
            <v>0.42913043478260898</v>
          </cell>
        </row>
        <row r="3424">
          <cell r="F3424" t="str">
            <v>70524475</v>
          </cell>
          <cell r="G3424" t="str">
            <v>四川港投</v>
          </cell>
          <cell r="H3424" t="str">
            <v>恩蔻缇</v>
          </cell>
          <cell r="I3424" t="str">
            <v>个人护理用品</v>
          </cell>
          <cell r="J3424" t="str">
            <v>护肤/化妆品</v>
          </cell>
          <cell r="K3424" t="str">
            <v>恩蔻缇 Graces Beauty护肤套装 50ml*3</v>
          </cell>
          <cell r="L3424" t="str">
            <v>50ml*3</v>
          </cell>
          <cell r="M3424" t="str">
            <v>套</v>
          </cell>
          <cell r="N3424">
            <v>118.95</v>
          </cell>
          <cell r="O3424">
            <v>198</v>
          </cell>
          <cell r="P3424">
            <v>0.39924242424242401</v>
          </cell>
        </row>
        <row r="3425">
          <cell r="F3425" t="str">
            <v>70711054</v>
          </cell>
          <cell r="G3425" t="str">
            <v>四川港投</v>
          </cell>
          <cell r="H3425" t="str">
            <v>Followsun</v>
          </cell>
          <cell r="I3425" t="str">
            <v>日用品</v>
          </cell>
          <cell r="J3425" t="str">
            <v>宠物用品</v>
          </cell>
          <cell r="K3425" t="str">
            <v>Followsun 除螨宠物沐浴露 400ml</v>
          </cell>
          <cell r="L3425" t="str">
            <v>400ml</v>
          </cell>
          <cell r="M3425" t="str">
            <v>瓶</v>
          </cell>
          <cell r="N3425">
            <v>78.78</v>
          </cell>
          <cell r="O3425">
            <v>138</v>
          </cell>
          <cell r="P3425">
            <v>0.42913043478260898</v>
          </cell>
        </row>
        <row r="3426">
          <cell r="F3426" t="str">
            <v>70275994</v>
          </cell>
          <cell r="G3426" t="str">
            <v>纳宝帝</v>
          </cell>
          <cell r="H3426" t="str">
            <v>纳宝帝</v>
          </cell>
          <cell r="I3426" t="str">
            <v>饼干/糕点</v>
          </cell>
          <cell r="J3426" t="str">
            <v>威化饼</v>
          </cell>
          <cell r="K3426" t="str">
            <v>纳宝帝 巧克力味威化饼干 145g</v>
          </cell>
          <cell r="L3426" t="str">
            <v>145g</v>
          </cell>
          <cell r="M3426" t="str">
            <v>袋</v>
          </cell>
          <cell r="N3426">
            <v>5.5</v>
          </cell>
          <cell r="O3426">
            <v>6</v>
          </cell>
          <cell r="P3426">
            <v>8.3333333333333301E-2</v>
          </cell>
        </row>
        <row r="3427">
          <cell r="F3427" t="str">
            <v>70539699</v>
          </cell>
          <cell r="G3427" t="str">
            <v>纳宝帝</v>
          </cell>
          <cell r="H3427" t="str">
            <v>纳宝帝</v>
          </cell>
          <cell r="I3427" t="str">
            <v>饼干/糕点</v>
          </cell>
          <cell r="J3427" t="str">
            <v>威化饼</v>
          </cell>
          <cell r="K3427" t="str">
            <v>纳宝帝 巧克力味夹心饼干 80g</v>
          </cell>
          <cell r="L3427" t="str">
            <v>80g</v>
          </cell>
          <cell r="M3427" t="str">
            <v>袋</v>
          </cell>
          <cell r="N3427">
            <v>3.33</v>
          </cell>
          <cell r="O3427">
            <v>4.8</v>
          </cell>
          <cell r="P3427">
            <v>0.30625000000000002</v>
          </cell>
        </row>
        <row r="3428">
          <cell r="F3428" t="str">
            <v>70539698</v>
          </cell>
          <cell r="G3428" t="str">
            <v>纳宝帝</v>
          </cell>
          <cell r="H3428" t="str">
            <v>纳宝帝</v>
          </cell>
          <cell r="I3428" t="str">
            <v>饼干/糕点</v>
          </cell>
          <cell r="J3428" t="str">
            <v>夹心饼干</v>
          </cell>
          <cell r="K3428" t="str">
            <v>纳宝帝 奶酪味夹心饼干 80g</v>
          </cell>
          <cell r="L3428" t="str">
            <v>80g</v>
          </cell>
          <cell r="M3428" t="str">
            <v>袋</v>
          </cell>
          <cell r="N3428">
            <v>3.33</v>
          </cell>
          <cell r="O3428">
            <v>4.8</v>
          </cell>
          <cell r="P3428">
            <v>0.30625000000000002</v>
          </cell>
        </row>
        <row r="3429">
          <cell r="F3429" t="str">
            <v>70539701</v>
          </cell>
          <cell r="G3429" t="str">
            <v>纳宝帝</v>
          </cell>
          <cell r="H3429" t="str">
            <v>纳宝帝</v>
          </cell>
          <cell r="I3429" t="str">
            <v>饼干/糕点</v>
          </cell>
          <cell r="J3429" t="str">
            <v>夹心饼干</v>
          </cell>
          <cell r="K3429" t="str">
            <v>纳宝帝 草莓味夹心饼干 80g</v>
          </cell>
          <cell r="L3429" t="str">
            <v>80g</v>
          </cell>
          <cell r="M3429" t="str">
            <v>袋</v>
          </cell>
          <cell r="N3429">
            <v>3.33</v>
          </cell>
          <cell r="O3429">
            <v>4.8</v>
          </cell>
          <cell r="P3429">
            <v>0.30625000000000002</v>
          </cell>
        </row>
        <row r="3430">
          <cell r="F3430" t="str">
            <v>70056667</v>
          </cell>
          <cell r="G3430" t="str">
            <v>强生</v>
          </cell>
          <cell r="H3430" t="str">
            <v>强生</v>
          </cell>
          <cell r="I3430" t="str">
            <v>个人护理用品</v>
          </cell>
          <cell r="J3430" t="str">
            <v>护肤/化妆品</v>
          </cell>
          <cell r="K3430" t="str">
            <v>强生 婴儿牛奶温和润肤露(特惠装) 200ml</v>
          </cell>
          <cell r="L3430" t="str">
            <v>200ml</v>
          </cell>
          <cell r="M3430" t="str">
            <v>瓶</v>
          </cell>
          <cell r="N3430">
            <v>34.340000000000003</v>
          </cell>
          <cell r="O3430">
            <v>43.6</v>
          </cell>
          <cell r="P3430">
            <v>0.21238532110091701</v>
          </cell>
        </row>
        <row r="3431">
          <cell r="F3431" t="str">
            <v>70713172</v>
          </cell>
          <cell r="G3431" t="str">
            <v>艾惟诺</v>
          </cell>
          <cell r="H3431" t="str">
            <v>艾惟诺</v>
          </cell>
          <cell r="I3431" t="str">
            <v>个人护理用品</v>
          </cell>
          <cell r="J3431" t="str">
            <v>沐浴液</v>
          </cell>
          <cell r="K3431" t="str">
            <v>艾惟诺 儿童柔护保湿沐浴露 532ml</v>
          </cell>
          <cell r="L3431" t="str">
            <v>532ml</v>
          </cell>
          <cell r="M3431" t="str">
            <v>瓶</v>
          </cell>
          <cell r="N3431">
            <v>95.95</v>
          </cell>
          <cell r="O3431">
            <v>119</v>
          </cell>
          <cell r="P3431">
            <v>0.19369747899159701</v>
          </cell>
        </row>
        <row r="3432">
          <cell r="F3432" t="str">
            <v>70713203</v>
          </cell>
          <cell r="G3432" t="str">
            <v>艾惟诺</v>
          </cell>
          <cell r="H3432" t="str">
            <v>艾惟诺</v>
          </cell>
          <cell r="I3432" t="str">
            <v>个人护理用品</v>
          </cell>
          <cell r="J3432" t="str">
            <v>洗发水</v>
          </cell>
          <cell r="K3432" t="str">
            <v>艾惟诺 儿童柔顺保湿洗发露 354ml</v>
          </cell>
          <cell r="L3432" t="str">
            <v>354ml</v>
          </cell>
          <cell r="M3432" t="str">
            <v>瓶</v>
          </cell>
          <cell r="N3432">
            <v>71.709999999999994</v>
          </cell>
          <cell r="O3432">
            <v>89</v>
          </cell>
          <cell r="P3432">
            <v>0.19426966292134801</v>
          </cell>
        </row>
        <row r="3433">
          <cell r="F3433" t="str">
            <v>70713209</v>
          </cell>
          <cell r="G3433" t="str">
            <v>艾惟诺</v>
          </cell>
          <cell r="H3433" t="str">
            <v>艾惟诺</v>
          </cell>
          <cell r="I3433" t="str">
            <v>个人护理用品</v>
          </cell>
          <cell r="J3433" t="str">
            <v>护肤/化妆品</v>
          </cell>
          <cell r="K3433" t="str">
            <v>艾惟诺 儿童柔嫩保湿润肤乳 227g</v>
          </cell>
          <cell r="L3433" t="str">
            <v>227g</v>
          </cell>
          <cell r="M3433" t="str">
            <v>瓶</v>
          </cell>
          <cell r="N3433">
            <v>79.790000000000006</v>
          </cell>
          <cell r="O3433">
            <v>99</v>
          </cell>
          <cell r="P3433">
            <v>0.19404040404040401</v>
          </cell>
        </row>
        <row r="3434">
          <cell r="F3434" t="str">
            <v>70713215</v>
          </cell>
          <cell r="G3434" t="str">
            <v>艾惟诺</v>
          </cell>
          <cell r="H3434" t="str">
            <v>艾惟诺</v>
          </cell>
          <cell r="I3434" t="str">
            <v>个人护理用品</v>
          </cell>
          <cell r="J3434" t="str">
            <v>护肤/化妆品</v>
          </cell>
          <cell r="K3434" t="str">
            <v>艾惟诺 宝贝特润舒缓润肤乳 140g</v>
          </cell>
          <cell r="L3434" t="str">
            <v>140g</v>
          </cell>
          <cell r="M3434" t="str">
            <v>瓶</v>
          </cell>
          <cell r="N3434">
            <v>71.709999999999994</v>
          </cell>
          <cell r="O3434">
            <v>89</v>
          </cell>
          <cell r="P3434">
            <v>0.19426966292134801</v>
          </cell>
        </row>
        <row r="3435">
          <cell r="F3435" t="str">
            <v>70713207</v>
          </cell>
          <cell r="G3435" t="str">
            <v>艾惟诺</v>
          </cell>
          <cell r="H3435" t="str">
            <v>艾惟诺</v>
          </cell>
          <cell r="I3435" t="str">
            <v>个人护理用品</v>
          </cell>
          <cell r="J3435" t="str">
            <v>护肤/化妆品</v>
          </cell>
          <cell r="K3435" t="str">
            <v>艾惟诺 宝贝特润舒缓霜 48g</v>
          </cell>
          <cell r="L3435" t="str">
            <v>48g</v>
          </cell>
          <cell r="M3435" t="str">
            <v>瓶</v>
          </cell>
          <cell r="N3435">
            <v>95.95</v>
          </cell>
          <cell r="O3435">
            <v>119</v>
          </cell>
          <cell r="P3435">
            <v>0.19369747899159701</v>
          </cell>
        </row>
        <row r="3436">
          <cell r="F3436" t="str">
            <v>70713216</v>
          </cell>
          <cell r="G3436" t="str">
            <v>露比黎登</v>
          </cell>
          <cell r="H3436" t="str">
            <v>露比黎登</v>
          </cell>
          <cell r="I3436" t="str">
            <v>个人护理用品</v>
          </cell>
          <cell r="J3436" t="str">
            <v>护肤/化妆品</v>
          </cell>
          <cell r="K3436" t="str">
            <v>露比黎登 精粹舒缓润肤乳（无香型）473ml</v>
          </cell>
          <cell r="L3436" t="str">
            <v>473ml</v>
          </cell>
          <cell r="M3436" t="str">
            <v>瓶</v>
          </cell>
          <cell r="N3436">
            <v>117.16</v>
          </cell>
          <cell r="O3436">
            <v>169</v>
          </cell>
          <cell r="P3436">
            <v>0.30674556213017801</v>
          </cell>
        </row>
        <row r="3437">
          <cell r="F3437" t="str">
            <v>70713205</v>
          </cell>
          <cell r="G3437" t="str">
            <v>露比黎登</v>
          </cell>
          <cell r="H3437" t="str">
            <v>露比黎登</v>
          </cell>
          <cell r="I3437" t="str">
            <v>个人护理用品</v>
          </cell>
          <cell r="J3437" t="str">
            <v>护肤/化妆品</v>
          </cell>
          <cell r="K3437" t="str">
            <v>露比黎登 每日保湿润肤乳 473ml</v>
          </cell>
          <cell r="L3437" t="str">
            <v>473ml</v>
          </cell>
          <cell r="M3437" t="str">
            <v>瓶</v>
          </cell>
          <cell r="N3437">
            <v>117.16</v>
          </cell>
          <cell r="O3437">
            <v>169</v>
          </cell>
          <cell r="P3437">
            <v>0.30674556213017801</v>
          </cell>
        </row>
        <row r="3438">
          <cell r="F3438" t="str">
            <v>70713202</v>
          </cell>
          <cell r="G3438" t="str">
            <v>李施德林</v>
          </cell>
          <cell r="H3438" t="str">
            <v>李施德林</v>
          </cell>
          <cell r="I3438" t="str">
            <v>个人护理用品</v>
          </cell>
          <cell r="J3438" t="str">
            <v>口腔清洗剂及用具</v>
          </cell>
          <cell r="K3438" t="str">
            <v>李施德林 椰香青柠漱口水 500ml</v>
          </cell>
          <cell r="L3438" t="str">
            <v>500ml</v>
          </cell>
          <cell r="M3438" t="str">
            <v>瓶</v>
          </cell>
          <cell r="N3438">
            <v>32.32</v>
          </cell>
          <cell r="O3438">
            <v>58</v>
          </cell>
          <cell r="P3438">
            <v>0.44275862068965499</v>
          </cell>
        </row>
        <row r="3439">
          <cell r="F3439" t="str">
            <v>70713217</v>
          </cell>
          <cell r="G3439" t="str">
            <v>花王</v>
          </cell>
          <cell r="H3439" t="str">
            <v>花王</v>
          </cell>
          <cell r="I3439" t="str">
            <v>个人护理用品</v>
          </cell>
          <cell r="J3439" t="str">
            <v>洁面</v>
          </cell>
          <cell r="K3439" t="str">
            <v>花王 碧柔洁面泡泡（保湿型） 160ml</v>
          </cell>
          <cell r="L3439" t="str">
            <v>160ml</v>
          </cell>
          <cell r="M3439" t="str">
            <v>瓶</v>
          </cell>
          <cell r="N3439">
            <v>55.65</v>
          </cell>
          <cell r="O3439">
            <v>85</v>
          </cell>
          <cell r="P3439">
            <v>0.34529411764705897</v>
          </cell>
        </row>
        <row r="3440">
          <cell r="F3440" t="str">
            <v>70483939</v>
          </cell>
          <cell r="G3440" t="str">
            <v>花王</v>
          </cell>
          <cell r="H3440" t="str">
            <v>花王</v>
          </cell>
          <cell r="I3440" t="str">
            <v>个人护理用品</v>
          </cell>
          <cell r="J3440" t="str">
            <v>洁面</v>
          </cell>
          <cell r="K3440" t="str">
            <v>花王 碧柔洁面泡泡（控油型） 160ml</v>
          </cell>
          <cell r="L3440" t="str">
            <v>160ml</v>
          </cell>
          <cell r="M3440" t="str">
            <v>瓶</v>
          </cell>
          <cell r="N3440">
            <v>55.65</v>
          </cell>
          <cell r="O3440">
            <v>85</v>
          </cell>
          <cell r="P3440">
            <v>0.34529411764705897</v>
          </cell>
        </row>
        <row r="3441">
          <cell r="F3441" t="str">
            <v>70349408</v>
          </cell>
          <cell r="G3441" t="str">
            <v>花王</v>
          </cell>
          <cell r="H3441" t="str">
            <v>花王</v>
          </cell>
          <cell r="I3441" t="str">
            <v>个人护理用品</v>
          </cell>
          <cell r="J3441" t="str">
            <v>护肤/化妆品</v>
          </cell>
          <cell r="K3441" t="str">
            <v>花王 碧柔水活防晒水润凝蜜 50g</v>
          </cell>
          <cell r="L3441" t="str">
            <v>50g</v>
          </cell>
          <cell r="M3441" t="str">
            <v>瓶</v>
          </cell>
          <cell r="N3441">
            <v>58.78</v>
          </cell>
          <cell r="O3441">
            <v>99</v>
          </cell>
          <cell r="P3441">
            <v>0.40626262626262599</v>
          </cell>
        </row>
        <row r="3442">
          <cell r="F3442" t="str">
            <v>70713213</v>
          </cell>
          <cell r="G3442" t="str">
            <v>花王</v>
          </cell>
          <cell r="H3442" t="str">
            <v>花王</v>
          </cell>
          <cell r="I3442" t="str">
            <v>个人护理用品</v>
          </cell>
          <cell r="J3442" t="str">
            <v>护肤/化妆品</v>
          </cell>
          <cell r="K3442" t="str">
            <v>花王 碧柔水活防晒优护水凝露 90ml</v>
          </cell>
          <cell r="L3442" t="str">
            <v>90ml</v>
          </cell>
          <cell r="M3442" t="str">
            <v>瓶</v>
          </cell>
          <cell r="N3442">
            <v>51.21</v>
          </cell>
          <cell r="O3442">
            <v>99</v>
          </cell>
          <cell r="P3442">
            <v>0.482727272727273</v>
          </cell>
        </row>
        <row r="3443">
          <cell r="F3443" t="str">
            <v>70713171</v>
          </cell>
          <cell r="G3443" t="str">
            <v>必是寶</v>
          </cell>
          <cell r="H3443" t="str">
            <v>必是寶</v>
          </cell>
          <cell r="I3443" t="str">
            <v>清洁用品</v>
          </cell>
          <cell r="J3443" t="str">
            <v>家居清洁</v>
          </cell>
          <cell r="K3443" t="str">
            <v>必是寶 抗菌洁厕精清新 600ml</v>
          </cell>
          <cell r="L3443" t="str">
            <v>600ml</v>
          </cell>
          <cell r="M3443" t="str">
            <v>瓶</v>
          </cell>
          <cell r="N3443">
            <v>23.23</v>
          </cell>
          <cell r="O3443">
            <v>33</v>
          </cell>
          <cell r="P3443">
            <v>0.29606060606060602</v>
          </cell>
        </row>
        <row r="3444">
          <cell r="F3444" t="str">
            <v>70395762</v>
          </cell>
          <cell r="G3444" t="str">
            <v>威露士</v>
          </cell>
          <cell r="H3444" t="str">
            <v>威露士</v>
          </cell>
          <cell r="I3444" t="str">
            <v>个人护理用品</v>
          </cell>
          <cell r="J3444" t="str">
            <v>洗手液</v>
          </cell>
          <cell r="K3444" t="str">
            <v>威露士 健康抑菌洗手液玫瑰 480ml</v>
          </cell>
          <cell r="L3444" t="str">
            <v>480ml</v>
          </cell>
          <cell r="M3444" t="str">
            <v>瓶</v>
          </cell>
          <cell r="N3444">
            <v>13.13</v>
          </cell>
          <cell r="O3444">
            <v>25</v>
          </cell>
          <cell r="P3444">
            <v>0.4748</v>
          </cell>
        </row>
        <row r="3445">
          <cell r="F3445" t="str">
            <v>70713206</v>
          </cell>
          <cell r="G3445" t="str">
            <v>菁华</v>
          </cell>
          <cell r="H3445" t="str">
            <v>菁华</v>
          </cell>
          <cell r="I3445" t="str">
            <v>个人护理用品</v>
          </cell>
          <cell r="J3445" t="str">
            <v>洗发水</v>
          </cell>
          <cell r="K3445" t="str">
            <v>菁华 全固发防脱洗发水（铂金版） 250ml</v>
          </cell>
          <cell r="L3445" t="str">
            <v>250ml</v>
          </cell>
          <cell r="M3445" t="str">
            <v>瓶</v>
          </cell>
          <cell r="N3445">
            <v>100.09</v>
          </cell>
          <cell r="O3445">
            <v>139</v>
          </cell>
          <cell r="P3445">
            <v>0.279928057553957</v>
          </cell>
        </row>
        <row r="3446">
          <cell r="F3446" t="str">
            <v>70713210</v>
          </cell>
          <cell r="G3446" t="str">
            <v>菁华</v>
          </cell>
          <cell r="H3446" t="str">
            <v>菁华</v>
          </cell>
          <cell r="I3446" t="str">
            <v>个人护理用品</v>
          </cell>
          <cell r="J3446" t="str">
            <v>护发素</v>
          </cell>
          <cell r="K3446" t="str">
            <v>菁华 全奇焕护发素 250ml</v>
          </cell>
          <cell r="L3446" t="str">
            <v>250ml</v>
          </cell>
          <cell r="M3446" t="str">
            <v>瓶</v>
          </cell>
          <cell r="N3446">
            <v>100.09</v>
          </cell>
          <cell r="O3446">
            <v>139</v>
          </cell>
          <cell r="P3446">
            <v>0.279928057553957</v>
          </cell>
        </row>
        <row r="3447">
          <cell r="F3447" t="str">
            <v>70508824</v>
          </cell>
          <cell r="G3447" t="str">
            <v>威露士</v>
          </cell>
          <cell r="H3447" t="str">
            <v>威露士</v>
          </cell>
          <cell r="I3447" t="str">
            <v>清洁用品</v>
          </cell>
          <cell r="J3447" t="str">
            <v>衣物清洁</v>
          </cell>
          <cell r="K3447" t="str">
            <v>威露士 La天然4合1洗衣凝珠倍柔 10ml*38粒</v>
          </cell>
          <cell r="L3447" t="str">
            <v>10ml*38粒</v>
          </cell>
          <cell r="M3447" t="str">
            <v>盒</v>
          </cell>
          <cell r="N3447">
            <v>51.83</v>
          </cell>
          <cell r="O3447">
            <v>99</v>
          </cell>
          <cell r="P3447">
            <v>0.47646464646464598</v>
          </cell>
        </row>
        <row r="3448">
          <cell r="F3448" t="str">
            <v>70713208</v>
          </cell>
          <cell r="G3448" t="str">
            <v>滴露</v>
          </cell>
          <cell r="H3448" t="str">
            <v>滴露</v>
          </cell>
          <cell r="I3448" t="str">
            <v>个人护理用品</v>
          </cell>
          <cell r="J3448" t="str">
            <v>湿巾</v>
          </cell>
          <cell r="K3448" t="str">
            <v>滴露 卫生湿巾（独立装） 8片</v>
          </cell>
          <cell r="L3448" t="str">
            <v>8片</v>
          </cell>
          <cell r="M3448" t="str">
            <v>袋</v>
          </cell>
          <cell r="N3448">
            <v>5</v>
          </cell>
          <cell r="O3448">
            <v>8.9</v>
          </cell>
          <cell r="P3448">
            <v>0.43820224719101097</v>
          </cell>
        </row>
        <row r="3449">
          <cell r="F3449" t="str">
            <v>70532591</v>
          </cell>
          <cell r="G3449" t="str">
            <v>滴露</v>
          </cell>
          <cell r="H3449" t="str">
            <v>滴露</v>
          </cell>
          <cell r="I3449" t="str">
            <v>清洁用品</v>
          </cell>
          <cell r="J3449" t="str">
            <v>衣物清洁</v>
          </cell>
          <cell r="K3449" t="str">
            <v>滴露 衣物除菌液清新柠檬 3L</v>
          </cell>
          <cell r="L3449" t="str">
            <v>3L</v>
          </cell>
          <cell r="M3449" t="str">
            <v>瓶</v>
          </cell>
          <cell r="N3449">
            <v>76.28</v>
          </cell>
          <cell r="O3449">
            <v>129</v>
          </cell>
          <cell r="P3449">
            <v>0.408682170542636</v>
          </cell>
        </row>
        <row r="3450">
          <cell r="F3450" t="str">
            <v>70577837</v>
          </cell>
          <cell r="G3450" t="str">
            <v>滴露</v>
          </cell>
          <cell r="H3450" t="str">
            <v>滴露</v>
          </cell>
          <cell r="I3450" t="str">
            <v>清洁用品</v>
          </cell>
          <cell r="J3450" t="str">
            <v>衣物清洁</v>
          </cell>
          <cell r="K3450" t="str">
            <v>滴露 衣物除菌液经典松木 3L</v>
          </cell>
          <cell r="L3450" t="str">
            <v>3L</v>
          </cell>
          <cell r="M3450" t="str">
            <v>瓶</v>
          </cell>
          <cell r="N3450">
            <v>69.069999999999993</v>
          </cell>
          <cell r="O3450">
            <v>129</v>
          </cell>
          <cell r="P3450">
            <v>0.464573643410853</v>
          </cell>
        </row>
        <row r="3451">
          <cell r="F3451" t="str">
            <v>70578238</v>
          </cell>
          <cell r="G3451" t="str">
            <v>滴露</v>
          </cell>
          <cell r="H3451" t="str">
            <v>滴露</v>
          </cell>
          <cell r="I3451" t="str">
            <v>清洁用品</v>
          </cell>
          <cell r="J3451" t="str">
            <v>衣物清洁</v>
          </cell>
          <cell r="K3451" t="str">
            <v>滴露 衣物除菌液舒缓薰衣草 3L</v>
          </cell>
          <cell r="L3451" t="str">
            <v>3L</v>
          </cell>
          <cell r="M3451" t="str">
            <v>瓶</v>
          </cell>
          <cell r="N3451">
            <v>69.069999999999993</v>
          </cell>
          <cell r="O3451">
            <v>129</v>
          </cell>
          <cell r="P3451">
            <v>0.464573643410853</v>
          </cell>
        </row>
        <row r="3452">
          <cell r="F3452" t="str">
            <v>70516457</v>
          </cell>
          <cell r="G3452" t="str">
            <v>滴露</v>
          </cell>
          <cell r="H3452" t="str">
            <v>滴露</v>
          </cell>
          <cell r="I3452" t="str">
            <v>个人护理用品</v>
          </cell>
          <cell r="J3452" t="str">
            <v>皂类</v>
          </cell>
          <cell r="K3452" t="str">
            <v>滴露 健康抑菌香皂滋润倍护 105g</v>
          </cell>
          <cell r="L3452" t="str">
            <v>105g</v>
          </cell>
          <cell r="M3452" t="str">
            <v>个</v>
          </cell>
          <cell r="N3452">
            <v>4.55</v>
          </cell>
          <cell r="O3452">
            <v>8.9</v>
          </cell>
          <cell r="P3452">
            <v>0.48876404494381998</v>
          </cell>
        </row>
        <row r="3453">
          <cell r="F3453" t="str">
            <v>70713214</v>
          </cell>
          <cell r="G3453" t="str">
            <v>滴露</v>
          </cell>
          <cell r="H3453" t="str">
            <v>滴露</v>
          </cell>
          <cell r="I3453" t="str">
            <v>个人护理用品</v>
          </cell>
          <cell r="J3453" t="str">
            <v>皂类</v>
          </cell>
          <cell r="K3453" t="str">
            <v>滴露 健康抑菌香皂松木清新 105g</v>
          </cell>
          <cell r="L3453" t="str">
            <v>105g</v>
          </cell>
          <cell r="M3453" t="str">
            <v>个</v>
          </cell>
          <cell r="N3453">
            <v>4.55</v>
          </cell>
          <cell r="O3453">
            <v>8.9</v>
          </cell>
          <cell r="P3453">
            <v>0.48876404494381998</v>
          </cell>
        </row>
        <row r="3454">
          <cell r="F3454" t="str">
            <v>70713170</v>
          </cell>
          <cell r="G3454" t="str">
            <v>滴露</v>
          </cell>
          <cell r="H3454" t="str">
            <v>滴露</v>
          </cell>
          <cell r="I3454" t="str">
            <v>个人护理用品</v>
          </cell>
          <cell r="J3454" t="str">
            <v>皂类</v>
          </cell>
          <cell r="K3454" t="str">
            <v>滴露 健康抑菌香皂薄荷冰爽 105g</v>
          </cell>
          <cell r="L3454" t="str">
            <v>105g</v>
          </cell>
          <cell r="M3454" t="str">
            <v>个</v>
          </cell>
          <cell r="N3454">
            <v>4.55</v>
          </cell>
          <cell r="O3454">
            <v>8.9</v>
          </cell>
          <cell r="P3454">
            <v>0.48876404494381998</v>
          </cell>
        </row>
        <row r="3455">
          <cell r="F3455" t="str">
            <v>70644178</v>
          </cell>
          <cell r="G3455" t="str">
            <v>滴露</v>
          </cell>
          <cell r="H3455" t="str">
            <v>滴露</v>
          </cell>
          <cell r="I3455" t="str">
            <v>个人护理用品</v>
          </cell>
          <cell r="J3455" t="str">
            <v>洗手液</v>
          </cell>
          <cell r="K3455" t="str">
            <v>滴露 抑菌洗手液自然清新 500g</v>
          </cell>
          <cell r="L3455" t="str">
            <v>500g</v>
          </cell>
          <cell r="M3455" t="str">
            <v>瓶</v>
          </cell>
          <cell r="N3455">
            <v>18.18</v>
          </cell>
          <cell r="O3455">
            <v>35</v>
          </cell>
          <cell r="P3455">
            <v>0.48057142857142898</v>
          </cell>
        </row>
        <row r="3456">
          <cell r="F3456" t="str">
            <v>70579699</v>
          </cell>
          <cell r="G3456" t="str">
            <v>滴露</v>
          </cell>
          <cell r="H3456" t="str">
            <v>滴露</v>
          </cell>
          <cell r="I3456" t="str">
            <v>个人护理用品</v>
          </cell>
          <cell r="J3456" t="str">
            <v>洗手液</v>
          </cell>
          <cell r="K3456" t="str">
            <v>滴露 抑菌洗手液经典松木 500g</v>
          </cell>
          <cell r="L3456" t="str">
            <v>500g</v>
          </cell>
          <cell r="M3456" t="str">
            <v>瓶</v>
          </cell>
          <cell r="N3456">
            <v>18.18</v>
          </cell>
          <cell r="O3456">
            <v>35</v>
          </cell>
          <cell r="P3456">
            <v>0.48057142857142898</v>
          </cell>
        </row>
        <row r="3457">
          <cell r="F3457" t="str">
            <v>70139602</v>
          </cell>
          <cell r="G3457" t="str">
            <v>欧莱雅</v>
          </cell>
          <cell r="H3457" t="str">
            <v>欧莱雅</v>
          </cell>
          <cell r="I3457" t="str">
            <v>个人护理用品</v>
          </cell>
          <cell r="J3457" t="str">
            <v>护肤/化妆品</v>
          </cell>
          <cell r="K3457" t="str">
            <v>欧莱雅 男士劲能醒肤露 50ml</v>
          </cell>
          <cell r="L3457" t="str">
            <v>50ml</v>
          </cell>
          <cell r="M3457" t="str">
            <v>瓶</v>
          </cell>
          <cell r="N3457">
            <v>114.13</v>
          </cell>
          <cell r="O3457">
            <v>165</v>
          </cell>
          <cell r="P3457">
            <v>0.30830303030303002</v>
          </cell>
        </row>
        <row r="3458">
          <cell r="F3458" t="str">
            <v>70455876</v>
          </cell>
          <cell r="G3458" t="str">
            <v>欧莱雅</v>
          </cell>
          <cell r="H3458" t="str">
            <v>欧莱雅</v>
          </cell>
          <cell r="I3458" t="str">
            <v>个人护理用品</v>
          </cell>
          <cell r="J3458" t="str">
            <v>护肤/化妆品</v>
          </cell>
          <cell r="K3458" t="str">
            <v>欧莱雅 男士水能保湿酷爽水凝露 120ml</v>
          </cell>
          <cell r="L3458" t="str">
            <v>120ml</v>
          </cell>
          <cell r="M3458" t="str">
            <v>瓶</v>
          </cell>
          <cell r="N3458">
            <v>82.32</v>
          </cell>
          <cell r="O3458">
            <v>145</v>
          </cell>
          <cell r="P3458">
            <v>0.43227586206896601</v>
          </cell>
        </row>
        <row r="3459">
          <cell r="F3459" t="str">
            <v>70487700</v>
          </cell>
          <cell r="G3459" t="str">
            <v>欧莱雅</v>
          </cell>
          <cell r="H3459" t="str">
            <v>欧莱雅</v>
          </cell>
          <cell r="I3459" t="str">
            <v>个人护理用品</v>
          </cell>
          <cell r="J3459" t="str">
            <v>洗发水</v>
          </cell>
          <cell r="K3459" t="str">
            <v>欧莱雅 男士去屑洗发露(薄荷酷爽) 400ml</v>
          </cell>
          <cell r="L3459" t="str">
            <v>400ml</v>
          </cell>
          <cell r="M3459" t="str">
            <v>瓶</v>
          </cell>
          <cell r="N3459">
            <v>35.35</v>
          </cell>
          <cell r="O3459">
            <v>59</v>
          </cell>
          <cell r="P3459">
            <v>0.40084745762711899</v>
          </cell>
        </row>
        <row r="3460">
          <cell r="F3460" t="str">
            <v>70421996</v>
          </cell>
          <cell r="G3460" t="str">
            <v>欧莱雅</v>
          </cell>
          <cell r="H3460" t="str">
            <v>欧莱雅</v>
          </cell>
          <cell r="I3460" t="str">
            <v>个人护理用品</v>
          </cell>
          <cell r="J3460" t="str">
            <v>洗发水</v>
          </cell>
          <cell r="K3460" t="str">
            <v>欧莱雅 男士去屑洗发露(活泉劲爽) 400ml</v>
          </cell>
          <cell r="L3460" t="str">
            <v>400ml</v>
          </cell>
          <cell r="M3460" t="str">
            <v>瓶</v>
          </cell>
          <cell r="N3460">
            <v>35.35</v>
          </cell>
          <cell r="O3460">
            <v>59</v>
          </cell>
          <cell r="P3460">
            <v>0.40084745762711899</v>
          </cell>
        </row>
        <row r="3461">
          <cell r="F3461" t="str">
            <v>70250499</v>
          </cell>
          <cell r="G3461" t="str">
            <v>欧莱雅</v>
          </cell>
          <cell r="H3461" t="str">
            <v>欧莱雅</v>
          </cell>
          <cell r="I3461" t="str">
            <v>个人护理用品</v>
          </cell>
          <cell r="J3461" t="str">
            <v>洗发水</v>
          </cell>
          <cell r="K3461" t="str">
            <v>欧莱雅 男士去屑洗发露(炭爽去油) 400ml</v>
          </cell>
          <cell r="L3461" t="str">
            <v>400ml</v>
          </cell>
          <cell r="M3461" t="str">
            <v>瓶</v>
          </cell>
          <cell r="N3461">
            <v>35.35</v>
          </cell>
          <cell r="O3461">
            <v>59</v>
          </cell>
          <cell r="P3461">
            <v>0.40084745762711899</v>
          </cell>
        </row>
        <row r="3462">
          <cell r="F3462" t="str">
            <v>70487698</v>
          </cell>
          <cell r="G3462" t="str">
            <v>欧莱雅</v>
          </cell>
          <cell r="H3462" t="str">
            <v>欧莱雅</v>
          </cell>
          <cell r="I3462" t="str">
            <v>个人护理用品</v>
          </cell>
          <cell r="J3462" t="str">
            <v>洗发水</v>
          </cell>
          <cell r="K3462" t="str">
            <v>欧莱雅 男士去屑洗发露(炭爽去油) 700ml</v>
          </cell>
          <cell r="L3462" t="str">
            <v>700ml</v>
          </cell>
          <cell r="M3462" t="str">
            <v>瓶</v>
          </cell>
          <cell r="N3462">
            <v>45.45</v>
          </cell>
          <cell r="O3462">
            <v>99</v>
          </cell>
          <cell r="P3462">
            <v>0.54090909090909101</v>
          </cell>
        </row>
        <row r="3463">
          <cell r="F3463" t="str">
            <v>70711122</v>
          </cell>
          <cell r="G3463" t="str">
            <v>澳葡国际</v>
          </cell>
          <cell r="H3463" t="str">
            <v>TePe</v>
          </cell>
          <cell r="I3463" t="str">
            <v>个人护理用品</v>
          </cell>
          <cell r="J3463" t="str">
            <v>牙刷</v>
          </cell>
          <cell r="K3463" t="str">
            <v>TePe 双层软毛牙刷（标准） 支</v>
          </cell>
          <cell r="L3463" t="str">
            <v>支</v>
          </cell>
          <cell r="M3463" t="str">
            <v>支</v>
          </cell>
          <cell r="N3463">
            <v>29.8</v>
          </cell>
          <cell r="O3463">
            <v>49</v>
          </cell>
          <cell r="P3463">
            <v>0.39183673469387797</v>
          </cell>
        </row>
        <row r="3464">
          <cell r="F3464" t="str">
            <v>70712971</v>
          </cell>
          <cell r="G3464" t="str">
            <v>澳葡国际</v>
          </cell>
          <cell r="H3464" t="str">
            <v>TePe</v>
          </cell>
          <cell r="I3464" t="str">
            <v>个人护理用品</v>
          </cell>
          <cell r="J3464" t="str">
            <v>牙刷</v>
          </cell>
          <cell r="K3464" t="str">
            <v>TePe 趣彩纤细毛牙刷（柠趣黄） 支</v>
          </cell>
          <cell r="L3464" t="str">
            <v>支</v>
          </cell>
          <cell r="M3464" t="str">
            <v>支</v>
          </cell>
          <cell r="N3464">
            <v>23.74</v>
          </cell>
          <cell r="O3464">
            <v>39</v>
          </cell>
          <cell r="P3464">
            <v>0.39128205128205101</v>
          </cell>
        </row>
        <row r="3465">
          <cell r="F3465" t="str">
            <v>70712936</v>
          </cell>
          <cell r="G3465" t="str">
            <v>澳葡国际</v>
          </cell>
          <cell r="H3465" t="str">
            <v>TePe</v>
          </cell>
          <cell r="I3465" t="str">
            <v>个人护理用品</v>
          </cell>
          <cell r="J3465" t="str">
            <v>牙刷</v>
          </cell>
          <cell r="K3465" t="str">
            <v>TePe 趣彩纤细毛牙刷（桃趣浅粉） 支</v>
          </cell>
          <cell r="L3465" t="str">
            <v>支</v>
          </cell>
          <cell r="M3465" t="str">
            <v>支</v>
          </cell>
          <cell r="N3465">
            <v>23.74</v>
          </cell>
          <cell r="O3465">
            <v>39</v>
          </cell>
          <cell r="P3465">
            <v>0.39128205128205101</v>
          </cell>
        </row>
        <row r="3466">
          <cell r="F3466" t="str">
            <v>70712939</v>
          </cell>
          <cell r="G3466" t="str">
            <v>澳葡国际</v>
          </cell>
          <cell r="H3466" t="str">
            <v>TePe</v>
          </cell>
          <cell r="I3466" t="str">
            <v>个人护理用品</v>
          </cell>
          <cell r="J3466" t="str">
            <v>牙刷</v>
          </cell>
          <cell r="K3466" t="str">
            <v>TePe 趣彩纤细毛牙刷（萌趣红） 支</v>
          </cell>
          <cell r="L3466" t="str">
            <v>支</v>
          </cell>
          <cell r="M3466" t="str">
            <v>支</v>
          </cell>
          <cell r="N3466">
            <v>23.74</v>
          </cell>
          <cell r="O3466">
            <v>39</v>
          </cell>
          <cell r="P3466">
            <v>0.39128205128205101</v>
          </cell>
        </row>
        <row r="3467">
          <cell r="F3467" t="str">
            <v>70712744</v>
          </cell>
          <cell r="G3467" t="str">
            <v>澳葡国际</v>
          </cell>
          <cell r="H3467" t="str">
            <v>TePe</v>
          </cell>
          <cell r="I3467" t="str">
            <v>个人护理用品</v>
          </cell>
          <cell r="J3467" t="str">
            <v>牙刷</v>
          </cell>
          <cell r="K3467" t="str">
            <v>TePe 趣彩纤细毛牙刷（豆趣绿） 支</v>
          </cell>
          <cell r="L3467" t="str">
            <v>支</v>
          </cell>
          <cell r="M3467" t="str">
            <v>支</v>
          </cell>
          <cell r="N3467">
            <v>23.74</v>
          </cell>
          <cell r="O3467">
            <v>39</v>
          </cell>
          <cell r="P3467">
            <v>0.39128205128205101</v>
          </cell>
        </row>
        <row r="3468">
          <cell r="F3468" t="str">
            <v>70711121</v>
          </cell>
          <cell r="G3468" t="str">
            <v>澳葡国际</v>
          </cell>
          <cell r="H3468" t="str">
            <v>TePe</v>
          </cell>
          <cell r="I3468" t="str">
            <v>个人护理用品</v>
          </cell>
          <cell r="J3468" t="str">
            <v>牙刷</v>
          </cell>
          <cell r="K3468" t="str">
            <v>TePe 趣彩纤细毛牙刷（晴空浅蓝） 支</v>
          </cell>
          <cell r="L3468" t="str">
            <v>支</v>
          </cell>
          <cell r="M3468" t="str">
            <v>支</v>
          </cell>
          <cell r="N3468">
            <v>23.74</v>
          </cell>
          <cell r="O3468">
            <v>39</v>
          </cell>
          <cell r="P3468">
            <v>0.39128205128205101</v>
          </cell>
        </row>
        <row r="3469">
          <cell r="F3469" t="str">
            <v>70712961</v>
          </cell>
          <cell r="G3469" t="str">
            <v>澳葡国际</v>
          </cell>
          <cell r="H3469" t="str">
            <v>TePe</v>
          </cell>
          <cell r="I3469" t="str">
            <v>个人护理用品</v>
          </cell>
          <cell r="J3469" t="str">
            <v>牙刷</v>
          </cell>
          <cell r="K3469" t="str">
            <v>TePe 趣彩纤细毛牙刷（深海蓝） 支</v>
          </cell>
          <cell r="L3469" t="str">
            <v>支</v>
          </cell>
          <cell r="M3469" t="str">
            <v>支</v>
          </cell>
          <cell r="N3469">
            <v>23.74</v>
          </cell>
          <cell r="O3469">
            <v>39</v>
          </cell>
          <cell r="P3469">
            <v>0.39128205128205101</v>
          </cell>
        </row>
        <row r="3470">
          <cell r="F3470" t="str">
            <v>70711120</v>
          </cell>
          <cell r="G3470" t="str">
            <v>澳葡国际</v>
          </cell>
          <cell r="H3470" t="str">
            <v>诺巴顿农场</v>
          </cell>
          <cell r="I3470" t="str">
            <v>个人护理用品</v>
          </cell>
          <cell r="J3470" t="str">
            <v>牙膏</v>
          </cell>
          <cell r="K3470" t="str">
            <v>诺巴顿农场 Nobaton 果酸牙膏 35g*4</v>
          </cell>
          <cell r="L3470" t="str">
            <v>35g*4（另+牙刷一个）</v>
          </cell>
          <cell r="M3470" t="str">
            <v>套</v>
          </cell>
          <cell r="N3470">
            <v>42.02</v>
          </cell>
          <cell r="O3470">
            <v>69</v>
          </cell>
          <cell r="P3470">
            <v>0.39101449275362299</v>
          </cell>
        </row>
        <row r="3471">
          <cell r="F3471" t="str">
            <v>70711127</v>
          </cell>
          <cell r="G3471" t="str">
            <v>澳葡国际</v>
          </cell>
          <cell r="H3471" t="str">
            <v>诺巴顿农场</v>
          </cell>
          <cell r="I3471" t="str">
            <v>个人护理用品</v>
          </cell>
          <cell r="J3471" t="str">
            <v>牙膏</v>
          </cell>
          <cell r="K3471" t="str">
            <v>诺巴顿农场 Nobaton 粉盐牙膏 35g*4</v>
          </cell>
          <cell r="L3471" t="str">
            <v>35g*4</v>
          </cell>
          <cell r="M3471" t="str">
            <v>盒</v>
          </cell>
          <cell r="N3471">
            <v>42.02</v>
          </cell>
          <cell r="O3471">
            <v>69</v>
          </cell>
          <cell r="P3471">
            <v>0.39101449275362299</v>
          </cell>
        </row>
        <row r="3472">
          <cell r="F3472" t="str">
            <v>70712963</v>
          </cell>
          <cell r="G3472" t="str">
            <v>澳葡国际</v>
          </cell>
          <cell r="H3472" t="str">
            <v>Tispa</v>
          </cell>
          <cell r="I3472" t="str">
            <v>清洁用品</v>
          </cell>
          <cell r="J3472" t="str">
            <v>空气清新剂</v>
          </cell>
          <cell r="K3472" t="str">
            <v>Tispa 除臭除味剂（冰箱用无香料） 包</v>
          </cell>
          <cell r="L3472" t="str">
            <v>包</v>
          </cell>
          <cell r="M3472" t="str">
            <v>包</v>
          </cell>
          <cell r="N3472">
            <v>29.8</v>
          </cell>
          <cell r="O3472">
            <v>49</v>
          </cell>
          <cell r="P3472">
            <v>0.39183673469387797</v>
          </cell>
        </row>
        <row r="3473">
          <cell r="F3473" t="str">
            <v>70712966</v>
          </cell>
          <cell r="G3473" t="str">
            <v>澳葡国际</v>
          </cell>
          <cell r="H3473" t="str">
            <v>Tispa</v>
          </cell>
          <cell r="I3473" t="str">
            <v>清洁用品</v>
          </cell>
          <cell r="J3473" t="str">
            <v>空气清新剂</v>
          </cell>
          <cell r="K3473" t="str">
            <v>Tispa 除臭除味剂（鞋柜用无香料） 包</v>
          </cell>
          <cell r="L3473" t="str">
            <v>包</v>
          </cell>
          <cell r="M3473" t="str">
            <v>包</v>
          </cell>
          <cell r="N3473">
            <v>29.8</v>
          </cell>
          <cell r="O3473">
            <v>49</v>
          </cell>
          <cell r="P3473">
            <v>0.39183673469387797</v>
          </cell>
        </row>
        <row r="3474">
          <cell r="F3474" t="str">
            <v>70712959</v>
          </cell>
          <cell r="G3474" t="str">
            <v>澳葡国际</v>
          </cell>
          <cell r="H3474" t="str">
            <v>Tispa</v>
          </cell>
          <cell r="I3474" t="str">
            <v>清洁用品</v>
          </cell>
          <cell r="J3474" t="str">
            <v>空气清新剂</v>
          </cell>
          <cell r="K3474" t="str">
            <v>Tispa 除臭除味剂（卫生间用无香料） 包</v>
          </cell>
          <cell r="L3474" t="str">
            <v>包</v>
          </cell>
          <cell r="M3474" t="str">
            <v>包</v>
          </cell>
          <cell r="N3474">
            <v>29.8</v>
          </cell>
          <cell r="O3474">
            <v>49</v>
          </cell>
          <cell r="P3474">
            <v>0.39183673469387797</v>
          </cell>
        </row>
        <row r="3475">
          <cell r="F3475" t="str">
            <v>70711066</v>
          </cell>
          <cell r="G3475" t="str">
            <v>澳葡国际</v>
          </cell>
          <cell r="H3475" t="str">
            <v>南法庄园</v>
          </cell>
          <cell r="I3475" t="str">
            <v>个人护理用品</v>
          </cell>
          <cell r="J3475" t="str">
            <v>皂类</v>
          </cell>
          <cell r="K3475" t="str">
            <v>南法庄园 固体香皂-天然橙花香 150g</v>
          </cell>
          <cell r="L3475" t="str">
            <v>150g</v>
          </cell>
          <cell r="M3475" t="str">
            <v>个</v>
          </cell>
          <cell r="N3475">
            <v>43.43</v>
          </cell>
          <cell r="O3475">
            <v>71.099999999999994</v>
          </cell>
          <cell r="P3475">
            <v>0.38917018284106902</v>
          </cell>
        </row>
        <row r="3476">
          <cell r="F3476" t="str">
            <v>70713114</v>
          </cell>
          <cell r="G3476" t="str">
            <v>澳葡国际</v>
          </cell>
          <cell r="H3476" t="str">
            <v>南法庄园</v>
          </cell>
          <cell r="I3476" t="str">
            <v>个人护理用品</v>
          </cell>
          <cell r="J3476" t="str">
            <v>护肤/化妆品</v>
          </cell>
          <cell r="K3476" t="str">
            <v>南法庄园 护手霜 玫瑰庄园 30ml</v>
          </cell>
          <cell r="L3476" t="str">
            <v>30ml</v>
          </cell>
          <cell r="M3476" t="str">
            <v>个</v>
          </cell>
          <cell r="N3476">
            <v>48.78</v>
          </cell>
          <cell r="O3476">
            <v>80.099999999999994</v>
          </cell>
          <cell r="P3476">
            <v>0.39101123595505599</v>
          </cell>
        </row>
        <row r="3477">
          <cell r="F3477" t="str">
            <v>70712956</v>
          </cell>
          <cell r="G3477" t="str">
            <v>澳葡国际</v>
          </cell>
          <cell r="H3477" t="str">
            <v>南法庄园</v>
          </cell>
          <cell r="I3477" t="str">
            <v>个人护理用品</v>
          </cell>
          <cell r="J3477" t="str">
            <v>护肤/化妆品</v>
          </cell>
          <cell r="K3477" t="str">
            <v>南法庄园 护手霜 橙花香 30ml</v>
          </cell>
          <cell r="L3477" t="str">
            <v>30ml</v>
          </cell>
          <cell r="M3477" t="str">
            <v>个</v>
          </cell>
          <cell r="N3477">
            <v>48.78</v>
          </cell>
          <cell r="O3477">
            <v>80.099999999999994</v>
          </cell>
          <cell r="P3477">
            <v>0.39101123595505599</v>
          </cell>
        </row>
        <row r="3478">
          <cell r="F3478" t="str">
            <v>70711065</v>
          </cell>
          <cell r="G3478" t="str">
            <v>澳葡国际</v>
          </cell>
          <cell r="H3478" t="str">
            <v>南法庄园</v>
          </cell>
          <cell r="I3478" t="str">
            <v>个人护理用品</v>
          </cell>
          <cell r="J3478" t="str">
            <v>皂类</v>
          </cell>
          <cell r="K3478" t="str">
            <v>南法庄园 男士系列剃须皂 150g</v>
          </cell>
          <cell r="L3478" t="str">
            <v>150g</v>
          </cell>
          <cell r="M3478" t="str">
            <v>个</v>
          </cell>
          <cell r="N3478">
            <v>76.36</v>
          </cell>
          <cell r="O3478">
            <v>125.1</v>
          </cell>
          <cell r="P3478">
            <v>0.389608313349321</v>
          </cell>
        </row>
        <row r="3479">
          <cell r="F3479" t="str">
            <v>70712944</v>
          </cell>
          <cell r="G3479" t="str">
            <v>澳葡国际</v>
          </cell>
          <cell r="H3479" t="str">
            <v>南法庄园</v>
          </cell>
          <cell r="I3479" t="str">
            <v>个人护理用品</v>
          </cell>
          <cell r="J3479" t="str">
            <v>皂类</v>
          </cell>
          <cell r="K3479" t="str">
            <v>南法庄园 马赛液体皂-天然橙花香 500ml</v>
          </cell>
          <cell r="L3479" t="str">
            <v>500ml</v>
          </cell>
          <cell r="M3479" t="str">
            <v>个</v>
          </cell>
          <cell r="N3479">
            <v>98.17</v>
          </cell>
          <cell r="O3479">
            <v>161</v>
          </cell>
          <cell r="P3479">
            <v>0.39024844720496898</v>
          </cell>
        </row>
        <row r="3480">
          <cell r="F3480" t="str">
            <v>70712755</v>
          </cell>
          <cell r="G3480" t="str">
            <v>澳葡国际</v>
          </cell>
          <cell r="H3480" t="str">
            <v>南法庄园</v>
          </cell>
          <cell r="I3480" t="str">
            <v>个人护理用品</v>
          </cell>
          <cell r="J3480" t="str">
            <v>皂类</v>
          </cell>
          <cell r="K3480" t="str">
            <v>南法庄园 马赛液体皂-玫瑰庄园 500ml</v>
          </cell>
          <cell r="L3480" t="str">
            <v>500ml</v>
          </cell>
          <cell r="M3480" t="str">
            <v>个</v>
          </cell>
          <cell r="N3480">
            <v>98.17</v>
          </cell>
          <cell r="O3480">
            <v>161</v>
          </cell>
          <cell r="P3480">
            <v>0.39024844720496898</v>
          </cell>
        </row>
        <row r="3481">
          <cell r="F3481" t="str">
            <v>70712951</v>
          </cell>
          <cell r="G3481" t="str">
            <v>澳葡国际</v>
          </cell>
          <cell r="H3481" t="str">
            <v>南法庄园</v>
          </cell>
          <cell r="I3481" t="str">
            <v>个人护理用品</v>
          </cell>
          <cell r="J3481" t="str">
            <v>护肤/化妆品</v>
          </cell>
          <cell r="K3481" t="str">
            <v>南法庄园 身体乳-天然橙花香 250ml</v>
          </cell>
          <cell r="L3481" t="str">
            <v>250ml</v>
          </cell>
          <cell r="M3481" t="str">
            <v>瓶</v>
          </cell>
          <cell r="N3481">
            <v>98.17</v>
          </cell>
          <cell r="O3481">
            <v>161</v>
          </cell>
          <cell r="P3481">
            <v>0.39024844720496898</v>
          </cell>
        </row>
        <row r="3482">
          <cell r="F3482" t="str">
            <v>70554077</v>
          </cell>
          <cell r="G3482" t="str">
            <v>澳葡国际</v>
          </cell>
          <cell r="H3482" t="str">
            <v>Oliviam澳莉维亚</v>
          </cell>
          <cell r="I3482" t="str">
            <v>个人护理用品</v>
          </cell>
          <cell r="J3482" t="str">
            <v>皂类</v>
          </cell>
          <cell r="K3482" t="str">
            <v>澳莉维亚 自然羊奶皂 100g</v>
          </cell>
          <cell r="L3482" t="str">
            <v>100g</v>
          </cell>
          <cell r="M3482" t="str">
            <v>个</v>
          </cell>
          <cell r="N3482">
            <v>43.13</v>
          </cell>
          <cell r="O3482">
            <v>71</v>
          </cell>
          <cell r="P3482">
            <v>0.39253521126760599</v>
          </cell>
        </row>
        <row r="3483">
          <cell r="F3483" t="str">
            <v>70553914</v>
          </cell>
          <cell r="G3483" t="str">
            <v>澳葡国际</v>
          </cell>
          <cell r="H3483" t="str">
            <v>Oliviam澳莉维亚</v>
          </cell>
          <cell r="I3483" t="str">
            <v>个人护理用品</v>
          </cell>
          <cell r="J3483" t="str">
            <v>护肤/化妆品</v>
          </cell>
          <cell r="K3483" t="str">
            <v>澳莉维亚 经典绵羊油霜 100g</v>
          </cell>
          <cell r="L3483" t="str">
            <v>100g</v>
          </cell>
          <cell r="M3483" t="str">
            <v>瓶</v>
          </cell>
          <cell r="N3483">
            <v>54.24</v>
          </cell>
          <cell r="O3483">
            <v>89</v>
          </cell>
          <cell r="P3483">
            <v>0.39056179775280903</v>
          </cell>
        </row>
        <row r="3484">
          <cell r="F3484" t="str">
            <v>70711053</v>
          </cell>
          <cell r="G3484" t="str">
            <v>澳葡国际</v>
          </cell>
          <cell r="H3484" t="str">
            <v>Oliviam澳莉维亚</v>
          </cell>
          <cell r="I3484" t="str">
            <v>个人护理用品</v>
          </cell>
          <cell r="J3484" t="str">
            <v>护肤/化妆品</v>
          </cell>
          <cell r="K3484" t="str">
            <v>澳莉维亚 番木瓜膏 25g</v>
          </cell>
          <cell r="L3484" t="str">
            <v>25g</v>
          </cell>
          <cell r="M3484" t="str">
            <v>瓶</v>
          </cell>
          <cell r="N3484">
            <v>21.21</v>
          </cell>
          <cell r="O3484">
            <v>35</v>
          </cell>
          <cell r="P3484">
            <v>0.39400000000000002</v>
          </cell>
        </row>
        <row r="3485">
          <cell r="F3485" t="str">
            <v>70553940</v>
          </cell>
          <cell r="G3485" t="str">
            <v>澳葡国际</v>
          </cell>
          <cell r="H3485" t="str">
            <v>Oliviam澳莉维亚</v>
          </cell>
          <cell r="I3485" t="str">
            <v>个人护理用品</v>
          </cell>
          <cell r="J3485" t="str">
            <v>洁面</v>
          </cell>
          <cell r="K3485" t="str">
            <v>澳莉维亚 茶树净透洁面乳 100ml</v>
          </cell>
          <cell r="L3485" t="str">
            <v>100ml</v>
          </cell>
          <cell r="M3485" t="str">
            <v>瓶</v>
          </cell>
          <cell r="N3485">
            <v>43.13</v>
          </cell>
          <cell r="O3485">
            <v>71</v>
          </cell>
          <cell r="P3485">
            <v>0.39253521126760599</v>
          </cell>
        </row>
        <row r="3486">
          <cell r="F3486" t="str">
            <v>70553938</v>
          </cell>
          <cell r="G3486" t="str">
            <v>澳葡国际</v>
          </cell>
          <cell r="H3486" t="str">
            <v>Oliviam澳莉维亚</v>
          </cell>
          <cell r="I3486" t="str">
            <v>个人护理用品</v>
          </cell>
          <cell r="J3486" t="str">
            <v>洗发水</v>
          </cell>
          <cell r="K3486" t="str">
            <v>澳莉维亚 茶树净透洗发水 200ml</v>
          </cell>
          <cell r="L3486" t="str">
            <v>200ml</v>
          </cell>
          <cell r="M3486" t="str">
            <v>瓶</v>
          </cell>
          <cell r="N3486">
            <v>70.400000000000006</v>
          </cell>
          <cell r="O3486">
            <v>116</v>
          </cell>
          <cell r="P3486">
            <v>0.39310344827586202</v>
          </cell>
        </row>
        <row r="3487">
          <cell r="F3487" t="str">
            <v>70553915</v>
          </cell>
          <cell r="G3487" t="str">
            <v>澳葡国际</v>
          </cell>
          <cell r="H3487" t="str">
            <v>Oliviam澳莉维亚</v>
          </cell>
          <cell r="I3487" t="str">
            <v>个人护理用品</v>
          </cell>
          <cell r="J3487" t="str">
            <v>沐浴液</v>
          </cell>
          <cell r="K3487" t="str">
            <v>澳莉维亚 茶树菁萃沐浴乳 200ml</v>
          </cell>
          <cell r="L3487" t="str">
            <v>200ml</v>
          </cell>
          <cell r="M3487" t="str">
            <v>瓶</v>
          </cell>
          <cell r="N3487">
            <v>70.400000000000006</v>
          </cell>
          <cell r="O3487">
            <v>116</v>
          </cell>
          <cell r="P3487">
            <v>0.39310344827586202</v>
          </cell>
        </row>
        <row r="3488">
          <cell r="F3488" t="str">
            <v>70553939</v>
          </cell>
          <cell r="G3488" t="str">
            <v>澳葡国际</v>
          </cell>
          <cell r="H3488" t="str">
            <v>Oliviam澳莉维亚</v>
          </cell>
          <cell r="I3488" t="str">
            <v>个人护理用品</v>
          </cell>
          <cell r="J3488" t="str">
            <v>护肤/化妆品</v>
          </cell>
          <cell r="K3488" t="str">
            <v>澳莉维亚 茶树鲜萃润唇膏 10ml</v>
          </cell>
          <cell r="L3488" t="str">
            <v>10ml</v>
          </cell>
          <cell r="M3488" t="str">
            <v>个</v>
          </cell>
          <cell r="N3488">
            <v>31.92</v>
          </cell>
          <cell r="O3488">
            <v>53</v>
          </cell>
          <cell r="P3488">
            <v>0.39773584905660397</v>
          </cell>
        </row>
        <row r="3489">
          <cell r="F3489" t="str">
            <v>70025161</v>
          </cell>
          <cell r="G3489" t="str">
            <v>澳葡国际</v>
          </cell>
          <cell r="H3489" t="str">
            <v>费列罗</v>
          </cell>
          <cell r="I3489" t="str">
            <v>糖果</v>
          </cell>
          <cell r="J3489" t="str">
            <v>巧克力</v>
          </cell>
          <cell r="K3489" t="str">
            <v>费列罗 榛果威化巧克力3粒装 37.5g</v>
          </cell>
          <cell r="L3489" t="str">
            <v>37.5g</v>
          </cell>
          <cell r="M3489" t="str">
            <v>袋</v>
          </cell>
          <cell r="N3489">
            <v>9.48</v>
          </cell>
          <cell r="O3489">
            <v>12.5</v>
          </cell>
          <cell r="P3489">
            <v>0.24160000000000001</v>
          </cell>
        </row>
        <row r="3490">
          <cell r="F3490" t="str">
            <v>70001360</v>
          </cell>
          <cell r="G3490" t="str">
            <v>澳葡国际</v>
          </cell>
          <cell r="H3490" t="str">
            <v>费列罗</v>
          </cell>
          <cell r="I3490" t="str">
            <v>糖果</v>
          </cell>
          <cell r="J3490" t="str">
            <v>巧克力</v>
          </cell>
          <cell r="K3490" t="str">
            <v>费列罗 榛果威化巧克力8粒心型装 100g</v>
          </cell>
          <cell r="L3490" t="str">
            <v>100g</v>
          </cell>
          <cell r="M3490" t="str">
            <v>盒</v>
          </cell>
          <cell r="N3490">
            <v>38.51</v>
          </cell>
          <cell r="O3490">
            <v>50.7</v>
          </cell>
          <cell r="P3490">
            <v>0.24043392504930999</v>
          </cell>
        </row>
        <row r="3491">
          <cell r="F3491" t="str">
            <v>70048925</v>
          </cell>
          <cell r="G3491" t="str">
            <v>澳葡国际</v>
          </cell>
          <cell r="H3491" t="str">
            <v>费列罗</v>
          </cell>
          <cell r="I3491" t="str">
            <v>糖果</v>
          </cell>
          <cell r="J3491" t="str">
            <v>巧克力</v>
          </cell>
          <cell r="K3491" t="str">
            <v>费列罗 榛果威化巧克力30粒装 375g</v>
          </cell>
          <cell r="L3491" t="str">
            <v>375g</v>
          </cell>
          <cell r="M3491" t="str">
            <v>盒</v>
          </cell>
          <cell r="N3491">
            <v>87.82</v>
          </cell>
          <cell r="O3491">
            <v>115.7</v>
          </cell>
          <cell r="P3491">
            <v>0.24096802074330201</v>
          </cell>
        </row>
        <row r="3492">
          <cell r="F3492" t="str">
            <v>70712745</v>
          </cell>
          <cell r="G3492" t="str">
            <v>澳葡国际</v>
          </cell>
          <cell r="H3492" t="str">
            <v>费列罗</v>
          </cell>
          <cell r="I3492" t="str">
            <v>糖果</v>
          </cell>
          <cell r="J3492" t="str">
            <v>巧克力</v>
          </cell>
          <cell r="K3492" t="str">
            <v>费列罗 榛果威化巧克力制品8粒装 100g</v>
          </cell>
          <cell r="L3492" t="str">
            <v>100g</v>
          </cell>
          <cell r="M3492" t="str">
            <v>盒</v>
          </cell>
          <cell r="N3492">
            <v>28.64</v>
          </cell>
          <cell r="O3492">
            <v>37.700000000000003</v>
          </cell>
          <cell r="P3492">
            <v>0.24031830238726801</v>
          </cell>
        </row>
        <row r="3493">
          <cell r="F3493" t="str">
            <v>70711129</v>
          </cell>
          <cell r="G3493" t="str">
            <v>澳葡国际</v>
          </cell>
          <cell r="H3493" t="str">
            <v>费列罗</v>
          </cell>
          <cell r="I3493" t="str">
            <v>糖果</v>
          </cell>
          <cell r="J3493" t="str">
            <v>巧克力</v>
          </cell>
          <cell r="K3493" t="str">
            <v>费列罗 榛果威化巧克力5粒装 750g</v>
          </cell>
          <cell r="L3493" t="str">
            <v>750g</v>
          </cell>
          <cell r="M3493" t="str">
            <v>盒</v>
          </cell>
          <cell r="N3493">
            <v>16.809999999999999</v>
          </cell>
          <cell r="O3493">
            <v>22.1</v>
          </cell>
          <cell r="P3493">
            <v>0.239366515837104</v>
          </cell>
        </row>
        <row r="3494">
          <cell r="F3494" t="str">
            <v>70025158</v>
          </cell>
          <cell r="G3494" t="str">
            <v>澳葡国际</v>
          </cell>
          <cell r="H3494" t="str">
            <v>费列罗</v>
          </cell>
          <cell r="I3494" t="str">
            <v>糖果</v>
          </cell>
          <cell r="J3494" t="str">
            <v>巧克力</v>
          </cell>
          <cell r="K3494" t="str">
            <v>费列罗 榛果威化巧克力16粒装 200g</v>
          </cell>
          <cell r="L3494" t="str">
            <v>200g</v>
          </cell>
          <cell r="M3494" t="str">
            <v>盒</v>
          </cell>
          <cell r="N3494">
            <v>51.29</v>
          </cell>
          <cell r="O3494">
            <v>67.599999999999994</v>
          </cell>
          <cell r="P3494">
            <v>0.24127218934911199</v>
          </cell>
        </row>
        <row r="3495">
          <cell r="F3495" t="str">
            <v>70025159</v>
          </cell>
          <cell r="G3495" t="str">
            <v>澳葡国际</v>
          </cell>
          <cell r="H3495" t="str">
            <v>费列罗</v>
          </cell>
          <cell r="I3495" t="str">
            <v>糖果</v>
          </cell>
          <cell r="J3495" t="str">
            <v>巧克力</v>
          </cell>
          <cell r="K3495" t="str">
            <v>费列罗 榛果威化巧克力24粒装 300g</v>
          </cell>
          <cell r="L3495" t="str">
            <v>300g</v>
          </cell>
          <cell r="M3495" t="str">
            <v>盒</v>
          </cell>
          <cell r="N3495">
            <v>88.29</v>
          </cell>
          <cell r="O3495">
            <v>116.4</v>
          </cell>
          <cell r="P3495">
            <v>0.24149484536082499</v>
          </cell>
        </row>
        <row r="3496">
          <cell r="F3496" t="str">
            <v>70229801</v>
          </cell>
          <cell r="G3496" t="str">
            <v>澳葡国际</v>
          </cell>
          <cell r="H3496" t="str">
            <v>费列罗</v>
          </cell>
          <cell r="I3496" t="str">
            <v>糖果</v>
          </cell>
          <cell r="J3496" t="str">
            <v>巧克力</v>
          </cell>
          <cell r="K3496" t="str">
            <v>费列罗 榛果威化巧克力32粒装 400g</v>
          </cell>
          <cell r="L3496" t="str">
            <v>400g</v>
          </cell>
          <cell r="M3496" t="str">
            <v>盒</v>
          </cell>
          <cell r="N3496">
            <v>123.32</v>
          </cell>
          <cell r="O3496">
            <v>162.5</v>
          </cell>
          <cell r="P3496">
            <v>0.241107692307692</v>
          </cell>
        </row>
        <row r="3497">
          <cell r="F3497" t="str">
            <v>70712749</v>
          </cell>
          <cell r="G3497" t="str">
            <v>澳葡国际</v>
          </cell>
          <cell r="H3497" t="str">
            <v>费列罗</v>
          </cell>
          <cell r="I3497" t="str">
            <v>糖果</v>
          </cell>
          <cell r="J3497" t="str">
            <v>巧克力</v>
          </cell>
          <cell r="K3497" t="str">
            <v>费列罗 臻品巧克力糖果组合3粒装 518.4g</v>
          </cell>
          <cell r="L3497" t="str">
            <v>518.4g</v>
          </cell>
          <cell r="M3497" t="str">
            <v>盒</v>
          </cell>
          <cell r="N3497">
            <v>12.87</v>
          </cell>
          <cell r="O3497">
            <v>16.899999999999999</v>
          </cell>
          <cell r="P3497">
            <v>0.238461538461538</v>
          </cell>
        </row>
        <row r="3498">
          <cell r="F3498" t="str">
            <v>70254300</v>
          </cell>
          <cell r="G3498" t="str">
            <v>澳葡国际</v>
          </cell>
          <cell r="H3498" t="str">
            <v>费列罗</v>
          </cell>
          <cell r="I3498" t="str">
            <v>糖果</v>
          </cell>
          <cell r="J3498" t="str">
            <v>巧克力</v>
          </cell>
          <cell r="K3498" t="str">
            <v>费列罗 臻品巧克力糖果礼盒15粒装 162g</v>
          </cell>
          <cell r="L3498" t="str">
            <v>162g</v>
          </cell>
          <cell r="M3498" t="str">
            <v>盒</v>
          </cell>
          <cell r="N3498">
            <v>68.09</v>
          </cell>
          <cell r="O3498">
            <v>89.7</v>
          </cell>
          <cell r="P3498">
            <v>0.24091415830546301</v>
          </cell>
        </row>
        <row r="3499">
          <cell r="F3499" t="str">
            <v>70227470</v>
          </cell>
          <cell r="G3499" t="str">
            <v>澳葡国际</v>
          </cell>
          <cell r="H3499" t="str">
            <v>费列罗</v>
          </cell>
          <cell r="I3499" t="str">
            <v>糖果</v>
          </cell>
          <cell r="J3499" t="str">
            <v>巧克力</v>
          </cell>
          <cell r="K3499" t="str">
            <v>费列罗 臻品巧克力糖果礼盒24粒装 259.2g</v>
          </cell>
          <cell r="L3499" t="str">
            <v>259.2g</v>
          </cell>
          <cell r="M3499" t="str">
            <v>盒</v>
          </cell>
          <cell r="N3499">
            <v>110.45</v>
          </cell>
          <cell r="O3499">
            <v>145.6</v>
          </cell>
          <cell r="P3499">
            <v>0.241414835164835</v>
          </cell>
        </row>
        <row r="3500">
          <cell r="F3500" t="str">
            <v>70227471</v>
          </cell>
          <cell r="G3500" t="str">
            <v>澳葡国际</v>
          </cell>
          <cell r="H3500" t="str">
            <v>费列罗</v>
          </cell>
          <cell r="I3500" t="str">
            <v>糖果</v>
          </cell>
          <cell r="J3500" t="str">
            <v>巧克力</v>
          </cell>
          <cell r="K3500" t="str">
            <v>费列罗 臻品巧克力糖果礼盒32粒装 364.3g</v>
          </cell>
          <cell r="L3500" t="str">
            <v>364.3g</v>
          </cell>
          <cell r="M3500" t="str">
            <v>盒</v>
          </cell>
          <cell r="N3500">
            <v>137.13999999999999</v>
          </cell>
          <cell r="O3500">
            <v>180.7</v>
          </cell>
          <cell r="P3500">
            <v>0.24106253458771401</v>
          </cell>
        </row>
        <row r="3501">
          <cell r="F3501" t="str">
            <v>70711128</v>
          </cell>
          <cell r="G3501" t="str">
            <v>澳葡国际</v>
          </cell>
          <cell r="H3501" t="str">
            <v>费列罗</v>
          </cell>
          <cell r="I3501" t="str">
            <v>糖果</v>
          </cell>
          <cell r="J3501" t="str">
            <v>巧克力</v>
          </cell>
          <cell r="K3501" t="str">
            <v>费列罗 臻品巧克力糖果礼盒15粒心型装 162g</v>
          </cell>
          <cell r="L3501" t="str">
            <v>162g</v>
          </cell>
          <cell r="M3501" t="str">
            <v>盒</v>
          </cell>
          <cell r="N3501">
            <v>72.98</v>
          </cell>
          <cell r="O3501">
            <v>96.2</v>
          </cell>
          <cell r="P3501">
            <v>0.241372141372141</v>
          </cell>
        </row>
        <row r="3502">
          <cell r="F3502" t="str">
            <v>70712947</v>
          </cell>
          <cell r="G3502" t="str">
            <v>澳葡国际</v>
          </cell>
          <cell r="H3502" t="str">
            <v>费列罗</v>
          </cell>
          <cell r="I3502" t="str">
            <v>糖果</v>
          </cell>
          <cell r="J3502" t="str">
            <v>巧克力</v>
          </cell>
          <cell r="K3502" t="str">
            <v>费列罗 榛果威化黑巧克力制品24粒装 300g</v>
          </cell>
          <cell r="L3502" t="str">
            <v>300g</v>
          </cell>
          <cell r="M3502" t="str">
            <v>盒</v>
          </cell>
          <cell r="N3502">
            <v>128.96</v>
          </cell>
          <cell r="O3502">
            <v>166.4</v>
          </cell>
          <cell r="P3502">
            <v>0.22500000000000001</v>
          </cell>
        </row>
        <row r="3503">
          <cell r="F3503" t="str">
            <v>70285028</v>
          </cell>
          <cell r="G3503" t="str">
            <v>澳葡国际</v>
          </cell>
          <cell r="H3503" t="str">
            <v>费列罗</v>
          </cell>
          <cell r="I3503" t="str">
            <v>糖果</v>
          </cell>
          <cell r="J3503" t="str">
            <v>巧克力</v>
          </cell>
          <cell r="K3503" t="str">
            <v>费列罗 拉斐尔椰蓉扁桃仁糖果酥球红色10粒心型装 100g</v>
          </cell>
          <cell r="L3503" t="str">
            <v>100g</v>
          </cell>
          <cell r="M3503" t="str">
            <v>盒</v>
          </cell>
          <cell r="N3503">
            <v>26.67</v>
          </cell>
          <cell r="O3503">
            <v>35.1</v>
          </cell>
          <cell r="P3503">
            <v>0.24017094017094001</v>
          </cell>
        </row>
        <row r="3504">
          <cell r="F3504" t="str">
            <v>70100410</v>
          </cell>
          <cell r="G3504" t="str">
            <v>澳葡国际</v>
          </cell>
          <cell r="H3504" t="str">
            <v>费列罗</v>
          </cell>
          <cell r="I3504" t="str">
            <v>糖果</v>
          </cell>
          <cell r="J3504" t="str">
            <v>巧克力</v>
          </cell>
          <cell r="K3504" t="str">
            <v>费列罗 拉斐尔脆雪柔椰蓉扁桃仁糖果酥球15粒装 150g</v>
          </cell>
          <cell r="L3504" t="str">
            <v>150g</v>
          </cell>
          <cell r="M3504" t="str">
            <v>盒</v>
          </cell>
          <cell r="N3504">
            <v>35.03</v>
          </cell>
          <cell r="O3504">
            <v>46.2</v>
          </cell>
          <cell r="P3504">
            <v>0.241774891774892</v>
          </cell>
        </row>
        <row r="3505">
          <cell r="F3505" t="str">
            <v>70025165</v>
          </cell>
          <cell r="G3505" t="str">
            <v>澳葡国际</v>
          </cell>
          <cell r="H3505" t="str">
            <v>费列罗</v>
          </cell>
          <cell r="I3505" t="str">
            <v>糖果</v>
          </cell>
          <cell r="J3505" t="str">
            <v>巧克力</v>
          </cell>
          <cell r="K3505" t="str">
            <v>费列罗 健达夹心牛奶巧克力制品4条装 50g</v>
          </cell>
          <cell r="L3505" t="str">
            <v>50g</v>
          </cell>
          <cell r="M3505" t="str">
            <v>袋</v>
          </cell>
          <cell r="N3505">
            <v>7.89</v>
          </cell>
          <cell r="O3505">
            <v>10.4</v>
          </cell>
          <cell r="P3505">
            <v>0.24134615384615399</v>
          </cell>
        </row>
        <row r="3506">
          <cell r="F3506" t="str">
            <v>70025160</v>
          </cell>
          <cell r="G3506" t="str">
            <v>澳葡国际</v>
          </cell>
          <cell r="H3506" t="str">
            <v>费列罗</v>
          </cell>
          <cell r="I3506" t="str">
            <v>糖果</v>
          </cell>
          <cell r="J3506" t="str">
            <v>巧克力</v>
          </cell>
          <cell r="K3506" t="str">
            <v>费列罗 健达缤纷乐牛奶榛果威化巧克力制品2条装 43g</v>
          </cell>
          <cell r="L3506" t="str">
            <v>43g</v>
          </cell>
          <cell r="M3506" t="str">
            <v>袋</v>
          </cell>
          <cell r="N3506">
            <v>7.89</v>
          </cell>
          <cell r="O3506">
            <v>10.4</v>
          </cell>
          <cell r="P3506">
            <v>0.24134615384615399</v>
          </cell>
        </row>
        <row r="3507">
          <cell r="F3507" t="str">
            <v>70711047</v>
          </cell>
          <cell r="G3507" t="str">
            <v>澳葡国际</v>
          </cell>
          <cell r="H3507" t="str">
            <v>费列罗</v>
          </cell>
          <cell r="I3507" t="str">
            <v>糖果</v>
          </cell>
          <cell r="J3507" t="str">
            <v>巧克力</v>
          </cell>
          <cell r="K3507" t="str">
            <v>费列罗 意榛滋醇心饼榛果可可调味酱夹心饼干 41.4g</v>
          </cell>
          <cell r="L3507" t="str">
            <v>41.4g</v>
          </cell>
          <cell r="M3507" t="str">
            <v>袋</v>
          </cell>
          <cell r="N3507">
            <v>6.38</v>
          </cell>
          <cell r="O3507">
            <v>8.5</v>
          </cell>
          <cell r="P3507">
            <v>0.249411764705882</v>
          </cell>
        </row>
        <row r="3508">
          <cell r="F3508" t="str">
            <v>70108825</v>
          </cell>
          <cell r="G3508" t="str">
            <v>隆力奇</v>
          </cell>
          <cell r="H3508" t="str">
            <v>隆力奇</v>
          </cell>
          <cell r="I3508" t="str">
            <v>个人护理用品</v>
          </cell>
          <cell r="J3508" t="str">
            <v>洗发水</v>
          </cell>
          <cell r="K3508" t="str">
            <v>隆力奇 蛇胆清爽洗发水 400ml</v>
          </cell>
          <cell r="L3508" t="str">
            <v>400ml</v>
          </cell>
          <cell r="M3508" t="str">
            <v>瓶</v>
          </cell>
          <cell r="N3508">
            <v>12.85</v>
          </cell>
          <cell r="O3508">
            <v>15.9</v>
          </cell>
          <cell r="P3508">
            <v>0.191823899371069</v>
          </cell>
        </row>
        <row r="3509">
          <cell r="F3509" t="str">
            <v>70145557</v>
          </cell>
          <cell r="G3509" t="str">
            <v>隆力奇</v>
          </cell>
          <cell r="H3509" t="str">
            <v>隆力奇</v>
          </cell>
          <cell r="I3509" t="str">
            <v>个人护理用品</v>
          </cell>
          <cell r="J3509" t="str">
            <v>洗发水</v>
          </cell>
          <cell r="K3509" t="str">
            <v>隆力奇 蛇胆清爽洗发水 1L</v>
          </cell>
          <cell r="L3509" t="str">
            <v>1L</v>
          </cell>
          <cell r="M3509" t="str">
            <v>瓶</v>
          </cell>
          <cell r="N3509">
            <v>21.74</v>
          </cell>
          <cell r="O3509">
            <v>26.9</v>
          </cell>
          <cell r="P3509">
            <v>0.19182156133829001</v>
          </cell>
        </row>
        <row r="3510">
          <cell r="F3510" t="str">
            <v>70319358</v>
          </cell>
          <cell r="G3510" t="str">
            <v>隆力奇</v>
          </cell>
          <cell r="H3510" t="str">
            <v>隆力奇</v>
          </cell>
          <cell r="I3510" t="str">
            <v>个人护理用品</v>
          </cell>
          <cell r="J3510" t="str">
            <v>洗发水</v>
          </cell>
          <cell r="K3510" t="str">
            <v>隆力奇 去屑柔滑洗发露 200ml</v>
          </cell>
          <cell r="L3510" t="str">
            <v>200ml</v>
          </cell>
          <cell r="M3510" t="str">
            <v>瓶</v>
          </cell>
          <cell r="N3510">
            <v>8</v>
          </cell>
          <cell r="O3510">
            <v>9.9</v>
          </cell>
          <cell r="P3510">
            <v>0.19191919191919199</v>
          </cell>
        </row>
        <row r="3511">
          <cell r="F3511" t="str">
            <v>70319359</v>
          </cell>
          <cell r="G3511" t="str">
            <v>隆力奇</v>
          </cell>
          <cell r="H3511" t="str">
            <v>隆力奇</v>
          </cell>
          <cell r="I3511" t="str">
            <v>个人护理用品</v>
          </cell>
          <cell r="J3511" t="str">
            <v>洗发水</v>
          </cell>
          <cell r="K3511" t="str">
            <v>隆力奇 去屑控油洗发露 200ml</v>
          </cell>
          <cell r="L3511" t="str">
            <v>200ml</v>
          </cell>
          <cell r="M3511" t="str">
            <v>瓶</v>
          </cell>
          <cell r="N3511">
            <v>8</v>
          </cell>
          <cell r="O3511">
            <v>9.9</v>
          </cell>
          <cell r="P3511">
            <v>0.19191919191919199</v>
          </cell>
        </row>
        <row r="3512">
          <cell r="F3512" t="str">
            <v>70712984</v>
          </cell>
          <cell r="G3512" t="str">
            <v>隆力奇</v>
          </cell>
          <cell r="H3512" t="str">
            <v>隆力奇</v>
          </cell>
          <cell r="I3512" t="str">
            <v>个人护理用品</v>
          </cell>
          <cell r="J3512" t="str">
            <v>洗发水</v>
          </cell>
          <cell r="K3512" t="str">
            <v>隆力奇 去屑柔滑洗发露 400ml</v>
          </cell>
          <cell r="L3512" t="str">
            <v>400ml</v>
          </cell>
          <cell r="M3512" t="str">
            <v>瓶</v>
          </cell>
          <cell r="N3512">
            <v>12.85</v>
          </cell>
          <cell r="O3512">
            <v>15.9</v>
          </cell>
          <cell r="P3512">
            <v>0.191823899371069</v>
          </cell>
        </row>
        <row r="3513">
          <cell r="F3513" t="str">
            <v>70267381</v>
          </cell>
          <cell r="G3513" t="str">
            <v>隆力奇</v>
          </cell>
          <cell r="H3513" t="str">
            <v>隆力奇</v>
          </cell>
          <cell r="I3513" t="str">
            <v>个人护理用品</v>
          </cell>
          <cell r="J3513" t="str">
            <v>洗发水</v>
          </cell>
          <cell r="K3513" t="str">
            <v>隆力奇 去屑柔滑洗发露 1L</v>
          </cell>
          <cell r="L3513" t="str">
            <v>1L</v>
          </cell>
          <cell r="M3513" t="str">
            <v>瓶</v>
          </cell>
          <cell r="N3513">
            <v>21.74</v>
          </cell>
          <cell r="O3513">
            <v>26.9</v>
          </cell>
          <cell r="P3513">
            <v>0.19182156133829001</v>
          </cell>
        </row>
        <row r="3514">
          <cell r="F3514" t="str">
            <v>70135162</v>
          </cell>
          <cell r="G3514" t="str">
            <v>隆力奇</v>
          </cell>
          <cell r="H3514" t="str">
            <v>隆力奇</v>
          </cell>
          <cell r="I3514" t="str">
            <v>个人护理用品</v>
          </cell>
          <cell r="J3514" t="str">
            <v>护发素</v>
          </cell>
          <cell r="K3514" t="str">
            <v>隆力奇 焗油亮泽护发素 500ml</v>
          </cell>
          <cell r="L3514" t="str">
            <v>500ml</v>
          </cell>
          <cell r="M3514" t="str">
            <v>瓶</v>
          </cell>
          <cell r="N3514">
            <v>10.42</v>
          </cell>
          <cell r="O3514">
            <v>12.9</v>
          </cell>
          <cell r="P3514">
            <v>0.19224806201550401</v>
          </cell>
        </row>
        <row r="3515">
          <cell r="F3515" t="str">
            <v>70108834</v>
          </cell>
          <cell r="G3515" t="str">
            <v>隆力奇</v>
          </cell>
          <cell r="H3515" t="str">
            <v>隆力奇</v>
          </cell>
          <cell r="I3515" t="str">
            <v>个人护理用品</v>
          </cell>
          <cell r="J3515" t="str">
            <v>护发素</v>
          </cell>
          <cell r="K3515" t="str">
            <v>隆力奇 乳霜柔顺护发素 500ml</v>
          </cell>
          <cell r="L3515" t="str">
            <v>500ml</v>
          </cell>
          <cell r="M3515" t="str">
            <v>瓶</v>
          </cell>
          <cell r="N3515">
            <v>10.42</v>
          </cell>
          <cell r="O3515">
            <v>12.9</v>
          </cell>
          <cell r="P3515">
            <v>0.19224806201550401</v>
          </cell>
        </row>
        <row r="3516">
          <cell r="F3516" t="str">
            <v>70712985</v>
          </cell>
          <cell r="G3516" t="str">
            <v>隆力奇</v>
          </cell>
          <cell r="H3516" t="str">
            <v>隆力奇</v>
          </cell>
          <cell r="I3516" t="str">
            <v>个人护理用品</v>
          </cell>
          <cell r="J3516" t="str">
            <v>护发素</v>
          </cell>
          <cell r="K3516" t="str">
            <v>隆力奇 焗油亮泽护发素 1L</v>
          </cell>
          <cell r="L3516" t="str">
            <v>1L</v>
          </cell>
          <cell r="M3516" t="str">
            <v>瓶</v>
          </cell>
          <cell r="N3516">
            <v>16.079999999999998</v>
          </cell>
          <cell r="O3516">
            <v>19.899999999999999</v>
          </cell>
          <cell r="P3516">
            <v>0.19195979899497501</v>
          </cell>
        </row>
        <row r="3517">
          <cell r="F3517" t="str">
            <v>70712983</v>
          </cell>
          <cell r="G3517" t="str">
            <v>隆力奇</v>
          </cell>
          <cell r="H3517" t="str">
            <v>隆力奇</v>
          </cell>
          <cell r="I3517" t="str">
            <v>个人护理用品</v>
          </cell>
          <cell r="J3517" t="str">
            <v>护发素</v>
          </cell>
          <cell r="K3517" t="str">
            <v>隆力奇 乳霜柔顺护发素 1L</v>
          </cell>
          <cell r="L3517" t="str">
            <v>1L</v>
          </cell>
          <cell r="M3517" t="str">
            <v>瓶</v>
          </cell>
          <cell r="N3517">
            <v>16.079999999999998</v>
          </cell>
          <cell r="O3517">
            <v>19.899999999999999</v>
          </cell>
          <cell r="P3517">
            <v>0.19195979899497501</v>
          </cell>
        </row>
        <row r="3518">
          <cell r="F3518" t="str">
            <v>70010626</v>
          </cell>
          <cell r="G3518" t="str">
            <v>隆力奇</v>
          </cell>
          <cell r="H3518" t="str">
            <v>隆力奇</v>
          </cell>
          <cell r="I3518" t="str">
            <v>个人护理用品</v>
          </cell>
          <cell r="J3518" t="str">
            <v>皂类</v>
          </cell>
          <cell r="K3518" t="str">
            <v>隆力奇 蛇胆柠檬香皂 120g</v>
          </cell>
          <cell r="L3518" t="str">
            <v>120g</v>
          </cell>
          <cell r="M3518" t="str">
            <v>个</v>
          </cell>
          <cell r="N3518">
            <v>3.54</v>
          </cell>
          <cell r="O3518">
            <v>4.5</v>
          </cell>
          <cell r="P3518">
            <v>0.21333333333333299</v>
          </cell>
        </row>
        <row r="3519">
          <cell r="F3519" t="str">
            <v>70275758</v>
          </cell>
          <cell r="G3519" t="str">
            <v>隆力奇</v>
          </cell>
          <cell r="H3519" t="str">
            <v>隆力奇</v>
          </cell>
          <cell r="I3519" t="str">
            <v>个人护理用品</v>
          </cell>
          <cell r="J3519" t="str">
            <v>沐浴液</v>
          </cell>
          <cell r="K3519" t="str">
            <v>隆力奇 芬芳沐浴露（茉莉香型） 900ml</v>
          </cell>
          <cell r="L3519" t="str">
            <v>900ml</v>
          </cell>
          <cell r="M3519" t="str">
            <v>瓶</v>
          </cell>
          <cell r="N3519">
            <v>16.079999999999998</v>
          </cell>
          <cell r="O3519">
            <v>19.899999999999999</v>
          </cell>
          <cell r="P3519">
            <v>0.19195979899497501</v>
          </cell>
        </row>
        <row r="3520">
          <cell r="F3520" t="str">
            <v>70275757</v>
          </cell>
          <cell r="G3520" t="str">
            <v>隆力奇</v>
          </cell>
          <cell r="H3520" t="str">
            <v>隆力奇</v>
          </cell>
          <cell r="I3520" t="str">
            <v>个人护理用品</v>
          </cell>
          <cell r="J3520" t="str">
            <v>沐浴液</v>
          </cell>
          <cell r="K3520" t="str">
            <v>隆力奇 芬芳沐浴露（玫瑰香型） 900ml</v>
          </cell>
          <cell r="L3520" t="str">
            <v>900ml</v>
          </cell>
          <cell r="M3520" t="str">
            <v>瓶</v>
          </cell>
          <cell r="N3520">
            <v>16.079999999999998</v>
          </cell>
          <cell r="O3520">
            <v>19.899999999999999</v>
          </cell>
          <cell r="P3520">
            <v>0.19195979899497501</v>
          </cell>
        </row>
        <row r="3521">
          <cell r="F3521" t="str">
            <v>70275756</v>
          </cell>
          <cell r="G3521" t="str">
            <v>隆力奇</v>
          </cell>
          <cell r="H3521" t="str">
            <v>隆力奇</v>
          </cell>
          <cell r="I3521" t="str">
            <v>个人护理用品</v>
          </cell>
          <cell r="J3521" t="str">
            <v>沐浴液</v>
          </cell>
          <cell r="K3521" t="str">
            <v>隆力奇 芬芳沐浴露（薰衣草香型） 900ml</v>
          </cell>
          <cell r="L3521" t="str">
            <v>900ml</v>
          </cell>
          <cell r="M3521" t="str">
            <v>瓶</v>
          </cell>
          <cell r="N3521">
            <v>16.079999999999998</v>
          </cell>
          <cell r="O3521">
            <v>19.899999999999999</v>
          </cell>
          <cell r="P3521">
            <v>0.19195979899497501</v>
          </cell>
        </row>
        <row r="3522">
          <cell r="F3522" t="str">
            <v>70712942</v>
          </cell>
          <cell r="G3522" t="str">
            <v>金竹</v>
          </cell>
          <cell r="H3522" t="str">
            <v>金竹</v>
          </cell>
          <cell r="I3522" t="str">
            <v>个人护理用品</v>
          </cell>
          <cell r="J3522" t="str">
            <v>纸抽</v>
          </cell>
          <cell r="K3522" t="str">
            <v>金竹 熊猫抽纸 80抽</v>
          </cell>
          <cell r="L3522" t="str">
            <v>80抽</v>
          </cell>
          <cell r="M3522" t="str">
            <v>个</v>
          </cell>
          <cell r="N3522">
            <v>0.88</v>
          </cell>
          <cell r="O3522">
            <v>1.5</v>
          </cell>
          <cell r="P3522">
            <v>0.413333333333333</v>
          </cell>
        </row>
        <row r="3523">
          <cell r="F3523" t="str">
            <v>70712747</v>
          </cell>
          <cell r="G3523" t="str">
            <v>金竹</v>
          </cell>
          <cell r="H3523" t="str">
            <v>金竹</v>
          </cell>
          <cell r="I3523" t="str">
            <v>个人护理用品</v>
          </cell>
          <cell r="J3523" t="str">
            <v>纸抽</v>
          </cell>
          <cell r="K3523" t="str">
            <v>金竹 熊猫可湿水方巾纸 30抽</v>
          </cell>
          <cell r="L3523" t="str">
            <v>30抽</v>
          </cell>
          <cell r="M3523" t="str">
            <v>个</v>
          </cell>
          <cell r="N3523">
            <v>0.76</v>
          </cell>
          <cell r="O3523">
            <v>1.8</v>
          </cell>
          <cell r="P3523">
            <v>0.57777777777777795</v>
          </cell>
        </row>
        <row r="3524">
          <cell r="F3524" t="str">
            <v>70712746</v>
          </cell>
          <cell r="G3524" t="str">
            <v>金竹</v>
          </cell>
          <cell r="H3524" t="str">
            <v>金竹</v>
          </cell>
          <cell r="I3524" t="str">
            <v>个人护理用品</v>
          </cell>
          <cell r="J3524" t="str">
            <v>纸抽</v>
          </cell>
          <cell r="K3524" t="str">
            <v>金竹 乳霜保湿纸巾 6层30抽135mm*180mm*180 单包装</v>
          </cell>
          <cell r="L3524" t="str">
            <v>30抽</v>
          </cell>
          <cell r="M3524" t="str">
            <v>个</v>
          </cell>
          <cell r="N3524">
            <v>2.69</v>
          </cell>
          <cell r="O3524">
            <v>3.5</v>
          </cell>
          <cell r="P3524">
            <v>0.23142857142857101</v>
          </cell>
        </row>
        <row r="3525">
          <cell r="F3525" t="str">
            <v>70712748</v>
          </cell>
          <cell r="G3525" t="str">
            <v>金竹</v>
          </cell>
          <cell r="H3525" t="str">
            <v>金竹</v>
          </cell>
          <cell r="I3525" t="str">
            <v>个人护理用品</v>
          </cell>
          <cell r="J3525" t="str">
            <v>纸抽</v>
          </cell>
          <cell r="K3525" t="str">
            <v>金竹 乳霜保湿纸巾 6层7片 195mm*200mm 单包装</v>
          </cell>
          <cell r="L3525" t="str">
            <v>7片/包</v>
          </cell>
          <cell r="M3525" t="str">
            <v>个</v>
          </cell>
          <cell r="N3525">
            <v>1.1000000000000001</v>
          </cell>
          <cell r="O3525">
            <v>2</v>
          </cell>
          <cell r="P3525">
            <v>0.45</v>
          </cell>
        </row>
        <row r="3526">
          <cell r="F3526" t="str">
            <v>70712763</v>
          </cell>
          <cell r="G3526" t="str">
            <v>五粮液</v>
          </cell>
          <cell r="H3526" t="str">
            <v>友酒</v>
          </cell>
          <cell r="I3526" t="str">
            <v>酒类</v>
          </cell>
          <cell r="J3526" t="str">
            <v>白酒</v>
          </cell>
          <cell r="K3526" t="str">
            <v>友酒 好友系列(红251)52度 500ml</v>
          </cell>
          <cell r="L3526" t="str">
            <v>500ml</v>
          </cell>
          <cell r="M3526" t="str">
            <v>瓶</v>
          </cell>
          <cell r="N3526">
            <v>92.92</v>
          </cell>
          <cell r="O3526">
            <v>199</v>
          </cell>
          <cell r="P3526">
            <v>0.53306532663316597</v>
          </cell>
        </row>
        <row r="3527">
          <cell r="F3527" t="str">
            <v>70712988</v>
          </cell>
          <cell r="G3527" t="str">
            <v>五粮液</v>
          </cell>
          <cell r="H3527" t="str">
            <v>友酒</v>
          </cell>
          <cell r="I3527" t="str">
            <v>酒类</v>
          </cell>
          <cell r="J3527" t="str">
            <v>白酒</v>
          </cell>
          <cell r="K3527" t="str">
            <v>友酒 好友系列(金251)52度 500ml</v>
          </cell>
          <cell r="L3527" t="str">
            <v>500ml</v>
          </cell>
          <cell r="M3527" t="str">
            <v>瓶</v>
          </cell>
          <cell r="N3527">
            <v>117.16</v>
          </cell>
          <cell r="O3527">
            <v>299</v>
          </cell>
          <cell r="P3527">
            <v>0.60816053511705703</v>
          </cell>
        </row>
        <row r="3528">
          <cell r="F3528" t="str">
            <v>70713113</v>
          </cell>
          <cell r="G3528" t="str">
            <v>五粮液</v>
          </cell>
          <cell r="H3528" t="str">
            <v>友酒</v>
          </cell>
          <cell r="I3528" t="str">
            <v>酒类</v>
          </cell>
          <cell r="J3528" t="str">
            <v>白酒</v>
          </cell>
          <cell r="K3528" t="str">
            <v>友酒 好友系列(银251)52度 500ml</v>
          </cell>
          <cell r="L3528" t="str">
            <v>500ml</v>
          </cell>
          <cell r="M3528" t="str">
            <v>瓶</v>
          </cell>
          <cell r="N3528">
            <v>157.56</v>
          </cell>
          <cell r="O3528">
            <v>399</v>
          </cell>
          <cell r="P3528">
            <v>0.60511278195488705</v>
          </cell>
        </row>
        <row r="3529">
          <cell r="F3529" t="str">
            <v>70713117</v>
          </cell>
          <cell r="G3529" t="str">
            <v>郎酒</v>
          </cell>
          <cell r="H3529" t="str">
            <v>郎酒</v>
          </cell>
          <cell r="I3529" t="str">
            <v>酒类</v>
          </cell>
          <cell r="J3529" t="str">
            <v>白酒</v>
          </cell>
          <cell r="K3529" t="str">
            <v>郎酒 53度红花郎酒 520mL</v>
          </cell>
          <cell r="L3529" t="str">
            <v>520ML</v>
          </cell>
          <cell r="M3529" t="str">
            <v>瓶</v>
          </cell>
          <cell r="N3529">
            <v>322.19</v>
          </cell>
          <cell r="O3529">
            <v>519</v>
          </cell>
          <cell r="P3529">
            <v>0.379210019267823</v>
          </cell>
        </row>
        <row r="3530">
          <cell r="F3530" t="str">
            <v>70711052</v>
          </cell>
          <cell r="G3530" t="str">
            <v>郎酒</v>
          </cell>
          <cell r="H3530" t="str">
            <v>郎酒</v>
          </cell>
          <cell r="I3530" t="str">
            <v>酒类</v>
          </cell>
          <cell r="J3530" t="str">
            <v>白酒</v>
          </cell>
          <cell r="K3530" t="str">
            <v>郎酒 45度顺品郎(红顺) 488mL</v>
          </cell>
          <cell r="L3530" t="str">
            <v>488ML</v>
          </cell>
          <cell r="M3530" t="str">
            <v>瓶</v>
          </cell>
          <cell r="N3530">
            <v>36.36</v>
          </cell>
          <cell r="O3530">
            <v>49</v>
          </cell>
          <cell r="P3530">
            <v>0.25795918367346898</v>
          </cell>
        </row>
        <row r="3531">
          <cell r="F3531" t="str">
            <v>70712973</v>
          </cell>
          <cell r="G3531" t="str">
            <v>贵州习湖</v>
          </cell>
          <cell r="H3531" t="str">
            <v>贵州习湖</v>
          </cell>
          <cell r="I3531" t="str">
            <v>酒类</v>
          </cell>
          <cell r="J3531" t="str">
            <v>白酒</v>
          </cell>
          <cell r="K3531" t="str">
            <v>贵州习湖 百年酱史大国工匠53度 500ml</v>
          </cell>
          <cell r="L3531" t="str">
            <v>500ml</v>
          </cell>
          <cell r="M3531" t="str">
            <v>瓶</v>
          </cell>
          <cell r="N3531">
            <v>247.45</v>
          </cell>
          <cell r="O3531">
            <v>358</v>
          </cell>
          <cell r="P3531">
            <v>0.30879888268156402</v>
          </cell>
        </row>
        <row r="3532">
          <cell r="F3532" t="str">
            <v>70712766</v>
          </cell>
          <cell r="G3532" t="str">
            <v>贵州习湖</v>
          </cell>
          <cell r="H3532" t="str">
            <v>贵州习湖</v>
          </cell>
          <cell r="I3532" t="str">
            <v>酒类</v>
          </cell>
          <cell r="J3532" t="str">
            <v>白酒</v>
          </cell>
          <cell r="K3532" t="str">
            <v>贵州习湖 百年酱史大国器度53度 500ml</v>
          </cell>
          <cell r="L3532" t="str">
            <v>500ml</v>
          </cell>
          <cell r="M3532" t="str">
            <v>瓶</v>
          </cell>
          <cell r="N3532">
            <v>202</v>
          </cell>
          <cell r="O3532">
            <v>298</v>
          </cell>
          <cell r="P3532">
            <v>0.322147651006711</v>
          </cell>
        </row>
        <row r="3533">
          <cell r="F3533" t="str">
            <v>70712764</v>
          </cell>
          <cell r="G3533" t="str">
            <v>贵州习湖</v>
          </cell>
          <cell r="H3533" t="str">
            <v>贵州习湖</v>
          </cell>
          <cell r="I3533" t="str">
            <v>酒类</v>
          </cell>
          <cell r="J3533" t="str">
            <v>白酒</v>
          </cell>
          <cell r="K3533" t="str">
            <v>贵州习湖 酱史（致敬经典）53度 500ml</v>
          </cell>
          <cell r="L3533" t="str">
            <v>500ml</v>
          </cell>
          <cell r="M3533" t="str">
            <v>瓶</v>
          </cell>
          <cell r="N3533">
            <v>161.6</v>
          </cell>
          <cell r="O3533">
            <v>258</v>
          </cell>
          <cell r="P3533">
            <v>0.37364341085271302</v>
          </cell>
        </row>
        <row r="3534">
          <cell r="F3534" t="str">
            <v>70712767</v>
          </cell>
          <cell r="G3534" t="str">
            <v>贵州习湖</v>
          </cell>
          <cell r="H3534" t="str">
            <v>贵州习湖</v>
          </cell>
          <cell r="I3534" t="str">
            <v>酒类</v>
          </cell>
          <cell r="J3534" t="str">
            <v>白酒</v>
          </cell>
          <cell r="K3534" t="str">
            <v>贵州习湖 传世嶍湖酒·红喜53度 500ml</v>
          </cell>
          <cell r="L3534" t="str">
            <v>500ml</v>
          </cell>
          <cell r="M3534" t="str">
            <v>瓶</v>
          </cell>
          <cell r="N3534">
            <v>78.78</v>
          </cell>
          <cell r="O3534">
            <v>128</v>
          </cell>
          <cell r="P3534">
            <v>0.38453124999999999</v>
          </cell>
        </row>
        <row r="3535">
          <cell r="F3535" t="str">
            <v>70712965</v>
          </cell>
          <cell r="G3535" t="str">
            <v>青岛啤酒</v>
          </cell>
          <cell r="H3535" t="str">
            <v>青岛啤酒</v>
          </cell>
          <cell r="I3535" t="str">
            <v>酒类</v>
          </cell>
          <cell r="J3535" t="str">
            <v>啤酒</v>
          </cell>
          <cell r="K3535" t="str">
            <v>青岛啤酒 0.00无醇白啤 500ml</v>
          </cell>
          <cell r="L3535" t="str">
            <v>500ml</v>
          </cell>
          <cell r="M3535" t="str">
            <v>罐</v>
          </cell>
          <cell r="N3535">
            <v>6.26</v>
          </cell>
          <cell r="O3535">
            <v>7.5</v>
          </cell>
          <cell r="P3535">
            <v>0.165333333333333</v>
          </cell>
        </row>
        <row r="3536">
          <cell r="F3536" t="str">
            <v>70711046</v>
          </cell>
          <cell r="G3536" t="str">
            <v>和粮</v>
          </cell>
          <cell r="H3536" t="str">
            <v>和粮</v>
          </cell>
          <cell r="I3536" t="str">
            <v>家庭食品</v>
          </cell>
          <cell r="J3536" t="str">
            <v>粮</v>
          </cell>
          <cell r="K3536" t="str">
            <v>和粮溢田 有机寒地粥米 2.5kg</v>
          </cell>
          <cell r="L3536" t="str">
            <v>2.5kg</v>
          </cell>
          <cell r="M3536" t="str">
            <v>袋</v>
          </cell>
          <cell r="N3536">
            <v>19.239999999999998</v>
          </cell>
          <cell r="O3536">
            <v>26.9</v>
          </cell>
          <cell r="P3536">
            <v>0.28475836431226798</v>
          </cell>
        </row>
        <row r="3537">
          <cell r="F3537" t="str">
            <v>70712953</v>
          </cell>
          <cell r="G3537" t="str">
            <v>和粮</v>
          </cell>
          <cell r="H3537" t="str">
            <v>和粮</v>
          </cell>
          <cell r="I3537" t="str">
            <v>家庭食品</v>
          </cell>
          <cell r="J3537" t="str">
            <v>杂粮</v>
          </cell>
          <cell r="K3537" t="str">
            <v>和粮溢田 寒地黑土系列寒地小粒米 10kg</v>
          </cell>
          <cell r="L3537" t="str">
            <v>10kg</v>
          </cell>
          <cell r="M3537" t="str">
            <v>袋</v>
          </cell>
          <cell r="N3537">
            <v>60.6</v>
          </cell>
          <cell r="O3537">
            <v>79</v>
          </cell>
          <cell r="P3537">
            <v>0.23291139240506301</v>
          </cell>
        </row>
        <row r="3538">
          <cell r="F3538" t="str">
            <v>70712969</v>
          </cell>
          <cell r="G3538" t="str">
            <v>和粮</v>
          </cell>
          <cell r="H3538" t="str">
            <v>和粮</v>
          </cell>
          <cell r="I3538" t="str">
            <v>家庭食品</v>
          </cell>
          <cell r="J3538" t="str">
            <v>粮</v>
          </cell>
          <cell r="K3538" t="str">
            <v>和粮溢田 东北稻香米 2.5kg</v>
          </cell>
          <cell r="L3538" t="str">
            <v>2.5kg</v>
          </cell>
          <cell r="M3538" t="str">
            <v>袋</v>
          </cell>
          <cell r="N3538">
            <v>20.2</v>
          </cell>
          <cell r="O3538">
            <v>26.9</v>
          </cell>
          <cell r="P3538">
            <v>0.24907063197026</v>
          </cell>
        </row>
        <row r="3539">
          <cell r="F3539" t="str">
            <v>70712761</v>
          </cell>
          <cell r="G3539" t="str">
            <v>和粮</v>
          </cell>
          <cell r="H3539" t="str">
            <v>和粮</v>
          </cell>
          <cell r="I3539" t="str">
            <v>家庭食品</v>
          </cell>
          <cell r="J3539" t="str">
            <v>粮</v>
          </cell>
          <cell r="K3539" t="str">
            <v>和粮溢田 有机黄金二米饭 2.5kg</v>
          </cell>
          <cell r="L3539" t="str">
            <v>2.5kg</v>
          </cell>
          <cell r="M3539" t="str">
            <v>袋</v>
          </cell>
          <cell r="N3539">
            <v>25.96</v>
          </cell>
          <cell r="O3539">
            <v>39.9</v>
          </cell>
          <cell r="P3539">
            <v>0.34937343358396</v>
          </cell>
        </row>
        <row r="3540">
          <cell r="F3540" t="str">
            <v>70711045</v>
          </cell>
          <cell r="G3540" t="str">
            <v>和粮</v>
          </cell>
          <cell r="H3540" t="str">
            <v>和粮</v>
          </cell>
          <cell r="I3540" t="str">
            <v>家庭食品</v>
          </cell>
          <cell r="J3540" t="str">
            <v>粮</v>
          </cell>
          <cell r="K3540" t="str">
            <v>和粮溢田 有机黄金二米饭 500g</v>
          </cell>
          <cell r="L3540" t="str">
            <v>500g</v>
          </cell>
          <cell r="M3540" t="str">
            <v>袋</v>
          </cell>
          <cell r="N3540">
            <v>5.25</v>
          </cell>
          <cell r="O3540">
            <v>7.9</v>
          </cell>
          <cell r="P3540">
            <v>0.335443037974684</v>
          </cell>
        </row>
        <row r="3541">
          <cell r="F3541" t="str">
            <v>70682805</v>
          </cell>
          <cell r="G3541" t="str">
            <v>和粮</v>
          </cell>
          <cell r="H3541" t="str">
            <v>和粮</v>
          </cell>
          <cell r="I3541" t="str">
            <v>家庭食品</v>
          </cell>
          <cell r="J3541" t="str">
            <v>粮</v>
          </cell>
          <cell r="K3541" t="str">
            <v>和粮溢田 低GI九色粗粮米 2.5kg</v>
          </cell>
          <cell r="L3541" t="str">
            <v>2.5kg</v>
          </cell>
          <cell r="M3541" t="str">
            <v>袋</v>
          </cell>
          <cell r="N3541">
            <v>50</v>
          </cell>
          <cell r="O3541">
            <v>79</v>
          </cell>
          <cell r="P3541">
            <v>0.367088607594937</v>
          </cell>
        </row>
        <row r="3542">
          <cell r="F3542" t="str">
            <v>70682806</v>
          </cell>
          <cell r="G3542" t="str">
            <v>和粮</v>
          </cell>
          <cell r="H3542" t="str">
            <v>和粮</v>
          </cell>
          <cell r="I3542" t="str">
            <v>家庭食品</v>
          </cell>
          <cell r="J3542" t="str">
            <v>杂粮</v>
          </cell>
          <cell r="K3542" t="str">
            <v>和粮溢田 红枣燕麦小米粥 1.25kg</v>
          </cell>
          <cell r="L3542" t="str">
            <v>1.25kg</v>
          </cell>
          <cell r="M3542" t="str">
            <v>袋</v>
          </cell>
          <cell r="N3542">
            <v>24.75</v>
          </cell>
          <cell r="O3542">
            <v>39.9</v>
          </cell>
          <cell r="P3542">
            <v>0.37969924812030098</v>
          </cell>
        </row>
        <row r="3543">
          <cell r="F3543" t="str">
            <v>70681251</v>
          </cell>
          <cell r="G3543" t="str">
            <v>和粮</v>
          </cell>
          <cell r="H3543" t="str">
            <v>和粮</v>
          </cell>
          <cell r="I3543" t="str">
            <v>家庭食品</v>
          </cell>
          <cell r="J3543" t="str">
            <v>杂粮</v>
          </cell>
          <cell r="K3543" t="str">
            <v>和粮溢田 金玉良缘麦香粥 1.25kg</v>
          </cell>
          <cell r="L3543" t="str">
            <v>1.25kg</v>
          </cell>
          <cell r="M3543" t="str">
            <v>袋</v>
          </cell>
          <cell r="N3543">
            <v>18.28</v>
          </cell>
          <cell r="O3543">
            <v>29.9</v>
          </cell>
          <cell r="P3543">
            <v>0.38862876254180601</v>
          </cell>
        </row>
        <row r="3544">
          <cell r="F3544" t="str">
            <v>70421475</v>
          </cell>
          <cell r="G3544" t="str">
            <v>和粮</v>
          </cell>
          <cell r="H3544" t="str">
            <v>和粮</v>
          </cell>
          <cell r="I3544" t="str">
            <v>家庭食品</v>
          </cell>
          <cell r="J3544" t="str">
            <v>杂粮</v>
          </cell>
          <cell r="K3544" t="str">
            <v>和粮溢田 溢小妹系列有机红豆 970g</v>
          </cell>
          <cell r="L3544" t="str">
            <v>970g</v>
          </cell>
          <cell r="M3544" t="str">
            <v>袋</v>
          </cell>
          <cell r="N3544">
            <v>21.61</v>
          </cell>
          <cell r="O3544">
            <v>29.9</v>
          </cell>
          <cell r="P3544">
            <v>0.27725752508361201</v>
          </cell>
        </row>
        <row r="3545">
          <cell r="F3545" t="str">
            <v>70421477</v>
          </cell>
          <cell r="G3545" t="str">
            <v>和粮</v>
          </cell>
          <cell r="H3545" t="str">
            <v>和粮</v>
          </cell>
          <cell r="I3545" t="str">
            <v>家庭食品</v>
          </cell>
          <cell r="J3545" t="str">
            <v>杂粮</v>
          </cell>
          <cell r="K3545" t="str">
            <v>和粮溢田 溢小妹系列有机绿豆 980g</v>
          </cell>
          <cell r="L3545" t="str">
            <v>980g</v>
          </cell>
          <cell r="M3545" t="str">
            <v>袋</v>
          </cell>
          <cell r="N3545">
            <v>21.61</v>
          </cell>
          <cell r="O3545">
            <v>29.9</v>
          </cell>
          <cell r="P3545">
            <v>0.27725752508361201</v>
          </cell>
        </row>
        <row r="3546">
          <cell r="F3546" t="str">
            <v>70421473</v>
          </cell>
          <cell r="G3546" t="str">
            <v>和粮</v>
          </cell>
          <cell r="H3546" t="str">
            <v>和粮</v>
          </cell>
          <cell r="I3546" t="str">
            <v>家庭食品</v>
          </cell>
          <cell r="J3546" t="str">
            <v>杂粮</v>
          </cell>
          <cell r="K3546" t="str">
            <v>和粮溢田 溢小妹系列有机小米 990g</v>
          </cell>
          <cell r="L3546" t="str">
            <v>990g</v>
          </cell>
          <cell r="M3546" t="str">
            <v>袋</v>
          </cell>
          <cell r="N3546">
            <v>20.2</v>
          </cell>
          <cell r="O3546">
            <v>29.9</v>
          </cell>
          <cell r="P3546">
            <v>0.324414715719064</v>
          </cell>
        </row>
        <row r="3547">
          <cell r="F3547" t="str">
            <v>70712967</v>
          </cell>
          <cell r="G3547" t="str">
            <v>和粮</v>
          </cell>
          <cell r="H3547" t="str">
            <v>和粮</v>
          </cell>
          <cell r="I3547" t="str">
            <v>家庭食品</v>
          </cell>
          <cell r="J3547" t="str">
            <v>杂粮</v>
          </cell>
          <cell r="K3547" t="str">
            <v>和粮溢田 溢小妹系列有机黑豆 840g</v>
          </cell>
          <cell r="L3547" t="str">
            <v>840g</v>
          </cell>
          <cell r="M3547" t="str">
            <v>袋</v>
          </cell>
          <cell r="N3547">
            <v>20.2</v>
          </cell>
          <cell r="O3547">
            <v>29.9</v>
          </cell>
          <cell r="P3547">
            <v>0.324414715719064</v>
          </cell>
        </row>
        <row r="3548">
          <cell r="F3548" t="str">
            <v>70711044</v>
          </cell>
          <cell r="G3548" t="str">
            <v>和粮</v>
          </cell>
          <cell r="H3548" t="str">
            <v>和粮</v>
          </cell>
          <cell r="I3548" t="str">
            <v>家庭食品</v>
          </cell>
          <cell r="J3548" t="str">
            <v>粮</v>
          </cell>
          <cell r="K3548" t="str">
            <v>和粮溢田 糯米 5kg</v>
          </cell>
          <cell r="L3548" t="str">
            <v>5kg</v>
          </cell>
          <cell r="M3548" t="str">
            <v>袋</v>
          </cell>
          <cell r="N3548">
            <v>36.46</v>
          </cell>
          <cell r="O3548">
            <v>59</v>
          </cell>
          <cell r="P3548">
            <v>0.382033898305085</v>
          </cell>
        </row>
        <row r="3549">
          <cell r="F3549" t="str">
            <v>70713166</v>
          </cell>
          <cell r="G3549" t="str">
            <v>和粮</v>
          </cell>
          <cell r="H3549" t="str">
            <v>和粮</v>
          </cell>
          <cell r="I3549" t="str">
            <v>家庭食品</v>
          </cell>
          <cell r="J3549" t="str">
            <v>粮</v>
          </cell>
          <cell r="K3549" t="str">
            <v>和粮溢田 有机五黑珍谷米 2.5kg</v>
          </cell>
          <cell r="L3549" t="str">
            <v>2.5kg</v>
          </cell>
          <cell r="M3549" t="str">
            <v>袋</v>
          </cell>
          <cell r="N3549">
            <v>39.39</v>
          </cell>
          <cell r="O3549">
            <v>59</v>
          </cell>
          <cell r="P3549">
            <v>0.33237288135593201</v>
          </cell>
        </row>
        <row r="3550">
          <cell r="F3550" t="str">
            <v>70259173</v>
          </cell>
          <cell r="G3550" t="str">
            <v>味聚特</v>
          </cell>
          <cell r="H3550" t="str">
            <v>味聚特</v>
          </cell>
          <cell r="I3550" t="str">
            <v>家庭食品</v>
          </cell>
          <cell r="J3550" t="str">
            <v>酱菜</v>
          </cell>
          <cell r="K3550" t="str">
            <v>味聚特 学生榨菜经典款 53g</v>
          </cell>
          <cell r="L3550" t="str">
            <v>53g</v>
          </cell>
          <cell r="M3550" t="str">
            <v>袋</v>
          </cell>
          <cell r="N3550">
            <v>1.2</v>
          </cell>
          <cell r="O3550">
            <v>2.2000000000000002</v>
          </cell>
          <cell r="P3550">
            <v>0.45454545454545497</v>
          </cell>
        </row>
        <row r="3551">
          <cell r="F3551" t="str">
            <v>70526324</v>
          </cell>
          <cell r="G3551" t="str">
            <v>味聚特</v>
          </cell>
          <cell r="H3551" t="str">
            <v>味聚特</v>
          </cell>
          <cell r="I3551" t="str">
            <v>家庭食品</v>
          </cell>
          <cell r="J3551" t="str">
            <v>酱菜</v>
          </cell>
          <cell r="K3551" t="str">
            <v>味聚特 口口脆榨菜经典款 53g</v>
          </cell>
          <cell r="L3551" t="str">
            <v>53g</v>
          </cell>
          <cell r="M3551" t="str">
            <v>袋</v>
          </cell>
          <cell r="N3551">
            <v>1.2</v>
          </cell>
          <cell r="O3551">
            <v>2.2000000000000002</v>
          </cell>
          <cell r="P3551">
            <v>0.45454545454545497</v>
          </cell>
        </row>
        <row r="3552">
          <cell r="F3552" t="str">
            <v>70328538</v>
          </cell>
          <cell r="G3552" t="str">
            <v>味聚特</v>
          </cell>
          <cell r="H3552" t="str">
            <v>味聚特</v>
          </cell>
          <cell r="I3552" t="str">
            <v>家庭食品</v>
          </cell>
          <cell r="J3552" t="str">
            <v>酱菜</v>
          </cell>
          <cell r="K3552" t="str">
            <v>味聚特 爽口下饭菜 109g</v>
          </cell>
          <cell r="L3552" t="str">
            <v>109g</v>
          </cell>
          <cell r="M3552" t="str">
            <v>袋</v>
          </cell>
          <cell r="N3552">
            <v>2.5299999999999998</v>
          </cell>
          <cell r="O3552">
            <v>4.5</v>
          </cell>
          <cell r="P3552">
            <v>0.43777777777777799</v>
          </cell>
        </row>
        <row r="3553">
          <cell r="F3553" t="str">
            <v>70711051</v>
          </cell>
          <cell r="G3553" t="str">
            <v>川南</v>
          </cell>
          <cell r="H3553" t="str">
            <v>川南</v>
          </cell>
          <cell r="I3553" t="str">
            <v>家庭食品</v>
          </cell>
          <cell r="J3553" t="str">
            <v>酱菜</v>
          </cell>
          <cell r="K3553" t="str">
            <v>川南 爆炒双椒酱 200g</v>
          </cell>
          <cell r="L3553" t="str">
            <v>200g</v>
          </cell>
          <cell r="M3553" t="str">
            <v>瓶</v>
          </cell>
          <cell r="N3553">
            <v>10.1</v>
          </cell>
          <cell r="O3553">
            <v>16</v>
          </cell>
          <cell r="P3553">
            <v>0.36875000000000002</v>
          </cell>
        </row>
        <row r="3554">
          <cell r="F3554" t="str">
            <v>70712759</v>
          </cell>
          <cell r="G3554" t="str">
            <v>川南</v>
          </cell>
          <cell r="H3554" t="str">
            <v>川南</v>
          </cell>
          <cell r="I3554" t="str">
            <v>家庭食品</v>
          </cell>
          <cell r="J3554" t="str">
            <v>酱菜</v>
          </cell>
          <cell r="K3554" t="str">
            <v>川南 红烧笋丁酱 200g</v>
          </cell>
          <cell r="L3554" t="str">
            <v>200g</v>
          </cell>
          <cell r="M3554" t="str">
            <v>瓶</v>
          </cell>
          <cell r="N3554">
            <v>10.1</v>
          </cell>
          <cell r="O3554">
            <v>16</v>
          </cell>
          <cell r="P3554">
            <v>0.36875000000000002</v>
          </cell>
        </row>
        <row r="3555">
          <cell r="F3555" t="str">
            <v>70711050</v>
          </cell>
          <cell r="G3555" t="str">
            <v>川南</v>
          </cell>
          <cell r="H3555" t="str">
            <v>川南</v>
          </cell>
          <cell r="I3555" t="str">
            <v>家庭食品</v>
          </cell>
          <cell r="J3555" t="str">
            <v>酱菜</v>
          </cell>
          <cell r="K3555" t="str">
            <v>川南 香辣王 208g</v>
          </cell>
          <cell r="L3555" t="str">
            <v>208g</v>
          </cell>
          <cell r="M3555" t="str">
            <v>瓶</v>
          </cell>
          <cell r="N3555">
            <v>9.6</v>
          </cell>
          <cell r="O3555">
            <v>16</v>
          </cell>
          <cell r="P3555">
            <v>0.4</v>
          </cell>
        </row>
        <row r="3556">
          <cell r="F3556" t="str">
            <v>70712982</v>
          </cell>
          <cell r="G3556" t="str">
            <v>甘源</v>
          </cell>
          <cell r="H3556" t="str">
            <v>甘源</v>
          </cell>
          <cell r="I3556" t="str">
            <v>零食</v>
          </cell>
          <cell r="J3556" t="str">
            <v>膨化食品</v>
          </cell>
          <cell r="K3556" t="str">
            <v>甘源 袋装草莓白桃味米饼 72g</v>
          </cell>
          <cell r="L3556" t="str">
            <v>72g</v>
          </cell>
          <cell r="M3556" t="str">
            <v>袋</v>
          </cell>
          <cell r="N3556">
            <v>4.49</v>
          </cell>
          <cell r="O3556">
            <v>7.9</v>
          </cell>
          <cell r="P3556">
            <v>0.43164556962025302</v>
          </cell>
        </row>
        <row r="3557">
          <cell r="F3557" t="str">
            <v>70712979</v>
          </cell>
          <cell r="G3557" t="str">
            <v>甘源</v>
          </cell>
          <cell r="H3557" t="str">
            <v>甘源</v>
          </cell>
          <cell r="I3557" t="str">
            <v>零食</v>
          </cell>
          <cell r="J3557" t="str">
            <v>膨化食品</v>
          </cell>
          <cell r="K3557" t="str">
            <v>甘源 袋装蓝莓桑葚味米饼 72g</v>
          </cell>
          <cell r="L3557" t="str">
            <v>72g</v>
          </cell>
          <cell r="M3557" t="str">
            <v>袋</v>
          </cell>
          <cell r="N3557">
            <v>4.49</v>
          </cell>
          <cell r="O3557">
            <v>7.9</v>
          </cell>
          <cell r="P3557">
            <v>0.43164556962025302</v>
          </cell>
        </row>
        <row r="3558">
          <cell r="F3558" t="str">
            <v>70712756</v>
          </cell>
          <cell r="G3558" t="str">
            <v>甘源</v>
          </cell>
          <cell r="H3558" t="str">
            <v>甘源</v>
          </cell>
          <cell r="I3558" t="str">
            <v>零食</v>
          </cell>
          <cell r="J3558" t="str">
            <v>膨化食品</v>
          </cell>
          <cell r="K3558" t="str">
            <v>甘源 袋装芥末鳕鱼味五黑米饼 72g</v>
          </cell>
          <cell r="L3558" t="str">
            <v>72g</v>
          </cell>
          <cell r="M3558" t="str">
            <v>袋</v>
          </cell>
          <cell r="N3558">
            <v>4.49</v>
          </cell>
          <cell r="O3558">
            <v>7.9</v>
          </cell>
          <cell r="P3558">
            <v>0.43164556962025302</v>
          </cell>
        </row>
        <row r="3559">
          <cell r="F3559" t="str">
            <v>70712974</v>
          </cell>
          <cell r="G3559" t="str">
            <v>甘源</v>
          </cell>
          <cell r="H3559" t="str">
            <v>甘源</v>
          </cell>
          <cell r="I3559" t="str">
            <v>零食</v>
          </cell>
          <cell r="J3559" t="str">
            <v>膨化食品</v>
          </cell>
          <cell r="K3559" t="str">
            <v>甘源 袋装黑松露火腿味五黑米饼 72g</v>
          </cell>
          <cell r="L3559" t="str">
            <v>72g</v>
          </cell>
          <cell r="M3559" t="str">
            <v>袋</v>
          </cell>
          <cell r="N3559">
            <v>4.49</v>
          </cell>
          <cell r="O3559">
            <v>7.9</v>
          </cell>
          <cell r="P3559">
            <v>0.43164556962025302</v>
          </cell>
        </row>
        <row r="3560">
          <cell r="F3560" t="str">
            <v>70712941</v>
          </cell>
          <cell r="G3560" t="str">
            <v>甘源</v>
          </cell>
          <cell r="H3560" t="str">
            <v>甘源</v>
          </cell>
          <cell r="I3560" t="str">
            <v>零食</v>
          </cell>
          <cell r="J3560" t="str">
            <v>坚果</v>
          </cell>
          <cell r="K3560" t="str">
            <v>甘源 袋装芥末味夏威夷果仁 60g</v>
          </cell>
          <cell r="L3560" t="str">
            <v>60g</v>
          </cell>
          <cell r="M3560" t="str">
            <v>袋</v>
          </cell>
          <cell r="N3560">
            <v>9.57</v>
          </cell>
          <cell r="O3560">
            <v>16.899999999999999</v>
          </cell>
          <cell r="P3560">
            <v>0.433727810650888</v>
          </cell>
        </row>
        <row r="3561">
          <cell r="F3561" t="str">
            <v>70713116</v>
          </cell>
          <cell r="G3561" t="str">
            <v>甘源</v>
          </cell>
          <cell r="H3561" t="str">
            <v>甘源</v>
          </cell>
          <cell r="I3561" t="str">
            <v>零食</v>
          </cell>
          <cell r="J3561" t="str">
            <v>坚果</v>
          </cell>
          <cell r="K3561" t="str">
            <v>甘源 袋装混合柿种果仁 65G</v>
          </cell>
          <cell r="L3561" t="str">
            <v>65g</v>
          </cell>
          <cell r="M3561" t="str">
            <v>袋</v>
          </cell>
          <cell r="N3561">
            <v>7.58</v>
          </cell>
          <cell r="O3561">
            <v>11.8</v>
          </cell>
          <cell r="P3561">
            <v>0.35762711864406799</v>
          </cell>
        </row>
        <row r="3562">
          <cell r="F3562" t="str">
            <v>70498562</v>
          </cell>
          <cell r="G3562" t="str">
            <v>甘源</v>
          </cell>
          <cell r="H3562" t="str">
            <v>甘源</v>
          </cell>
          <cell r="I3562" t="str">
            <v>零食</v>
          </cell>
          <cell r="J3562" t="str">
            <v>坚果</v>
          </cell>
          <cell r="K3562" t="str">
            <v>甘源 袋装椒盐味花生 208G</v>
          </cell>
          <cell r="L3562" t="str">
            <v>208g</v>
          </cell>
          <cell r="M3562" t="str">
            <v>袋</v>
          </cell>
          <cell r="N3562">
            <v>9.09</v>
          </cell>
          <cell r="O3562">
            <v>15</v>
          </cell>
          <cell r="P3562">
            <v>0.39400000000000002</v>
          </cell>
        </row>
        <row r="3563">
          <cell r="F3563" t="str">
            <v>70711043</v>
          </cell>
          <cell r="G3563" t="str">
            <v>溜溜梅</v>
          </cell>
          <cell r="H3563" t="str">
            <v>溜溜梅</v>
          </cell>
          <cell r="I3563" t="str">
            <v>零食</v>
          </cell>
          <cell r="J3563" t="str">
            <v>果冻</v>
          </cell>
          <cell r="K3563" t="str">
            <v>溜溜梅 蜂蜜柚子NFC梅冻 120g</v>
          </cell>
          <cell r="L3563" t="str">
            <v>120g</v>
          </cell>
          <cell r="M3563" t="str">
            <v>袋</v>
          </cell>
          <cell r="N3563">
            <v>6.25</v>
          </cell>
          <cell r="O3563">
            <v>9.9</v>
          </cell>
          <cell r="P3563">
            <v>0.36868686868686901</v>
          </cell>
        </row>
        <row r="3564">
          <cell r="F3564" t="str">
            <v>70712757</v>
          </cell>
          <cell r="G3564" t="str">
            <v>溜溜梅</v>
          </cell>
          <cell r="H3564" t="str">
            <v>溜溜梅</v>
          </cell>
          <cell r="I3564" t="str">
            <v>零食</v>
          </cell>
          <cell r="J3564" t="str">
            <v>果冻</v>
          </cell>
          <cell r="K3564" t="str">
            <v>溜溜梅 蓝莓奇异果NFC梅冻 120g</v>
          </cell>
          <cell r="L3564" t="str">
            <v>120g</v>
          </cell>
          <cell r="M3564" t="str">
            <v>袋</v>
          </cell>
          <cell r="N3564">
            <v>6.25</v>
          </cell>
          <cell r="O3564">
            <v>9.9</v>
          </cell>
          <cell r="P3564">
            <v>0.36868686868686901</v>
          </cell>
        </row>
        <row r="3565">
          <cell r="F3565" t="str">
            <v>70712977</v>
          </cell>
          <cell r="G3565" t="str">
            <v>溜溜梅</v>
          </cell>
          <cell r="H3565" t="str">
            <v>溜溜梅</v>
          </cell>
          <cell r="I3565" t="str">
            <v>零食</v>
          </cell>
          <cell r="J3565" t="str">
            <v>蜜饯</v>
          </cell>
          <cell r="K3565" t="str">
            <v>溜溜梅 咔哩梅原味 136g</v>
          </cell>
          <cell r="L3565" t="str">
            <v>136g</v>
          </cell>
          <cell r="M3565" t="str">
            <v>袋</v>
          </cell>
          <cell r="N3565">
            <v>6.57</v>
          </cell>
          <cell r="O3565">
            <v>12.9</v>
          </cell>
          <cell r="P3565">
            <v>0.49069767441860501</v>
          </cell>
        </row>
        <row r="3566">
          <cell r="F3566" t="str">
            <v>70712946</v>
          </cell>
          <cell r="G3566" t="str">
            <v>溜溜梅</v>
          </cell>
          <cell r="H3566" t="str">
            <v>溜溜梅</v>
          </cell>
          <cell r="I3566" t="str">
            <v>零食</v>
          </cell>
          <cell r="J3566" t="str">
            <v>蜜饯</v>
          </cell>
          <cell r="K3566" t="str">
            <v>溜溜梅 咔哩梅白桃味 136g</v>
          </cell>
          <cell r="L3566" t="str">
            <v>136g</v>
          </cell>
          <cell r="M3566" t="str">
            <v>袋</v>
          </cell>
          <cell r="N3566">
            <v>6.57</v>
          </cell>
          <cell r="O3566">
            <v>12.9</v>
          </cell>
          <cell r="P3566">
            <v>0.49069767441860501</v>
          </cell>
        </row>
        <row r="3567">
          <cell r="F3567" t="str">
            <v>70711042</v>
          </cell>
          <cell r="G3567" t="str">
            <v>溜溜梅</v>
          </cell>
          <cell r="H3567" t="str">
            <v>溜溜梅</v>
          </cell>
          <cell r="I3567" t="str">
            <v>零食</v>
          </cell>
          <cell r="J3567" t="str">
            <v>蜜饯</v>
          </cell>
          <cell r="K3567" t="str">
            <v>溜溜梅 黑糖阿胶清梅 80g</v>
          </cell>
          <cell r="L3567" t="str">
            <v>80g</v>
          </cell>
          <cell r="M3567" t="str">
            <v>袋</v>
          </cell>
          <cell r="N3567">
            <v>6.69</v>
          </cell>
          <cell r="O3567">
            <v>12.9</v>
          </cell>
          <cell r="P3567">
            <v>0.48139534883720903</v>
          </cell>
        </row>
        <row r="3568">
          <cell r="F3568" t="str">
            <v>70287712</v>
          </cell>
          <cell r="G3568" t="str">
            <v>溜溜梅</v>
          </cell>
          <cell r="H3568" t="str">
            <v>溜溜梅</v>
          </cell>
          <cell r="I3568" t="str">
            <v>零食</v>
          </cell>
          <cell r="J3568" t="str">
            <v>蜜饯</v>
          </cell>
          <cell r="K3568" t="str">
            <v>溜溜梅 冻杨梅 120g</v>
          </cell>
          <cell r="L3568" t="str">
            <v>120g</v>
          </cell>
          <cell r="M3568" t="str">
            <v>袋</v>
          </cell>
          <cell r="N3568">
            <v>9.49</v>
          </cell>
          <cell r="O3568">
            <v>15</v>
          </cell>
          <cell r="P3568">
            <v>0.36733333333333301</v>
          </cell>
        </row>
        <row r="3569">
          <cell r="F3569" t="str">
            <v>70711041</v>
          </cell>
          <cell r="G3569" t="str">
            <v>溜溜梅</v>
          </cell>
          <cell r="H3569" t="str">
            <v>溜溜梅</v>
          </cell>
          <cell r="I3569" t="str">
            <v>零食</v>
          </cell>
          <cell r="J3569" t="str">
            <v>蜜饯</v>
          </cell>
          <cell r="K3569" t="str">
            <v>溜溜梅 黑咖西梅 108g</v>
          </cell>
          <cell r="L3569" t="str">
            <v>108g</v>
          </cell>
          <cell r="M3569" t="str">
            <v>袋</v>
          </cell>
          <cell r="N3569">
            <v>8.08</v>
          </cell>
          <cell r="O3569">
            <v>14.9</v>
          </cell>
          <cell r="P3569">
            <v>0.457718120805369</v>
          </cell>
        </row>
        <row r="3570">
          <cell r="F3570" t="str">
            <v>70004645</v>
          </cell>
          <cell r="G3570" t="str">
            <v>溜溜梅</v>
          </cell>
          <cell r="H3570" t="str">
            <v>溜溜梅</v>
          </cell>
          <cell r="I3570" t="str">
            <v>零食</v>
          </cell>
          <cell r="J3570" t="str">
            <v>蜜饯</v>
          </cell>
          <cell r="K3570" t="str">
            <v>溜溜梅 话梅 80g</v>
          </cell>
          <cell r="L3570" t="str">
            <v>80g</v>
          </cell>
          <cell r="M3570" t="str">
            <v>袋</v>
          </cell>
          <cell r="N3570">
            <v>9.09</v>
          </cell>
          <cell r="O3570">
            <v>18.8</v>
          </cell>
          <cell r="P3570">
            <v>0.516489361702128</v>
          </cell>
        </row>
        <row r="3571">
          <cell r="F3571" t="str">
            <v>70713115</v>
          </cell>
          <cell r="G3571" t="str">
            <v>溜溜梅</v>
          </cell>
          <cell r="H3571" t="str">
            <v>溜溜梅</v>
          </cell>
          <cell r="I3571" t="str">
            <v>零食</v>
          </cell>
          <cell r="J3571" t="str">
            <v>蜜饯</v>
          </cell>
          <cell r="K3571" t="str">
            <v>溜溜梅 台湾凤梨啵啵梅 80g</v>
          </cell>
          <cell r="L3571" t="str">
            <v>80g</v>
          </cell>
          <cell r="M3571" t="str">
            <v>袋</v>
          </cell>
          <cell r="N3571">
            <v>6.57</v>
          </cell>
          <cell r="O3571">
            <v>12.9</v>
          </cell>
          <cell r="P3571">
            <v>0.49069767441860501</v>
          </cell>
        </row>
        <row r="3572">
          <cell r="F3572" t="str">
            <v>70711039</v>
          </cell>
          <cell r="G3572" t="str">
            <v>溜溜梅</v>
          </cell>
          <cell r="H3572" t="str">
            <v>溜溜梅</v>
          </cell>
          <cell r="I3572" t="str">
            <v>零食</v>
          </cell>
          <cell r="J3572" t="str">
            <v>蜜饯</v>
          </cell>
          <cell r="K3572" t="str">
            <v>溜溜梅 上海黄桃QQ梅 80g</v>
          </cell>
          <cell r="L3572" t="str">
            <v>80g</v>
          </cell>
          <cell r="M3572" t="str">
            <v>袋</v>
          </cell>
          <cell r="N3572">
            <v>6.57</v>
          </cell>
          <cell r="O3572">
            <v>12.9</v>
          </cell>
          <cell r="P3572">
            <v>0.49069767441860501</v>
          </cell>
        </row>
        <row r="3573">
          <cell r="F3573" t="str">
            <v>70711037</v>
          </cell>
          <cell r="G3573" t="str">
            <v>溜溜梅</v>
          </cell>
          <cell r="H3573" t="str">
            <v>溜溜梅</v>
          </cell>
          <cell r="I3573" t="str">
            <v>零食</v>
          </cell>
          <cell r="J3573" t="str">
            <v>蜜饯</v>
          </cell>
          <cell r="K3573" t="str">
            <v>溜溜梅 海南芒果抱抱梅 70g</v>
          </cell>
          <cell r="L3573" t="str">
            <v>70g</v>
          </cell>
          <cell r="M3573" t="str">
            <v>袋</v>
          </cell>
          <cell r="N3573">
            <v>6.57</v>
          </cell>
          <cell r="O3573">
            <v>12.9</v>
          </cell>
          <cell r="P3573">
            <v>0.49069767441860501</v>
          </cell>
        </row>
        <row r="3574">
          <cell r="F3574" t="str">
            <v>70711038</v>
          </cell>
          <cell r="G3574" t="str">
            <v>溜溜梅</v>
          </cell>
          <cell r="H3574" t="str">
            <v>溜溜梅</v>
          </cell>
          <cell r="I3574" t="str">
            <v>零食</v>
          </cell>
          <cell r="J3574" t="str">
            <v>果冻</v>
          </cell>
          <cell r="K3574" t="str">
            <v>溜溜梅 3味电解质冰沙梅冻 100g</v>
          </cell>
          <cell r="L3574" t="str">
            <v>100g</v>
          </cell>
          <cell r="M3574" t="str">
            <v>袋</v>
          </cell>
          <cell r="N3574">
            <v>3.64</v>
          </cell>
          <cell r="O3574">
            <v>7.9</v>
          </cell>
          <cell r="P3574">
            <v>0.53924050632911402</v>
          </cell>
        </row>
        <row r="3575">
          <cell r="F3575" t="str">
            <v>70711040</v>
          </cell>
          <cell r="G3575" t="str">
            <v>溜溜梅</v>
          </cell>
          <cell r="H3575" t="str">
            <v>溜溜梅</v>
          </cell>
          <cell r="I3575" t="str">
            <v>零食</v>
          </cell>
          <cell r="J3575" t="str">
            <v>果冻</v>
          </cell>
          <cell r="K3575" t="str">
            <v>溜溜梅 3味电解质冰沙梅冻 200g</v>
          </cell>
          <cell r="L3575" t="str">
            <v>200g</v>
          </cell>
          <cell r="M3575" t="str">
            <v>袋</v>
          </cell>
          <cell r="N3575">
            <v>6.57</v>
          </cell>
          <cell r="O3575">
            <v>13.9</v>
          </cell>
          <cell r="P3575">
            <v>0.52733812949640302</v>
          </cell>
        </row>
        <row r="3576">
          <cell r="F3576" t="str">
            <v>70712975</v>
          </cell>
          <cell r="G3576" t="str">
            <v>溜溜梅</v>
          </cell>
          <cell r="H3576" t="str">
            <v>溜溜梅</v>
          </cell>
          <cell r="I3576" t="str">
            <v>零食</v>
          </cell>
          <cell r="J3576" t="str">
            <v>蜜饯</v>
          </cell>
          <cell r="K3576" t="str">
            <v>溜溜梅 陈皮梅条 80g</v>
          </cell>
          <cell r="L3576" t="str">
            <v>80g</v>
          </cell>
          <cell r="M3576" t="str">
            <v>袋</v>
          </cell>
          <cell r="N3576">
            <v>6.57</v>
          </cell>
          <cell r="O3576">
            <v>12.9</v>
          </cell>
          <cell r="P3576">
            <v>0.49069767441860501</v>
          </cell>
        </row>
        <row r="3577">
          <cell r="F3577" t="str">
            <v>70112348</v>
          </cell>
          <cell r="G3577" t="str">
            <v>无穷</v>
          </cell>
          <cell r="H3577" t="str">
            <v>无穷</v>
          </cell>
          <cell r="I3577" t="str">
            <v>零食</v>
          </cell>
          <cell r="J3577" t="str">
            <v>肉脯</v>
          </cell>
          <cell r="K3577" t="str">
            <v>无穷 盐焗鸡腿 70g</v>
          </cell>
          <cell r="L3577" t="str">
            <v>70g</v>
          </cell>
          <cell r="M3577" t="str">
            <v>个</v>
          </cell>
          <cell r="N3577">
            <v>12.83</v>
          </cell>
          <cell r="O3577">
            <v>23</v>
          </cell>
          <cell r="P3577">
            <v>0.44217391304347797</v>
          </cell>
        </row>
        <row r="3578">
          <cell r="F3578" t="str">
            <v>70037278</v>
          </cell>
          <cell r="G3578" t="str">
            <v>无穷</v>
          </cell>
          <cell r="H3578" t="str">
            <v>无穷</v>
          </cell>
          <cell r="I3578" t="str">
            <v>零食</v>
          </cell>
          <cell r="J3578" t="str">
            <v>肉脯</v>
          </cell>
          <cell r="K3578" t="str">
            <v>无穷 爱辣鸡米（铝膜） 60g</v>
          </cell>
          <cell r="L3578" t="str">
            <v>60g</v>
          </cell>
          <cell r="M3578" t="str">
            <v>个</v>
          </cell>
          <cell r="N3578">
            <v>7.88</v>
          </cell>
          <cell r="O3578">
            <v>13.9</v>
          </cell>
          <cell r="P3578">
            <v>0.433093525179856</v>
          </cell>
        </row>
        <row r="3579">
          <cell r="F3579" t="str">
            <v>70533924</v>
          </cell>
          <cell r="G3579" t="str">
            <v>无穷</v>
          </cell>
          <cell r="H3579" t="str">
            <v>无穷</v>
          </cell>
          <cell r="I3579" t="str">
            <v>零食</v>
          </cell>
          <cell r="J3579" t="str">
            <v>肉脯</v>
          </cell>
          <cell r="K3579" t="str">
            <v>无穷 酥骨香脖 30g</v>
          </cell>
          <cell r="L3579" t="str">
            <v>30g</v>
          </cell>
          <cell r="M3579" t="str">
            <v>个</v>
          </cell>
          <cell r="N3579">
            <v>2.63</v>
          </cell>
          <cell r="O3579">
            <v>4.5</v>
          </cell>
          <cell r="P3579">
            <v>0.41555555555555601</v>
          </cell>
        </row>
        <row r="3580">
          <cell r="F3580" t="str">
            <v>70533926</v>
          </cell>
          <cell r="G3580" t="str">
            <v>无穷</v>
          </cell>
          <cell r="H3580" t="str">
            <v>无穷</v>
          </cell>
          <cell r="I3580" t="str">
            <v>零食</v>
          </cell>
          <cell r="J3580" t="str">
            <v>肉脯</v>
          </cell>
          <cell r="K3580" t="str">
            <v>无穷 盐焗鸡翅 15g</v>
          </cell>
          <cell r="L3580" t="str">
            <v>15g</v>
          </cell>
          <cell r="M3580" t="str">
            <v>个</v>
          </cell>
          <cell r="N3580">
            <v>2.63</v>
          </cell>
          <cell r="O3580">
            <v>4.9000000000000004</v>
          </cell>
          <cell r="P3580">
            <v>0.46326530612244898</v>
          </cell>
        </row>
        <row r="3581">
          <cell r="F3581" t="str">
            <v>70452013</v>
          </cell>
          <cell r="G3581" t="str">
            <v>无穷</v>
          </cell>
          <cell r="H3581" t="str">
            <v>无穷</v>
          </cell>
          <cell r="I3581" t="str">
            <v>零食</v>
          </cell>
          <cell r="J3581" t="str">
            <v>肉脯</v>
          </cell>
          <cell r="K3581" t="str">
            <v>无穷 去骨盐焗鸡排(原味) 50g</v>
          </cell>
          <cell r="L3581" t="str">
            <v>50g</v>
          </cell>
          <cell r="M3581" t="str">
            <v>个</v>
          </cell>
          <cell r="N3581">
            <v>5.45</v>
          </cell>
          <cell r="O3581">
            <v>11.8</v>
          </cell>
          <cell r="P3581">
            <v>0.53813559322033899</v>
          </cell>
        </row>
        <row r="3582">
          <cell r="F3582" t="str">
            <v>70304332</v>
          </cell>
          <cell r="G3582" t="str">
            <v>无穷</v>
          </cell>
          <cell r="H3582" t="str">
            <v>无穷</v>
          </cell>
          <cell r="I3582" t="str">
            <v>零食</v>
          </cell>
          <cell r="J3582" t="str">
            <v>即食蛋</v>
          </cell>
          <cell r="K3582" t="str">
            <v>无穷 香卤鸡蛋 30g</v>
          </cell>
          <cell r="L3582" t="str">
            <v>30g</v>
          </cell>
          <cell r="M3582" t="str">
            <v>个</v>
          </cell>
          <cell r="N3582">
            <v>1.71</v>
          </cell>
          <cell r="O3582">
            <v>2.5</v>
          </cell>
          <cell r="P3582">
            <v>0.316</v>
          </cell>
        </row>
        <row r="3583">
          <cell r="F3583" t="str">
            <v>70281917</v>
          </cell>
          <cell r="G3583" t="str">
            <v>无穷</v>
          </cell>
          <cell r="H3583" t="str">
            <v>无穷</v>
          </cell>
          <cell r="I3583" t="str">
            <v>零食</v>
          </cell>
          <cell r="J3583" t="str">
            <v>肉脯</v>
          </cell>
          <cell r="K3583" t="str">
            <v>无穷 虎皮爱辣鸡蛋 25g</v>
          </cell>
          <cell r="L3583" t="str">
            <v>25g</v>
          </cell>
          <cell r="M3583" t="str">
            <v>个</v>
          </cell>
          <cell r="N3583">
            <v>1.71</v>
          </cell>
          <cell r="O3583">
            <v>3</v>
          </cell>
          <cell r="P3583">
            <v>0.43</v>
          </cell>
        </row>
        <row r="3584">
          <cell r="F3584" t="str">
            <v>70250350</v>
          </cell>
          <cell r="G3584" t="str">
            <v>无穷</v>
          </cell>
          <cell r="H3584" t="str">
            <v>无穷</v>
          </cell>
          <cell r="I3584" t="str">
            <v>零食</v>
          </cell>
          <cell r="J3584" t="str">
            <v>肉脯</v>
          </cell>
          <cell r="K3584" t="str">
            <v>无穷 烤鸡翅根(香辣味) 20g</v>
          </cell>
          <cell r="L3584" t="str">
            <v>20g</v>
          </cell>
          <cell r="M3584" t="str">
            <v>个</v>
          </cell>
          <cell r="N3584">
            <v>2.93</v>
          </cell>
          <cell r="O3584">
            <v>3.9</v>
          </cell>
          <cell r="P3584">
            <v>0.248717948717949</v>
          </cell>
        </row>
        <row r="3585">
          <cell r="F3585" t="str">
            <v>70712750</v>
          </cell>
          <cell r="G3585" t="str">
            <v>无穷</v>
          </cell>
          <cell r="H3585" t="str">
            <v>无穷</v>
          </cell>
          <cell r="I3585" t="str">
            <v>零食</v>
          </cell>
          <cell r="J3585" t="str">
            <v>肉脯</v>
          </cell>
          <cell r="K3585" t="str">
            <v>无穷 好事无穷礼盒 473g</v>
          </cell>
          <cell r="L3585" t="str">
            <v>473g</v>
          </cell>
          <cell r="M3585" t="str">
            <v>盒</v>
          </cell>
          <cell r="N3585">
            <v>61.61</v>
          </cell>
          <cell r="O3585">
            <v>89</v>
          </cell>
          <cell r="P3585">
            <v>0.307752808988764</v>
          </cell>
        </row>
        <row r="3586">
          <cell r="F3586" t="str">
            <v>70713119</v>
          </cell>
          <cell r="G3586" t="str">
            <v>无穷</v>
          </cell>
          <cell r="H3586" t="str">
            <v>无穷</v>
          </cell>
          <cell r="I3586" t="str">
            <v>零食</v>
          </cell>
          <cell r="J3586" t="str">
            <v>肉脯</v>
          </cell>
          <cell r="K3586" t="str">
            <v>无穷 福气无穷礼盒 626g</v>
          </cell>
          <cell r="L3586" t="str">
            <v>626g</v>
          </cell>
          <cell r="M3586" t="str">
            <v>盒</v>
          </cell>
          <cell r="N3586">
            <v>79.790000000000006</v>
          </cell>
          <cell r="O3586">
            <v>135</v>
          </cell>
          <cell r="P3586">
            <v>0.40896296296296297</v>
          </cell>
        </row>
        <row r="3587">
          <cell r="F3587" t="str">
            <v>70712754</v>
          </cell>
          <cell r="G3587" t="str">
            <v>永健</v>
          </cell>
          <cell r="H3587" t="str">
            <v>永健</v>
          </cell>
          <cell r="I3587" t="str">
            <v>零食</v>
          </cell>
          <cell r="J3587" t="str">
            <v>酱菜</v>
          </cell>
          <cell r="K3587" t="str">
            <v>永健 红腰豆(酸菜味) 140g</v>
          </cell>
          <cell r="L3587" t="str">
            <v>140g</v>
          </cell>
          <cell r="M3587" t="str">
            <v>袋</v>
          </cell>
          <cell r="N3587">
            <v>6.25</v>
          </cell>
          <cell r="O3587">
            <v>8.5</v>
          </cell>
          <cell r="P3587">
            <v>0.26470588235294101</v>
          </cell>
        </row>
        <row r="3588">
          <cell r="F3588" t="str">
            <v>70712753</v>
          </cell>
          <cell r="G3588" t="str">
            <v>永健</v>
          </cell>
          <cell r="H3588" t="str">
            <v>永健</v>
          </cell>
          <cell r="I3588" t="str">
            <v>零食</v>
          </cell>
          <cell r="J3588" t="str">
            <v>酱菜</v>
          </cell>
          <cell r="K3588" t="str">
            <v>永健 红腰豆(泡椒味） 140g</v>
          </cell>
          <cell r="L3588" t="str">
            <v>140g</v>
          </cell>
          <cell r="M3588" t="str">
            <v>袋</v>
          </cell>
          <cell r="N3588">
            <v>6.25</v>
          </cell>
          <cell r="O3588">
            <v>8.5</v>
          </cell>
          <cell r="P3588">
            <v>0.26470588235294101</v>
          </cell>
        </row>
        <row r="3589">
          <cell r="F3589" t="str">
            <v>70712943</v>
          </cell>
          <cell r="G3589" t="str">
            <v>永健</v>
          </cell>
          <cell r="H3589" t="str">
            <v>永健</v>
          </cell>
          <cell r="I3589" t="str">
            <v>零食</v>
          </cell>
          <cell r="J3589" t="str">
            <v>肉脯</v>
          </cell>
          <cell r="K3589" t="str">
            <v>永健 脆笋脱骨凤爪(酸辣柠檬味) 68g</v>
          </cell>
          <cell r="L3589" t="str">
            <v>68g</v>
          </cell>
          <cell r="M3589" t="str">
            <v>袋</v>
          </cell>
          <cell r="N3589">
            <v>9.31</v>
          </cell>
          <cell r="O3589">
            <v>12.8</v>
          </cell>
          <cell r="P3589">
            <v>0.27265624999999999</v>
          </cell>
        </row>
        <row r="3590">
          <cell r="F3590" t="str">
            <v>70712945</v>
          </cell>
          <cell r="G3590" t="str">
            <v>永健</v>
          </cell>
          <cell r="H3590" t="str">
            <v>永健</v>
          </cell>
          <cell r="I3590" t="str">
            <v>零食</v>
          </cell>
          <cell r="J3590" t="str">
            <v>肉脯</v>
          </cell>
          <cell r="K3590" t="str">
            <v>永健 脆笋脱骨凤爪(韩式味) 68g</v>
          </cell>
          <cell r="L3590" t="str">
            <v>68g</v>
          </cell>
          <cell r="M3590" t="str">
            <v>袋</v>
          </cell>
          <cell r="N3590">
            <v>9.31</v>
          </cell>
          <cell r="O3590">
            <v>12.8</v>
          </cell>
          <cell r="P3590">
            <v>0.27265624999999999</v>
          </cell>
        </row>
        <row r="3591">
          <cell r="F3591" t="str">
            <v>70712976</v>
          </cell>
          <cell r="G3591" t="str">
            <v>永健</v>
          </cell>
          <cell r="H3591" t="str">
            <v>永健</v>
          </cell>
          <cell r="I3591" t="str">
            <v>零食</v>
          </cell>
          <cell r="J3591" t="str">
            <v>肉脯</v>
          </cell>
          <cell r="K3591" t="str">
            <v>永健 脆笋脱骨凤爪(酸汤味) 68g</v>
          </cell>
          <cell r="L3591" t="str">
            <v>68g</v>
          </cell>
          <cell r="M3591" t="str">
            <v>袋</v>
          </cell>
          <cell r="N3591">
            <v>9.31</v>
          </cell>
          <cell r="O3591">
            <v>12.8</v>
          </cell>
          <cell r="P3591">
            <v>0.27265624999999999</v>
          </cell>
        </row>
        <row r="3592">
          <cell r="F3592" t="str">
            <v>70712957</v>
          </cell>
          <cell r="G3592" t="str">
            <v>白家陈记</v>
          </cell>
          <cell r="H3592" t="str">
            <v>白家陈记</v>
          </cell>
          <cell r="I3592" t="str">
            <v>速食</v>
          </cell>
          <cell r="J3592" t="str">
            <v>速食粉</v>
          </cell>
          <cell r="K3592" t="str">
            <v>白家陈记 红薯肉臊酸辣粉 136g</v>
          </cell>
          <cell r="L3592" t="str">
            <v>136g</v>
          </cell>
          <cell r="M3592" t="str">
            <v>桶</v>
          </cell>
          <cell r="N3592">
            <v>4.79</v>
          </cell>
          <cell r="O3592">
            <v>6.5</v>
          </cell>
          <cell r="P3592">
            <v>0.26307692307692299</v>
          </cell>
        </row>
        <row r="3593">
          <cell r="F3593" t="str">
            <v>70566583</v>
          </cell>
          <cell r="G3593" t="str">
            <v>阿宽</v>
          </cell>
          <cell r="H3593" t="str">
            <v>阿宽</v>
          </cell>
          <cell r="I3593" t="str">
            <v>速食</v>
          </cell>
          <cell r="J3593" t="str">
            <v>包装方便食品</v>
          </cell>
          <cell r="K3593" t="str">
            <v>阿宽 红油面皮红油酸辣味超大桶装 157g</v>
          </cell>
          <cell r="L3593" t="str">
            <v>157g</v>
          </cell>
          <cell r="M3593" t="str">
            <v>桶</v>
          </cell>
          <cell r="N3593">
            <v>4.5199999999999996</v>
          </cell>
          <cell r="O3593">
            <v>6</v>
          </cell>
          <cell r="P3593">
            <v>0.24666666666666701</v>
          </cell>
        </row>
        <row r="3594">
          <cell r="F3594" t="str">
            <v>70712752</v>
          </cell>
          <cell r="G3594" t="str">
            <v>阿宽</v>
          </cell>
          <cell r="H3594" t="str">
            <v>阿宽</v>
          </cell>
          <cell r="I3594" t="str">
            <v>速食</v>
          </cell>
          <cell r="J3594" t="str">
            <v>包装方便食品</v>
          </cell>
          <cell r="K3594" t="str">
            <v>阿宽 红油面皮麻酱火鸡味超大桶装 165g</v>
          </cell>
          <cell r="L3594" t="str">
            <v>165g</v>
          </cell>
          <cell r="M3594" t="str">
            <v>桶</v>
          </cell>
          <cell r="N3594">
            <v>4.5199999999999996</v>
          </cell>
          <cell r="O3594">
            <v>6</v>
          </cell>
          <cell r="P3594">
            <v>0.24666666666666701</v>
          </cell>
        </row>
        <row r="3595">
          <cell r="F3595" t="str">
            <v>70711125</v>
          </cell>
          <cell r="G3595" t="str">
            <v>阿宽</v>
          </cell>
          <cell r="H3595" t="str">
            <v>阿宽</v>
          </cell>
          <cell r="I3595" t="str">
            <v>速食</v>
          </cell>
          <cell r="J3595" t="str">
            <v>包装方便食品</v>
          </cell>
          <cell r="K3595" t="str">
            <v>阿宽 双拼火鸡面香辣火鸡味 157g</v>
          </cell>
          <cell r="L3595" t="str">
            <v>157g</v>
          </cell>
          <cell r="M3595" t="str">
            <v>桶</v>
          </cell>
          <cell r="N3595">
            <v>4.5199999999999996</v>
          </cell>
          <cell r="O3595">
            <v>6</v>
          </cell>
          <cell r="P3595">
            <v>0.24666666666666701</v>
          </cell>
        </row>
        <row r="3596">
          <cell r="F3596" t="str">
            <v>70711126</v>
          </cell>
          <cell r="G3596" t="str">
            <v>阿宽</v>
          </cell>
          <cell r="H3596" t="str">
            <v>阿宽</v>
          </cell>
          <cell r="I3596" t="str">
            <v>速食</v>
          </cell>
          <cell r="J3596" t="str">
            <v>包装方便食品</v>
          </cell>
          <cell r="K3596" t="str">
            <v>阿宽 老成都铺盖面川式辣卤牛肉味大碗宽面 144g</v>
          </cell>
          <cell r="L3596" t="str">
            <v>144g</v>
          </cell>
          <cell r="M3596" t="str">
            <v>桶</v>
          </cell>
          <cell r="N3596">
            <v>4.5199999999999996</v>
          </cell>
          <cell r="O3596">
            <v>6</v>
          </cell>
          <cell r="P3596">
            <v>0.24666666666666701</v>
          </cell>
        </row>
        <row r="3597">
          <cell r="F3597" t="str">
            <v>70713165</v>
          </cell>
          <cell r="G3597" t="str">
            <v>康师傅顶益</v>
          </cell>
          <cell r="H3597" t="str">
            <v>康师傅顶益</v>
          </cell>
          <cell r="I3597" t="str">
            <v>速食</v>
          </cell>
          <cell r="J3597" t="str">
            <v>包装方便食品</v>
          </cell>
          <cell r="K3597" t="str">
            <v>康师傅 BIG桶老母鸡 144g</v>
          </cell>
          <cell r="L3597" t="str">
            <v>144g</v>
          </cell>
          <cell r="M3597" t="str">
            <v>桶</v>
          </cell>
          <cell r="N3597">
            <v>4.7300000000000004</v>
          </cell>
          <cell r="O3597">
            <v>6</v>
          </cell>
          <cell r="P3597">
            <v>0.211666666666667</v>
          </cell>
        </row>
        <row r="3598">
          <cell r="F3598" t="str">
            <v>70712742</v>
          </cell>
          <cell r="G3598" t="str">
            <v>康师傅顶益</v>
          </cell>
          <cell r="H3598" t="str">
            <v>康师傅顶益</v>
          </cell>
          <cell r="I3598" t="str">
            <v>速食</v>
          </cell>
          <cell r="J3598" t="str">
            <v>包装方便食品</v>
          </cell>
          <cell r="K3598" t="str">
            <v>康师傅 PREMIUM红烧牛肉面 70g</v>
          </cell>
          <cell r="L3598" t="str">
            <v>70g</v>
          </cell>
          <cell r="M3598" t="str">
            <v>桶</v>
          </cell>
          <cell r="N3598">
            <v>4.1399999999999997</v>
          </cell>
          <cell r="O3598">
            <v>6</v>
          </cell>
          <cell r="P3598">
            <v>0.31</v>
          </cell>
        </row>
        <row r="3599">
          <cell r="F3599" t="str">
            <v>70711123</v>
          </cell>
          <cell r="G3599" t="str">
            <v>康师傅顶益</v>
          </cell>
          <cell r="H3599" t="str">
            <v>康师傅顶益</v>
          </cell>
          <cell r="I3599" t="str">
            <v>速食</v>
          </cell>
          <cell r="J3599" t="str">
            <v>包装方便食品</v>
          </cell>
          <cell r="K3599" t="str">
            <v>康师傅 PREMIUM鲜虾鱼板面 70g</v>
          </cell>
          <cell r="L3599" t="str">
            <v>70g</v>
          </cell>
          <cell r="M3599" t="str">
            <v>桶</v>
          </cell>
          <cell r="N3599">
            <v>4.1399999999999997</v>
          </cell>
          <cell r="O3599">
            <v>6</v>
          </cell>
          <cell r="P3599">
            <v>0.31</v>
          </cell>
        </row>
        <row r="3600">
          <cell r="F3600" t="str">
            <v>70395452</v>
          </cell>
          <cell r="G3600" t="str">
            <v>银鹭</v>
          </cell>
          <cell r="H3600" t="str">
            <v>银鹭</v>
          </cell>
          <cell r="I3600" t="str">
            <v>包装饮料</v>
          </cell>
          <cell r="J3600" t="str">
            <v>奶类饮料</v>
          </cell>
          <cell r="K3600" t="str">
            <v>银鹭 牛奶花生 360g</v>
          </cell>
          <cell r="L3600" t="str">
            <v>360g</v>
          </cell>
          <cell r="M3600" t="str">
            <v>罐</v>
          </cell>
          <cell r="N3600">
            <v>3.33</v>
          </cell>
          <cell r="O3600">
            <v>4.5</v>
          </cell>
          <cell r="P3600">
            <v>0.26</v>
          </cell>
        </row>
        <row r="3601">
          <cell r="F3601" t="str">
            <v>70712933</v>
          </cell>
          <cell r="G3601" t="str">
            <v>联合利华</v>
          </cell>
          <cell r="H3601" t="str">
            <v>力士</v>
          </cell>
          <cell r="I3601" t="str">
            <v>个人护理用品</v>
          </cell>
          <cell r="J3601" t="str">
            <v>皂类</v>
          </cell>
          <cell r="K3601" t="str">
            <v>力士 美肤香氛皂栀子白桃香 60X 100G</v>
          </cell>
          <cell r="L3601" t="str">
            <v>100G</v>
          </cell>
          <cell r="M3601" t="str">
            <v>个</v>
          </cell>
          <cell r="N3601">
            <v>7.47</v>
          </cell>
          <cell r="O3601">
            <v>9.9</v>
          </cell>
          <cell r="P3601">
            <v>0.24545454545454601</v>
          </cell>
        </row>
        <row r="3602">
          <cell r="F3602" t="str">
            <v>70712964</v>
          </cell>
          <cell r="G3602" t="str">
            <v>联合利华</v>
          </cell>
          <cell r="H3602" t="str">
            <v>力士</v>
          </cell>
          <cell r="I3602" t="str">
            <v>个人护理用品</v>
          </cell>
          <cell r="J3602" t="str">
            <v>皂类</v>
          </cell>
          <cell r="K3602" t="str">
            <v>力士 美肤香氛皂清橘海盐香 60X 100G</v>
          </cell>
          <cell r="L3602" t="str">
            <v>100G</v>
          </cell>
          <cell r="M3602" t="str">
            <v>个</v>
          </cell>
          <cell r="N3602">
            <v>7.47</v>
          </cell>
          <cell r="O3602">
            <v>9.9</v>
          </cell>
          <cell r="P3602">
            <v>0.24545454545454601</v>
          </cell>
        </row>
        <row r="3603">
          <cell r="F3603" t="str">
            <v>70711064</v>
          </cell>
          <cell r="G3603" t="str">
            <v>联合利华</v>
          </cell>
          <cell r="H3603" t="str">
            <v>力士</v>
          </cell>
          <cell r="I3603" t="str">
            <v>个人护理用品</v>
          </cell>
          <cell r="J3603" t="str">
            <v>皂类</v>
          </cell>
          <cell r="K3603" t="str">
            <v>力士 美肤香氛皂墨兰葡萄香 60X 100G</v>
          </cell>
          <cell r="L3603" t="str">
            <v>100G</v>
          </cell>
          <cell r="M3603" t="str">
            <v>个</v>
          </cell>
          <cell r="N3603">
            <v>7.47</v>
          </cell>
          <cell r="O3603">
            <v>9.9</v>
          </cell>
          <cell r="P3603">
            <v>0.24545454545454601</v>
          </cell>
        </row>
        <row r="3604">
          <cell r="F3604" t="str">
            <v>70712972</v>
          </cell>
          <cell r="G3604" t="str">
            <v>联合利华</v>
          </cell>
          <cell r="H3604" t="str">
            <v>力士</v>
          </cell>
          <cell r="I3604" t="str">
            <v>个人护理用品</v>
          </cell>
          <cell r="J3604" t="str">
            <v>沐浴液</v>
          </cell>
          <cell r="K3604" t="str">
            <v>力士 心情香氛沐浴露墨兰乌木香 12X 700G</v>
          </cell>
          <cell r="L3604" t="str">
            <v>700G</v>
          </cell>
          <cell r="M3604" t="str">
            <v>瓶</v>
          </cell>
          <cell r="N3604">
            <v>30.3</v>
          </cell>
          <cell r="O3604">
            <v>39.9</v>
          </cell>
          <cell r="P3604">
            <v>0.24060150375939801</v>
          </cell>
        </row>
        <row r="3605">
          <cell r="F3605" t="str">
            <v>70711049</v>
          </cell>
          <cell r="G3605" t="str">
            <v>联合利华</v>
          </cell>
          <cell r="H3605" t="str">
            <v>力士</v>
          </cell>
          <cell r="I3605" t="str">
            <v>个人护理用品</v>
          </cell>
          <cell r="J3605" t="str">
            <v>沐浴液</v>
          </cell>
          <cell r="K3605" t="str">
            <v>力士 心情香氛沐浴露竹林青柚香 12X 700G</v>
          </cell>
          <cell r="L3605" t="str">
            <v>700G</v>
          </cell>
          <cell r="M3605" t="str">
            <v>瓶</v>
          </cell>
          <cell r="N3605">
            <v>30.3</v>
          </cell>
          <cell r="O3605">
            <v>39.9</v>
          </cell>
          <cell r="P3605">
            <v>0.24060150375939801</v>
          </cell>
        </row>
        <row r="3606">
          <cell r="F3606" t="str">
            <v>70712760</v>
          </cell>
          <cell r="G3606" t="str">
            <v>联合利华</v>
          </cell>
          <cell r="H3606" t="str">
            <v>力士</v>
          </cell>
          <cell r="I3606" t="str">
            <v>个人护理用品</v>
          </cell>
          <cell r="J3606" t="str">
            <v>沐浴液</v>
          </cell>
          <cell r="K3606" t="str">
            <v>力士 心情香氛沐浴露茉莉琥珀香 12X 700G</v>
          </cell>
          <cell r="L3606" t="str">
            <v>700G</v>
          </cell>
          <cell r="M3606" t="str">
            <v>瓶</v>
          </cell>
          <cell r="N3606">
            <v>30.3</v>
          </cell>
          <cell r="O3606">
            <v>39.9</v>
          </cell>
          <cell r="P3606">
            <v>0.24060150375939801</v>
          </cell>
        </row>
        <row r="3607">
          <cell r="F3607" t="str">
            <v>70711048</v>
          </cell>
          <cell r="G3607" t="str">
            <v>联合利华</v>
          </cell>
          <cell r="H3607" t="str">
            <v>力士</v>
          </cell>
          <cell r="I3607" t="str">
            <v>个人护理用品</v>
          </cell>
          <cell r="J3607" t="str">
            <v>沐浴液</v>
          </cell>
          <cell r="K3607" t="str">
            <v>力士 心情香氛沐浴露竹林青柚香 12X 400G</v>
          </cell>
          <cell r="L3607" t="str">
            <v>400G</v>
          </cell>
          <cell r="M3607" t="str">
            <v>瓶</v>
          </cell>
          <cell r="N3607">
            <v>22.73</v>
          </cell>
          <cell r="O3607">
            <v>29.9</v>
          </cell>
          <cell r="P3607">
            <v>0.23979933110367899</v>
          </cell>
        </row>
        <row r="3608">
          <cell r="F3608" t="str">
            <v>70157879</v>
          </cell>
          <cell r="G3608" t="str">
            <v>农夫山泉</v>
          </cell>
          <cell r="H3608" t="str">
            <v>维他命水</v>
          </cell>
          <cell r="I3608" t="str">
            <v>包装饮料</v>
          </cell>
          <cell r="J3608" t="str">
            <v>功能饮料</v>
          </cell>
          <cell r="K3608" t="str">
            <v>农夫山泉 维他命水热带水果风味 500mL</v>
          </cell>
          <cell r="L3608" t="str">
            <v>500mL</v>
          </cell>
          <cell r="M3608" t="str">
            <v>瓶</v>
          </cell>
          <cell r="N3608">
            <v>3.43</v>
          </cell>
          <cell r="O3608">
            <v>5</v>
          </cell>
          <cell r="P3608">
            <v>0.30599999999999999</v>
          </cell>
        </row>
        <row r="3609">
          <cell r="F3609" t="str">
            <v>70712765</v>
          </cell>
          <cell r="G3609" t="str">
            <v>中粮名庄荟</v>
          </cell>
          <cell r="H3609" t="str">
            <v>老古坊</v>
          </cell>
          <cell r="I3609" t="str">
            <v>酒类</v>
          </cell>
          <cell r="J3609" t="str">
            <v>白酒</v>
          </cell>
          <cell r="K3609" t="str">
            <v>中粮 老古坊福酒 500ml</v>
          </cell>
          <cell r="L3609" t="str">
            <v>500ml</v>
          </cell>
          <cell r="M3609" t="str">
            <v>瓶</v>
          </cell>
          <cell r="N3609">
            <v>88.88</v>
          </cell>
          <cell r="O3609">
            <v>198</v>
          </cell>
          <cell r="P3609">
            <v>0.551111111111111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39"/>
  <sheetViews>
    <sheetView tabSelected="1" topLeftCell="A13" workbookViewId="0">
      <selection activeCell="G16" sqref="G16:G18"/>
    </sheetView>
  </sheetViews>
  <sheetFormatPr defaultColWidth="8.7265625" defaultRowHeight="13"/>
  <cols>
    <col min="1" max="1" width="12.1796875" style="312" customWidth="1"/>
    <col min="2" max="2" width="8" style="313" customWidth="1"/>
    <col min="3" max="3" width="7.453125" style="314" customWidth="1"/>
    <col min="4" max="4" width="22.08984375" style="315" customWidth="1"/>
    <col min="5" max="5" width="33.7265625" style="313" customWidth="1"/>
    <col min="6" max="6" width="40.08984375" style="313" customWidth="1"/>
    <col min="7" max="7" width="43.54296875" style="315" customWidth="1"/>
    <col min="8" max="16384" width="8.7265625" style="311"/>
  </cols>
  <sheetData>
    <row r="1" spans="1:7" s="305" customFormat="1" ht="15">
      <c r="A1" s="316" t="s">
        <v>0</v>
      </c>
      <c r="B1" s="317"/>
      <c r="C1" s="318"/>
      <c r="D1" s="319"/>
      <c r="E1" s="317"/>
      <c r="F1" s="317"/>
      <c r="G1" s="319"/>
    </row>
    <row r="2" spans="1:7" s="306" customFormat="1" ht="22.5">
      <c r="A2" s="409" t="s">
        <v>1</v>
      </c>
      <c r="B2" s="409"/>
      <c r="C2" s="409"/>
      <c r="D2" s="410"/>
      <c r="E2" s="409"/>
      <c r="F2" s="409"/>
      <c r="G2" s="410"/>
    </row>
    <row r="3" spans="1:7" s="307" customFormat="1" ht="24" customHeight="1">
      <c r="A3" s="320" t="s">
        <v>2</v>
      </c>
      <c r="B3" s="411" t="s">
        <v>3</v>
      </c>
      <c r="C3" s="412"/>
      <c r="D3" s="413"/>
      <c r="E3" s="414" t="s">
        <v>4</v>
      </c>
      <c r="F3" s="413"/>
      <c r="G3" s="321" t="s">
        <v>5</v>
      </c>
    </row>
    <row r="4" spans="1:7" s="308" customFormat="1" ht="63" customHeight="1">
      <c r="A4" s="383" t="s">
        <v>6</v>
      </c>
      <c r="B4" s="399" t="s">
        <v>7</v>
      </c>
      <c r="C4" s="399"/>
      <c r="D4" s="322" t="s">
        <v>8</v>
      </c>
      <c r="E4" s="401" t="s">
        <v>9</v>
      </c>
      <c r="F4" s="402"/>
      <c r="G4" s="324" t="s">
        <v>10</v>
      </c>
    </row>
    <row r="5" spans="1:7" s="308" customFormat="1" ht="24" customHeight="1">
      <c r="A5" s="383"/>
      <c r="B5" s="399"/>
      <c r="C5" s="399"/>
      <c r="D5" s="322" t="s">
        <v>11</v>
      </c>
      <c r="E5" s="401" t="s">
        <v>12</v>
      </c>
      <c r="F5" s="402"/>
      <c r="G5" s="324" t="s">
        <v>13</v>
      </c>
    </row>
    <row r="6" spans="1:7" s="308" customFormat="1" ht="24" customHeight="1">
      <c r="A6" s="383"/>
      <c r="B6" s="399"/>
      <c r="C6" s="399"/>
      <c r="D6" s="322" t="s">
        <v>14</v>
      </c>
      <c r="E6" s="401" t="s">
        <v>15</v>
      </c>
      <c r="F6" s="402"/>
      <c r="G6" s="324" t="s">
        <v>16</v>
      </c>
    </row>
    <row r="7" spans="1:7" s="308" customFormat="1" ht="24" customHeight="1">
      <c r="A7" s="383"/>
      <c r="B7" s="378" t="s">
        <v>17</v>
      </c>
      <c r="C7" s="378"/>
      <c r="D7" s="322" t="s">
        <v>18</v>
      </c>
      <c r="E7" s="384" t="s">
        <v>19</v>
      </c>
      <c r="F7" s="385"/>
      <c r="G7" s="325"/>
    </row>
    <row r="8" spans="1:7" s="308" customFormat="1" ht="24" customHeight="1">
      <c r="A8" s="383"/>
      <c r="B8" s="378" t="s">
        <v>20</v>
      </c>
      <c r="C8" s="378"/>
      <c r="D8" s="378"/>
      <c r="E8" s="379" t="s">
        <v>21</v>
      </c>
      <c r="F8" s="379"/>
      <c r="G8" s="324" t="s">
        <v>22</v>
      </c>
    </row>
    <row r="9" spans="1:7" s="308" customFormat="1" ht="52">
      <c r="A9" s="383"/>
      <c r="B9" s="378" t="s">
        <v>23</v>
      </c>
      <c r="C9" s="378"/>
      <c r="D9" s="324" t="s">
        <v>24</v>
      </c>
      <c r="E9" s="325" t="s">
        <v>25</v>
      </c>
      <c r="F9" s="325" t="s">
        <v>26</v>
      </c>
      <c r="G9" s="378" t="s">
        <v>27</v>
      </c>
    </row>
    <row r="10" spans="1:7" s="308" customFormat="1" ht="53" customHeight="1">
      <c r="A10" s="383"/>
      <c r="B10" s="378"/>
      <c r="C10" s="378"/>
      <c r="D10" s="325" t="s">
        <v>28</v>
      </c>
      <c r="E10" s="325" t="s">
        <v>29</v>
      </c>
      <c r="F10" s="325" t="s">
        <v>30</v>
      </c>
      <c r="G10" s="378"/>
    </row>
    <row r="11" spans="1:7" s="308" customFormat="1" ht="57" customHeight="1">
      <c r="A11" s="391" t="s">
        <v>31</v>
      </c>
      <c r="B11" s="399" t="s">
        <v>32</v>
      </c>
      <c r="C11" s="399"/>
      <c r="D11" s="322" t="s">
        <v>33</v>
      </c>
      <c r="E11" s="405" t="s">
        <v>34</v>
      </c>
      <c r="F11" s="406"/>
      <c r="G11" s="326" t="s">
        <v>35</v>
      </c>
    </row>
    <row r="12" spans="1:7" s="308" customFormat="1" ht="35" customHeight="1">
      <c r="A12" s="391"/>
      <c r="B12" s="399" t="s">
        <v>36</v>
      </c>
      <c r="C12" s="399"/>
      <c r="D12" s="322" t="s">
        <v>37</v>
      </c>
      <c r="E12" s="401" t="s">
        <v>38</v>
      </c>
      <c r="F12" s="402"/>
      <c r="G12" s="326" t="s">
        <v>39</v>
      </c>
    </row>
    <row r="13" spans="1:7" s="308" customFormat="1" ht="53" customHeight="1">
      <c r="A13" s="391"/>
      <c r="B13" s="399" t="s">
        <v>40</v>
      </c>
      <c r="C13" s="399"/>
      <c r="D13" s="322" t="s">
        <v>41</v>
      </c>
      <c r="E13" s="407" t="s">
        <v>42</v>
      </c>
      <c r="F13" s="408"/>
      <c r="G13" s="326" t="s">
        <v>43</v>
      </c>
    </row>
    <row r="14" spans="1:7" s="308" customFormat="1" ht="39" customHeight="1">
      <c r="A14" s="391"/>
      <c r="B14" s="400" t="s">
        <v>44</v>
      </c>
      <c r="C14" s="400"/>
      <c r="D14" s="400"/>
      <c r="E14" s="401" t="s">
        <v>45</v>
      </c>
      <c r="F14" s="402"/>
      <c r="G14" s="325" t="s">
        <v>46</v>
      </c>
    </row>
    <row r="15" spans="1:7" s="308" customFormat="1" ht="50" customHeight="1">
      <c r="A15" s="391"/>
      <c r="B15" s="378" t="s">
        <v>47</v>
      </c>
      <c r="C15" s="378"/>
      <c r="D15" s="378"/>
      <c r="E15" s="403" t="s">
        <v>48</v>
      </c>
      <c r="F15" s="404"/>
      <c r="G15" s="325"/>
    </row>
    <row r="16" spans="1:7" s="308" customFormat="1" ht="48" customHeight="1">
      <c r="A16" s="391" t="s">
        <v>49</v>
      </c>
      <c r="B16" s="399" t="s">
        <v>50</v>
      </c>
      <c r="C16" s="399" t="s">
        <v>51</v>
      </c>
      <c r="D16" s="325" t="s">
        <v>52</v>
      </c>
      <c r="E16" s="378" t="s">
        <v>53</v>
      </c>
      <c r="F16" s="378"/>
      <c r="G16" s="378" t="s">
        <v>3849</v>
      </c>
    </row>
    <row r="17" spans="1:7" s="308" customFormat="1" ht="32" customHeight="1">
      <c r="A17" s="391"/>
      <c r="B17" s="399"/>
      <c r="C17" s="399"/>
      <c r="D17" s="325" t="s">
        <v>54</v>
      </c>
      <c r="E17" s="378" t="s">
        <v>55</v>
      </c>
      <c r="F17" s="378"/>
      <c r="G17" s="378"/>
    </row>
    <row r="18" spans="1:7" s="308" customFormat="1" ht="31" customHeight="1">
      <c r="A18" s="391"/>
      <c r="B18" s="399"/>
      <c r="C18" s="399"/>
      <c r="D18" s="325" t="s">
        <v>56</v>
      </c>
      <c r="E18" s="378" t="s">
        <v>57</v>
      </c>
      <c r="F18" s="378"/>
      <c r="G18" s="378"/>
    </row>
    <row r="19" spans="1:7" s="308" customFormat="1" ht="49" customHeight="1">
      <c r="A19" s="391" t="s">
        <v>58</v>
      </c>
      <c r="B19" s="378" t="s">
        <v>59</v>
      </c>
      <c r="C19" s="378"/>
      <c r="D19" s="378"/>
      <c r="E19" s="378" t="s">
        <v>60</v>
      </c>
      <c r="F19" s="378"/>
      <c r="G19" s="325" t="s">
        <v>61</v>
      </c>
    </row>
    <row r="20" spans="1:7" s="308" customFormat="1" ht="93" customHeight="1">
      <c r="A20" s="391"/>
      <c r="B20" s="378" t="s">
        <v>62</v>
      </c>
      <c r="C20" s="378"/>
      <c r="D20" s="378"/>
      <c r="E20" s="378" t="s">
        <v>63</v>
      </c>
      <c r="F20" s="378"/>
      <c r="G20" s="325" t="s">
        <v>64</v>
      </c>
    </row>
    <row r="21" spans="1:7" s="308" customFormat="1" ht="46" customHeight="1">
      <c r="A21" s="391"/>
      <c r="B21" s="378" t="s">
        <v>65</v>
      </c>
      <c r="C21" s="378"/>
      <c r="D21" s="378"/>
      <c r="E21" s="378" t="s">
        <v>66</v>
      </c>
      <c r="F21" s="378"/>
      <c r="G21" s="378" t="s">
        <v>67</v>
      </c>
    </row>
    <row r="22" spans="1:7" s="308" customFormat="1" ht="46" customHeight="1">
      <c r="A22" s="391"/>
      <c r="B22" s="378"/>
      <c r="C22" s="378"/>
      <c r="D22" s="378"/>
      <c r="E22" s="378" t="s">
        <v>68</v>
      </c>
      <c r="F22" s="378"/>
      <c r="G22" s="378"/>
    </row>
    <row r="23" spans="1:7" s="308" customFormat="1" ht="38" customHeight="1">
      <c r="A23" s="391"/>
      <c r="B23" s="378" t="s">
        <v>69</v>
      </c>
      <c r="C23" s="378"/>
      <c r="D23" s="378"/>
      <c r="E23" s="379" t="s">
        <v>70</v>
      </c>
      <c r="F23" s="379"/>
      <c r="G23" s="325" t="s">
        <v>71</v>
      </c>
    </row>
    <row r="24" spans="1:7" s="309" customFormat="1">
      <c r="A24" s="327" t="s">
        <v>2</v>
      </c>
      <c r="B24" s="389" t="s">
        <v>3</v>
      </c>
      <c r="C24" s="398"/>
      <c r="D24" s="390"/>
      <c r="E24" s="389" t="s">
        <v>4</v>
      </c>
      <c r="F24" s="390"/>
      <c r="G24" s="328" t="s">
        <v>5</v>
      </c>
    </row>
    <row r="25" spans="1:7" s="308" customFormat="1" ht="40" customHeight="1">
      <c r="A25" s="392" t="s">
        <v>72</v>
      </c>
      <c r="B25" s="383" t="s">
        <v>73</v>
      </c>
      <c r="C25" s="383"/>
      <c r="D25" s="325" t="s">
        <v>74</v>
      </c>
      <c r="E25" s="379" t="s">
        <v>75</v>
      </c>
      <c r="F25" s="379"/>
      <c r="G25" s="330"/>
    </row>
    <row r="26" spans="1:7" s="308" customFormat="1" ht="52" customHeight="1">
      <c r="A26" s="392"/>
      <c r="B26" s="383"/>
      <c r="C26" s="383"/>
      <c r="D26" s="324" t="s">
        <v>76</v>
      </c>
      <c r="E26" s="379" t="s">
        <v>3826</v>
      </c>
      <c r="F26" s="379"/>
      <c r="G26" s="326"/>
    </row>
    <row r="27" spans="1:7" s="308" customFormat="1" ht="41" customHeight="1">
      <c r="A27" s="329" t="s">
        <v>77</v>
      </c>
      <c r="B27" s="383" t="s">
        <v>77</v>
      </c>
      <c r="C27" s="383"/>
      <c r="D27" s="325" t="s">
        <v>78</v>
      </c>
      <c r="E27" s="384" t="s">
        <v>79</v>
      </c>
      <c r="F27" s="385"/>
      <c r="G27" s="326"/>
    </row>
    <row r="28" spans="1:7" s="308" customFormat="1">
      <c r="A28" s="331" t="s">
        <v>2</v>
      </c>
      <c r="B28" s="386" t="s">
        <v>3</v>
      </c>
      <c r="C28" s="387"/>
      <c r="D28" s="388"/>
      <c r="E28" s="389" t="s">
        <v>4</v>
      </c>
      <c r="F28" s="390"/>
      <c r="G28" s="328" t="s">
        <v>5</v>
      </c>
    </row>
    <row r="29" spans="1:7" s="310" customFormat="1" ht="18" customHeight="1">
      <c r="A29" s="392" t="s">
        <v>80</v>
      </c>
      <c r="B29" s="383" t="s">
        <v>81</v>
      </c>
      <c r="C29" s="383"/>
      <c r="D29" s="325" t="s">
        <v>82</v>
      </c>
      <c r="E29" s="379" t="s">
        <v>83</v>
      </c>
      <c r="F29" s="379"/>
      <c r="G29" s="379" t="s">
        <v>84</v>
      </c>
    </row>
    <row r="30" spans="1:7" s="310" customFormat="1" ht="66" customHeight="1">
      <c r="A30" s="392"/>
      <c r="B30" s="383"/>
      <c r="C30" s="383"/>
      <c r="D30" s="325" t="s">
        <v>85</v>
      </c>
      <c r="E30" s="379" t="s">
        <v>86</v>
      </c>
      <c r="F30" s="379"/>
      <c r="G30" s="379"/>
    </row>
    <row r="31" spans="1:7" s="310" customFormat="1" ht="31" customHeight="1">
      <c r="A31" s="392"/>
      <c r="B31" s="383"/>
      <c r="C31" s="383"/>
      <c r="D31" s="325" t="s">
        <v>87</v>
      </c>
      <c r="E31" s="379" t="s">
        <v>3825</v>
      </c>
      <c r="F31" s="379"/>
      <c r="G31" s="326" t="s">
        <v>88</v>
      </c>
    </row>
    <row r="32" spans="1:7" s="310" customFormat="1" ht="69" customHeight="1">
      <c r="A32" s="392"/>
      <c r="B32" s="383"/>
      <c r="C32" s="383"/>
      <c r="D32" s="396" t="s">
        <v>89</v>
      </c>
      <c r="E32" s="395" t="s">
        <v>3815</v>
      </c>
      <c r="F32" s="395"/>
      <c r="G32" s="380" t="s">
        <v>90</v>
      </c>
    </row>
    <row r="33" spans="1:7" s="310" customFormat="1" ht="78" customHeight="1">
      <c r="A33" s="392"/>
      <c r="B33" s="383"/>
      <c r="C33" s="383"/>
      <c r="D33" s="397"/>
      <c r="E33" s="379" t="s">
        <v>3820</v>
      </c>
      <c r="F33" s="379"/>
      <c r="G33" s="381"/>
    </row>
    <row r="34" spans="1:7" s="310" customFormat="1" ht="52" customHeight="1">
      <c r="A34" s="392"/>
      <c r="B34" s="383"/>
      <c r="C34" s="383"/>
      <c r="D34" s="325" t="s">
        <v>91</v>
      </c>
      <c r="E34" s="379" t="s">
        <v>92</v>
      </c>
      <c r="F34" s="379"/>
      <c r="G34" s="382"/>
    </row>
    <row r="35" spans="1:7" s="308" customFormat="1" ht="44" customHeight="1">
      <c r="A35" s="392"/>
      <c r="B35" s="393" t="s">
        <v>93</v>
      </c>
      <c r="C35" s="394"/>
      <c r="D35" s="323" t="s">
        <v>94</v>
      </c>
      <c r="E35" s="384" t="s">
        <v>95</v>
      </c>
      <c r="F35" s="385"/>
      <c r="G35" s="326" t="s">
        <v>96</v>
      </c>
    </row>
    <row r="36" spans="1:7" s="308" customFormat="1" ht="50" customHeight="1">
      <c r="A36" s="392"/>
      <c r="B36" s="393" t="s">
        <v>97</v>
      </c>
      <c r="C36" s="394"/>
      <c r="D36" s="323" t="s">
        <v>98</v>
      </c>
      <c r="E36" s="384" t="s">
        <v>99</v>
      </c>
      <c r="F36" s="385"/>
      <c r="G36" s="326"/>
    </row>
    <row r="39" spans="1:7">
      <c r="G39" s="311"/>
    </row>
  </sheetData>
  <mergeCells count="68">
    <mergeCell ref="A2:G2"/>
    <mergeCell ref="B3:D3"/>
    <mergeCell ref="E3:F3"/>
    <mergeCell ref="E4:F4"/>
    <mergeCell ref="E5:F5"/>
    <mergeCell ref="A4:A10"/>
    <mergeCell ref="B9:C10"/>
    <mergeCell ref="E6:F6"/>
    <mergeCell ref="B7:C7"/>
    <mergeCell ref="E7:F7"/>
    <mergeCell ref="B8:D8"/>
    <mergeCell ref="E8:F8"/>
    <mergeCell ref="B4:C6"/>
    <mergeCell ref="G9:G10"/>
    <mergeCell ref="B11:C11"/>
    <mergeCell ref="E11:F11"/>
    <mergeCell ref="B12:C12"/>
    <mergeCell ref="E12:F12"/>
    <mergeCell ref="B13:C13"/>
    <mergeCell ref="E13:F13"/>
    <mergeCell ref="B14:D14"/>
    <mergeCell ref="E14:F14"/>
    <mergeCell ref="B15:D15"/>
    <mergeCell ref="E15:F15"/>
    <mergeCell ref="E16:F16"/>
    <mergeCell ref="B23:D23"/>
    <mergeCell ref="E23:F23"/>
    <mergeCell ref="B24:D24"/>
    <mergeCell ref="E24:F24"/>
    <mergeCell ref="E17:F17"/>
    <mergeCell ref="E18:F18"/>
    <mergeCell ref="B19:D19"/>
    <mergeCell ref="E19:F19"/>
    <mergeCell ref="B20:D20"/>
    <mergeCell ref="E20:F20"/>
    <mergeCell ref="B16:B18"/>
    <mergeCell ref="C16:C18"/>
    <mergeCell ref="B35:C35"/>
    <mergeCell ref="E35:F35"/>
    <mergeCell ref="B36:C36"/>
    <mergeCell ref="E36:F36"/>
    <mergeCell ref="E29:F29"/>
    <mergeCell ref="E30:F30"/>
    <mergeCell ref="E31:F31"/>
    <mergeCell ref="E32:F32"/>
    <mergeCell ref="E33:F33"/>
    <mergeCell ref="D32:D33"/>
    <mergeCell ref="A11:A15"/>
    <mergeCell ref="A16:A18"/>
    <mergeCell ref="A19:A23"/>
    <mergeCell ref="A25:A26"/>
    <mergeCell ref="A29:A36"/>
    <mergeCell ref="G16:G18"/>
    <mergeCell ref="G21:G22"/>
    <mergeCell ref="G29:G30"/>
    <mergeCell ref="G32:G34"/>
    <mergeCell ref="B21:D22"/>
    <mergeCell ref="B25:C26"/>
    <mergeCell ref="B29:C34"/>
    <mergeCell ref="E34:F34"/>
    <mergeCell ref="E25:F25"/>
    <mergeCell ref="E26:F26"/>
    <mergeCell ref="B27:C27"/>
    <mergeCell ref="E27:F27"/>
    <mergeCell ref="B28:D28"/>
    <mergeCell ref="E28:F28"/>
    <mergeCell ref="E21:F21"/>
    <mergeCell ref="E22:F22"/>
  </mergeCells>
  <phoneticPr fontId="100" type="noConversion"/>
  <pageMargins left="0.118055555555556" right="0.78680555555555598" top="0.196527777777778" bottom="7.8472222222222193E-2" header="0.5" footer="0.5"/>
  <pageSetup paperSize="9" scale="4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tabColor rgb="FFFFC000"/>
    <pageSetUpPr fitToPage="1"/>
  </sheetPr>
  <dimension ref="A1:N164"/>
  <sheetViews>
    <sheetView workbookViewId="0">
      <pane ySplit="2" topLeftCell="A3" activePane="bottomLeft" state="frozen"/>
      <selection pane="bottomLeft" activeCell="A4" sqref="A4:A16"/>
    </sheetView>
  </sheetViews>
  <sheetFormatPr defaultColWidth="9" defaultRowHeight="49"/>
  <cols>
    <col min="1" max="1" width="12.36328125" style="251" customWidth="1"/>
    <col min="2" max="2" width="16.36328125" style="252" customWidth="1"/>
    <col min="3" max="3" width="16.6328125" style="251" customWidth="1"/>
    <col min="4" max="4" width="8.90625" style="251" customWidth="1"/>
    <col min="5" max="5" width="67.26953125" style="251" customWidth="1"/>
    <col min="6" max="6" width="5.08984375" style="251" customWidth="1"/>
    <col min="7" max="7" width="37.36328125" style="251" customWidth="1"/>
    <col min="8" max="8" width="7" style="253" customWidth="1"/>
    <col min="9" max="9" width="9.26953125" style="251" customWidth="1"/>
    <col min="10" max="10" width="12" style="251" customWidth="1"/>
    <col min="11" max="11" width="9.7265625" style="251" customWidth="1"/>
    <col min="12" max="12" width="61.36328125" style="251" customWidth="1"/>
    <col min="13" max="13" width="5.7265625" style="251" customWidth="1"/>
    <col min="14" max="14" width="40.08984375" style="251" customWidth="1"/>
    <col min="15" max="16384" width="9" style="251"/>
  </cols>
  <sheetData>
    <row r="1" spans="1:9" ht="16.5">
      <c r="A1" s="251" t="s">
        <v>100</v>
      </c>
      <c r="B1" s="254"/>
      <c r="G1" s="255"/>
      <c r="H1" s="251"/>
    </row>
    <row r="2" spans="1:9" ht="25">
      <c r="B2" s="375" t="s">
        <v>101</v>
      </c>
      <c r="C2" s="375"/>
      <c r="D2" s="375"/>
      <c r="E2" s="375"/>
      <c r="F2" s="375"/>
      <c r="G2" s="375"/>
      <c r="H2" s="256" t="s">
        <v>102</v>
      </c>
    </row>
    <row r="3" spans="1:9" ht="16.5">
      <c r="A3" s="257" t="s">
        <v>103</v>
      </c>
      <c r="B3" s="257" t="s">
        <v>104</v>
      </c>
      <c r="C3" s="258" t="s">
        <v>105</v>
      </c>
      <c r="D3" s="257" t="s">
        <v>106</v>
      </c>
      <c r="E3" s="258" t="s">
        <v>107</v>
      </c>
      <c r="F3" s="257" t="s">
        <v>108</v>
      </c>
      <c r="G3" s="257" t="s">
        <v>5</v>
      </c>
      <c r="H3" s="259">
        <f>(688-27.04*2*F4-198*2-76.62-1*F14)/688</f>
        <v>0.22572674418604599</v>
      </c>
      <c r="I3" s="251">
        <f>SUM(I4:I6)</f>
        <v>688</v>
      </c>
    </row>
    <row r="4" spans="1:9" ht="17" customHeight="1">
      <c r="A4" s="429" t="s">
        <v>58</v>
      </c>
      <c r="B4" s="435">
        <v>1</v>
      </c>
      <c r="C4" s="429" t="s">
        <v>109</v>
      </c>
      <c r="D4" s="423">
        <v>688</v>
      </c>
      <c r="E4" s="339" t="s">
        <v>3824</v>
      </c>
      <c r="F4" s="233">
        <v>1</v>
      </c>
      <c r="G4" s="260" t="s">
        <v>110</v>
      </c>
      <c r="H4" s="251"/>
      <c r="I4" s="251">
        <v>88</v>
      </c>
    </row>
    <row r="5" spans="1:9" ht="16.5">
      <c r="A5" s="429"/>
      <c r="B5" s="435"/>
      <c r="C5" s="429"/>
      <c r="D5" s="423"/>
      <c r="E5" s="261" t="s">
        <v>111</v>
      </c>
      <c r="F5" s="233">
        <v>1</v>
      </c>
      <c r="G5" s="262" t="s">
        <v>112</v>
      </c>
      <c r="H5" s="251"/>
      <c r="I5" s="251">
        <v>516</v>
      </c>
    </row>
    <row r="6" spans="1:9" ht="16.5">
      <c r="A6" s="429"/>
      <c r="B6" s="435"/>
      <c r="C6" s="429"/>
      <c r="D6" s="423"/>
      <c r="E6" s="241" t="s">
        <v>113</v>
      </c>
      <c r="F6" s="233">
        <v>1</v>
      </c>
      <c r="G6" s="262" t="s">
        <v>112</v>
      </c>
      <c r="H6" s="251"/>
      <c r="I6" s="251">
        <v>84</v>
      </c>
    </row>
    <row r="7" spans="1:9" ht="16.5">
      <c r="A7" s="429"/>
      <c r="B7" s="435"/>
      <c r="C7" s="429"/>
      <c r="D7" s="423"/>
      <c r="E7" s="337" t="s">
        <v>3813</v>
      </c>
      <c r="F7" s="233">
        <v>6</v>
      </c>
      <c r="G7" s="263" t="s">
        <v>115</v>
      </c>
      <c r="H7" s="251"/>
    </row>
    <row r="8" spans="1:9" ht="16.5">
      <c r="A8" s="429"/>
      <c r="B8" s="435"/>
      <c r="C8" s="429"/>
      <c r="D8" s="423"/>
      <c r="E8" s="236" t="s">
        <v>116</v>
      </c>
      <c r="F8" s="239">
        <v>12</v>
      </c>
      <c r="G8" s="263" t="s">
        <v>117</v>
      </c>
      <c r="H8" s="251"/>
    </row>
    <row r="9" spans="1:9" ht="16.5">
      <c r="A9" s="429"/>
      <c r="B9" s="435"/>
      <c r="C9" s="429"/>
      <c r="D9" s="423"/>
      <c r="E9" s="236" t="s">
        <v>118</v>
      </c>
      <c r="F9" s="239">
        <v>4</v>
      </c>
      <c r="G9" s="263" t="s">
        <v>119</v>
      </c>
      <c r="H9" s="251"/>
    </row>
    <row r="10" spans="1:9" ht="16.5">
      <c r="A10" s="429"/>
      <c r="B10" s="435"/>
      <c r="C10" s="429"/>
      <c r="D10" s="423"/>
      <c r="E10" s="236" t="s">
        <v>120</v>
      </c>
      <c r="F10" s="239">
        <v>4</v>
      </c>
      <c r="G10" s="263" t="s">
        <v>121</v>
      </c>
      <c r="H10" s="251"/>
    </row>
    <row r="11" spans="1:9" ht="16.5">
      <c r="A11" s="429"/>
      <c r="B11" s="435"/>
      <c r="C11" s="429"/>
      <c r="D11" s="423"/>
      <c r="E11" s="236" t="s">
        <v>122</v>
      </c>
      <c r="F11" s="239">
        <v>3</v>
      </c>
      <c r="G11" s="263" t="s">
        <v>123</v>
      </c>
      <c r="H11" s="251"/>
    </row>
    <row r="12" spans="1:9" ht="16.5">
      <c r="A12" s="429"/>
      <c r="B12" s="435"/>
      <c r="C12" s="429"/>
      <c r="D12" s="423"/>
      <c r="E12" s="236" t="s">
        <v>124</v>
      </c>
      <c r="F12" s="239">
        <v>4</v>
      </c>
      <c r="G12" s="263" t="s">
        <v>125</v>
      </c>
      <c r="H12" s="251"/>
    </row>
    <row r="13" spans="1:9" ht="16.5">
      <c r="A13" s="429"/>
      <c r="B13" s="435"/>
      <c r="C13" s="429"/>
      <c r="D13" s="423"/>
      <c r="E13" s="264" t="s">
        <v>126</v>
      </c>
      <c r="F13" s="239">
        <v>4</v>
      </c>
      <c r="G13" s="265" t="s">
        <v>127</v>
      </c>
      <c r="H13" s="251"/>
    </row>
    <row r="14" spans="1:9" ht="16.5">
      <c r="A14" s="429"/>
      <c r="B14" s="435"/>
      <c r="C14" s="429"/>
      <c r="D14" s="423"/>
      <c r="E14" s="236" t="s">
        <v>128</v>
      </c>
      <c r="F14" s="239">
        <v>6</v>
      </c>
      <c r="G14" s="262" t="s">
        <v>129</v>
      </c>
      <c r="H14" s="251"/>
    </row>
    <row r="15" spans="1:9" ht="16.5">
      <c r="A15" s="429"/>
      <c r="B15" s="435"/>
      <c r="C15" s="429"/>
      <c r="D15" s="423"/>
      <c r="E15" s="266" t="s">
        <v>130</v>
      </c>
      <c r="F15" s="267">
        <v>36</v>
      </c>
      <c r="G15" s="268" t="s">
        <v>131</v>
      </c>
      <c r="H15" s="251"/>
    </row>
    <row r="16" spans="1:9" ht="16.5">
      <c r="A16" s="429"/>
      <c r="B16" s="435"/>
      <c r="C16" s="429"/>
      <c r="D16" s="423"/>
      <c r="E16" s="266" t="s">
        <v>132</v>
      </c>
      <c r="F16" s="267">
        <v>36</v>
      </c>
      <c r="G16" s="268" t="s">
        <v>131</v>
      </c>
      <c r="H16" s="269"/>
    </row>
    <row r="17" spans="1:14" ht="15" customHeight="1">
      <c r="A17" s="257" t="s">
        <v>103</v>
      </c>
      <c r="B17" s="257" t="s">
        <v>104</v>
      </c>
      <c r="C17" s="258" t="s">
        <v>105</v>
      </c>
      <c r="D17" s="257" t="s">
        <v>106</v>
      </c>
      <c r="E17" s="258" t="s">
        <v>107</v>
      </c>
      <c r="F17" s="257" t="s">
        <v>108</v>
      </c>
      <c r="G17" s="257" t="s">
        <v>5</v>
      </c>
      <c r="H17" s="259">
        <f>(288-27.04*2*F18-37*2-76.62-1*F28)/288</f>
        <v>0.26840277777777799</v>
      </c>
      <c r="I17" s="251">
        <f>SUM(I18:I20)</f>
        <v>288</v>
      </c>
      <c r="J17" s="270"/>
      <c r="K17" s="231"/>
      <c r="L17" s="271"/>
      <c r="M17" s="272"/>
      <c r="N17" s="273"/>
    </row>
    <row r="18" spans="1:14" ht="15" customHeight="1">
      <c r="A18" s="429" t="s">
        <v>58</v>
      </c>
      <c r="B18" s="435">
        <v>2</v>
      </c>
      <c r="C18" s="429" t="s">
        <v>133</v>
      </c>
      <c r="D18" s="423">
        <v>288</v>
      </c>
      <c r="E18" s="241" t="s">
        <v>134</v>
      </c>
      <c r="F18" s="233">
        <v>1</v>
      </c>
      <c r="G18" s="260" t="s">
        <v>110</v>
      </c>
      <c r="H18" s="274"/>
      <c r="I18" s="251">
        <v>88</v>
      </c>
      <c r="J18" s="270"/>
      <c r="K18" s="231"/>
      <c r="L18" s="271"/>
      <c r="M18" s="272"/>
      <c r="N18" s="273"/>
    </row>
    <row r="19" spans="1:14" ht="15" customHeight="1">
      <c r="A19" s="429"/>
      <c r="B19" s="435"/>
      <c r="C19" s="429"/>
      <c r="D19" s="423"/>
      <c r="E19" s="261" t="s">
        <v>135</v>
      </c>
      <c r="F19" s="233">
        <v>1</v>
      </c>
      <c r="G19" s="262" t="s">
        <v>112</v>
      </c>
      <c r="H19" s="274"/>
      <c r="I19" s="251">
        <v>116</v>
      </c>
      <c r="J19" s="270"/>
      <c r="K19" s="231"/>
      <c r="L19" s="271"/>
      <c r="M19" s="272"/>
      <c r="N19" s="273"/>
    </row>
    <row r="20" spans="1:14" ht="15" customHeight="1">
      <c r="A20" s="429"/>
      <c r="B20" s="435"/>
      <c r="C20" s="429"/>
      <c r="D20" s="423"/>
      <c r="E20" s="241" t="s">
        <v>136</v>
      </c>
      <c r="F20" s="233">
        <v>1</v>
      </c>
      <c r="G20" s="262" t="s">
        <v>112</v>
      </c>
      <c r="H20" s="274"/>
      <c r="I20" s="251">
        <v>84</v>
      </c>
      <c r="J20" s="270"/>
      <c r="K20" s="231"/>
      <c r="L20" s="271"/>
      <c r="M20" s="272"/>
      <c r="N20" s="273"/>
    </row>
    <row r="21" spans="1:14" ht="15" customHeight="1">
      <c r="A21" s="429"/>
      <c r="B21" s="435"/>
      <c r="C21" s="429"/>
      <c r="D21" s="423"/>
      <c r="E21" s="232" t="s">
        <v>114</v>
      </c>
      <c r="F21" s="233">
        <v>6</v>
      </c>
      <c r="G21" s="263" t="s">
        <v>115</v>
      </c>
      <c r="H21" s="274"/>
      <c r="I21" s="275"/>
      <c r="J21" s="270"/>
      <c r="K21" s="231"/>
      <c r="L21" s="271"/>
      <c r="M21" s="272"/>
      <c r="N21" s="273"/>
    </row>
    <row r="22" spans="1:14" ht="15" customHeight="1">
      <c r="A22" s="429"/>
      <c r="B22" s="435"/>
      <c r="C22" s="429"/>
      <c r="D22" s="423"/>
      <c r="E22" s="236" t="s">
        <v>116</v>
      </c>
      <c r="F22" s="239">
        <v>12</v>
      </c>
      <c r="G22" s="263" t="s">
        <v>117</v>
      </c>
      <c r="H22" s="274"/>
      <c r="I22" s="275"/>
      <c r="J22" s="270"/>
      <c r="K22" s="231"/>
      <c r="L22" s="271"/>
      <c r="M22" s="272"/>
      <c r="N22" s="273"/>
    </row>
    <row r="23" spans="1:14" ht="15" customHeight="1">
      <c r="A23" s="429"/>
      <c r="B23" s="435"/>
      <c r="C23" s="429"/>
      <c r="D23" s="423"/>
      <c r="E23" s="236" t="s">
        <v>118</v>
      </c>
      <c r="F23" s="239">
        <v>4</v>
      </c>
      <c r="G23" s="263" t="s">
        <v>119</v>
      </c>
      <c r="H23" s="274"/>
      <c r="I23" s="275"/>
      <c r="J23" s="270"/>
      <c r="K23" s="231"/>
      <c r="L23" s="271"/>
      <c r="M23" s="272"/>
      <c r="N23" s="273"/>
    </row>
    <row r="24" spans="1:14" ht="15" customHeight="1">
      <c r="A24" s="429"/>
      <c r="B24" s="435"/>
      <c r="C24" s="429"/>
      <c r="D24" s="423"/>
      <c r="E24" s="236" t="s">
        <v>120</v>
      </c>
      <c r="F24" s="239">
        <v>4</v>
      </c>
      <c r="G24" s="263" t="s">
        <v>121</v>
      </c>
      <c r="H24" s="274"/>
      <c r="I24" s="275"/>
      <c r="J24" s="270"/>
      <c r="K24" s="231"/>
      <c r="L24" s="271"/>
      <c r="M24" s="272"/>
      <c r="N24" s="273"/>
    </row>
    <row r="25" spans="1:14" ht="15" customHeight="1">
      <c r="A25" s="429"/>
      <c r="B25" s="435"/>
      <c r="C25" s="429"/>
      <c r="D25" s="423"/>
      <c r="E25" s="236" t="s">
        <v>122</v>
      </c>
      <c r="F25" s="239">
        <v>3</v>
      </c>
      <c r="G25" s="263" t="s">
        <v>123</v>
      </c>
      <c r="H25" s="274"/>
      <c r="I25" s="275"/>
      <c r="J25" s="270"/>
      <c r="K25" s="231"/>
      <c r="L25" s="271"/>
      <c r="M25" s="272"/>
      <c r="N25" s="273"/>
    </row>
    <row r="26" spans="1:14" ht="15" customHeight="1">
      <c r="A26" s="429"/>
      <c r="B26" s="435"/>
      <c r="C26" s="429"/>
      <c r="D26" s="423"/>
      <c r="E26" s="236" t="s">
        <v>124</v>
      </c>
      <c r="F26" s="239">
        <v>4</v>
      </c>
      <c r="G26" s="263" t="s">
        <v>125</v>
      </c>
      <c r="H26" s="274"/>
      <c r="I26" s="275"/>
      <c r="J26" s="270"/>
      <c r="K26" s="231"/>
      <c r="L26" s="271"/>
      <c r="M26" s="272"/>
      <c r="N26" s="273"/>
    </row>
    <row r="27" spans="1:14" ht="15" customHeight="1">
      <c r="A27" s="429"/>
      <c r="B27" s="435"/>
      <c r="C27" s="429"/>
      <c r="D27" s="423"/>
      <c r="E27" s="264" t="s">
        <v>126</v>
      </c>
      <c r="F27" s="239">
        <v>4</v>
      </c>
      <c r="G27" s="265" t="s">
        <v>127</v>
      </c>
      <c r="H27" s="274"/>
      <c r="I27" s="275"/>
      <c r="J27" s="270"/>
      <c r="K27" s="231"/>
      <c r="L27" s="271"/>
      <c r="M27" s="272"/>
      <c r="N27" s="273"/>
    </row>
    <row r="28" spans="1:14" ht="15" customHeight="1">
      <c r="A28" s="429"/>
      <c r="B28" s="435"/>
      <c r="C28" s="429"/>
      <c r="D28" s="423"/>
      <c r="E28" s="236" t="s">
        <v>128</v>
      </c>
      <c r="F28" s="239">
        <v>6</v>
      </c>
      <c r="G28" s="262" t="s">
        <v>129</v>
      </c>
      <c r="H28" s="274"/>
      <c r="I28" s="275"/>
      <c r="J28" s="270"/>
      <c r="K28" s="231"/>
      <c r="L28" s="271"/>
      <c r="M28" s="272"/>
      <c r="N28" s="273"/>
    </row>
    <row r="29" spans="1:14" ht="15" customHeight="1">
      <c r="A29" s="429"/>
      <c r="B29" s="435"/>
      <c r="C29" s="429"/>
      <c r="D29" s="423"/>
      <c r="E29" s="266" t="s">
        <v>130</v>
      </c>
      <c r="F29" s="267">
        <v>24</v>
      </c>
      <c r="G29" s="268" t="s">
        <v>137</v>
      </c>
      <c r="H29" s="274"/>
      <c r="I29" s="275"/>
      <c r="J29" s="270"/>
      <c r="K29" s="231"/>
      <c r="L29" s="271"/>
      <c r="M29" s="272"/>
      <c r="N29" s="273"/>
    </row>
    <row r="30" spans="1:14" ht="15" customHeight="1">
      <c r="A30" s="429"/>
      <c r="B30" s="435"/>
      <c r="C30" s="429"/>
      <c r="D30" s="423"/>
      <c r="E30" s="266" t="s">
        <v>132</v>
      </c>
      <c r="F30" s="267">
        <v>24</v>
      </c>
      <c r="G30" s="268" t="s">
        <v>137</v>
      </c>
      <c r="H30" s="269"/>
      <c r="I30" s="275"/>
      <c r="J30" s="270"/>
      <c r="K30" s="231"/>
      <c r="L30" s="271"/>
      <c r="M30" s="272"/>
      <c r="N30" s="273"/>
    </row>
    <row r="31" spans="1:14" ht="16.5">
      <c r="A31" s="257" t="s">
        <v>103</v>
      </c>
      <c r="B31" s="257" t="s">
        <v>104</v>
      </c>
      <c r="C31" s="258" t="s">
        <v>105</v>
      </c>
      <c r="D31" s="257" t="s">
        <v>106</v>
      </c>
      <c r="E31" s="258" t="s">
        <v>107</v>
      </c>
      <c r="F31" s="257" t="s">
        <v>108</v>
      </c>
      <c r="G31" s="257" t="s">
        <v>5</v>
      </c>
      <c r="H31" s="259">
        <f>(188-10.8*2*F32-2.88*F33*2-1*F41)/188</f>
        <v>0.70765957446808503</v>
      </c>
      <c r="I31" s="251">
        <f>SUM(I32:I34)</f>
        <v>188</v>
      </c>
    </row>
    <row r="32" spans="1:14" ht="15" customHeight="1">
      <c r="A32" s="429" t="s">
        <v>58</v>
      </c>
      <c r="B32" s="435">
        <v>3</v>
      </c>
      <c r="C32" s="429" t="s">
        <v>138</v>
      </c>
      <c r="D32" s="423">
        <v>188</v>
      </c>
      <c r="E32" s="241" t="s">
        <v>139</v>
      </c>
      <c r="F32" s="233">
        <v>2</v>
      </c>
      <c r="G32" s="260" t="s">
        <v>140</v>
      </c>
      <c r="H32" s="251"/>
      <c r="I32" s="251">
        <f>88*2</f>
        <v>176</v>
      </c>
    </row>
    <row r="33" spans="1:14" ht="15" customHeight="1">
      <c r="A33" s="429"/>
      <c r="B33" s="435"/>
      <c r="C33" s="429"/>
      <c r="D33" s="423"/>
      <c r="E33" s="276" t="s">
        <v>141</v>
      </c>
      <c r="F33" s="233">
        <v>1</v>
      </c>
      <c r="G33" s="262" t="s">
        <v>112</v>
      </c>
      <c r="H33" s="251"/>
      <c r="I33" s="251">
        <v>12</v>
      </c>
    </row>
    <row r="34" spans="1:14" ht="15" customHeight="1">
      <c r="A34" s="429"/>
      <c r="B34" s="435"/>
      <c r="C34" s="429"/>
      <c r="D34" s="423"/>
      <c r="E34" s="232" t="s">
        <v>114</v>
      </c>
      <c r="F34" s="233">
        <v>6</v>
      </c>
      <c r="G34" s="263" t="s">
        <v>115</v>
      </c>
      <c r="H34" s="251"/>
    </row>
    <row r="35" spans="1:14" ht="15" customHeight="1">
      <c r="A35" s="429"/>
      <c r="B35" s="435"/>
      <c r="C35" s="429"/>
      <c r="D35" s="423"/>
      <c r="E35" s="236" t="s">
        <v>116</v>
      </c>
      <c r="F35" s="239">
        <v>12</v>
      </c>
      <c r="G35" s="263" t="s">
        <v>117</v>
      </c>
      <c r="H35" s="251"/>
      <c r="I35" s="275"/>
      <c r="N35" s="277"/>
    </row>
    <row r="36" spans="1:14" ht="16.5">
      <c r="A36" s="429"/>
      <c r="B36" s="435"/>
      <c r="C36" s="429"/>
      <c r="D36" s="423"/>
      <c r="E36" s="236" t="s">
        <v>118</v>
      </c>
      <c r="F36" s="239">
        <v>4</v>
      </c>
      <c r="G36" s="263" t="s">
        <v>119</v>
      </c>
      <c r="H36" s="251"/>
    </row>
    <row r="37" spans="1:14" ht="16.5">
      <c r="A37" s="429"/>
      <c r="B37" s="435"/>
      <c r="C37" s="429"/>
      <c r="D37" s="423"/>
      <c r="E37" s="236" t="s">
        <v>120</v>
      </c>
      <c r="F37" s="239">
        <v>4</v>
      </c>
      <c r="G37" s="263" t="s">
        <v>121</v>
      </c>
      <c r="H37" s="251"/>
    </row>
    <row r="38" spans="1:14" ht="16.5">
      <c r="A38" s="429"/>
      <c r="B38" s="435"/>
      <c r="C38" s="429"/>
      <c r="D38" s="423"/>
      <c r="E38" s="236" t="s">
        <v>122</v>
      </c>
      <c r="F38" s="239">
        <v>3</v>
      </c>
      <c r="G38" s="263" t="s">
        <v>123</v>
      </c>
      <c r="H38" s="251"/>
    </row>
    <row r="39" spans="1:14" ht="16.5">
      <c r="A39" s="429"/>
      <c r="B39" s="435"/>
      <c r="C39" s="429"/>
      <c r="D39" s="423"/>
      <c r="E39" s="236" t="s">
        <v>124</v>
      </c>
      <c r="F39" s="239">
        <v>4</v>
      </c>
      <c r="G39" s="263" t="s">
        <v>125</v>
      </c>
      <c r="H39" s="251"/>
    </row>
    <row r="40" spans="1:14" ht="16.5">
      <c r="A40" s="429"/>
      <c r="B40" s="435"/>
      <c r="C40" s="429"/>
      <c r="D40" s="423"/>
      <c r="E40" s="264" t="s">
        <v>126</v>
      </c>
      <c r="F40" s="239">
        <v>4</v>
      </c>
      <c r="G40" s="265" t="s">
        <v>127</v>
      </c>
      <c r="H40" s="251"/>
    </row>
    <row r="41" spans="1:14" ht="16.5">
      <c r="A41" s="429"/>
      <c r="B41" s="435"/>
      <c r="C41" s="429"/>
      <c r="D41" s="423"/>
      <c r="E41" s="236" t="s">
        <v>128</v>
      </c>
      <c r="F41" s="239">
        <v>6</v>
      </c>
      <c r="G41" s="262" t="s">
        <v>129</v>
      </c>
      <c r="H41" s="251"/>
    </row>
    <row r="42" spans="1:14" ht="16.5">
      <c r="A42" s="429"/>
      <c r="B42" s="435"/>
      <c r="C42" s="429"/>
      <c r="D42" s="423"/>
      <c r="E42" s="266" t="s">
        <v>132</v>
      </c>
      <c r="F42" s="267">
        <v>36</v>
      </c>
      <c r="G42" s="268" t="s">
        <v>131</v>
      </c>
      <c r="H42" s="269">
        <f>15*36</f>
        <v>540</v>
      </c>
    </row>
    <row r="43" spans="1:14" ht="15" customHeight="1">
      <c r="A43" s="257" t="s">
        <v>103</v>
      </c>
      <c r="B43" s="257" t="s">
        <v>104</v>
      </c>
      <c r="C43" s="258" t="s">
        <v>105</v>
      </c>
      <c r="D43" s="257" t="s">
        <v>106</v>
      </c>
      <c r="E43" s="258" t="s">
        <v>107</v>
      </c>
      <c r="F43" s="257" t="s">
        <v>108</v>
      </c>
      <c r="G43" s="257" t="s">
        <v>5</v>
      </c>
      <c r="H43" s="259">
        <f>(8.8-6.35-2)/8.8</f>
        <v>5.1136363636363799E-2</v>
      </c>
    </row>
    <row r="44" spans="1:14" ht="15" customHeight="1">
      <c r="A44" s="429" t="s">
        <v>58</v>
      </c>
      <c r="B44" s="435">
        <v>4</v>
      </c>
      <c r="C44" s="429" t="s">
        <v>142</v>
      </c>
      <c r="D44" s="423">
        <v>8.8000000000000007</v>
      </c>
      <c r="E44" s="236" t="s">
        <v>143</v>
      </c>
      <c r="F44" s="239">
        <v>1</v>
      </c>
      <c r="G44" s="262" t="s">
        <v>112</v>
      </c>
      <c r="H44" s="259"/>
    </row>
    <row r="45" spans="1:14" ht="15" customHeight="1">
      <c r="A45" s="429"/>
      <c r="B45" s="435"/>
      <c r="C45" s="429"/>
      <c r="D45" s="423"/>
      <c r="E45" s="236" t="s">
        <v>144</v>
      </c>
      <c r="F45" s="239">
        <v>1</v>
      </c>
      <c r="G45" s="263" t="s">
        <v>121</v>
      </c>
      <c r="H45" s="259"/>
    </row>
    <row r="46" spans="1:14" ht="15" customHeight="1">
      <c r="A46" s="429"/>
      <c r="B46" s="435"/>
      <c r="C46" s="429"/>
      <c r="D46" s="423"/>
      <c r="E46" s="241" t="s">
        <v>145</v>
      </c>
      <c r="F46" s="233">
        <v>2</v>
      </c>
      <c r="G46" s="265" t="s">
        <v>146</v>
      </c>
      <c r="H46" s="259"/>
    </row>
    <row r="47" spans="1:14" ht="15" customHeight="1">
      <c r="A47" s="429"/>
      <c r="B47" s="435"/>
      <c r="C47" s="429"/>
      <c r="D47" s="423"/>
      <c r="E47" s="232" t="s">
        <v>147</v>
      </c>
      <c r="F47" s="239">
        <v>1</v>
      </c>
      <c r="G47" s="265" t="s">
        <v>119</v>
      </c>
      <c r="H47" s="259"/>
    </row>
    <row r="48" spans="1:14" ht="15" customHeight="1">
      <c r="A48" s="429"/>
      <c r="B48" s="435"/>
      <c r="C48" s="429"/>
      <c r="D48" s="423"/>
      <c r="E48" s="236" t="s">
        <v>122</v>
      </c>
      <c r="F48" s="239">
        <v>1</v>
      </c>
      <c r="G48" s="263" t="s">
        <v>123</v>
      </c>
      <c r="H48" s="259"/>
    </row>
    <row r="49" spans="1:8" ht="15" customHeight="1">
      <c r="A49" s="429"/>
      <c r="B49" s="435"/>
      <c r="C49" s="429"/>
      <c r="D49" s="423"/>
      <c r="E49" s="236" t="s">
        <v>148</v>
      </c>
      <c r="F49" s="239">
        <v>2</v>
      </c>
      <c r="G49" s="262" t="s">
        <v>149</v>
      </c>
      <c r="H49" s="259"/>
    </row>
    <row r="50" spans="1:8" ht="15" customHeight="1">
      <c r="A50" s="429"/>
      <c r="B50" s="435"/>
      <c r="C50" s="429"/>
      <c r="D50" s="423"/>
      <c r="E50" s="278" t="s">
        <v>150</v>
      </c>
      <c r="F50" s="279">
        <v>2</v>
      </c>
      <c r="G50" s="262" t="s">
        <v>151</v>
      </c>
      <c r="H50" s="259"/>
    </row>
    <row r="51" spans="1:8" ht="16.5">
      <c r="A51" s="257" t="s">
        <v>103</v>
      </c>
      <c r="B51" s="257" t="s">
        <v>104</v>
      </c>
      <c r="C51" s="258" t="s">
        <v>105</v>
      </c>
      <c r="D51" s="257" t="s">
        <v>106</v>
      </c>
      <c r="E51" s="258" t="s">
        <v>107</v>
      </c>
      <c r="F51" s="257" t="s">
        <v>108</v>
      </c>
      <c r="G51" s="257" t="s">
        <v>5</v>
      </c>
      <c r="H51" s="259">
        <f>(88-10.8*2-4)/88</f>
        <v>0.70909090909090899</v>
      </c>
    </row>
    <row r="52" spans="1:8" ht="33">
      <c r="A52" s="429" t="s">
        <v>58</v>
      </c>
      <c r="B52" s="435">
        <v>5</v>
      </c>
      <c r="C52" s="429" t="s">
        <v>152</v>
      </c>
      <c r="D52" s="423">
        <v>88</v>
      </c>
      <c r="E52" s="241" t="s">
        <v>153</v>
      </c>
      <c r="F52" s="233">
        <v>1</v>
      </c>
      <c r="G52" s="260" t="s">
        <v>140</v>
      </c>
      <c r="H52" s="251"/>
    </row>
    <row r="53" spans="1:8" ht="16.5">
      <c r="A53" s="429"/>
      <c r="B53" s="435"/>
      <c r="C53" s="423"/>
      <c r="D53" s="423"/>
      <c r="E53" s="232" t="s">
        <v>154</v>
      </c>
      <c r="F53" s="233">
        <v>4</v>
      </c>
      <c r="G53" s="263" t="s">
        <v>155</v>
      </c>
      <c r="H53" s="251"/>
    </row>
    <row r="54" spans="1:8" ht="16.5">
      <c r="A54" s="429"/>
      <c r="B54" s="435"/>
      <c r="C54" s="423"/>
      <c r="D54" s="423"/>
      <c r="E54" s="241" t="s">
        <v>116</v>
      </c>
      <c r="F54" s="239">
        <v>3</v>
      </c>
      <c r="G54" s="263" t="s">
        <v>117</v>
      </c>
      <c r="H54" s="251"/>
    </row>
    <row r="55" spans="1:8" ht="16.5">
      <c r="A55" s="429"/>
      <c r="B55" s="435"/>
      <c r="C55" s="423"/>
      <c r="D55" s="423"/>
      <c r="E55" s="236" t="s">
        <v>118</v>
      </c>
      <c r="F55" s="239">
        <v>6</v>
      </c>
      <c r="G55" s="263" t="s">
        <v>119</v>
      </c>
      <c r="H55" s="251"/>
    </row>
    <row r="56" spans="1:8" ht="16.5">
      <c r="A56" s="429"/>
      <c r="B56" s="435"/>
      <c r="C56" s="423"/>
      <c r="D56" s="423"/>
      <c r="E56" s="236" t="s">
        <v>120</v>
      </c>
      <c r="F56" s="239">
        <v>4</v>
      </c>
      <c r="G56" s="263" t="s">
        <v>121</v>
      </c>
      <c r="H56" s="251"/>
    </row>
    <row r="57" spans="1:8" ht="16.5">
      <c r="A57" s="429"/>
      <c r="B57" s="435"/>
      <c r="C57" s="423"/>
      <c r="D57" s="423"/>
      <c r="E57" s="236" t="s">
        <v>122</v>
      </c>
      <c r="F57" s="239">
        <v>3</v>
      </c>
      <c r="G57" s="263" t="s">
        <v>123</v>
      </c>
      <c r="H57" s="251"/>
    </row>
    <row r="58" spans="1:8" ht="16.5">
      <c r="A58" s="429"/>
      <c r="B58" s="435"/>
      <c r="C58" s="423"/>
      <c r="D58" s="423"/>
      <c r="E58" s="236" t="s">
        <v>124</v>
      </c>
      <c r="F58" s="239">
        <v>4</v>
      </c>
      <c r="G58" s="263" t="s">
        <v>125</v>
      </c>
      <c r="H58" s="251"/>
    </row>
    <row r="59" spans="1:8" ht="16.5">
      <c r="A59" s="429"/>
      <c r="B59" s="435"/>
      <c r="C59" s="423"/>
      <c r="D59" s="423"/>
      <c r="E59" s="264" t="s">
        <v>126</v>
      </c>
      <c r="F59" s="239">
        <v>1</v>
      </c>
      <c r="G59" s="265" t="s">
        <v>127</v>
      </c>
      <c r="H59" s="251"/>
    </row>
    <row r="60" spans="1:8" ht="16.5">
      <c r="A60" s="429"/>
      <c r="B60" s="435"/>
      <c r="C60" s="423"/>
      <c r="D60" s="423"/>
      <c r="E60" s="236" t="s">
        <v>128</v>
      </c>
      <c r="F60" s="239">
        <v>4</v>
      </c>
      <c r="G60" s="262" t="s">
        <v>149</v>
      </c>
      <c r="H60" s="251"/>
    </row>
    <row r="61" spans="1:8" ht="16.5">
      <c r="A61" s="429"/>
      <c r="B61" s="435"/>
      <c r="C61" s="423"/>
      <c r="D61" s="423"/>
      <c r="E61" s="278" t="s">
        <v>156</v>
      </c>
      <c r="F61" s="279">
        <v>24</v>
      </c>
      <c r="G61" s="262" t="s">
        <v>137</v>
      </c>
      <c r="H61" s="251"/>
    </row>
    <row r="62" spans="1:8" ht="16.5">
      <c r="A62" s="257" t="s">
        <v>103</v>
      </c>
      <c r="B62" s="257" t="s">
        <v>104</v>
      </c>
      <c r="C62" s="258" t="s">
        <v>105</v>
      </c>
      <c r="D62" s="257" t="s">
        <v>106</v>
      </c>
      <c r="E62" s="258" t="s">
        <v>107</v>
      </c>
      <c r="F62" s="257" t="s">
        <v>108</v>
      </c>
      <c r="G62" s="257" t="s">
        <v>5</v>
      </c>
      <c r="H62" s="259">
        <f>(88-10.8*2-4)/88</f>
        <v>0.70909090909090899</v>
      </c>
    </row>
    <row r="63" spans="1:8" ht="33">
      <c r="A63" s="429" t="s">
        <v>58</v>
      </c>
      <c r="B63" s="435">
        <v>6</v>
      </c>
      <c r="C63" s="429" t="s">
        <v>157</v>
      </c>
      <c r="D63" s="423">
        <v>88</v>
      </c>
      <c r="E63" s="241" t="s">
        <v>153</v>
      </c>
      <c r="F63" s="233">
        <v>1</v>
      </c>
      <c r="G63" s="260" t="s">
        <v>140</v>
      </c>
      <c r="H63" s="251"/>
    </row>
    <row r="64" spans="1:8" ht="16.5">
      <c r="A64" s="429"/>
      <c r="B64" s="435"/>
      <c r="C64" s="423"/>
      <c r="D64" s="423"/>
      <c r="E64" s="232" t="s">
        <v>154</v>
      </c>
      <c r="F64" s="233">
        <v>4</v>
      </c>
      <c r="G64" s="263" t="s">
        <v>155</v>
      </c>
      <c r="H64" s="251"/>
    </row>
    <row r="65" spans="1:8" ht="16.5">
      <c r="A65" s="429"/>
      <c r="B65" s="435"/>
      <c r="C65" s="423"/>
      <c r="D65" s="423"/>
      <c r="E65" s="241" t="s">
        <v>116</v>
      </c>
      <c r="F65" s="239">
        <v>3</v>
      </c>
      <c r="G65" s="263" t="s">
        <v>117</v>
      </c>
      <c r="H65" s="251"/>
    </row>
    <row r="66" spans="1:8" ht="16.5">
      <c r="A66" s="429"/>
      <c r="B66" s="435"/>
      <c r="C66" s="423"/>
      <c r="D66" s="423"/>
      <c r="E66" s="236" t="s">
        <v>118</v>
      </c>
      <c r="F66" s="239">
        <v>6</v>
      </c>
      <c r="G66" s="263" t="s">
        <v>119</v>
      </c>
      <c r="H66" s="251"/>
    </row>
    <row r="67" spans="1:8" ht="16.5">
      <c r="A67" s="429"/>
      <c r="B67" s="435"/>
      <c r="C67" s="423"/>
      <c r="D67" s="423"/>
      <c r="E67" s="236" t="s">
        <v>120</v>
      </c>
      <c r="F67" s="239">
        <v>4</v>
      </c>
      <c r="G67" s="263" t="s">
        <v>121</v>
      </c>
      <c r="H67" s="251"/>
    </row>
    <row r="68" spans="1:8" ht="16.5">
      <c r="A68" s="429"/>
      <c r="B68" s="435"/>
      <c r="C68" s="423"/>
      <c r="D68" s="423"/>
      <c r="E68" s="236" t="s">
        <v>122</v>
      </c>
      <c r="F68" s="239">
        <v>3</v>
      </c>
      <c r="G68" s="263" t="s">
        <v>123</v>
      </c>
      <c r="H68" s="251"/>
    </row>
    <row r="69" spans="1:8" ht="16.5">
      <c r="A69" s="429"/>
      <c r="B69" s="435"/>
      <c r="C69" s="423"/>
      <c r="D69" s="423"/>
      <c r="E69" s="236" t="s">
        <v>124</v>
      </c>
      <c r="F69" s="239">
        <v>4</v>
      </c>
      <c r="G69" s="263" t="s">
        <v>125</v>
      </c>
      <c r="H69" s="251"/>
    </row>
    <row r="70" spans="1:8" ht="16.5">
      <c r="A70" s="429"/>
      <c r="B70" s="435"/>
      <c r="C70" s="423"/>
      <c r="D70" s="423"/>
      <c r="E70" s="264" t="s">
        <v>126</v>
      </c>
      <c r="F70" s="239">
        <v>1</v>
      </c>
      <c r="G70" s="265" t="s">
        <v>127</v>
      </c>
      <c r="H70" s="251"/>
    </row>
    <row r="71" spans="1:8" ht="16.5">
      <c r="A71" s="429"/>
      <c r="B71" s="435"/>
      <c r="C71" s="423"/>
      <c r="D71" s="423"/>
      <c r="E71" s="236" t="s">
        <v>158</v>
      </c>
      <c r="F71" s="239">
        <v>6</v>
      </c>
      <c r="G71" s="263" t="s">
        <v>146</v>
      </c>
      <c r="H71" s="251"/>
    </row>
    <row r="72" spans="1:8" ht="16.5">
      <c r="A72" s="429"/>
      <c r="B72" s="435"/>
      <c r="C72" s="423"/>
      <c r="D72" s="423"/>
      <c r="E72" s="278" t="s">
        <v>156</v>
      </c>
      <c r="F72" s="279">
        <v>24</v>
      </c>
      <c r="G72" s="262" t="s">
        <v>137</v>
      </c>
      <c r="H72" s="251"/>
    </row>
    <row r="73" spans="1:8" ht="16.5">
      <c r="A73" s="257" t="s">
        <v>103</v>
      </c>
      <c r="B73" s="257" t="s">
        <v>104</v>
      </c>
      <c r="C73" s="258" t="s">
        <v>105</v>
      </c>
      <c r="D73" s="257" t="s">
        <v>106</v>
      </c>
      <c r="E73" s="258" t="s">
        <v>107</v>
      </c>
      <c r="F73" s="257" t="s">
        <v>108</v>
      </c>
      <c r="G73" s="257" t="s">
        <v>5</v>
      </c>
      <c r="H73" s="259">
        <f>(88-37-14-4)/88</f>
        <v>0.375</v>
      </c>
    </row>
    <row r="74" spans="1:8" ht="16.5">
      <c r="A74" s="429" t="s">
        <v>58</v>
      </c>
      <c r="B74" s="435">
        <v>7</v>
      </c>
      <c r="C74" s="429" t="s">
        <v>159</v>
      </c>
      <c r="D74" s="423">
        <v>88</v>
      </c>
      <c r="E74" s="241" t="s">
        <v>160</v>
      </c>
      <c r="F74" s="233">
        <v>1</v>
      </c>
      <c r="G74" s="262" t="s">
        <v>112</v>
      </c>
      <c r="H74" s="251"/>
    </row>
    <row r="75" spans="1:8" ht="16.5">
      <c r="A75" s="429"/>
      <c r="B75" s="435"/>
      <c r="C75" s="429"/>
      <c r="D75" s="423"/>
      <c r="E75" s="241" t="s">
        <v>161</v>
      </c>
      <c r="F75" s="233">
        <v>1</v>
      </c>
      <c r="G75" s="262" t="s">
        <v>112</v>
      </c>
      <c r="H75" s="251"/>
    </row>
    <row r="76" spans="1:8" ht="16.5">
      <c r="A76" s="429"/>
      <c r="B76" s="435"/>
      <c r="C76" s="429"/>
      <c r="D76" s="423"/>
      <c r="E76" s="232" t="s">
        <v>154</v>
      </c>
      <c r="F76" s="233">
        <v>4</v>
      </c>
      <c r="G76" s="263" t="s">
        <v>155</v>
      </c>
      <c r="H76" s="251"/>
    </row>
    <row r="77" spans="1:8" ht="16.5">
      <c r="A77" s="429"/>
      <c r="B77" s="435"/>
      <c r="C77" s="429"/>
      <c r="D77" s="423"/>
      <c r="E77" s="241" t="s">
        <v>116</v>
      </c>
      <c r="F77" s="239">
        <v>3</v>
      </c>
      <c r="G77" s="263" t="s">
        <v>117</v>
      </c>
      <c r="H77" s="251"/>
    </row>
    <row r="78" spans="1:8" ht="16.5">
      <c r="A78" s="429"/>
      <c r="B78" s="435"/>
      <c r="C78" s="429"/>
      <c r="D78" s="423"/>
      <c r="E78" s="236" t="s">
        <v>118</v>
      </c>
      <c r="F78" s="239">
        <v>6</v>
      </c>
      <c r="G78" s="263" t="s">
        <v>119</v>
      </c>
      <c r="H78" s="251"/>
    </row>
    <row r="79" spans="1:8" ht="16.5">
      <c r="A79" s="429"/>
      <c r="B79" s="435"/>
      <c r="C79" s="429"/>
      <c r="D79" s="423"/>
      <c r="E79" s="236" t="s">
        <v>120</v>
      </c>
      <c r="F79" s="239">
        <v>4</v>
      </c>
      <c r="G79" s="263" t="s">
        <v>121</v>
      </c>
      <c r="H79" s="251"/>
    </row>
    <row r="80" spans="1:8" ht="16.5">
      <c r="A80" s="429"/>
      <c r="B80" s="435"/>
      <c r="C80" s="429"/>
      <c r="D80" s="423"/>
      <c r="E80" s="236" t="s">
        <v>122</v>
      </c>
      <c r="F80" s="239">
        <v>3</v>
      </c>
      <c r="G80" s="263" t="s">
        <v>123</v>
      </c>
      <c r="H80" s="251"/>
    </row>
    <row r="81" spans="1:8" ht="16.5">
      <c r="A81" s="429"/>
      <c r="B81" s="435"/>
      <c r="C81" s="429"/>
      <c r="D81" s="423"/>
      <c r="E81" s="236" t="s">
        <v>124</v>
      </c>
      <c r="F81" s="239">
        <v>4</v>
      </c>
      <c r="G81" s="263" t="s">
        <v>125</v>
      </c>
      <c r="H81" s="251"/>
    </row>
    <row r="82" spans="1:8" ht="16.5">
      <c r="A82" s="429"/>
      <c r="B82" s="435"/>
      <c r="C82" s="429"/>
      <c r="D82" s="423"/>
      <c r="E82" s="264" t="s">
        <v>126</v>
      </c>
      <c r="F82" s="239">
        <v>1</v>
      </c>
      <c r="G82" s="265" t="s">
        <v>127</v>
      </c>
      <c r="H82" s="251"/>
    </row>
    <row r="83" spans="1:8" ht="16.5">
      <c r="A83" s="429"/>
      <c r="B83" s="435"/>
      <c r="C83" s="429"/>
      <c r="D83" s="423"/>
      <c r="E83" s="236" t="s">
        <v>128</v>
      </c>
      <c r="F83" s="239">
        <v>4</v>
      </c>
      <c r="G83" s="262" t="s">
        <v>149</v>
      </c>
      <c r="H83" s="251"/>
    </row>
    <row r="84" spans="1:8" ht="16.5">
      <c r="A84" s="429"/>
      <c r="B84" s="435"/>
      <c r="C84" s="429"/>
      <c r="D84" s="423"/>
      <c r="E84" s="278" t="s">
        <v>156</v>
      </c>
      <c r="F84" s="279">
        <v>24</v>
      </c>
      <c r="G84" s="262" t="s">
        <v>137</v>
      </c>
      <c r="H84" s="251"/>
    </row>
    <row r="85" spans="1:8" ht="16.5">
      <c r="A85" s="257" t="s">
        <v>103</v>
      </c>
      <c r="B85" s="257" t="s">
        <v>104</v>
      </c>
      <c r="C85" s="258" t="s">
        <v>105</v>
      </c>
      <c r="D85" s="257" t="s">
        <v>106</v>
      </c>
      <c r="E85" s="258" t="s">
        <v>107</v>
      </c>
      <c r="F85" s="257" t="s">
        <v>108</v>
      </c>
      <c r="G85" s="257" t="s">
        <v>5</v>
      </c>
      <c r="H85" s="259">
        <f>(88-37-14-4)/88</f>
        <v>0.375</v>
      </c>
    </row>
    <row r="86" spans="1:8" ht="16.5">
      <c r="A86" s="429" t="s">
        <v>58</v>
      </c>
      <c r="B86" s="435">
        <v>8</v>
      </c>
      <c r="C86" s="429" t="s">
        <v>162</v>
      </c>
      <c r="D86" s="423">
        <v>88</v>
      </c>
      <c r="E86" s="241" t="s">
        <v>163</v>
      </c>
      <c r="F86" s="233">
        <v>1</v>
      </c>
      <c r="G86" s="262" t="s">
        <v>112</v>
      </c>
      <c r="H86" s="251"/>
    </row>
    <row r="87" spans="1:8" ht="16.5">
      <c r="A87" s="429"/>
      <c r="B87" s="435"/>
      <c r="C87" s="429"/>
      <c r="D87" s="423"/>
      <c r="E87" s="241" t="s">
        <v>164</v>
      </c>
      <c r="F87" s="233">
        <v>1</v>
      </c>
      <c r="G87" s="262" t="s">
        <v>112</v>
      </c>
      <c r="H87" s="251"/>
    </row>
    <row r="88" spans="1:8" ht="16.5">
      <c r="A88" s="429"/>
      <c r="B88" s="435"/>
      <c r="C88" s="429"/>
      <c r="D88" s="423"/>
      <c r="E88" s="241" t="s">
        <v>165</v>
      </c>
      <c r="F88" s="233">
        <v>1</v>
      </c>
      <c r="G88" s="262" t="s">
        <v>166</v>
      </c>
      <c r="H88" s="251"/>
    </row>
    <row r="89" spans="1:8" ht="16.5">
      <c r="A89" s="429"/>
      <c r="B89" s="435"/>
      <c r="C89" s="429"/>
      <c r="D89" s="423"/>
      <c r="E89" s="232" t="s">
        <v>154</v>
      </c>
      <c r="F89" s="233">
        <v>4</v>
      </c>
      <c r="G89" s="263" t="s">
        <v>155</v>
      </c>
      <c r="H89" s="251"/>
    </row>
    <row r="90" spans="1:8" ht="16.5">
      <c r="A90" s="429"/>
      <c r="B90" s="435"/>
      <c r="C90" s="429"/>
      <c r="D90" s="423"/>
      <c r="E90" s="241" t="s">
        <v>116</v>
      </c>
      <c r="F90" s="239">
        <v>3</v>
      </c>
      <c r="G90" s="263" t="s">
        <v>117</v>
      </c>
      <c r="H90" s="251"/>
    </row>
    <row r="91" spans="1:8" ht="16.5">
      <c r="A91" s="429"/>
      <c r="B91" s="435"/>
      <c r="C91" s="429"/>
      <c r="D91" s="423"/>
      <c r="E91" s="236" t="s">
        <v>118</v>
      </c>
      <c r="F91" s="239">
        <v>6</v>
      </c>
      <c r="G91" s="263" t="s">
        <v>119</v>
      </c>
      <c r="H91" s="251"/>
    </row>
    <row r="92" spans="1:8" ht="16.5">
      <c r="A92" s="429"/>
      <c r="B92" s="435"/>
      <c r="C92" s="429"/>
      <c r="D92" s="423"/>
      <c r="E92" s="236" t="s">
        <v>120</v>
      </c>
      <c r="F92" s="239">
        <v>4</v>
      </c>
      <c r="G92" s="263" t="s">
        <v>121</v>
      </c>
      <c r="H92" s="251"/>
    </row>
    <row r="93" spans="1:8" ht="16.5">
      <c r="A93" s="429"/>
      <c r="B93" s="435"/>
      <c r="C93" s="429"/>
      <c r="D93" s="423"/>
      <c r="E93" s="236" t="s">
        <v>122</v>
      </c>
      <c r="F93" s="239">
        <v>3</v>
      </c>
      <c r="G93" s="263" t="s">
        <v>123</v>
      </c>
      <c r="H93" s="251"/>
    </row>
    <row r="94" spans="1:8" ht="16.5">
      <c r="A94" s="429"/>
      <c r="B94" s="435"/>
      <c r="C94" s="429"/>
      <c r="D94" s="423"/>
      <c r="E94" s="236" t="s">
        <v>124</v>
      </c>
      <c r="F94" s="239">
        <v>4</v>
      </c>
      <c r="G94" s="263" t="s">
        <v>125</v>
      </c>
      <c r="H94" s="251"/>
    </row>
    <row r="95" spans="1:8" ht="16.5">
      <c r="A95" s="429"/>
      <c r="B95" s="435"/>
      <c r="C95" s="429"/>
      <c r="D95" s="423"/>
      <c r="E95" s="264" t="s">
        <v>126</v>
      </c>
      <c r="F95" s="239">
        <v>1</v>
      </c>
      <c r="G95" s="265" t="s">
        <v>127</v>
      </c>
      <c r="H95" s="251"/>
    </row>
    <row r="96" spans="1:8" ht="16.5">
      <c r="A96" s="429"/>
      <c r="B96" s="435"/>
      <c r="C96" s="429"/>
      <c r="D96" s="423"/>
      <c r="E96" s="236" t="s">
        <v>128</v>
      </c>
      <c r="F96" s="239">
        <v>4</v>
      </c>
      <c r="G96" s="262" t="s">
        <v>149</v>
      </c>
      <c r="H96" s="251"/>
    </row>
    <row r="97" spans="1:8" ht="16.5">
      <c r="A97" s="429"/>
      <c r="B97" s="435"/>
      <c r="C97" s="429"/>
      <c r="D97" s="423"/>
      <c r="E97" s="278" t="s">
        <v>156</v>
      </c>
      <c r="F97" s="279">
        <v>24</v>
      </c>
      <c r="G97" s="262" t="s">
        <v>137</v>
      </c>
      <c r="H97" s="251"/>
    </row>
    <row r="98" spans="1:8" ht="16" customHeight="1">
      <c r="A98" s="280" t="s">
        <v>103</v>
      </c>
      <c r="B98" s="280" t="s">
        <v>104</v>
      </c>
      <c r="C98" s="281" t="s">
        <v>105</v>
      </c>
      <c r="D98" s="280" t="s">
        <v>106</v>
      </c>
      <c r="E98" s="281" t="s">
        <v>107</v>
      </c>
      <c r="F98" s="280" t="s">
        <v>108</v>
      </c>
      <c r="G98" s="280" t="s">
        <v>5</v>
      </c>
      <c r="H98" s="282">
        <f>(88-17.8-1.15*24)/88</f>
        <v>0.48409090909090902</v>
      </c>
    </row>
    <row r="99" spans="1:8" ht="18" customHeight="1">
      <c r="A99" s="430" t="s">
        <v>58</v>
      </c>
      <c r="B99" s="436">
        <v>9</v>
      </c>
      <c r="C99" s="430" t="s">
        <v>167</v>
      </c>
      <c r="D99" s="424">
        <v>88</v>
      </c>
      <c r="E99" s="283" t="s">
        <v>168</v>
      </c>
      <c r="F99" s="237">
        <v>1</v>
      </c>
      <c r="G99" s="262" t="s">
        <v>112</v>
      </c>
      <c r="H99" s="284"/>
    </row>
    <row r="100" spans="1:8" ht="18" customHeight="1">
      <c r="A100" s="430"/>
      <c r="B100" s="436"/>
      <c r="C100" s="430"/>
      <c r="D100" s="424"/>
      <c r="E100" s="232" t="s">
        <v>169</v>
      </c>
      <c r="F100" s="233">
        <v>1</v>
      </c>
      <c r="G100" s="262" t="s">
        <v>112</v>
      </c>
      <c r="H100" s="284"/>
    </row>
    <row r="101" spans="1:8" ht="18" customHeight="1">
      <c r="A101" s="430"/>
      <c r="B101" s="436"/>
      <c r="C101" s="430"/>
      <c r="D101" s="424"/>
      <c r="E101" s="283" t="s">
        <v>170</v>
      </c>
      <c r="F101" s="237">
        <v>6</v>
      </c>
      <c r="G101" s="285" t="s">
        <v>171</v>
      </c>
      <c r="H101" s="284"/>
    </row>
    <row r="102" spans="1:8" ht="18" customHeight="1">
      <c r="A102" s="430"/>
      <c r="B102" s="436"/>
      <c r="C102" s="430"/>
      <c r="D102" s="424"/>
      <c r="E102" s="241" t="s">
        <v>158</v>
      </c>
      <c r="F102" s="237">
        <v>10</v>
      </c>
      <c r="G102" s="285" t="s">
        <v>146</v>
      </c>
      <c r="H102" s="284"/>
    </row>
    <row r="103" spans="1:8" ht="18" customHeight="1">
      <c r="A103" s="430"/>
      <c r="B103" s="436"/>
      <c r="C103" s="430"/>
      <c r="D103" s="424"/>
      <c r="E103" s="236" t="s">
        <v>116</v>
      </c>
      <c r="F103" s="237">
        <v>4</v>
      </c>
      <c r="G103" s="285" t="s">
        <v>117</v>
      </c>
      <c r="H103" s="284"/>
    </row>
    <row r="104" spans="1:8" ht="18" customHeight="1">
      <c r="A104" s="430"/>
      <c r="B104" s="436"/>
      <c r="C104" s="430"/>
      <c r="D104" s="424"/>
      <c r="E104" s="283" t="s">
        <v>118</v>
      </c>
      <c r="F104" s="237">
        <v>3</v>
      </c>
      <c r="G104" s="285" t="s">
        <v>119</v>
      </c>
      <c r="H104" s="284"/>
    </row>
    <row r="105" spans="1:8" ht="18" customHeight="1">
      <c r="A105" s="430"/>
      <c r="B105" s="436"/>
      <c r="C105" s="430"/>
      <c r="D105" s="424"/>
      <c r="E105" s="286" t="s">
        <v>120</v>
      </c>
      <c r="F105" s="237">
        <v>4</v>
      </c>
      <c r="G105" s="285" t="s">
        <v>121</v>
      </c>
      <c r="H105" s="284"/>
    </row>
    <row r="106" spans="1:8" ht="18" customHeight="1">
      <c r="A106" s="430"/>
      <c r="B106" s="436"/>
      <c r="C106" s="430"/>
      <c r="D106" s="424"/>
      <c r="E106" s="236" t="s">
        <v>122</v>
      </c>
      <c r="F106" s="239">
        <v>3</v>
      </c>
      <c r="G106" s="263" t="s">
        <v>123</v>
      </c>
      <c r="H106" s="284"/>
    </row>
    <row r="107" spans="1:8" ht="18" customHeight="1">
      <c r="A107" s="430"/>
      <c r="B107" s="436"/>
      <c r="C107" s="430"/>
      <c r="D107" s="424"/>
      <c r="E107" s="264" t="s">
        <v>126</v>
      </c>
      <c r="F107" s="239">
        <v>1</v>
      </c>
      <c r="G107" s="265" t="s">
        <v>127</v>
      </c>
      <c r="H107" s="284"/>
    </row>
    <row r="108" spans="1:8" ht="18" customHeight="1">
      <c r="A108" s="431"/>
      <c r="B108" s="436"/>
      <c r="C108" s="431"/>
      <c r="D108" s="425"/>
      <c r="E108" s="287" t="s">
        <v>172</v>
      </c>
      <c r="F108" s="288">
        <v>24</v>
      </c>
      <c r="G108" s="289" t="s">
        <v>173</v>
      </c>
      <c r="H108" s="284"/>
    </row>
    <row r="109" spans="1:8" ht="16.5">
      <c r="A109" s="290" t="s">
        <v>103</v>
      </c>
      <c r="B109" s="290" t="s">
        <v>104</v>
      </c>
      <c r="C109" s="291" t="s">
        <v>174</v>
      </c>
      <c r="D109" s="291" t="s">
        <v>106</v>
      </c>
      <c r="E109" s="291" t="s">
        <v>107</v>
      </c>
      <c r="F109" s="291" t="s">
        <v>108</v>
      </c>
      <c r="G109" s="290" t="s">
        <v>175</v>
      </c>
      <c r="H109" s="292">
        <f>(88-4.41*6-1.15*24-6.41)/88</f>
        <v>0.312840909090909</v>
      </c>
    </row>
    <row r="110" spans="1:8" ht="16.5">
      <c r="A110" s="441" t="s">
        <v>176</v>
      </c>
      <c r="B110" s="437">
        <v>10</v>
      </c>
      <c r="C110" s="432" t="s">
        <v>174</v>
      </c>
      <c r="D110" s="423">
        <v>88</v>
      </c>
      <c r="E110" s="232" t="s">
        <v>177</v>
      </c>
      <c r="F110" s="233">
        <v>6</v>
      </c>
      <c r="G110" s="262" t="s">
        <v>112</v>
      </c>
    </row>
    <row r="111" spans="1:8" ht="16.5">
      <c r="A111" s="441"/>
      <c r="B111" s="437"/>
      <c r="C111" s="432"/>
      <c r="D111" s="423"/>
      <c r="E111" s="232" t="s">
        <v>169</v>
      </c>
      <c r="F111" s="233">
        <v>1</v>
      </c>
      <c r="G111" s="262" t="s">
        <v>112</v>
      </c>
    </row>
    <row r="112" spans="1:8" ht="16.5">
      <c r="A112" s="441"/>
      <c r="B112" s="437"/>
      <c r="C112" s="432"/>
      <c r="D112" s="423"/>
      <c r="E112" s="232" t="s">
        <v>178</v>
      </c>
      <c r="F112" s="233">
        <v>1</v>
      </c>
      <c r="G112" s="262" t="s">
        <v>112</v>
      </c>
    </row>
    <row r="113" spans="1:8" ht="16.5">
      <c r="A113" s="441"/>
      <c r="B113" s="437"/>
      <c r="C113" s="432"/>
      <c r="D113" s="423"/>
      <c r="E113" s="232" t="s">
        <v>179</v>
      </c>
      <c r="F113" s="233">
        <v>5</v>
      </c>
      <c r="G113" s="265" t="s">
        <v>180</v>
      </c>
    </row>
    <row r="114" spans="1:8" ht="16.5">
      <c r="A114" s="441"/>
      <c r="B114" s="437"/>
      <c r="C114" s="432"/>
      <c r="D114" s="423"/>
      <c r="E114" s="236" t="s">
        <v>181</v>
      </c>
      <c r="F114" s="233">
        <v>5</v>
      </c>
      <c r="G114" s="265" t="s">
        <v>182</v>
      </c>
    </row>
    <row r="115" spans="1:8" ht="16.5">
      <c r="A115" s="441"/>
      <c r="B115" s="437"/>
      <c r="C115" s="432"/>
      <c r="D115" s="423"/>
      <c r="E115" s="232" t="s">
        <v>158</v>
      </c>
      <c r="F115" s="237">
        <v>8</v>
      </c>
      <c r="G115" s="285" t="s">
        <v>146</v>
      </c>
      <c r="H115" s="52"/>
    </row>
    <row r="116" spans="1:8" ht="16.5">
      <c r="A116" s="441"/>
      <c r="B116" s="437"/>
      <c r="C116" s="432"/>
      <c r="D116" s="423"/>
      <c r="E116" s="236" t="s">
        <v>120</v>
      </c>
      <c r="F116" s="239">
        <v>4</v>
      </c>
      <c r="G116" s="263" t="s">
        <v>121</v>
      </c>
    </row>
    <row r="117" spans="1:8" ht="16.5">
      <c r="A117" s="441"/>
      <c r="B117" s="437"/>
      <c r="C117" s="432"/>
      <c r="D117" s="423"/>
      <c r="E117" s="236" t="s">
        <v>118</v>
      </c>
      <c r="F117" s="239">
        <v>6</v>
      </c>
      <c r="G117" s="285" t="s">
        <v>119</v>
      </c>
    </row>
    <row r="118" spans="1:8" ht="16.5">
      <c r="A118" s="441"/>
      <c r="B118" s="437"/>
      <c r="C118" s="432"/>
      <c r="D118" s="423"/>
      <c r="E118" s="241" t="s">
        <v>116</v>
      </c>
      <c r="F118" s="233">
        <v>3</v>
      </c>
      <c r="G118" s="263" t="s">
        <v>117</v>
      </c>
    </row>
    <row r="119" spans="1:8" ht="16.5">
      <c r="A119" s="441"/>
      <c r="B119" s="437"/>
      <c r="C119" s="432"/>
      <c r="D119" s="423"/>
      <c r="E119" s="236" t="s">
        <v>122</v>
      </c>
      <c r="F119" s="239">
        <v>3</v>
      </c>
      <c r="G119" s="263" t="s">
        <v>123</v>
      </c>
    </row>
    <row r="120" spans="1:8" ht="16.5">
      <c r="A120" s="441"/>
      <c r="B120" s="437"/>
      <c r="C120" s="432"/>
      <c r="D120" s="423"/>
      <c r="E120" s="243" t="s">
        <v>183</v>
      </c>
      <c r="F120" s="244">
        <v>24</v>
      </c>
      <c r="G120" s="293" t="s">
        <v>184</v>
      </c>
    </row>
    <row r="121" spans="1:8" ht="16.5">
      <c r="A121" s="294" t="s">
        <v>103</v>
      </c>
      <c r="B121" s="294" t="s">
        <v>104</v>
      </c>
      <c r="C121" s="246" t="s">
        <v>185</v>
      </c>
      <c r="D121" s="246" t="s">
        <v>106</v>
      </c>
      <c r="E121" s="246" t="s">
        <v>107</v>
      </c>
      <c r="F121" s="246" t="s">
        <v>108</v>
      </c>
      <c r="G121" s="294" t="s">
        <v>186</v>
      </c>
      <c r="H121" s="292">
        <f>(38-4.41*4-6.41)/38</f>
        <v>0.36710526315789499</v>
      </c>
    </row>
    <row r="122" spans="1:8" ht="16.5">
      <c r="A122" s="433" t="s">
        <v>176</v>
      </c>
      <c r="B122" s="438">
        <v>11</v>
      </c>
      <c r="C122" s="433" t="s">
        <v>185</v>
      </c>
      <c r="D122" s="423">
        <v>38</v>
      </c>
      <c r="E122" s="232" t="s">
        <v>177</v>
      </c>
      <c r="F122" s="233">
        <v>4</v>
      </c>
      <c r="G122" s="262" t="s">
        <v>112</v>
      </c>
    </row>
    <row r="123" spans="1:8" ht="16.5">
      <c r="A123" s="433"/>
      <c r="B123" s="438"/>
      <c r="C123" s="433"/>
      <c r="D123" s="423"/>
      <c r="E123" s="232" t="s">
        <v>178</v>
      </c>
      <c r="F123" s="233">
        <v>1</v>
      </c>
      <c r="G123" s="262" t="s">
        <v>112</v>
      </c>
    </row>
    <row r="124" spans="1:8" ht="16.5">
      <c r="A124" s="433"/>
      <c r="B124" s="438"/>
      <c r="C124" s="433"/>
      <c r="D124" s="423"/>
      <c r="E124" s="232" t="s">
        <v>179</v>
      </c>
      <c r="F124" s="233">
        <v>4</v>
      </c>
      <c r="G124" s="265" t="s">
        <v>180</v>
      </c>
    </row>
    <row r="125" spans="1:8" ht="16.5">
      <c r="A125" s="433"/>
      <c r="B125" s="438"/>
      <c r="C125" s="433"/>
      <c r="D125" s="423"/>
      <c r="E125" s="236" t="s">
        <v>181</v>
      </c>
      <c r="F125" s="233">
        <v>4</v>
      </c>
      <c r="G125" s="265" t="s">
        <v>182</v>
      </c>
    </row>
    <row r="126" spans="1:8" ht="16.5">
      <c r="A126" s="433"/>
      <c r="B126" s="438"/>
      <c r="C126" s="433"/>
      <c r="D126" s="423"/>
      <c r="E126" s="232" t="s">
        <v>158</v>
      </c>
      <c r="F126" s="237">
        <v>4</v>
      </c>
      <c r="G126" s="285" t="s">
        <v>146</v>
      </c>
      <c r="H126" s="52"/>
    </row>
    <row r="127" spans="1:8" ht="16.5">
      <c r="A127" s="433"/>
      <c r="B127" s="438"/>
      <c r="C127" s="433"/>
      <c r="D127" s="423"/>
      <c r="E127" s="241" t="s">
        <v>116</v>
      </c>
      <c r="F127" s="233">
        <v>2</v>
      </c>
      <c r="G127" s="263" t="s">
        <v>117</v>
      </c>
    </row>
    <row r="128" spans="1:8" ht="16.5">
      <c r="A128" s="433"/>
      <c r="B128" s="438"/>
      <c r="C128" s="433"/>
      <c r="D128" s="423"/>
      <c r="E128" s="243" t="s">
        <v>187</v>
      </c>
      <c r="F128" s="244">
        <v>24</v>
      </c>
      <c r="G128" s="293" t="s">
        <v>188</v>
      </c>
    </row>
    <row r="129" spans="1:8" ht="16.5">
      <c r="A129" s="294" t="s">
        <v>103</v>
      </c>
      <c r="B129" s="294" t="s">
        <v>104</v>
      </c>
      <c r="C129" s="246" t="s">
        <v>185</v>
      </c>
      <c r="D129" s="246" t="s">
        <v>106</v>
      </c>
      <c r="E129" s="246" t="s">
        <v>107</v>
      </c>
      <c r="F129" s="246" t="s">
        <v>108</v>
      </c>
      <c r="G129" s="294" t="s">
        <v>186</v>
      </c>
      <c r="H129" s="292">
        <f>(48-16-3.26-0.9*8)/48</f>
        <v>0.44874999999999998</v>
      </c>
    </row>
    <row r="130" spans="1:8" ht="16.5">
      <c r="A130" s="433" t="s">
        <v>176</v>
      </c>
      <c r="B130" s="438">
        <v>12</v>
      </c>
      <c r="C130" s="433" t="s">
        <v>185</v>
      </c>
      <c r="D130" s="423">
        <v>48</v>
      </c>
      <c r="E130" s="232" t="s">
        <v>189</v>
      </c>
      <c r="F130" s="233">
        <v>1</v>
      </c>
      <c r="G130" s="262" t="s">
        <v>112</v>
      </c>
    </row>
    <row r="131" spans="1:8" ht="16.5">
      <c r="A131" s="433"/>
      <c r="B131" s="438"/>
      <c r="C131" s="433"/>
      <c r="D131" s="423"/>
      <c r="E131" s="232" t="s">
        <v>190</v>
      </c>
      <c r="F131" s="233">
        <v>1</v>
      </c>
      <c r="G131" s="262" t="s">
        <v>112</v>
      </c>
    </row>
    <row r="132" spans="1:8" ht="16.5">
      <c r="A132" s="433"/>
      <c r="B132" s="438"/>
      <c r="C132" s="433"/>
      <c r="D132" s="423"/>
      <c r="E132" s="232" t="s">
        <v>191</v>
      </c>
      <c r="F132" s="233">
        <v>1</v>
      </c>
      <c r="G132" s="262" t="s">
        <v>112</v>
      </c>
    </row>
    <row r="133" spans="1:8" ht="16.5">
      <c r="A133" s="433"/>
      <c r="B133" s="438"/>
      <c r="C133" s="433"/>
      <c r="D133" s="423"/>
      <c r="E133" s="232" t="s">
        <v>179</v>
      </c>
      <c r="F133" s="233">
        <v>4</v>
      </c>
      <c r="G133" s="265" t="s">
        <v>180</v>
      </c>
    </row>
    <row r="134" spans="1:8" ht="16.5">
      <c r="A134" s="433"/>
      <c r="B134" s="438"/>
      <c r="C134" s="433"/>
      <c r="D134" s="423"/>
      <c r="E134" s="236" t="s">
        <v>181</v>
      </c>
      <c r="F134" s="233">
        <v>4</v>
      </c>
      <c r="G134" s="265" t="s">
        <v>182</v>
      </c>
    </row>
    <row r="135" spans="1:8" ht="16.5">
      <c r="A135" s="433"/>
      <c r="B135" s="438"/>
      <c r="C135" s="433"/>
      <c r="D135" s="423"/>
      <c r="E135" s="232" t="s">
        <v>158</v>
      </c>
      <c r="F135" s="237">
        <v>4</v>
      </c>
      <c r="G135" s="285" t="s">
        <v>146</v>
      </c>
      <c r="H135" s="52"/>
    </row>
    <row r="136" spans="1:8" ht="16.5">
      <c r="A136" s="433"/>
      <c r="B136" s="438"/>
      <c r="C136" s="433"/>
      <c r="D136" s="423"/>
      <c r="E136" s="241" t="s">
        <v>116</v>
      </c>
      <c r="F136" s="233">
        <v>2</v>
      </c>
      <c r="G136" s="263" t="s">
        <v>117</v>
      </c>
    </row>
    <row r="137" spans="1:8" ht="16.5">
      <c r="A137" s="433"/>
      <c r="B137" s="438"/>
      <c r="C137" s="433"/>
      <c r="D137" s="423"/>
      <c r="E137" s="243" t="s">
        <v>192</v>
      </c>
      <c r="F137" s="244">
        <v>24</v>
      </c>
      <c r="G137" s="293" t="s">
        <v>188</v>
      </c>
    </row>
    <row r="138" spans="1:8" ht="19" customHeight="1">
      <c r="A138" s="295"/>
      <c r="B138" s="295"/>
      <c r="C138" s="295"/>
      <c r="D138" s="295"/>
      <c r="E138" s="295"/>
      <c r="F138" s="295"/>
      <c r="G138" s="295"/>
      <c r="H138" s="251"/>
    </row>
    <row r="139" spans="1:8" ht="27.5">
      <c r="B139" s="440" t="s">
        <v>193</v>
      </c>
      <c r="C139" s="440"/>
      <c r="D139" s="440"/>
      <c r="E139" s="440"/>
      <c r="F139" s="440"/>
      <c r="G139" s="440"/>
    </row>
    <row r="140" spans="1:8" ht="16.5">
      <c r="A140" s="296" t="s">
        <v>103</v>
      </c>
      <c r="B140" s="297" t="s">
        <v>104</v>
      </c>
      <c r="C140" s="297" t="s">
        <v>194</v>
      </c>
      <c r="D140" s="298" t="s">
        <v>195</v>
      </c>
      <c r="E140" s="298" t="s">
        <v>196</v>
      </c>
      <c r="F140" s="298" t="s">
        <v>108</v>
      </c>
      <c r="G140" s="298" t="s">
        <v>5</v>
      </c>
      <c r="H140" s="292"/>
    </row>
    <row r="141" spans="1:8" ht="16.5">
      <c r="A141" s="434" t="s">
        <v>197</v>
      </c>
      <c r="B141" s="439">
        <v>1</v>
      </c>
      <c r="C141" s="421" t="s">
        <v>198</v>
      </c>
      <c r="D141" s="415">
        <v>49.9</v>
      </c>
      <c r="E141" s="299" t="s">
        <v>199</v>
      </c>
      <c r="F141" s="300">
        <v>3</v>
      </c>
      <c r="G141" s="417" t="s">
        <v>200</v>
      </c>
    </row>
    <row r="142" spans="1:8" ht="16.5">
      <c r="A142" s="434"/>
      <c r="B142" s="427"/>
      <c r="C142" s="421"/>
      <c r="D142" s="416"/>
      <c r="E142" s="299" t="s">
        <v>201</v>
      </c>
      <c r="F142" s="300">
        <v>2</v>
      </c>
      <c r="G142" s="418"/>
    </row>
    <row r="143" spans="1:8" ht="16.5">
      <c r="A143" s="434"/>
      <c r="B143" s="427"/>
      <c r="C143" s="421"/>
      <c r="D143" s="416"/>
      <c r="E143" s="299" t="s">
        <v>202</v>
      </c>
      <c r="F143" s="300">
        <v>2</v>
      </c>
      <c r="G143" s="299" t="s">
        <v>203</v>
      </c>
    </row>
    <row r="144" spans="1:8" ht="16.5">
      <c r="A144" s="434"/>
      <c r="B144" s="428">
        <v>2</v>
      </c>
      <c r="C144" s="421"/>
      <c r="D144" s="303" t="s">
        <v>195</v>
      </c>
      <c r="E144" s="298" t="s">
        <v>196</v>
      </c>
      <c r="F144" s="298" t="s">
        <v>108</v>
      </c>
      <c r="G144" s="298" t="s">
        <v>5</v>
      </c>
      <c r="H144" s="292"/>
    </row>
    <row r="145" spans="1:8" ht="16.5">
      <c r="A145" s="434"/>
      <c r="B145" s="427"/>
      <c r="C145" s="421"/>
      <c r="D145" s="415">
        <v>69.900000000000006</v>
      </c>
      <c r="E145" s="299" t="s">
        <v>204</v>
      </c>
      <c r="F145" s="300">
        <v>15</v>
      </c>
      <c r="G145" s="304" t="s">
        <v>200</v>
      </c>
    </row>
    <row r="146" spans="1:8" ht="16.5">
      <c r="A146" s="434"/>
      <c r="B146" s="427"/>
      <c r="C146" s="421"/>
      <c r="D146" s="416"/>
      <c r="E146" s="299" t="s">
        <v>202</v>
      </c>
      <c r="F146" s="300">
        <v>2</v>
      </c>
      <c r="G146" s="299" t="s">
        <v>203</v>
      </c>
    </row>
    <row r="147" spans="1:8" ht="16.5">
      <c r="A147" s="434"/>
      <c r="B147" s="426">
        <v>3</v>
      </c>
      <c r="C147" s="422" t="s">
        <v>205</v>
      </c>
      <c r="D147" s="303" t="s">
        <v>195</v>
      </c>
      <c r="E147" s="298" t="s">
        <v>206</v>
      </c>
      <c r="F147" s="298" t="s">
        <v>108</v>
      </c>
      <c r="G147" s="298" t="s">
        <v>5</v>
      </c>
    </row>
    <row r="148" spans="1:8" ht="16.5">
      <c r="A148" s="434"/>
      <c r="B148" s="427"/>
      <c r="C148" s="422"/>
      <c r="D148" s="415">
        <v>48</v>
      </c>
      <c r="E148" s="299" t="s">
        <v>207</v>
      </c>
      <c r="F148" s="300">
        <v>9</v>
      </c>
      <c r="G148" s="301" t="s">
        <v>200</v>
      </c>
    </row>
    <row r="149" spans="1:8" ht="16.5">
      <c r="A149" s="434"/>
      <c r="B149" s="427"/>
      <c r="C149" s="422"/>
      <c r="D149" s="419"/>
      <c r="E149" s="299" t="s">
        <v>202</v>
      </c>
      <c r="F149" s="300">
        <v>1</v>
      </c>
      <c r="G149" s="299" t="s">
        <v>203</v>
      </c>
    </row>
    <row r="150" spans="1:8" ht="16.5">
      <c r="A150" s="434"/>
      <c r="B150" s="426">
        <v>4</v>
      </c>
      <c r="C150" s="422"/>
      <c r="D150" s="303" t="s">
        <v>195</v>
      </c>
      <c r="E150" s="298" t="s">
        <v>208</v>
      </c>
      <c r="F150" s="298" t="s">
        <v>108</v>
      </c>
      <c r="G150" s="298" t="s">
        <v>5</v>
      </c>
      <c r="H150" s="292"/>
    </row>
    <row r="151" spans="1:8" ht="16.5">
      <c r="A151" s="434"/>
      <c r="B151" s="427"/>
      <c r="C151" s="422"/>
      <c r="D151" s="415">
        <v>48</v>
      </c>
      <c r="E151" s="299" t="s">
        <v>209</v>
      </c>
      <c r="F151" s="300">
        <v>6</v>
      </c>
      <c r="G151" s="301" t="s">
        <v>200</v>
      </c>
    </row>
    <row r="152" spans="1:8" ht="16.5">
      <c r="A152" s="434"/>
      <c r="B152" s="427"/>
      <c r="C152" s="422"/>
      <c r="D152" s="419"/>
      <c r="E152" s="299" t="s">
        <v>202</v>
      </c>
      <c r="F152" s="300">
        <v>1</v>
      </c>
      <c r="G152" s="299" t="s">
        <v>203</v>
      </c>
    </row>
    <row r="153" spans="1:8" ht="16.5">
      <c r="A153" s="434"/>
      <c r="B153" s="426">
        <v>5</v>
      </c>
      <c r="C153" s="422"/>
      <c r="D153" s="303" t="s">
        <v>195</v>
      </c>
      <c r="E153" s="298" t="s">
        <v>210</v>
      </c>
      <c r="F153" s="298" t="s">
        <v>108</v>
      </c>
      <c r="G153" s="298" t="s">
        <v>5</v>
      </c>
    </row>
    <row r="154" spans="1:8" ht="16.5">
      <c r="A154" s="434"/>
      <c r="B154" s="427"/>
      <c r="C154" s="422"/>
      <c r="D154" s="420">
        <v>116</v>
      </c>
      <c r="E154" s="299" t="s">
        <v>211</v>
      </c>
      <c r="F154" s="300">
        <v>2</v>
      </c>
      <c r="G154" s="301" t="s">
        <v>200</v>
      </c>
      <c r="H154" s="292"/>
    </row>
    <row r="155" spans="1:8" ht="16.5">
      <c r="A155" s="434"/>
      <c r="B155" s="427"/>
      <c r="C155" s="422"/>
      <c r="D155" s="416"/>
      <c r="E155" s="299" t="s">
        <v>202</v>
      </c>
      <c r="F155" s="302">
        <v>2</v>
      </c>
      <c r="G155" s="299" t="s">
        <v>203</v>
      </c>
    </row>
    <row r="156" spans="1:8" ht="16.5">
      <c r="A156" s="434"/>
      <c r="B156" s="428">
        <v>6</v>
      </c>
      <c r="C156" s="422" t="s">
        <v>212</v>
      </c>
      <c r="D156" s="303" t="s">
        <v>195</v>
      </c>
      <c r="E156" s="298" t="s">
        <v>213</v>
      </c>
      <c r="F156" s="298" t="s">
        <v>108</v>
      </c>
      <c r="G156" s="298" t="s">
        <v>5</v>
      </c>
    </row>
    <row r="157" spans="1:8" ht="16.5">
      <c r="A157" s="434"/>
      <c r="B157" s="428"/>
      <c r="C157" s="422"/>
      <c r="D157" s="415">
        <v>42.9</v>
      </c>
      <c r="E157" s="299" t="s">
        <v>201</v>
      </c>
      <c r="F157" s="300">
        <v>2</v>
      </c>
      <c r="G157" s="417" t="s">
        <v>200</v>
      </c>
    </row>
    <row r="158" spans="1:8" ht="16.5">
      <c r="A158" s="434"/>
      <c r="B158" s="428"/>
      <c r="C158" s="422"/>
      <c r="D158" s="416"/>
      <c r="E158" s="299" t="s">
        <v>214</v>
      </c>
      <c r="F158" s="300">
        <v>2</v>
      </c>
      <c r="G158" s="418"/>
    </row>
    <row r="159" spans="1:8" ht="16.5">
      <c r="A159" s="434"/>
      <c r="B159" s="428"/>
      <c r="C159" s="422"/>
      <c r="D159" s="416"/>
      <c r="E159" s="299" t="s">
        <v>215</v>
      </c>
      <c r="F159" s="300">
        <v>4</v>
      </c>
      <c r="G159" s="418"/>
    </row>
    <row r="160" spans="1:8" ht="16.5">
      <c r="A160" s="434"/>
      <c r="B160" s="428"/>
      <c r="C160" s="422"/>
      <c r="D160" s="416"/>
      <c r="E160" s="299" t="s">
        <v>202</v>
      </c>
      <c r="F160" s="300">
        <v>2</v>
      </c>
      <c r="G160" s="299" t="s">
        <v>203</v>
      </c>
    </row>
    <row r="161" spans="1:7" ht="16.5">
      <c r="A161" s="434"/>
      <c r="B161" s="428">
        <v>7</v>
      </c>
      <c r="C161" s="422"/>
      <c r="D161" s="303" t="s">
        <v>195</v>
      </c>
      <c r="E161" s="298" t="s">
        <v>216</v>
      </c>
      <c r="F161" s="298" t="s">
        <v>108</v>
      </c>
      <c r="G161" s="298" t="s">
        <v>5</v>
      </c>
    </row>
    <row r="162" spans="1:7" ht="16.5">
      <c r="A162" s="434"/>
      <c r="B162" s="427"/>
      <c r="C162" s="422"/>
      <c r="D162" s="415">
        <v>50.9</v>
      </c>
      <c r="E162" s="299" t="s">
        <v>217</v>
      </c>
      <c r="F162" s="300">
        <v>3</v>
      </c>
      <c r="G162" s="417" t="s">
        <v>200</v>
      </c>
    </row>
    <row r="163" spans="1:7" ht="16.5">
      <c r="A163" s="434"/>
      <c r="B163" s="427"/>
      <c r="C163" s="422"/>
      <c r="D163" s="416"/>
      <c r="E163" s="299" t="s">
        <v>218</v>
      </c>
      <c r="F163" s="300">
        <v>24</v>
      </c>
      <c r="G163" s="418"/>
    </row>
    <row r="164" spans="1:7" ht="16.5">
      <c r="A164" s="434"/>
      <c r="B164" s="427"/>
      <c r="C164" s="422"/>
      <c r="D164" s="416"/>
      <c r="E164" s="299" t="s">
        <v>202</v>
      </c>
      <c r="F164" s="300">
        <v>2</v>
      </c>
      <c r="G164" s="299" t="s">
        <v>203</v>
      </c>
    </row>
  </sheetData>
  <mergeCells count="71">
    <mergeCell ref="B2:G2"/>
    <mergeCell ref="B139:G139"/>
    <mergeCell ref="A4:A16"/>
    <mergeCell ref="A18:A30"/>
    <mergeCell ref="A32:A42"/>
    <mergeCell ref="A44:A50"/>
    <mergeCell ref="A52:A61"/>
    <mergeCell ref="A63:A72"/>
    <mergeCell ref="A74:A84"/>
    <mergeCell ref="A86:A97"/>
    <mergeCell ref="A99:A108"/>
    <mergeCell ref="A110:A120"/>
    <mergeCell ref="A122:A128"/>
    <mergeCell ref="A130:A137"/>
    <mergeCell ref="A141:A164"/>
    <mergeCell ref="B4:B16"/>
    <mergeCell ref="B18:B30"/>
    <mergeCell ref="B32:B42"/>
    <mergeCell ref="B44:B50"/>
    <mergeCell ref="B52:B61"/>
    <mergeCell ref="B63:B72"/>
    <mergeCell ref="B74:B84"/>
    <mergeCell ref="B86:B97"/>
    <mergeCell ref="B99:B108"/>
    <mergeCell ref="B110:B120"/>
    <mergeCell ref="B122:B128"/>
    <mergeCell ref="B130:B137"/>
    <mergeCell ref="B141:B143"/>
    <mergeCell ref="B144:B146"/>
    <mergeCell ref="B147:B149"/>
    <mergeCell ref="B150:B152"/>
    <mergeCell ref="B153:B155"/>
    <mergeCell ref="B156:B160"/>
    <mergeCell ref="B161:B164"/>
    <mergeCell ref="C4:C16"/>
    <mergeCell ref="C18:C30"/>
    <mergeCell ref="C32:C42"/>
    <mergeCell ref="C44:C50"/>
    <mergeCell ref="C52:C61"/>
    <mergeCell ref="C63:C72"/>
    <mergeCell ref="C74:C84"/>
    <mergeCell ref="C86:C97"/>
    <mergeCell ref="C99:C108"/>
    <mergeCell ref="C110:C120"/>
    <mergeCell ref="C122:C128"/>
    <mergeCell ref="C130:C137"/>
    <mergeCell ref="C141:C146"/>
    <mergeCell ref="C147:C155"/>
    <mergeCell ref="C156:C164"/>
    <mergeCell ref="D4:D16"/>
    <mergeCell ref="D18:D30"/>
    <mergeCell ref="D32:D42"/>
    <mergeCell ref="D44:D50"/>
    <mergeCell ref="D52:D61"/>
    <mergeCell ref="D63:D72"/>
    <mergeCell ref="D74:D84"/>
    <mergeCell ref="D86:D97"/>
    <mergeCell ref="D99:D108"/>
    <mergeCell ref="D110:D120"/>
    <mergeCell ref="D122:D128"/>
    <mergeCell ref="D130:D137"/>
    <mergeCell ref="D141:D143"/>
    <mergeCell ref="D162:D164"/>
    <mergeCell ref="G141:G142"/>
    <mergeCell ref="G157:G159"/>
    <mergeCell ref="G162:G163"/>
    <mergeCell ref="D145:D146"/>
    <mergeCell ref="D148:D149"/>
    <mergeCell ref="D151:D152"/>
    <mergeCell ref="D154:D155"/>
    <mergeCell ref="D157:D160"/>
  </mergeCells>
  <phoneticPr fontId="100" type="noConversion"/>
  <pageMargins left="0.43263888888888902" right="0.118055555555556" top="0.35416666666666702" bottom="0.23611111111111099" header="0.31458333333333299" footer="0.196527777777778"/>
  <pageSetup paperSize="9" scale="80" fitToHeight="0"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C000"/>
    <pageSetUpPr fitToPage="1"/>
  </sheetPr>
  <dimension ref="A1:M22"/>
  <sheetViews>
    <sheetView workbookViewId="0">
      <pane ySplit="4" topLeftCell="A5" activePane="bottomLeft" state="frozen"/>
      <selection pane="bottomLeft" activeCell="C21" sqref="C21"/>
    </sheetView>
  </sheetViews>
  <sheetFormatPr defaultColWidth="9" defaultRowHeight="14"/>
  <cols>
    <col min="1" max="1" width="4.36328125" style="13" customWidth="1"/>
    <col min="2" max="2" width="15.08984375" style="13" customWidth="1"/>
    <col min="3" max="3" width="47.08984375" style="13" customWidth="1"/>
    <col min="4" max="4" width="46.08984375" style="13" customWidth="1"/>
    <col min="5" max="5" width="8.81640625" style="13" customWidth="1"/>
    <col min="6" max="6" width="7.36328125" style="13" customWidth="1"/>
    <col min="7" max="7" width="7.6328125" style="13" customWidth="1"/>
    <col min="8" max="8" width="7.26953125" style="13" customWidth="1"/>
    <col min="9" max="9" width="9.90625" style="13" customWidth="1"/>
    <col min="10" max="10" width="7.81640625" style="13" customWidth="1"/>
    <col min="11" max="11" width="8.36328125" style="184" hidden="1" customWidth="1"/>
    <col min="12" max="12" width="10.36328125" style="185" hidden="1" customWidth="1"/>
    <col min="13" max="13" width="11.81640625" style="14" customWidth="1"/>
    <col min="14" max="15" width="9.36328125" style="13"/>
    <col min="16" max="16384" width="9" style="13"/>
  </cols>
  <sheetData>
    <row r="1" spans="1:13">
      <c r="A1" s="451" t="s">
        <v>264</v>
      </c>
      <c r="B1" s="451"/>
    </row>
    <row r="2" spans="1:13" ht="25">
      <c r="A2" s="375" t="s">
        <v>265</v>
      </c>
      <c r="B2" s="375"/>
      <c r="C2" s="375"/>
      <c r="D2" s="375"/>
      <c r="E2" s="375"/>
      <c r="F2" s="375"/>
      <c r="G2" s="375"/>
      <c r="H2" s="375"/>
      <c r="I2" s="375"/>
      <c r="J2" s="375"/>
    </row>
    <row r="3" spans="1:13" ht="16.5">
      <c r="A3" s="450" t="s">
        <v>104</v>
      </c>
      <c r="B3" s="444" t="s">
        <v>266</v>
      </c>
      <c r="C3" s="444" t="s">
        <v>221</v>
      </c>
      <c r="D3" s="452" t="s">
        <v>267</v>
      </c>
      <c r="E3" s="453"/>
      <c r="F3" s="453"/>
      <c r="G3" s="453"/>
      <c r="H3" s="453"/>
      <c r="I3" s="453"/>
      <c r="J3" s="454"/>
      <c r="M3" s="14" t="s">
        <v>268</v>
      </c>
    </row>
    <row r="4" spans="1:13" ht="33">
      <c r="A4" s="450"/>
      <c r="B4" s="444"/>
      <c r="C4" s="444"/>
      <c r="D4" s="187" t="s">
        <v>269</v>
      </c>
      <c r="E4" s="187" t="s">
        <v>270</v>
      </c>
      <c r="F4" s="187" t="s">
        <v>271</v>
      </c>
      <c r="G4" s="186" t="s">
        <v>272</v>
      </c>
      <c r="H4" s="186" t="s">
        <v>273</v>
      </c>
      <c r="I4" s="186" t="s">
        <v>274</v>
      </c>
      <c r="J4" s="187" t="s">
        <v>275</v>
      </c>
      <c r="M4" s="188"/>
    </row>
    <row r="5" spans="1:13" ht="16.5">
      <c r="A5" s="449" t="s">
        <v>276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3" ht="14.5">
      <c r="A6" s="448" t="s">
        <v>277</v>
      </c>
      <c r="B6" s="448"/>
      <c r="C6" s="190" t="s">
        <v>278</v>
      </c>
      <c r="D6" s="189" t="s">
        <v>279</v>
      </c>
      <c r="E6" s="191">
        <v>6</v>
      </c>
      <c r="F6" s="192">
        <v>25</v>
      </c>
      <c r="G6" s="192">
        <v>19.277108433734899</v>
      </c>
      <c r="H6" s="192">
        <v>4.7228915662650603</v>
      </c>
      <c r="I6" s="193">
        <v>0.90361445783132499</v>
      </c>
      <c r="J6" s="193">
        <v>0.44726628952316599</v>
      </c>
    </row>
    <row r="7" spans="1:13" ht="29">
      <c r="A7" s="20">
        <v>1</v>
      </c>
      <c r="B7" s="21" t="s">
        <v>280</v>
      </c>
      <c r="C7" s="194" t="s">
        <v>281</v>
      </c>
      <c r="D7" s="195" t="s">
        <v>282</v>
      </c>
      <c r="E7" s="23" t="s">
        <v>279</v>
      </c>
      <c r="F7" s="23" t="s">
        <v>279</v>
      </c>
      <c r="G7" s="23" t="s">
        <v>279</v>
      </c>
      <c r="H7" s="23" t="s">
        <v>279</v>
      </c>
      <c r="I7" s="23" t="s">
        <v>279</v>
      </c>
      <c r="J7" s="23" t="s">
        <v>279</v>
      </c>
      <c r="M7" s="196" t="s">
        <v>283</v>
      </c>
    </row>
    <row r="8" spans="1:13" ht="14.5">
      <c r="A8" s="448" t="s">
        <v>284</v>
      </c>
      <c r="B8" s="448"/>
      <c r="C8" s="190" t="s">
        <v>285</v>
      </c>
      <c r="D8" s="189" t="s">
        <v>279</v>
      </c>
      <c r="E8" s="191">
        <v>10</v>
      </c>
      <c r="F8" s="197">
        <v>25</v>
      </c>
      <c r="G8" s="192">
        <v>18.548387096774199</v>
      </c>
      <c r="H8" s="192">
        <v>4.4516129032258096</v>
      </c>
      <c r="I8" s="198">
        <v>0.907258064516129</v>
      </c>
      <c r="J8" s="193">
        <v>0.43663928633580201</v>
      </c>
    </row>
    <row r="9" spans="1:13" ht="29">
      <c r="A9" s="20">
        <v>2</v>
      </c>
      <c r="B9" s="96" t="s">
        <v>286</v>
      </c>
      <c r="C9" s="199" t="s">
        <v>287</v>
      </c>
      <c r="D9" s="195" t="s">
        <v>282</v>
      </c>
      <c r="E9" s="23" t="s">
        <v>279</v>
      </c>
      <c r="F9" s="23" t="s">
        <v>279</v>
      </c>
      <c r="G9" s="23" t="s">
        <v>279</v>
      </c>
      <c r="H9" s="23" t="s">
        <v>279</v>
      </c>
      <c r="I9" s="23" t="s">
        <v>279</v>
      </c>
      <c r="J9" s="23" t="s">
        <v>279</v>
      </c>
      <c r="M9" s="196" t="s">
        <v>283</v>
      </c>
    </row>
    <row r="10" spans="1:13" ht="14.5">
      <c r="A10" s="448" t="s">
        <v>288</v>
      </c>
      <c r="B10" s="448"/>
      <c r="C10" s="190" t="s">
        <v>289</v>
      </c>
      <c r="D10" s="189" t="s">
        <v>279</v>
      </c>
      <c r="E10" s="191">
        <v>20</v>
      </c>
      <c r="F10" s="192">
        <v>25</v>
      </c>
      <c r="G10" s="192">
        <v>48.5812553740327</v>
      </c>
      <c r="H10" s="192">
        <v>7.9187446259673298</v>
      </c>
      <c r="I10" s="193">
        <v>0.90283748925193497</v>
      </c>
      <c r="J10" s="193">
        <v>0.28854163014899198</v>
      </c>
    </row>
    <row r="11" spans="1:13" ht="42" customHeight="1">
      <c r="A11" s="20">
        <v>3</v>
      </c>
      <c r="B11" s="96" t="s">
        <v>290</v>
      </c>
      <c r="C11" s="199" t="s">
        <v>291</v>
      </c>
      <c r="D11" s="200" t="s">
        <v>292</v>
      </c>
      <c r="E11" s="23" t="s">
        <v>279</v>
      </c>
      <c r="F11" s="23" t="s">
        <v>279</v>
      </c>
      <c r="G11" s="23" t="s">
        <v>279</v>
      </c>
      <c r="H11" s="23" t="s">
        <v>279</v>
      </c>
      <c r="I11" s="23" t="s">
        <v>279</v>
      </c>
      <c r="J11" s="23" t="s">
        <v>279</v>
      </c>
      <c r="M11" s="196" t="s">
        <v>293</v>
      </c>
    </row>
    <row r="12" spans="1:13" ht="16.5">
      <c r="A12" s="449" t="s">
        <v>294</v>
      </c>
      <c r="B12" s="449"/>
      <c r="C12" s="449"/>
      <c r="D12" s="449"/>
      <c r="E12" s="449"/>
      <c r="F12" s="449"/>
      <c r="G12" s="449"/>
      <c r="H12" s="449"/>
      <c r="I12" s="449"/>
      <c r="J12" s="449"/>
      <c r="K12" s="201" t="s">
        <v>295</v>
      </c>
      <c r="L12" s="202" t="s">
        <v>296</v>
      </c>
    </row>
    <row r="13" spans="1:13" ht="22" customHeight="1">
      <c r="A13" s="445" t="s">
        <v>297</v>
      </c>
      <c r="B13" s="445" t="s">
        <v>298</v>
      </c>
      <c r="C13" s="199" t="s">
        <v>299</v>
      </c>
      <c r="D13" s="203" t="s">
        <v>300</v>
      </c>
      <c r="E13" s="109">
        <v>4</v>
      </c>
      <c r="F13" s="83">
        <v>2</v>
      </c>
      <c r="G13" s="23">
        <v>9.375</v>
      </c>
      <c r="H13" s="23">
        <v>0.625</v>
      </c>
      <c r="I13" s="111">
        <v>0.94791666666666696</v>
      </c>
      <c r="J13" s="111">
        <v>0.59560439560439604</v>
      </c>
      <c r="K13" s="204">
        <v>2053111</v>
      </c>
      <c r="L13" s="205">
        <v>2136246.6800000002</v>
      </c>
      <c r="M13" s="206" t="s">
        <v>301</v>
      </c>
    </row>
    <row r="14" spans="1:13" ht="22" customHeight="1">
      <c r="A14" s="446"/>
      <c r="B14" s="446"/>
      <c r="C14" s="32" t="s">
        <v>302</v>
      </c>
      <c r="D14" s="207" t="s">
        <v>303</v>
      </c>
      <c r="E14" s="109">
        <v>4</v>
      </c>
      <c r="F14" s="23">
        <v>4</v>
      </c>
      <c r="G14" s="23">
        <v>9.2783505154639201</v>
      </c>
      <c r="H14" s="23">
        <v>0.72164948453608202</v>
      </c>
      <c r="I14" s="111">
        <v>0.94845360824742297</v>
      </c>
      <c r="J14" s="111">
        <v>0.66863354037267098</v>
      </c>
      <c r="K14" s="204">
        <v>1908144</v>
      </c>
      <c r="L14" s="205">
        <v>2077719.91</v>
      </c>
      <c r="M14" s="206" t="s">
        <v>301</v>
      </c>
    </row>
    <row r="15" spans="1:13" ht="22" customHeight="1">
      <c r="A15" s="446"/>
      <c r="B15" s="446"/>
      <c r="C15" s="334" t="s">
        <v>3812</v>
      </c>
      <c r="D15" s="208" t="s">
        <v>304</v>
      </c>
      <c r="E15" s="20">
        <v>3</v>
      </c>
      <c r="F15" s="23">
        <v>12</v>
      </c>
      <c r="G15" s="23">
        <v>5.4545454545454497</v>
      </c>
      <c r="H15" s="23">
        <v>0.54545454545454497</v>
      </c>
      <c r="I15" s="111">
        <v>0.96969696969696995</v>
      </c>
      <c r="J15" s="111">
        <v>0.33140625000000001</v>
      </c>
      <c r="K15" s="204">
        <v>6787230</v>
      </c>
      <c r="L15" s="204">
        <v>23004497</v>
      </c>
      <c r="M15" s="209" t="s">
        <v>283</v>
      </c>
    </row>
    <row r="16" spans="1:13" ht="22" customHeight="1">
      <c r="A16" s="446"/>
      <c r="B16" s="446"/>
      <c r="C16" s="334" t="s">
        <v>3807</v>
      </c>
      <c r="D16" s="210" t="s">
        <v>305</v>
      </c>
      <c r="E16" s="100">
        <v>1</v>
      </c>
      <c r="F16" s="100">
        <v>9.9</v>
      </c>
      <c r="G16" s="29">
        <v>4.61775269368907</v>
      </c>
      <c r="H16" s="29">
        <v>0.38224730631092901</v>
      </c>
      <c r="I16" s="211">
        <v>0.97434581836839396</v>
      </c>
      <c r="J16" s="211">
        <v>0.33874063000307503</v>
      </c>
      <c r="K16" s="204" t="s">
        <v>306</v>
      </c>
      <c r="L16" s="212"/>
      <c r="M16" s="213" t="s">
        <v>293</v>
      </c>
    </row>
    <row r="17" spans="1:13" ht="22" customHeight="1">
      <c r="A17" s="446"/>
      <c r="B17" s="446"/>
      <c r="C17" s="194" t="s">
        <v>307</v>
      </c>
      <c r="D17" s="210" t="s">
        <v>308</v>
      </c>
      <c r="E17" s="100">
        <v>2</v>
      </c>
      <c r="F17" s="100">
        <v>9.9</v>
      </c>
      <c r="G17" s="29">
        <v>1.78310740354536</v>
      </c>
      <c r="H17" s="29">
        <v>0.11689259645463999</v>
      </c>
      <c r="I17" s="211">
        <v>0.99009384775808096</v>
      </c>
      <c r="J17" s="211">
        <v>0.41282744709525998</v>
      </c>
      <c r="K17" s="204" t="s">
        <v>306</v>
      </c>
      <c r="L17" s="212"/>
      <c r="M17" s="213" t="s">
        <v>293</v>
      </c>
    </row>
    <row r="18" spans="1:13" ht="22" customHeight="1">
      <c r="A18" s="447"/>
      <c r="B18" s="447"/>
      <c r="C18" s="32" t="s">
        <v>309</v>
      </c>
      <c r="D18" s="214" t="s">
        <v>310</v>
      </c>
      <c r="E18" s="109">
        <v>3</v>
      </c>
      <c r="F18" s="109">
        <v>9.9</v>
      </c>
      <c r="G18" s="23">
        <v>8.6616541353383507</v>
      </c>
      <c r="H18" s="23">
        <v>0.93834586466165404</v>
      </c>
      <c r="I18" s="111">
        <v>0.95187969924811999</v>
      </c>
      <c r="J18" s="111">
        <v>0.439166362863045</v>
      </c>
      <c r="K18" s="204">
        <v>23751</v>
      </c>
      <c r="L18" s="204">
        <v>88335.59</v>
      </c>
      <c r="M18" s="196" t="s">
        <v>293</v>
      </c>
    </row>
    <row r="19" spans="1:13" ht="22" customHeight="1">
      <c r="A19" s="443">
        <v>2</v>
      </c>
      <c r="B19" s="443" t="s">
        <v>311</v>
      </c>
      <c r="C19" s="22" t="s">
        <v>312</v>
      </c>
      <c r="D19" s="207" t="s">
        <v>313</v>
      </c>
      <c r="E19" s="109">
        <v>10</v>
      </c>
      <c r="F19" s="23">
        <v>19.899999999999999</v>
      </c>
      <c r="G19" s="23">
        <v>8.6571428571428601</v>
      </c>
      <c r="H19" s="23">
        <v>1.44285714285714</v>
      </c>
      <c r="I19" s="111">
        <v>0.95190476190476203</v>
      </c>
      <c r="J19" s="111">
        <v>0.215607803901951</v>
      </c>
      <c r="K19" s="204">
        <v>88324</v>
      </c>
      <c r="L19" s="204">
        <v>180961.17</v>
      </c>
      <c r="M19" s="442" t="s">
        <v>283</v>
      </c>
    </row>
    <row r="20" spans="1:13" ht="22" customHeight="1">
      <c r="A20" s="443"/>
      <c r="B20" s="443"/>
      <c r="C20" s="22" t="s">
        <v>314</v>
      </c>
      <c r="D20" s="207" t="s">
        <v>315</v>
      </c>
      <c r="E20" s="109">
        <v>20</v>
      </c>
      <c r="F20" s="23">
        <v>29.9</v>
      </c>
      <c r="G20" s="23">
        <v>9.8108108108108105</v>
      </c>
      <c r="H20" s="23">
        <v>2.28918918918919</v>
      </c>
      <c r="I20" s="111">
        <v>0.94549549549549505</v>
      </c>
      <c r="J20" s="111">
        <v>0.14380997754032501</v>
      </c>
      <c r="M20" s="442"/>
    </row>
    <row r="21" spans="1:13" ht="22" customHeight="1">
      <c r="A21" s="443"/>
      <c r="B21" s="443"/>
      <c r="C21" s="22" t="s">
        <v>316</v>
      </c>
      <c r="D21" s="207" t="s">
        <v>317</v>
      </c>
      <c r="E21" s="109">
        <v>12</v>
      </c>
      <c r="F21" s="23">
        <v>39.9</v>
      </c>
      <c r="G21" s="23">
        <v>10.846153846153801</v>
      </c>
      <c r="H21" s="23">
        <v>3.2538461538461498</v>
      </c>
      <c r="I21" s="111">
        <v>0.93974358974358996</v>
      </c>
      <c r="J21" s="111">
        <v>0.212945278156738</v>
      </c>
      <c r="M21" s="442"/>
    </row>
    <row r="22" spans="1:13" ht="43.5">
      <c r="A22" s="109">
        <v>3</v>
      </c>
      <c r="B22" s="109" t="s">
        <v>318</v>
      </c>
      <c r="C22" s="22" t="s">
        <v>319</v>
      </c>
      <c r="D22" s="208" t="s">
        <v>320</v>
      </c>
      <c r="E22" s="109">
        <v>1</v>
      </c>
      <c r="F22" s="109">
        <v>122.5</v>
      </c>
      <c r="G22" s="23">
        <v>16.2406015037594</v>
      </c>
      <c r="H22" s="23">
        <v>13.7593984962406</v>
      </c>
      <c r="I22" s="111">
        <v>0.90977443609022601</v>
      </c>
      <c r="J22" s="111">
        <v>0.106246273740531</v>
      </c>
    </row>
  </sheetData>
  <mergeCells count="16">
    <mergeCell ref="A1:B1"/>
    <mergeCell ref="A2:J2"/>
    <mergeCell ref="D3:J3"/>
    <mergeCell ref="A5:J5"/>
    <mergeCell ref="A6:B6"/>
    <mergeCell ref="M19:M21"/>
    <mergeCell ref="A19:A21"/>
    <mergeCell ref="B3:B4"/>
    <mergeCell ref="B13:B18"/>
    <mergeCell ref="B19:B21"/>
    <mergeCell ref="C3:C4"/>
    <mergeCell ref="A8:B8"/>
    <mergeCell ref="A10:B10"/>
    <mergeCell ref="A12:J12"/>
    <mergeCell ref="A3:A4"/>
    <mergeCell ref="A13:A18"/>
  </mergeCells>
  <phoneticPr fontId="100" type="noConversion"/>
  <pageMargins left="0.43263888888888902" right="0.31458333333333299" top="0.31458333333333299" bottom="0.118055555555556" header="0.31458333333333299" footer="0.156944444444444"/>
  <pageSetup paperSize="9" scale="82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C000"/>
    <pageSetUpPr fitToPage="1"/>
  </sheetPr>
  <dimension ref="A1:O43"/>
  <sheetViews>
    <sheetView zoomScale="70" zoomScaleNormal="70" workbookViewId="0">
      <pane ySplit="4" topLeftCell="A5" activePane="bottomLeft" state="frozen"/>
      <selection pane="bottomLeft" activeCell="E25" sqref="E25"/>
    </sheetView>
  </sheetViews>
  <sheetFormatPr defaultColWidth="9" defaultRowHeight="31" customHeight="1"/>
  <cols>
    <col min="1" max="1" width="6.453125" style="78" customWidth="1"/>
    <col min="2" max="2" width="19.08984375" style="123" customWidth="1"/>
    <col min="3" max="3" width="19.08984375" style="78" customWidth="1"/>
    <col min="4" max="4" width="27.36328125" style="78" customWidth="1"/>
    <col min="5" max="5" width="58.54296875" style="78" customWidth="1"/>
    <col min="6" max="6" width="29.36328125" style="124" customWidth="1"/>
    <col min="7" max="7" width="14.26953125" style="122" customWidth="1"/>
    <col min="8" max="8" width="12.7265625" style="124" customWidth="1"/>
    <col min="9" max="9" width="10.36328125" style="124" customWidth="1"/>
    <col min="10" max="10" width="49.453125" style="125" customWidth="1"/>
    <col min="11" max="11" width="24.6328125" style="125" customWidth="1"/>
    <col min="12" max="12" width="17.54296875" style="78" hidden="1" customWidth="1"/>
    <col min="13" max="16384" width="9" style="78"/>
  </cols>
  <sheetData>
    <row r="1" spans="1:15" ht="17" customHeight="1">
      <c r="A1" s="77" t="s">
        <v>264</v>
      </c>
      <c r="C1" s="77"/>
      <c r="D1" s="77"/>
      <c r="E1" s="77"/>
      <c r="F1" s="122"/>
      <c r="H1" s="78"/>
      <c r="I1" s="78"/>
      <c r="J1" s="78"/>
      <c r="K1" s="78"/>
    </row>
    <row r="2" spans="1:15" ht="35" customHeight="1">
      <c r="A2" s="375" t="s">
        <v>321</v>
      </c>
      <c r="B2" s="375"/>
      <c r="C2" s="375"/>
      <c r="D2" s="375"/>
      <c r="E2" s="375"/>
      <c r="F2" s="375"/>
      <c r="G2" s="375"/>
      <c r="H2" s="375"/>
      <c r="I2" s="375"/>
      <c r="J2" s="375"/>
      <c r="K2" s="375"/>
    </row>
    <row r="3" spans="1:15" ht="30.5">
      <c r="A3" s="372" t="s">
        <v>322</v>
      </c>
      <c r="B3" s="373"/>
      <c r="C3" s="373"/>
      <c r="D3" s="373"/>
      <c r="E3" s="373"/>
      <c r="F3" s="373"/>
      <c r="G3" s="373"/>
      <c r="H3" s="373"/>
      <c r="I3" s="373"/>
      <c r="J3" s="373"/>
      <c r="K3" s="374"/>
    </row>
    <row r="4" spans="1:15" s="120" customFormat="1" ht="22" customHeight="1">
      <c r="A4" s="126" t="s">
        <v>104</v>
      </c>
      <c r="B4" s="127" t="s">
        <v>219</v>
      </c>
      <c r="C4" s="128" t="s">
        <v>323</v>
      </c>
      <c r="D4" s="129" t="s">
        <v>324</v>
      </c>
      <c r="E4" s="129" t="s">
        <v>325</v>
      </c>
      <c r="F4" s="376" t="s">
        <v>326</v>
      </c>
      <c r="G4" s="376"/>
      <c r="H4" s="376"/>
      <c r="I4" s="376"/>
      <c r="J4" s="376"/>
      <c r="K4" s="130" t="s">
        <v>5</v>
      </c>
    </row>
    <row r="5" spans="1:15" s="121" customFormat="1" ht="20">
      <c r="A5" s="131">
        <v>1</v>
      </c>
      <c r="B5" s="358" t="s">
        <v>327</v>
      </c>
      <c r="C5" s="377" t="s">
        <v>328</v>
      </c>
      <c r="D5" s="347" t="s">
        <v>329</v>
      </c>
      <c r="E5" s="135" t="s">
        <v>330</v>
      </c>
      <c r="F5" s="368" t="s">
        <v>331</v>
      </c>
      <c r="G5" s="368"/>
      <c r="H5" s="368"/>
      <c r="I5" s="368"/>
      <c r="J5" s="368"/>
      <c r="K5" s="136"/>
      <c r="L5" s="137"/>
    </row>
    <row r="6" spans="1:15" s="121" customFormat="1" ht="61" customHeight="1">
      <c r="A6" s="131">
        <v>2</v>
      </c>
      <c r="B6" s="358"/>
      <c r="C6" s="377"/>
      <c r="D6" s="347"/>
      <c r="E6" s="135" t="s">
        <v>332</v>
      </c>
      <c r="F6" s="368" t="s">
        <v>333</v>
      </c>
      <c r="G6" s="368"/>
      <c r="H6" s="368"/>
      <c r="I6" s="368"/>
      <c r="J6" s="368"/>
      <c r="K6" s="136"/>
      <c r="L6" s="137"/>
    </row>
    <row r="7" spans="1:15" s="121" customFormat="1" ht="20">
      <c r="A7" s="131">
        <v>3</v>
      </c>
      <c r="B7" s="358"/>
      <c r="C7" s="133" t="s">
        <v>334</v>
      </c>
      <c r="D7" s="134" t="s">
        <v>335</v>
      </c>
      <c r="E7" s="135" t="s">
        <v>336</v>
      </c>
      <c r="F7" s="368" t="s">
        <v>337</v>
      </c>
      <c r="G7" s="368"/>
      <c r="H7" s="368"/>
      <c r="I7" s="368"/>
      <c r="J7" s="368"/>
      <c r="K7" s="136"/>
      <c r="L7" s="137"/>
    </row>
    <row r="8" spans="1:15" s="121" customFormat="1" ht="62" customHeight="1">
      <c r="A8" s="131">
        <v>4</v>
      </c>
      <c r="B8" s="358"/>
      <c r="C8" s="138" t="s">
        <v>338</v>
      </c>
      <c r="D8" s="132" t="s">
        <v>339</v>
      </c>
      <c r="E8" s="135" t="s">
        <v>340</v>
      </c>
      <c r="F8" s="369" t="s">
        <v>341</v>
      </c>
      <c r="G8" s="368"/>
      <c r="H8" s="368"/>
      <c r="I8" s="368"/>
      <c r="J8" s="368"/>
      <c r="K8" s="136"/>
      <c r="L8" s="137"/>
    </row>
    <row r="9" spans="1:15" s="121" customFormat="1" ht="66" customHeight="1">
      <c r="A9" s="139">
        <v>5</v>
      </c>
      <c r="B9" s="359"/>
      <c r="C9" s="140" t="s">
        <v>342</v>
      </c>
      <c r="D9" s="140" t="s">
        <v>343</v>
      </c>
      <c r="E9" s="140" t="s">
        <v>344</v>
      </c>
      <c r="F9" s="370" t="s">
        <v>345</v>
      </c>
      <c r="G9" s="371"/>
      <c r="H9" s="371"/>
      <c r="I9" s="371"/>
      <c r="J9" s="371"/>
      <c r="K9" s="141"/>
      <c r="L9" s="137"/>
    </row>
    <row r="10" spans="1:15" s="121" customFormat="1" ht="30.5">
      <c r="A10" s="372" t="s">
        <v>346</v>
      </c>
      <c r="B10" s="373"/>
      <c r="C10" s="373"/>
      <c r="D10" s="373"/>
      <c r="E10" s="373"/>
      <c r="F10" s="373"/>
      <c r="G10" s="373"/>
      <c r="H10" s="373"/>
      <c r="I10" s="373"/>
      <c r="J10" s="373"/>
      <c r="K10" s="374"/>
      <c r="L10" s="137"/>
    </row>
    <row r="11" spans="1:15" s="120" customFormat="1" ht="40">
      <c r="A11" s="126" t="s">
        <v>104</v>
      </c>
      <c r="B11" s="127" t="s">
        <v>325</v>
      </c>
      <c r="C11" s="128" t="s">
        <v>266</v>
      </c>
      <c r="D11" s="129" t="s">
        <v>220</v>
      </c>
      <c r="E11" s="128" t="s">
        <v>221</v>
      </c>
      <c r="F11" s="129" t="s">
        <v>347</v>
      </c>
      <c r="G11" s="128" t="s">
        <v>348</v>
      </c>
      <c r="H11" s="128" t="s">
        <v>349</v>
      </c>
      <c r="I11" s="127" t="s">
        <v>350</v>
      </c>
      <c r="J11" s="127" t="s">
        <v>5</v>
      </c>
      <c r="K11" s="130" t="s">
        <v>351</v>
      </c>
      <c r="L11" s="120" t="s">
        <v>352</v>
      </c>
    </row>
    <row r="12" spans="1:15" s="121" customFormat="1" ht="33">
      <c r="A12" s="354">
        <v>1</v>
      </c>
      <c r="B12" s="360" t="s">
        <v>353</v>
      </c>
      <c r="C12" s="143" t="s">
        <v>354</v>
      </c>
      <c r="D12" s="144" t="s">
        <v>279</v>
      </c>
      <c r="E12" s="145" t="s">
        <v>355</v>
      </c>
      <c r="F12" s="146" t="s">
        <v>356</v>
      </c>
      <c r="G12" s="147">
        <v>399</v>
      </c>
      <c r="H12" s="148">
        <v>0.12311557788944701</v>
      </c>
      <c r="I12" s="149"/>
      <c r="J12" s="150" t="s">
        <v>357</v>
      </c>
      <c r="K12" s="151"/>
      <c r="L12" s="137"/>
    </row>
    <row r="13" spans="1:15" s="121" customFormat="1" ht="66">
      <c r="A13" s="354"/>
      <c r="B13" s="360"/>
      <c r="C13" s="146" t="s">
        <v>358</v>
      </c>
      <c r="D13" s="144" t="s">
        <v>279</v>
      </c>
      <c r="E13" s="343" t="s">
        <v>3839</v>
      </c>
      <c r="F13" s="146" t="s">
        <v>359</v>
      </c>
      <c r="G13" s="146">
        <v>116</v>
      </c>
      <c r="H13" s="148">
        <v>0.223443419197322</v>
      </c>
      <c r="I13" s="152" t="s">
        <v>279</v>
      </c>
      <c r="J13" s="150" t="s">
        <v>360</v>
      </c>
      <c r="K13" s="153" t="s">
        <v>361</v>
      </c>
      <c r="L13" s="137">
        <v>37.040281686555304</v>
      </c>
    </row>
    <row r="14" spans="1:15" s="121" customFormat="1" ht="66">
      <c r="A14" s="354"/>
      <c r="B14" s="360"/>
      <c r="C14" s="146" t="s">
        <v>358</v>
      </c>
      <c r="D14" s="144" t="s">
        <v>279</v>
      </c>
      <c r="E14" s="343" t="s">
        <v>3839</v>
      </c>
      <c r="F14" s="146" t="s">
        <v>362</v>
      </c>
      <c r="G14" s="146">
        <v>680</v>
      </c>
      <c r="H14" s="148">
        <v>0.16117232813889301</v>
      </c>
      <c r="I14" s="152" t="s">
        <v>279</v>
      </c>
      <c r="J14" s="333" t="s">
        <v>3834</v>
      </c>
      <c r="K14" s="153"/>
      <c r="L14" s="137">
        <v>37.040281686555304</v>
      </c>
    </row>
    <row r="15" spans="1:15" s="121" customFormat="1" ht="49.5">
      <c r="A15" s="354">
        <v>2</v>
      </c>
      <c r="B15" s="361" t="s">
        <v>363</v>
      </c>
      <c r="C15" s="146" t="s">
        <v>364</v>
      </c>
      <c r="D15" s="144" t="s">
        <v>279</v>
      </c>
      <c r="E15" s="149" t="s">
        <v>365</v>
      </c>
      <c r="F15" s="152" t="s">
        <v>366</v>
      </c>
      <c r="G15" s="152">
        <v>20250</v>
      </c>
      <c r="H15" s="154">
        <v>8.6650864197530902E-2</v>
      </c>
      <c r="I15" s="155"/>
      <c r="J15" s="156" t="s">
        <v>367</v>
      </c>
      <c r="K15" s="157"/>
      <c r="L15" s="137"/>
    </row>
    <row r="16" spans="1:15" s="79" customFormat="1" ht="33">
      <c r="A16" s="354"/>
      <c r="B16" s="361"/>
      <c r="C16" s="517" t="s">
        <v>3841</v>
      </c>
      <c r="D16" s="144" t="s">
        <v>279</v>
      </c>
      <c r="E16" s="343" t="s">
        <v>3840</v>
      </c>
      <c r="F16" s="146" t="s">
        <v>368</v>
      </c>
      <c r="G16" s="143">
        <v>40</v>
      </c>
      <c r="H16" s="148">
        <v>6.0249999999999901E-2</v>
      </c>
      <c r="I16" s="152" t="s">
        <v>279</v>
      </c>
      <c r="J16" s="158" t="s">
        <v>369</v>
      </c>
      <c r="K16" s="159"/>
      <c r="L16" s="137">
        <v>5.5885044366005996</v>
      </c>
      <c r="M16" s="121"/>
      <c r="N16" s="121"/>
      <c r="O16" s="121"/>
    </row>
    <row r="17" spans="1:13" ht="33">
      <c r="A17" s="354"/>
      <c r="B17" s="361"/>
      <c r="C17" s="146" t="s">
        <v>370</v>
      </c>
      <c r="D17" s="144" t="s">
        <v>279</v>
      </c>
      <c r="E17" s="343" t="s">
        <v>3842</v>
      </c>
      <c r="F17" s="160" t="s">
        <v>368</v>
      </c>
      <c r="G17" s="143">
        <v>200</v>
      </c>
      <c r="H17" s="148">
        <v>0.12445000000000001</v>
      </c>
      <c r="I17" s="152" t="s">
        <v>279</v>
      </c>
      <c r="J17" s="156" t="s">
        <v>371</v>
      </c>
      <c r="K17" s="161"/>
      <c r="L17" s="137" t="e">
        <v>#N/A</v>
      </c>
    </row>
    <row r="18" spans="1:13" ht="33">
      <c r="A18" s="354"/>
      <c r="B18" s="361"/>
      <c r="C18" s="162" t="s">
        <v>372</v>
      </c>
      <c r="D18" s="144" t="s">
        <v>279</v>
      </c>
      <c r="E18" s="149" t="s">
        <v>373</v>
      </c>
      <c r="F18" s="160" t="s">
        <v>368</v>
      </c>
      <c r="G18" s="143">
        <v>555</v>
      </c>
      <c r="H18" s="154">
        <v>8.3333333333333301E-2</v>
      </c>
      <c r="I18" s="156"/>
      <c r="J18" s="156" t="s">
        <v>374</v>
      </c>
      <c r="K18" s="161"/>
      <c r="L18" s="137">
        <v>37.040281686555304</v>
      </c>
      <c r="M18" s="137"/>
    </row>
    <row r="19" spans="1:13" ht="33">
      <c r="A19" s="354"/>
      <c r="B19" s="361"/>
      <c r="C19" s="162" t="s">
        <v>372</v>
      </c>
      <c r="D19" s="144" t="s">
        <v>279</v>
      </c>
      <c r="E19" s="149" t="s">
        <v>375</v>
      </c>
      <c r="F19" s="160" t="s">
        <v>368</v>
      </c>
      <c r="G19" s="143">
        <v>888</v>
      </c>
      <c r="H19" s="154">
        <v>9.3693693693693694E-2</v>
      </c>
      <c r="I19" s="156"/>
      <c r="J19" s="156" t="s">
        <v>376</v>
      </c>
      <c r="K19" s="161"/>
      <c r="L19" s="137">
        <v>50.156017308119601</v>
      </c>
      <c r="M19" s="137"/>
    </row>
    <row r="20" spans="1:13" ht="16.5">
      <c r="A20" s="366">
        <v>3</v>
      </c>
      <c r="B20" s="362" t="s">
        <v>377</v>
      </c>
      <c r="C20" s="350" t="s">
        <v>298</v>
      </c>
      <c r="D20" s="144" t="s">
        <v>279</v>
      </c>
      <c r="E20" s="333" t="s">
        <v>3835</v>
      </c>
      <c r="F20" s="160" t="s">
        <v>378</v>
      </c>
      <c r="G20" s="143">
        <v>24.9</v>
      </c>
      <c r="H20" s="148">
        <v>0.13318670567041799</v>
      </c>
      <c r="I20" s="164">
        <v>0.2</v>
      </c>
      <c r="J20" s="156" t="s">
        <v>379</v>
      </c>
      <c r="K20" s="161"/>
      <c r="L20" s="137" t="e">
        <v>#N/A</v>
      </c>
    </row>
    <row r="21" spans="1:13" ht="16.5">
      <c r="A21" s="366"/>
      <c r="B21" s="362"/>
      <c r="C21" s="350"/>
      <c r="D21" s="144" t="s">
        <v>279</v>
      </c>
      <c r="E21" s="150" t="s">
        <v>380</v>
      </c>
      <c r="F21" s="160" t="s">
        <v>378</v>
      </c>
      <c r="G21" s="143">
        <v>27.9</v>
      </c>
      <c r="H21" s="148">
        <v>7.5754426122959004E-2</v>
      </c>
      <c r="I21" s="164">
        <v>0.2</v>
      </c>
      <c r="J21" s="156" t="s">
        <v>381</v>
      </c>
      <c r="K21" s="161"/>
      <c r="L21" s="137" t="e">
        <v>#N/A</v>
      </c>
    </row>
    <row r="22" spans="1:13" ht="16.5">
      <c r="A22" s="366"/>
      <c r="B22" s="362"/>
      <c r="C22" s="350"/>
      <c r="D22" s="144" t="s">
        <v>279</v>
      </c>
      <c r="E22" s="150" t="s">
        <v>230</v>
      </c>
      <c r="F22" s="160" t="s">
        <v>378</v>
      </c>
      <c r="G22" s="143">
        <v>31.9</v>
      </c>
      <c r="H22" s="148">
        <v>0.11524445185116999</v>
      </c>
      <c r="I22" s="164">
        <v>0.2</v>
      </c>
      <c r="J22" s="156" t="s">
        <v>382</v>
      </c>
      <c r="K22" s="165"/>
      <c r="L22" s="137">
        <v>1.1759875827478199</v>
      </c>
    </row>
    <row r="23" spans="1:13" ht="16.5">
      <c r="A23" s="366"/>
      <c r="B23" s="362"/>
      <c r="C23" s="350"/>
      <c r="D23" s="144" t="s">
        <v>279</v>
      </c>
      <c r="E23" s="150" t="s">
        <v>383</v>
      </c>
      <c r="F23" s="160" t="s">
        <v>378</v>
      </c>
      <c r="G23" s="143">
        <v>39.9</v>
      </c>
      <c r="H23" s="148">
        <v>0.256566559801438</v>
      </c>
      <c r="I23" s="152" t="s">
        <v>279</v>
      </c>
      <c r="J23" s="166" t="s">
        <v>384</v>
      </c>
      <c r="K23" s="165"/>
      <c r="L23" s="137">
        <v>1.2359580943301101</v>
      </c>
    </row>
    <row r="24" spans="1:13" ht="16.5">
      <c r="A24" s="366"/>
      <c r="B24" s="362"/>
      <c r="C24" s="350"/>
      <c r="D24" s="144" t="s">
        <v>279</v>
      </c>
      <c r="E24" s="150" t="s">
        <v>385</v>
      </c>
      <c r="F24" s="160" t="s">
        <v>378</v>
      </c>
      <c r="G24" s="143">
        <v>50</v>
      </c>
      <c r="H24" s="148">
        <v>0.24015370210589099</v>
      </c>
      <c r="I24" s="152" t="s">
        <v>279</v>
      </c>
      <c r="J24" s="166" t="s">
        <v>386</v>
      </c>
      <c r="K24" s="165"/>
      <c r="L24" s="137">
        <v>9.4980787236763593</v>
      </c>
    </row>
    <row r="25" spans="1:13" ht="16.5">
      <c r="A25" s="354">
        <v>4</v>
      </c>
      <c r="B25" s="362" t="s">
        <v>387</v>
      </c>
      <c r="C25" s="350" t="s">
        <v>311</v>
      </c>
      <c r="D25" s="144" t="s">
        <v>279</v>
      </c>
      <c r="E25" s="333" t="s">
        <v>3806</v>
      </c>
      <c r="F25" s="160" t="s">
        <v>378</v>
      </c>
      <c r="G25" s="143">
        <v>50</v>
      </c>
      <c r="H25" s="148">
        <v>0.10351766874385</v>
      </c>
      <c r="I25" s="164"/>
      <c r="J25" s="156" t="s">
        <v>386</v>
      </c>
      <c r="K25" s="161"/>
      <c r="L25" s="137" t="e">
        <v>#N/A</v>
      </c>
    </row>
    <row r="26" spans="1:13" ht="16.5">
      <c r="A26" s="354"/>
      <c r="B26" s="362"/>
      <c r="C26" s="350"/>
      <c r="D26" s="144" t="s">
        <v>279</v>
      </c>
      <c r="E26" s="150" t="s">
        <v>388</v>
      </c>
      <c r="F26" s="160" t="s">
        <v>378</v>
      </c>
      <c r="G26" s="143">
        <v>60</v>
      </c>
      <c r="H26" s="148">
        <v>6.61785721124383E-2</v>
      </c>
      <c r="I26" s="164"/>
      <c r="J26" s="156" t="s">
        <v>389</v>
      </c>
      <c r="K26" s="161"/>
      <c r="L26" s="137" t="e">
        <v>#N/A</v>
      </c>
    </row>
    <row r="27" spans="1:13" ht="16.5">
      <c r="A27" s="354"/>
      <c r="B27" s="362"/>
      <c r="C27" s="350"/>
      <c r="D27" s="144" t="s">
        <v>279</v>
      </c>
      <c r="E27" s="150" t="s">
        <v>390</v>
      </c>
      <c r="F27" s="160" t="s">
        <v>378</v>
      </c>
      <c r="G27" s="143">
        <v>55</v>
      </c>
      <c r="H27" s="148">
        <v>0.14684432446007001</v>
      </c>
      <c r="I27" s="164"/>
      <c r="J27" s="156" t="s">
        <v>391</v>
      </c>
      <c r="K27" s="161"/>
      <c r="L27" s="137">
        <v>3.9102968462246799</v>
      </c>
    </row>
    <row r="28" spans="1:13" ht="66">
      <c r="A28" s="367">
        <v>5</v>
      </c>
      <c r="B28" s="362" t="s">
        <v>392</v>
      </c>
      <c r="C28" s="351" t="s">
        <v>318</v>
      </c>
      <c r="D28" s="144" t="s">
        <v>279</v>
      </c>
      <c r="E28" s="156" t="s">
        <v>393</v>
      </c>
      <c r="F28" s="167" t="s">
        <v>394</v>
      </c>
      <c r="G28" s="152">
        <v>289.75</v>
      </c>
      <c r="H28" s="148">
        <v>0.144090218619741</v>
      </c>
      <c r="I28" s="167"/>
      <c r="J28" s="168" t="s">
        <v>394</v>
      </c>
      <c r="K28" s="169"/>
    </row>
    <row r="29" spans="1:13" ht="16.5">
      <c r="A29" s="367"/>
      <c r="B29" s="362"/>
      <c r="C29" s="351"/>
      <c r="D29" s="144" t="s">
        <v>279</v>
      </c>
      <c r="E29" s="348" t="s">
        <v>3836</v>
      </c>
      <c r="F29" s="167" t="s">
        <v>395</v>
      </c>
      <c r="G29" s="170">
        <v>19237.5</v>
      </c>
      <c r="H29" s="171">
        <v>0.13450292397660801</v>
      </c>
      <c r="I29" s="172">
        <v>2587.5</v>
      </c>
      <c r="J29" s="173" t="s">
        <v>395</v>
      </c>
      <c r="K29" s="169"/>
    </row>
    <row r="30" spans="1:13" ht="16.5">
      <c r="A30" s="367"/>
      <c r="B30" s="362"/>
      <c r="C30" s="351"/>
      <c r="D30" s="144" t="s">
        <v>279</v>
      </c>
      <c r="E30" s="349"/>
      <c r="F30" s="167" t="s">
        <v>396</v>
      </c>
      <c r="G30" s="170">
        <v>56497.5</v>
      </c>
      <c r="H30" s="171">
        <v>0.115890083632019</v>
      </c>
      <c r="I30" s="172">
        <v>6547.5</v>
      </c>
      <c r="J30" s="173" t="s">
        <v>396</v>
      </c>
      <c r="K30" s="169"/>
    </row>
    <row r="31" spans="1:13" ht="16.5">
      <c r="A31" s="367"/>
      <c r="B31" s="362"/>
      <c r="C31" s="351"/>
      <c r="D31" s="144" t="s">
        <v>279</v>
      </c>
      <c r="E31" s="349"/>
      <c r="F31" s="167" t="s">
        <v>397</v>
      </c>
      <c r="G31" s="170">
        <v>92137.5</v>
      </c>
      <c r="H31" s="171">
        <v>9.6459096459096505E-2</v>
      </c>
      <c r="I31" s="172">
        <v>8887.5</v>
      </c>
      <c r="J31" s="173" t="s">
        <v>397</v>
      </c>
      <c r="K31" s="169"/>
    </row>
    <row r="32" spans="1:13" ht="16.5">
      <c r="A32" s="367"/>
      <c r="B32" s="362"/>
      <c r="C32" s="351"/>
      <c r="D32" s="144" t="s">
        <v>279</v>
      </c>
      <c r="E32" s="349"/>
      <c r="F32" s="167" t="s">
        <v>398</v>
      </c>
      <c r="G32" s="170">
        <v>178200</v>
      </c>
      <c r="H32" s="171">
        <v>6.5656565656565705E-2</v>
      </c>
      <c r="I32" s="172">
        <v>11700</v>
      </c>
      <c r="J32" s="173" t="s">
        <v>398</v>
      </c>
      <c r="K32" s="169"/>
    </row>
    <row r="33" spans="1:12" ht="33">
      <c r="A33" s="142">
        <v>6</v>
      </c>
      <c r="B33" s="163" t="s">
        <v>399</v>
      </c>
      <c r="C33" s="146" t="s">
        <v>400</v>
      </c>
      <c r="D33" s="144" t="s">
        <v>279</v>
      </c>
      <c r="E33" s="333" t="s">
        <v>3823</v>
      </c>
      <c r="F33" s="152" t="s">
        <v>401</v>
      </c>
      <c r="G33" s="143">
        <v>15</v>
      </c>
      <c r="H33" s="148">
        <v>0.16841045522658901</v>
      </c>
      <c r="I33" s="164">
        <v>0.1</v>
      </c>
      <c r="J33" s="156" t="s">
        <v>402</v>
      </c>
      <c r="K33" s="161"/>
      <c r="L33" s="137">
        <v>6.2369215858005802</v>
      </c>
    </row>
    <row r="34" spans="1:12" s="122" customFormat="1" ht="16.5">
      <c r="A34" s="354">
        <v>7</v>
      </c>
      <c r="B34" s="362" t="s">
        <v>403</v>
      </c>
      <c r="C34" s="350" t="s">
        <v>298</v>
      </c>
      <c r="D34" s="144" t="s">
        <v>279</v>
      </c>
      <c r="E34" s="333" t="s">
        <v>3837</v>
      </c>
      <c r="F34" s="160" t="s">
        <v>404</v>
      </c>
      <c r="G34" s="143">
        <v>9</v>
      </c>
      <c r="H34" s="148">
        <v>0.13058404790737699</v>
      </c>
      <c r="I34" s="164">
        <v>0.15</v>
      </c>
      <c r="J34" s="150" t="s">
        <v>405</v>
      </c>
      <c r="K34" s="153"/>
      <c r="L34" s="137">
        <v>2.6082478562778699</v>
      </c>
    </row>
    <row r="35" spans="1:12" ht="33">
      <c r="A35" s="354"/>
      <c r="B35" s="362"/>
      <c r="C35" s="350"/>
      <c r="D35" s="144" t="s">
        <v>279</v>
      </c>
      <c r="E35" s="150" t="s">
        <v>406</v>
      </c>
      <c r="F35" s="160" t="s">
        <v>407</v>
      </c>
      <c r="G35" s="143">
        <v>9</v>
      </c>
      <c r="H35" s="148">
        <v>0.13477528769885599</v>
      </c>
      <c r="I35" s="164">
        <v>0.18</v>
      </c>
      <c r="J35" s="156" t="s">
        <v>408</v>
      </c>
      <c r="K35" s="161"/>
      <c r="L35" s="137">
        <v>3.8935112053551499</v>
      </c>
    </row>
    <row r="36" spans="1:12" ht="16.5">
      <c r="A36" s="354"/>
      <c r="B36" s="362"/>
      <c r="C36" s="350"/>
      <c r="D36" s="144" t="s">
        <v>279</v>
      </c>
      <c r="E36" s="150" t="s">
        <v>409</v>
      </c>
      <c r="F36" s="160" t="s">
        <v>407</v>
      </c>
      <c r="G36" s="147">
        <v>8</v>
      </c>
      <c r="H36" s="148">
        <v>7.4932393663642696E-2</v>
      </c>
      <c r="I36" s="174">
        <v>0.1</v>
      </c>
      <c r="J36" s="175" t="s">
        <v>410</v>
      </c>
      <c r="K36" s="176"/>
      <c r="L36" s="137">
        <v>3.4690035237613399</v>
      </c>
    </row>
    <row r="37" spans="1:12" ht="33">
      <c r="A37" s="354">
        <v>8</v>
      </c>
      <c r="B37" s="361" t="s">
        <v>411</v>
      </c>
      <c r="C37" s="352" t="s">
        <v>358</v>
      </c>
      <c r="D37" s="144" t="s">
        <v>279</v>
      </c>
      <c r="E37" s="333" t="s">
        <v>3822</v>
      </c>
      <c r="F37" s="160" t="s">
        <v>412</v>
      </c>
      <c r="G37" s="147">
        <v>68</v>
      </c>
      <c r="H37" s="148">
        <v>8.7583854166667599E-2</v>
      </c>
      <c r="I37" s="174"/>
      <c r="J37" s="166" t="s">
        <v>413</v>
      </c>
      <c r="K37" s="161"/>
      <c r="L37" s="137">
        <v>31.0221489583333</v>
      </c>
    </row>
    <row r="38" spans="1:12" ht="33">
      <c r="A38" s="354"/>
      <c r="B38" s="361"/>
      <c r="C38" s="353"/>
      <c r="D38" s="144" t="s">
        <v>279</v>
      </c>
      <c r="E38" s="150" t="s">
        <v>414</v>
      </c>
      <c r="F38" s="160" t="s">
        <v>412</v>
      </c>
      <c r="G38" s="147">
        <v>15</v>
      </c>
      <c r="H38" s="148">
        <v>0.306259280931586</v>
      </c>
      <c r="I38" s="174">
        <v>0.38</v>
      </c>
      <c r="J38" s="166" t="s">
        <v>415</v>
      </c>
      <c r="K38" s="161"/>
      <c r="L38" s="137">
        <v>3.46870359534207</v>
      </c>
    </row>
    <row r="39" spans="1:12" ht="16.5">
      <c r="A39" s="355">
        <v>9</v>
      </c>
      <c r="B39" s="363" t="s">
        <v>416</v>
      </c>
      <c r="C39" s="344" t="s">
        <v>417</v>
      </c>
      <c r="D39" s="144" t="s">
        <v>279</v>
      </c>
      <c r="E39" s="156" t="s">
        <v>418</v>
      </c>
      <c r="F39" s="160" t="s">
        <v>378</v>
      </c>
      <c r="G39" s="147">
        <v>35</v>
      </c>
      <c r="H39" s="148">
        <v>0.16248731014022899</v>
      </c>
      <c r="I39" s="152" t="s">
        <v>279</v>
      </c>
      <c r="J39" s="156" t="s">
        <v>419</v>
      </c>
      <c r="K39" s="161"/>
      <c r="L39" s="137">
        <v>3.25699379389911</v>
      </c>
    </row>
    <row r="40" spans="1:12" ht="16.5">
      <c r="A40" s="356"/>
      <c r="B40" s="364"/>
      <c r="C40" s="345"/>
      <c r="D40" s="144" t="s">
        <v>279</v>
      </c>
      <c r="E40" s="156" t="s">
        <v>420</v>
      </c>
      <c r="F40" s="152" t="s">
        <v>401</v>
      </c>
      <c r="G40" s="147">
        <v>12</v>
      </c>
      <c r="H40" s="148">
        <v>0.33410534425008798</v>
      </c>
      <c r="I40" s="152" t="s">
        <v>279</v>
      </c>
      <c r="J40" s="156" t="s">
        <v>401</v>
      </c>
      <c r="K40" s="161"/>
      <c r="L40" s="137">
        <v>3.9953679344994701</v>
      </c>
    </row>
    <row r="41" spans="1:12" ht="16.5">
      <c r="A41" s="356"/>
      <c r="B41" s="364"/>
      <c r="C41" s="345"/>
      <c r="D41" s="144" t="s">
        <v>279</v>
      </c>
      <c r="E41" s="156" t="s">
        <v>421</v>
      </c>
      <c r="F41" s="160" t="s">
        <v>378</v>
      </c>
      <c r="G41" s="147">
        <v>150</v>
      </c>
      <c r="H41" s="148">
        <v>0.58369711802893598</v>
      </c>
      <c r="I41" s="152" t="s">
        <v>279</v>
      </c>
      <c r="J41" s="156" t="s">
        <v>422</v>
      </c>
      <c r="K41" s="161"/>
      <c r="L41" s="137">
        <v>10.407572049276601</v>
      </c>
    </row>
    <row r="42" spans="1:12" ht="33">
      <c r="A42" s="356"/>
      <c r="B42" s="364"/>
      <c r="C42" s="345"/>
      <c r="D42" s="144" t="s">
        <v>279</v>
      </c>
      <c r="E42" s="156" t="s">
        <v>423</v>
      </c>
      <c r="F42" s="160" t="s">
        <v>412</v>
      </c>
      <c r="G42" s="147">
        <v>60</v>
      </c>
      <c r="H42" s="148">
        <v>0.46265161315570003</v>
      </c>
      <c r="I42" s="152"/>
      <c r="J42" s="156" t="s">
        <v>424</v>
      </c>
      <c r="K42" s="161"/>
      <c r="L42" s="137">
        <v>16.120451605328999</v>
      </c>
    </row>
    <row r="43" spans="1:12" ht="33">
      <c r="A43" s="357"/>
      <c r="B43" s="365"/>
      <c r="C43" s="346"/>
      <c r="D43" s="177" t="s">
        <v>279</v>
      </c>
      <c r="E43" s="178" t="s">
        <v>425</v>
      </c>
      <c r="F43" s="179" t="s">
        <v>412</v>
      </c>
      <c r="G43" s="180">
        <v>100</v>
      </c>
      <c r="H43" s="181">
        <v>0.37121524532577999</v>
      </c>
      <c r="I43" s="182"/>
      <c r="J43" s="178" t="s">
        <v>426</v>
      </c>
      <c r="K43" s="183"/>
      <c r="L43" s="137">
        <v>31.439237733711</v>
      </c>
    </row>
  </sheetData>
  <mergeCells count="35">
    <mergeCell ref="A2:K2"/>
    <mergeCell ref="A3:K3"/>
    <mergeCell ref="F4:J4"/>
    <mergeCell ref="F5:J5"/>
    <mergeCell ref="F6:J6"/>
    <mergeCell ref="C5:C6"/>
    <mergeCell ref="F7:J7"/>
    <mergeCell ref="F8:J8"/>
    <mergeCell ref="F9:J9"/>
    <mergeCell ref="A10:K10"/>
    <mergeCell ref="A12:A14"/>
    <mergeCell ref="A37:A38"/>
    <mergeCell ref="A39:A43"/>
    <mergeCell ref="B5:B9"/>
    <mergeCell ref="B12:B14"/>
    <mergeCell ref="B15:B19"/>
    <mergeCell ref="B20:B24"/>
    <mergeCell ref="B25:B27"/>
    <mergeCell ref="B28:B32"/>
    <mergeCell ref="B34:B36"/>
    <mergeCell ref="B37:B38"/>
    <mergeCell ref="B39:B43"/>
    <mergeCell ref="A15:A19"/>
    <mergeCell ref="A20:A24"/>
    <mergeCell ref="A25:A27"/>
    <mergeCell ref="A28:A32"/>
    <mergeCell ref="A34:A36"/>
    <mergeCell ref="C39:C43"/>
    <mergeCell ref="D5:D6"/>
    <mergeCell ref="E29:E32"/>
    <mergeCell ref="C20:C24"/>
    <mergeCell ref="C25:C27"/>
    <mergeCell ref="C28:C32"/>
    <mergeCell ref="C34:C36"/>
    <mergeCell ref="C37:C38"/>
  </mergeCells>
  <phoneticPr fontId="100" type="noConversion"/>
  <pageMargins left="0.35416666666666702" right="0" top="0.23611111111111099" bottom="0.156944444444444" header="0.196527777777778" footer="7.8472222222222193E-2"/>
  <pageSetup paperSize="9" scale="53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I45"/>
  <sheetViews>
    <sheetView workbookViewId="0">
      <selection activeCell="C20" sqref="C20:C21"/>
    </sheetView>
  </sheetViews>
  <sheetFormatPr defaultColWidth="9" defaultRowHeight="14"/>
  <cols>
    <col min="2" max="2" width="11.08984375" customWidth="1"/>
    <col min="3" max="3" width="10.453125" customWidth="1"/>
    <col min="4" max="4" width="6.7265625" customWidth="1"/>
    <col min="5" max="5" width="10.36328125" customWidth="1"/>
    <col min="6" max="6" width="63.90625" customWidth="1"/>
    <col min="7" max="7" width="7.08984375" customWidth="1"/>
    <col min="8" max="8" width="25.26953125" customWidth="1"/>
    <col min="9" max="9" width="11.90625" hidden="1" customWidth="1"/>
  </cols>
  <sheetData>
    <row r="1" spans="1:8" s="215" customFormat="1" ht="29">
      <c r="A1" s="216" t="s">
        <v>219</v>
      </c>
      <c r="B1" s="217" t="s">
        <v>220</v>
      </c>
      <c r="C1" s="217" t="s">
        <v>221</v>
      </c>
      <c r="D1" s="217" t="s">
        <v>222</v>
      </c>
      <c r="E1" s="217" t="s">
        <v>223</v>
      </c>
      <c r="F1" s="217" t="s">
        <v>224</v>
      </c>
      <c r="G1" s="217" t="s">
        <v>225</v>
      </c>
      <c r="H1" s="218" t="s">
        <v>226</v>
      </c>
    </row>
    <row r="2" spans="1:8">
      <c r="A2" s="469" t="s">
        <v>175</v>
      </c>
      <c r="B2" s="476" t="s">
        <v>227</v>
      </c>
      <c r="C2" s="461" t="s">
        <v>228</v>
      </c>
      <c r="D2" s="463">
        <v>88</v>
      </c>
      <c r="E2" s="219" t="s">
        <v>229</v>
      </c>
      <c r="F2" s="220" t="s">
        <v>230</v>
      </c>
      <c r="G2" s="219">
        <v>24</v>
      </c>
      <c r="H2" s="221" t="s">
        <v>231</v>
      </c>
    </row>
    <row r="3" spans="1:8">
      <c r="A3" s="469"/>
      <c r="B3" s="476"/>
      <c r="C3" s="461"/>
      <c r="D3" s="463"/>
      <c r="E3" s="219" t="s">
        <v>232</v>
      </c>
      <c r="F3" s="220" t="s">
        <v>233</v>
      </c>
      <c r="G3" s="219">
        <v>1</v>
      </c>
      <c r="H3" s="221" t="s">
        <v>234</v>
      </c>
    </row>
    <row r="4" spans="1:8">
      <c r="A4" s="469"/>
      <c r="B4" s="476"/>
      <c r="C4" s="461"/>
      <c r="D4" s="463"/>
      <c r="E4" s="219" t="s">
        <v>235</v>
      </c>
      <c r="F4" s="222" t="s">
        <v>236</v>
      </c>
      <c r="G4" s="219">
        <v>6</v>
      </c>
      <c r="H4" s="221" t="s">
        <v>231</v>
      </c>
    </row>
    <row r="5" spans="1:8">
      <c r="A5" s="469"/>
      <c r="B5" s="476" t="s">
        <v>237</v>
      </c>
      <c r="C5" s="461" t="s">
        <v>238</v>
      </c>
      <c r="D5" s="463">
        <v>88</v>
      </c>
      <c r="E5" s="219" t="s">
        <v>239</v>
      </c>
      <c r="F5" s="220" t="s">
        <v>240</v>
      </c>
      <c r="G5" s="219">
        <v>24</v>
      </c>
      <c r="H5" s="221" t="s">
        <v>231</v>
      </c>
    </row>
    <row r="6" spans="1:8">
      <c r="A6" s="469"/>
      <c r="B6" s="476"/>
      <c r="C6" s="461"/>
      <c r="D6" s="463"/>
      <c r="E6" s="219" t="s">
        <v>232</v>
      </c>
      <c r="F6" s="220" t="s">
        <v>233</v>
      </c>
      <c r="G6" s="219">
        <v>1</v>
      </c>
      <c r="H6" s="221" t="s">
        <v>234</v>
      </c>
    </row>
    <row r="7" spans="1:8">
      <c r="A7" s="469"/>
      <c r="B7" s="476"/>
      <c r="C7" s="461"/>
      <c r="D7" s="463"/>
      <c r="E7" s="219" t="s">
        <v>235</v>
      </c>
      <c r="F7" s="222" t="s">
        <v>236</v>
      </c>
      <c r="G7" s="219">
        <v>6</v>
      </c>
      <c r="H7" s="221" t="s">
        <v>231</v>
      </c>
    </row>
    <row r="8" spans="1:8">
      <c r="A8" s="469"/>
      <c r="B8" s="476">
        <v>80015367</v>
      </c>
      <c r="C8" s="461" t="s">
        <v>241</v>
      </c>
      <c r="D8" s="463">
        <v>88</v>
      </c>
      <c r="E8" s="219">
        <v>70494461</v>
      </c>
      <c r="F8" s="223" t="s">
        <v>242</v>
      </c>
      <c r="G8" s="219">
        <v>24</v>
      </c>
      <c r="H8" s="221" t="s">
        <v>231</v>
      </c>
    </row>
    <row r="9" spans="1:8">
      <c r="A9" s="469"/>
      <c r="B9" s="476"/>
      <c r="C9" s="461"/>
      <c r="D9" s="463"/>
      <c r="E9" s="219" t="s">
        <v>232</v>
      </c>
      <c r="F9" s="220" t="s">
        <v>233</v>
      </c>
      <c r="G9" s="219">
        <v>1</v>
      </c>
      <c r="H9" s="221" t="s">
        <v>234</v>
      </c>
    </row>
    <row r="10" spans="1:8">
      <c r="A10" s="469"/>
      <c r="B10" s="476"/>
      <c r="C10" s="461"/>
      <c r="D10" s="463"/>
      <c r="E10" s="219" t="s">
        <v>235</v>
      </c>
      <c r="F10" s="222" t="s">
        <v>236</v>
      </c>
      <c r="G10" s="219">
        <v>6</v>
      </c>
      <c r="H10" s="221" t="s">
        <v>231</v>
      </c>
    </row>
    <row r="11" spans="1:8">
      <c r="A11" s="469"/>
      <c r="B11" s="476">
        <v>80015365</v>
      </c>
      <c r="C11" s="461" t="s">
        <v>243</v>
      </c>
      <c r="D11" s="463">
        <v>88</v>
      </c>
      <c r="E11" s="219" t="s">
        <v>229</v>
      </c>
      <c r="F11" s="220" t="s">
        <v>230</v>
      </c>
      <c r="G11" s="219">
        <v>24</v>
      </c>
      <c r="H11" s="221" t="s">
        <v>231</v>
      </c>
    </row>
    <row r="12" spans="1:8">
      <c r="A12" s="469"/>
      <c r="B12" s="476"/>
      <c r="C12" s="461"/>
      <c r="D12" s="463"/>
      <c r="E12" s="219" t="s">
        <v>232</v>
      </c>
      <c r="F12" s="220" t="s">
        <v>233</v>
      </c>
      <c r="G12" s="219">
        <v>1</v>
      </c>
      <c r="H12" s="221" t="s">
        <v>234</v>
      </c>
    </row>
    <row r="13" spans="1:8">
      <c r="A13" s="469"/>
      <c r="B13" s="476"/>
      <c r="C13" s="461"/>
      <c r="D13" s="463"/>
      <c r="E13" s="219">
        <v>70453858</v>
      </c>
      <c r="F13" s="224" t="s">
        <v>244</v>
      </c>
      <c r="G13" s="219">
        <v>6</v>
      </c>
      <c r="H13" s="221" t="s">
        <v>231</v>
      </c>
    </row>
    <row r="14" spans="1:8">
      <c r="A14" s="469"/>
      <c r="B14" s="476">
        <v>80015366</v>
      </c>
      <c r="C14" s="461" t="s">
        <v>245</v>
      </c>
      <c r="D14" s="463">
        <v>88</v>
      </c>
      <c r="E14" s="219" t="s">
        <v>239</v>
      </c>
      <c r="F14" s="220" t="s">
        <v>240</v>
      </c>
      <c r="G14" s="219">
        <v>24</v>
      </c>
      <c r="H14" s="221" t="s">
        <v>231</v>
      </c>
    </row>
    <row r="15" spans="1:8">
      <c r="A15" s="469"/>
      <c r="B15" s="476"/>
      <c r="C15" s="461"/>
      <c r="D15" s="463"/>
      <c r="E15" s="219" t="s">
        <v>232</v>
      </c>
      <c r="F15" s="220" t="s">
        <v>233</v>
      </c>
      <c r="G15" s="219">
        <v>1</v>
      </c>
      <c r="H15" s="221" t="s">
        <v>234</v>
      </c>
    </row>
    <row r="16" spans="1:8">
      <c r="A16" s="469"/>
      <c r="B16" s="476"/>
      <c r="C16" s="461"/>
      <c r="D16" s="463"/>
      <c r="E16" s="219">
        <v>70453858</v>
      </c>
      <c r="F16" s="224" t="s">
        <v>244</v>
      </c>
      <c r="G16" s="219">
        <v>6</v>
      </c>
      <c r="H16" s="221" t="s">
        <v>231</v>
      </c>
    </row>
    <row r="17" spans="1:9">
      <c r="A17" s="469"/>
      <c r="B17" s="476">
        <v>80015368</v>
      </c>
      <c r="C17" s="461" t="s">
        <v>246</v>
      </c>
      <c r="D17" s="463">
        <v>88</v>
      </c>
      <c r="E17" s="219">
        <v>70494461</v>
      </c>
      <c r="F17" s="223" t="s">
        <v>242</v>
      </c>
      <c r="G17" s="219">
        <v>24</v>
      </c>
      <c r="H17" s="221" t="s">
        <v>231</v>
      </c>
    </row>
    <row r="18" spans="1:9">
      <c r="A18" s="469"/>
      <c r="B18" s="476"/>
      <c r="C18" s="461"/>
      <c r="D18" s="463"/>
      <c r="E18" s="219" t="s">
        <v>232</v>
      </c>
      <c r="F18" s="220" t="s">
        <v>233</v>
      </c>
      <c r="G18" s="219">
        <v>1</v>
      </c>
      <c r="H18" s="221" t="s">
        <v>234</v>
      </c>
    </row>
    <row r="19" spans="1:9" ht="13" customHeight="1">
      <c r="A19" s="469"/>
      <c r="B19" s="476"/>
      <c r="C19" s="461"/>
      <c r="D19" s="463"/>
      <c r="E19" s="219">
        <v>70453858</v>
      </c>
      <c r="F19" s="224" t="s">
        <v>244</v>
      </c>
      <c r="G19" s="219">
        <v>6</v>
      </c>
      <c r="H19" s="221" t="s">
        <v>231</v>
      </c>
    </row>
    <row r="20" spans="1:9">
      <c r="A20" s="470" t="s">
        <v>186</v>
      </c>
      <c r="B20" s="476" t="s">
        <v>247</v>
      </c>
      <c r="C20" s="461" t="s">
        <v>248</v>
      </c>
      <c r="D20" s="463">
        <v>38</v>
      </c>
      <c r="E20" s="219" t="s">
        <v>235</v>
      </c>
      <c r="F20" s="222" t="s">
        <v>236</v>
      </c>
      <c r="G20" s="219">
        <v>4</v>
      </c>
      <c r="H20" s="221" t="s">
        <v>231</v>
      </c>
    </row>
    <row r="21" spans="1:9">
      <c r="A21" s="470"/>
      <c r="B21" s="476"/>
      <c r="C21" s="461"/>
      <c r="D21" s="463"/>
      <c r="E21" s="219" t="s">
        <v>232</v>
      </c>
      <c r="F21" s="220" t="s">
        <v>233</v>
      </c>
      <c r="G21" s="219">
        <v>1</v>
      </c>
      <c r="H21" s="221" t="s">
        <v>234</v>
      </c>
    </row>
    <row r="22" spans="1:9" ht="13" customHeight="1">
      <c r="A22" s="470"/>
      <c r="B22" s="476">
        <v>80015355</v>
      </c>
      <c r="C22" s="461" t="s">
        <v>249</v>
      </c>
      <c r="D22" s="463">
        <v>38</v>
      </c>
      <c r="E22" s="219">
        <v>70453858</v>
      </c>
      <c r="F22" s="224" t="s">
        <v>244</v>
      </c>
      <c r="G22" s="219">
        <v>4</v>
      </c>
      <c r="H22" s="221" t="s">
        <v>231</v>
      </c>
    </row>
    <row r="23" spans="1:9">
      <c r="A23" s="471"/>
      <c r="B23" s="477"/>
      <c r="C23" s="462"/>
      <c r="D23" s="464"/>
      <c r="E23" s="225">
        <v>70341453</v>
      </c>
      <c r="F23" s="226" t="s">
        <v>233</v>
      </c>
      <c r="G23" s="225">
        <v>1</v>
      </c>
      <c r="H23" s="227" t="s">
        <v>234</v>
      </c>
    </row>
    <row r="24" spans="1:9" ht="11" customHeight="1"/>
    <row r="25" spans="1:9" ht="16.5">
      <c r="A25" s="472">
        <v>10</v>
      </c>
      <c r="B25" s="228" t="s">
        <v>174</v>
      </c>
      <c r="C25" s="465" t="s">
        <v>106</v>
      </c>
      <c r="D25" s="466"/>
      <c r="E25" s="466"/>
      <c r="F25" s="229" t="s">
        <v>250</v>
      </c>
      <c r="G25" s="228"/>
      <c r="H25" s="230" t="s">
        <v>175</v>
      </c>
    </row>
    <row r="26" spans="1:9" ht="16.5">
      <c r="A26" s="473"/>
      <c r="B26" s="432" t="s">
        <v>174</v>
      </c>
      <c r="C26" s="458">
        <v>88</v>
      </c>
      <c r="D26" s="459"/>
      <c r="E26" s="459"/>
      <c r="F26" s="232" t="s">
        <v>177</v>
      </c>
      <c r="G26" s="233">
        <v>6</v>
      </c>
      <c r="H26" s="455" t="s">
        <v>112</v>
      </c>
    </row>
    <row r="27" spans="1:9" ht="16.5">
      <c r="A27" s="473"/>
      <c r="B27" s="432"/>
      <c r="C27" s="458"/>
      <c r="D27" s="459"/>
      <c r="E27" s="459"/>
      <c r="F27" s="337" t="s">
        <v>3816</v>
      </c>
      <c r="G27" s="233">
        <v>1</v>
      </c>
      <c r="H27" s="456"/>
    </row>
    <row r="28" spans="1:9" ht="16.5">
      <c r="A28" s="473"/>
      <c r="B28" s="432"/>
      <c r="C28" s="458"/>
      <c r="D28" s="459"/>
      <c r="E28" s="459"/>
      <c r="F28" s="232" t="s">
        <v>178</v>
      </c>
      <c r="G28" s="233">
        <v>1</v>
      </c>
      <c r="H28" s="457"/>
    </row>
    <row r="29" spans="1:9" ht="16.5">
      <c r="A29" s="473"/>
      <c r="B29" s="432"/>
      <c r="C29" s="458"/>
      <c r="D29" s="459"/>
      <c r="E29" s="459"/>
      <c r="F29" s="232" t="s">
        <v>179</v>
      </c>
      <c r="G29" s="233">
        <v>5</v>
      </c>
      <c r="H29" s="234" t="s">
        <v>180</v>
      </c>
      <c r="I29" s="235" t="s">
        <v>251</v>
      </c>
    </row>
    <row r="30" spans="1:9" ht="16.5">
      <c r="A30" s="473"/>
      <c r="B30" s="432"/>
      <c r="C30" s="458"/>
      <c r="D30" s="459"/>
      <c r="E30" s="459"/>
      <c r="F30" s="236" t="s">
        <v>181</v>
      </c>
      <c r="G30" s="233">
        <v>5</v>
      </c>
      <c r="H30" s="234" t="s">
        <v>182</v>
      </c>
      <c r="I30" s="235" t="s">
        <v>252</v>
      </c>
    </row>
    <row r="31" spans="1:9" ht="16.5">
      <c r="A31" s="473"/>
      <c r="B31" s="432"/>
      <c r="C31" s="458"/>
      <c r="D31" s="459"/>
      <c r="E31" s="459"/>
      <c r="F31" s="232" t="s">
        <v>158</v>
      </c>
      <c r="G31" s="237">
        <v>8</v>
      </c>
      <c r="H31" s="238" t="s">
        <v>253</v>
      </c>
      <c r="I31" s="235" t="s">
        <v>254</v>
      </c>
    </row>
    <row r="32" spans="1:9" ht="16.5">
      <c r="A32" s="473"/>
      <c r="B32" s="432"/>
      <c r="C32" s="458"/>
      <c r="D32" s="459"/>
      <c r="E32" s="459"/>
      <c r="F32" s="236" t="s">
        <v>120</v>
      </c>
      <c r="G32" s="239">
        <v>4</v>
      </c>
      <c r="H32" s="240" t="s">
        <v>121</v>
      </c>
      <c r="I32" s="235" t="s">
        <v>255</v>
      </c>
    </row>
    <row r="33" spans="1:9" ht="16.5">
      <c r="A33" s="473"/>
      <c r="B33" s="432"/>
      <c r="C33" s="458"/>
      <c r="D33" s="459"/>
      <c r="E33" s="459"/>
      <c r="F33" s="236" t="s">
        <v>118</v>
      </c>
      <c r="G33" s="239">
        <v>6</v>
      </c>
      <c r="H33" s="238" t="s">
        <v>119</v>
      </c>
      <c r="I33" s="235" t="s">
        <v>256</v>
      </c>
    </row>
    <row r="34" spans="1:9" ht="16.5">
      <c r="A34" s="473"/>
      <c r="B34" s="432"/>
      <c r="C34" s="458"/>
      <c r="D34" s="459"/>
      <c r="E34" s="459"/>
      <c r="F34" s="241" t="s">
        <v>116</v>
      </c>
      <c r="G34" s="233">
        <v>4</v>
      </c>
      <c r="H34" s="240" t="s">
        <v>155</v>
      </c>
      <c r="I34" s="242" t="s">
        <v>257</v>
      </c>
    </row>
    <row r="35" spans="1:9" ht="16.5">
      <c r="A35" s="473"/>
      <c r="B35" s="432"/>
      <c r="C35" s="458"/>
      <c r="D35" s="459"/>
      <c r="E35" s="459"/>
      <c r="F35" s="236" t="s">
        <v>122</v>
      </c>
      <c r="G35" s="239">
        <v>3</v>
      </c>
      <c r="H35" s="240" t="s">
        <v>123</v>
      </c>
      <c r="I35" s="235" t="s">
        <v>258</v>
      </c>
    </row>
    <row r="36" spans="1:9" ht="16.5">
      <c r="A36" s="473"/>
      <c r="B36" s="478"/>
      <c r="C36" s="458"/>
      <c r="D36" s="459"/>
      <c r="E36" s="459"/>
      <c r="F36" s="243" t="s">
        <v>183</v>
      </c>
      <c r="G36" s="244">
        <v>24</v>
      </c>
      <c r="H36" s="245" t="s">
        <v>184</v>
      </c>
      <c r="I36" s="235" t="s">
        <v>259</v>
      </c>
    </row>
    <row r="37" spans="1:9" ht="16.5">
      <c r="A37" s="474">
        <v>11</v>
      </c>
      <c r="B37" s="467" t="s">
        <v>185</v>
      </c>
      <c r="C37" s="468"/>
      <c r="D37" s="468"/>
      <c r="E37" s="468"/>
      <c r="F37" s="246" t="s">
        <v>107</v>
      </c>
      <c r="G37" s="246"/>
      <c r="H37" s="247" t="s">
        <v>186</v>
      </c>
    </row>
    <row r="38" spans="1:9" ht="16.5">
      <c r="A38" s="474"/>
      <c r="B38" s="433" t="s">
        <v>185</v>
      </c>
      <c r="C38" s="423">
        <v>38</v>
      </c>
      <c r="D38" s="423"/>
      <c r="E38" s="423"/>
      <c r="F38" s="232" t="s">
        <v>177</v>
      </c>
      <c r="G38" s="233">
        <v>4</v>
      </c>
      <c r="H38" s="455" t="s">
        <v>112</v>
      </c>
    </row>
    <row r="39" spans="1:9" ht="16.5">
      <c r="A39" s="474"/>
      <c r="B39" s="433"/>
      <c r="C39" s="423"/>
      <c r="D39" s="423"/>
      <c r="E39" s="423"/>
      <c r="F39" s="337" t="s">
        <v>3817</v>
      </c>
      <c r="G39" s="233">
        <v>1</v>
      </c>
      <c r="H39" s="457"/>
    </row>
    <row r="40" spans="1:9" ht="16.5">
      <c r="A40" s="474"/>
      <c r="B40" s="433"/>
      <c r="C40" s="423"/>
      <c r="D40" s="423"/>
      <c r="E40" s="423"/>
      <c r="F40" s="232" t="s">
        <v>179</v>
      </c>
      <c r="G40" s="233">
        <v>4</v>
      </c>
      <c r="H40" s="234" t="s">
        <v>180</v>
      </c>
      <c r="I40" s="235" t="s">
        <v>251</v>
      </c>
    </row>
    <row r="41" spans="1:9" ht="16.5">
      <c r="A41" s="474"/>
      <c r="B41" s="433"/>
      <c r="C41" s="423"/>
      <c r="D41" s="423"/>
      <c r="E41" s="423"/>
      <c r="F41" s="236" t="s">
        <v>181</v>
      </c>
      <c r="G41" s="233">
        <v>4</v>
      </c>
      <c r="H41" s="234" t="s">
        <v>182</v>
      </c>
      <c r="I41" s="235" t="s">
        <v>252</v>
      </c>
    </row>
    <row r="42" spans="1:9" ht="16.5">
      <c r="A42" s="474"/>
      <c r="B42" s="433"/>
      <c r="C42" s="423"/>
      <c r="D42" s="423"/>
      <c r="E42" s="423"/>
      <c r="F42" s="232" t="s">
        <v>158</v>
      </c>
      <c r="G42" s="237">
        <v>4</v>
      </c>
      <c r="H42" s="238" t="s">
        <v>253</v>
      </c>
      <c r="I42" s="235" t="s">
        <v>254</v>
      </c>
    </row>
    <row r="43" spans="1:9" ht="16.5">
      <c r="A43" s="474"/>
      <c r="B43" s="433"/>
      <c r="C43" s="423"/>
      <c r="D43" s="423"/>
      <c r="E43" s="423"/>
      <c r="F43" s="236" t="s">
        <v>260</v>
      </c>
      <c r="G43" s="239">
        <v>4</v>
      </c>
      <c r="H43" s="240" t="s">
        <v>261</v>
      </c>
      <c r="I43" s="235" t="s">
        <v>262</v>
      </c>
    </row>
    <row r="44" spans="1:9" ht="16.5">
      <c r="A44" s="474"/>
      <c r="B44" s="433"/>
      <c r="C44" s="423"/>
      <c r="D44" s="423"/>
      <c r="E44" s="423"/>
      <c r="F44" s="241" t="s">
        <v>116</v>
      </c>
      <c r="G44" s="233">
        <v>2</v>
      </c>
      <c r="H44" s="240" t="s">
        <v>155</v>
      </c>
      <c r="I44" s="242" t="s">
        <v>257</v>
      </c>
    </row>
    <row r="45" spans="1:9" ht="16.5">
      <c r="A45" s="475"/>
      <c r="B45" s="479"/>
      <c r="C45" s="460"/>
      <c r="D45" s="460"/>
      <c r="E45" s="460"/>
      <c r="F45" s="248" t="s">
        <v>187</v>
      </c>
      <c r="G45" s="249">
        <v>24</v>
      </c>
      <c r="H45" s="250" t="s">
        <v>188</v>
      </c>
      <c r="I45" s="242" t="s">
        <v>263</v>
      </c>
    </row>
  </sheetData>
  <mergeCells count="36">
    <mergeCell ref="A2:A19"/>
    <mergeCell ref="A20:A23"/>
    <mergeCell ref="A25:A36"/>
    <mergeCell ref="A37:A45"/>
    <mergeCell ref="B2:B4"/>
    <mergeCell ref="B5:B7"/>
    <mergeCell ref="B8:B10"/>
    <mergeCell ref="B11:B13"/>
    <mergeCell ref="B14:B16"/>
    <mergeCell ref="B17:B19"/>
    <mergeCell ref="B20:B21"/>
    <mergeCell ref="B22:B23"/>
    <mergeCell ref="B26:B36"/>
    <mergeCell ref="B38:B45"/>
    <mergeCell ref="C2:C4"/>
    <mergeCell ref="C5:C7"/>
    <mergeCell ref="C8:C10"/>
    <mergeCell ref="C11:C13"/>
    <mergeCell ref="C14:C16"/>
    <mergeCell ref="D2:D4"/>
    <mergeCell ref="D5:D7"/>
    <mergeCell ref="D8:D10"/>
    <mergeCell ref="D11:D13"/>
    <mergeCell ref="D14:D16"/>
    <mergeCell ref="H26:H28"/>
    <mergeCell ref="H38:H39"/>
    <mergeCell ref="C26:E36"/>
    <mergeCell ref="C38:E45"/>
    <mergeCell ref="C17:C19"/>
    <mergeCell ref="C20:C21"/>
    <mergeCell ref="C22:C23"/>
    <mergeCell ref="D17:D19"/>
    <mergeCell ref="D20:D21"/>
    <mergeCell ref="D22:D23"/>
    <mergeCell ref="C25:E25"/>
    <mergeCell ref="B37:E37"/>
  </mergeCells>
  <phoneticPr fontId="100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tabColor theme="2"/>
  </sheetPr>
  <dimension ref="A1:P514"/>
  <sheetViews>
    <sheetView topLeftCell="B1" zoomScale="85" zoomScaleNormal="85" workbookViewId="0">
      <pane ySplit="4" topLeftCell="A48" activePane="bottomLeft" state="frozen"/>
      <selection pane="bottomLeft" activeCell="K1" sqref="K1:K1048576"/>
    </sheetView>
  </sheetViews>
  <sheetFormatPr defaultColWidth="9" defaultRowHeight="31" customHeight="1"/>
  <cols>
    <col min="1" max="1" width="4.36328125" style="14" customWidth="1"/>
    <col min="2" max="2" width="13.90625" style="14" customWidth="1"/>
    <col min="3" max="3" width="16.6328125" style="14" customWidth="1"/>
    <col min="4" max="4" width="53.08984375" style="13" customWidth="1"/>
    <col min="5" max="5" width="8.36328125" style="14" customWidth="1"/>
    <col min="6" max="6" width="10" style="14" customWidth="1"/>
    <col min="7" max="7" width="8.36328125" style="14" customWidth="1"/>
    <col min="8" max="8" width="8.08984375" style="14" customWidth="1"/>
    <col min="9" max="9" width="9.36328125" style="14" customWidth="1"/>
    <col min="10" max="11" width="10" style="14" customWidth="1"/>
    <col min="12" max="12" width="20.453125" style="14" customWidth="1"/>
    <col min="13" max="13" width="18.36328125" style="11" customWidth="1"/>
    <col min="14" max="14" width="13.453125" style="14" customWidth="1"/>
    <col min="15" max="15" width="8.6328125" style="14" customWidth="1"/>
    <col min="16" max="16" width="9.26953125" style="14" customWidth="1"/>
    <col min="17" max="17" width="14.08984375" style="13"/>
    <col min="18" max="16384" width="9" style="13"/>
  </cols>
  <sheetData>
    <row r="1" spans="1:16" ht="13" customHeight="1">
      <c r="A1" s="451" t="s">
        <v>427</v>
      </c>
      <c r="B1" s="494"/>
      <c r="N1" s="15"/>
    </row>
    <row r="2" spans="1:16" ht="22.5">
      <c r="A2" s="495" t="s">
        <v>428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6"/>
      <c r="N2" s="495"/>
    </row>
    <row r="3" spans="1:16" s="14" customFormat="1" ht="68" customHeight="1">
      <c r="A3" s="497" t="s">
        <v>429</v>
      </c>
      <c r="B3" s="498"/>
      <c r="C3" s="499"/>
      <c r="D3" s="499"/>
      <c r="E3" s="499"/>
      <c r="F3" s="499"/>
      <c r="G3" s="499"/>
      <c r="H3" s="499"/>
      <c r="I3" s="499"/>
      <c r="J3" s="499"/>
      <c r="K3" s="499"/>
      <c r="L3" s="499"/>
      <c r="M3" s="500"/>
      <c r="N3" s="501"/>
    </row>
    <row r="4" spans="1:16" s="75" customFormat="1" ht="33">
      <c r="A4" s="80" t="s">
        <v>104</v>
      </c>
      <c r="B4" s="80" t="s">
        <v>266</v>
      </c>
      <c r="C4" s="81" t="s">
        <v>220</v>
      </c>
      <c r="D4" s="80" t="s">
        <v>221</v>
      </c>
      <c r="E4" s="80" t="s">
        <v>430</v>
      </c>
      <c r="F4" s="57" t="s">
        <v>431</v>
      </c>
      <c r="G4" s="57" t="s">
        <v>432</v>
      </c>
      <c r="H4" s="80" t="s">
        <v>433</v>
      </c>
      <c r="I4" s="80" t="s">
        <v>348</v>
      </c>
      <c r="J4" s="57" t="s">
        <v>434</v>
      </c>
      <c r="K4" s="80" t="s">
        <v>349</v>
      </c>
      <c r="L4" s="82" t="s">
        <v>350</v>
      </c>
      <c r="M4" s="56" t="s">
        <v>435</v>
      </c>
      <c r="N4" s="82" t="s">
        <v>5</v>
      </c>
      <c r="O4" s="75" t="s">
        <v>436</v>
      </c>
      <c r="P4" s="75" t="s">
        <v>432</v>
      </c>
    </row>
    <row r="5" spans="1:16" s="76" customFormat="1" ht="14.5">
      <c r="A5" s="484">
        <v>1</v>
      </c>
      <c r="B5" s="484" t="s">
        <v>358</v>
      </c>
      <c r="C5" s="21" t="s">
        <v>437</v>
      </c>
      <c r="D5" s="335" t="s">
        <v>3809</v>
      </c>
      <c r="E5" s="83">
        <v>149</v>
      </c>
      <c r="F5" s="83">
        <v>149</v>
      </c>
      <c r="G5" s="84">
        <v>134.052911940299</v>
      </c>
      <c r="H5" s="85">
        <v>1</v>
      </c>
      <c r="I5" s="502">
        <v>208</v>
      </c>
      <c r="J5" s="83">
        <v>208</v>
      </c>
      <c r="K5" s="490">
        <v>0.34615384615384598</v>
      </c>
      <c r="L5" s="88" t="s">
        <v>438</v>
      </c>
      <c r="M5" s="504" t="s">
        <v>368</v>
      </c>
      <c r="N5" s="484"/>
      <c r="O5" s="89">
        <f>VLOOKUP(C5,'[1]站级商品进销存统计(2026-06-06)'!$B:$D,3,0)</f>
        <v>134</v>
      </c>
      <c r="P5" s="90">
        <f>VLOOKUP(C5,'[1]站级商品进销存统计(2026-06-06)'!$B:$F,5,0)</f>
        <v>134.052911940299</v>
      </c>
    </row>
    <row r="6" spans="1:16" s="76" customFormat="1" ht="14.5">
      <c r="A6" s="482"/>
      <c r="B6" s="482"/>
      <c r="C6" s="21" t="s">
        <v>439</v>
      </c>
      <c r="D6" s="22" t="s">
        <v>440</v>
      </c>
      <c r="E6" s="83">
        <v>128</v>
      </c>
      <c r="F6" s="83">
        <v>128</v>
      </c>
      <c r="G6" s="84">
        <v>91.695938043478293</v>
      </c>
      <c r="H6" s="85">
        <v>1</v>
      </c>
      <c r="I6" s="503"/>
      <c r="J6" s="83">
        <v>198</v>
      </c>
      <c r="K6" s="489"/>
      <c r="L6" s="88" t="s">
        <v>438</v>
      </c>
      <c r="M6" s="505"/>
      <c r="N6" s="482"/>
      <c r="O6" s="89">
        <f>VLOOKUP(C6,'[1]站级商品进销存统计(2026-06-06)'!$B:$D,3,0)</f>
        <v>2024</v>
      </c>
      <c r="P6" s="90">
        <f>VLOOKUP(C6,'[1]站级商品进销存统计(2026-06-06)'!$B:$F,5,0)</f>
        <v>91.695938043478293</v>
      </c>
    </row>
    <row r="7" spans="1:16" s="76" customFormat="1" ht="14.5">
      <c r="A7" s="484">
        <v>2</v>
      </c>
      <c r="B7" s="484" t="s">
        <v>358</v>
      </c>
      <c r="C7" s="21" t="s">
        <v>441</v>
      </c>
      <c r="D7" s="22" t="s">
        <v>442</v>
      </c>
      <c r="E7" s="83">
        <v>109</v>
      </c>
      <c r="F7" s="83">
        <v>109</v>
      </c>
      <c r="G7" s="84">
        <v>91.446184586466202</v>
      </c>
      <c r="H7" s="85">
        <v>1</v>
      </c>
      <c r="I7" s="502">
        <v>148</v>
      </c>
      <c r="J7" s="83">
        <v>148</v>
      </c>
      <c r="K7" s="490">
        <v>0.36148648648648701</v>
      </c>
      <c r="L7" s="88" t="s">
        <v>443</v>
      </c>
      <c r="M7" s="504" t="s">
        <v>368</v>
      </c>
      <c r="N7" s="484"/>
      <c r="O7" s="89">
        <f>VLOOKUP(C7,'[1]站级商品进销存统计(2026-06-06)'!$B:$D,3,0)</f>
        <v>266</v>
      </c>
      <c r="P7" s="90">
        <f>VLOOKUP(C7,'[1]站级商品进销存统计(2026-06-06)'!$B:$F,5,0)</f>
        <v>91.446184586466202</v>
      </c>
    </row>
    <row r="8" spans="1:16" s="76" customFormat="1" ht="14.5">
      <c r="A8" s="482"/>
      <c r="B8" s="482"/>
      <c r="C8" s="21" t="s">
        <v>444</v>
      </c>
      <c r="D8" s="22" t="s">
        <v>445</v>
      </c>
      <c r="E8" s="83">
        <v>58</v>
      </c>
      <c r="F8" s="83">
        <v>58</v>
      </c>
      <c r="G8" s="84">
        <v>29.043760305343501</v>
      </c>
      <c r="H8" s="85">
        <v>1</v>
      </c>
      <c r="I8" s="503"/>
      <c r="J8" s="83">
        <v>88</v>
      </c>
      <c r="K8" s="489"/>
      <c r="L8" s="88" t="s">
        <v>443</v>
      </c>
      <c r="M8" s="505"/>
      <c r="N8" s="482"/>
      <c r="O8" s="89">
        <f>VLOOKUP(C8,'[1]站级商品进销存统计(2026-06-06)'!$B:$D,3,0)</f>
        <v>131</v>
      </c>
      <c r="P8" s="90">
        <f>VLOOKUP(C8,'[1]站级商品进销存统计(2026-06-06)'!$B:$F,5,0)</f>
        <v>29.043760305343501</v>
      </c>
    </row>
    <row r="9" spans="1:16" s="76" customFormat="1" ht="14.5">
      <c r="A9" s="484">
        <v>3</v>
      </c>
      <c r="B9" s="484" t="s">
        <v>400</v>
      </c>
      <c r="C9" s="21" t="s">
        <v>446</v>
      </c>
      <c r="D9" s="22" t="s">
        <v>447</v>
      </c>
      <c r="E9" s="23">
        <v>16.27</v>
      </c>
      <c r="F9" s="23">
        <f t="shared" ref="F9:F13" si="0">E9/(1+L9)</f>
        <v>14.7909090909091</v>
      </c>
      <c r="G9" s="23">
        <v>16.27</v>
      </c>
      <c r="H9" s="94">
        <v>1</v>
      </c>
      <c r="I9" s="491">
        <v>89.9</v>
      </c>
      <c r="J9" s="23">
        <v>21</v>
      </c>
      <c r="K9" s="488">
        <f>1-SUM(F9:F12)/I9</f>
        <v>0.24319951461219499</v>
      </c>
      <c r="L9" s="95">
        <v>0.1</v>
      </c>
      <c r="M9" s="483" t="s">
        <v>448</v>
      </c>
      <c r="N9" s="480"/>
      <c r="O9" s="89" t="e">
        <f>VLOOKUP(C9,'[1]站级商品进销存统计(2026-06-06)'!$B:$D,3,0)</f>
        <v>#N/A</v>
      </c>
      <c r="P9" s="90" t="e">
        <f>VLOOKUP(C9,'[1]站级商品进销存统计(2026-06-06)'!$B:$F,5,0)</f>
        <v>#N/A</v>
      </c>
    </row>
    <row r="10" spans="1:16" s="76" customFormat="1" ht="14.5">
      <c r="A10" s="481"/>
      <c r="B10" s="481"/>
      <c r="C10" s="21" t="s">
        <v>449</v>
      </c>
      <c r="D10" s="22" t="s">
        <v>450</v>
      </c>
      <c r="E10" s="23">
        <v>15.05</v>
      </c>
      <c r="F10" s="23">
        <f t="shared" si="0"/>
        <v>13.681818181818199</v>
      </c>
      <c r="G10" s="97">
        <v>15.3044115485564</v>
      </c>
      <c r="H10" s="94">
        <v>1</v>
      </c>
      <c r="I10" s="491"/>
      <c r="J10" s="23">
        <v>25.9</v>
      </c>
      <c r="K10" s="488"/>
      <c r="L10" s="95">
        <v>0.1</v>
      </c>
      <c r="M10" s="483"/>
      <c r="N10" s="480"/>
      <c r="O10" s="89">
        <f>VLOOKUP(C10,'[1]站级商品进销存统计(2026-06-06)'!$B:$D,3,0)</f>
        <v>381</v>
      </c>
      <c r="P10" s="90">
        <f>VLOOKUP(C10,'[1]站级商品进销存统计(2026-06-06)'!$B:$F,5,0)</f>
        <v>15.3044115485564</v>
      </c>
    </row>
    <row r="11" spans="1:16" s="76" customFormat="1" ht="14.5">
      <c r="A11" s="481"/>
      <c r="B11" s="481"/>
      <c r="C11" s="21" t="s">
        <v>451</v>
      </c>
      <c r="D11" s="22" t="s">
        <v>452</v>
      </c>
      <c r="E11" s="23">
        <v>17.600000000000001</v>
      </c>
      <c r="F11" s="23">
        <f t="shared" si="0"/>
        <v>16</v>
      </c>
      <c r="G11" s="23">
        <v>17.600000000000001</v>
      </c>
      <c r="H11" s="94">
        <v>1</v>
      </c>
      <c r="I11" s="491"/>
      <c r="J11" s="23">
        <v>24.9</v>
      </c>
      <c r="K11" s="488"/>
      <c r="L11" s="95">
        <v>0.1</v>
      </c>
      <c r="M11" s="483"/>
      <c r="N11" s="480"/>
      <c r="O11" s="89" t="e">
        <f>VLOOKUP(C11,'[1]站级商品进销存统计(2026-06-06)'!$B:$D,3,0)</f>
        <v>#N/A</v>
      </c>
      <c r="P11" s="90" t="e">
        <f>VLOOKUP(C11,'[1]站级商品进销存统计(2026-06-06)'!$B:$F,5,0)</f>
        <v>#N/A</v>
      </c>
    </row>
    <row r="12" spans="1:16" s="76" customFormat="1" ht="14.5">
      <c r="A12" s="482"/>
      <c r="B12" s="482"/>
      <c r="C12" s="21" t="s">
        <v>453</v>
      </c>
      <c r="D12" s="22" t="s">
        <v>454</v>
      </c>
      <c r="E12" s="23">
        <v>25.92</v>
      </c>
      <c r="F12" s="23">
        <f t="shared" si="0"/>
        <v>23.563636363636402</v>
      </c>
      <c r="G12" s="23">
        <v>25.92</v>
      </c>
      <c r="H12" s="94">
        <v>1</v>
      </c>
      <c r="I12" s="492"/>
      <c r="J12" s="23">
        <v>37</v>
      </c>
      <c r="K12" s="489"/>
      <c r="L12" s="95">
        <v>0.1</v>
      </c>
      <c r="M12" s="483"/>
      <c r="N12" s="480"/>
      <c r="O12" s="89" t="e">
        <f>VLOOKUP(C12,'[1]站级商品进销存统计(2026-06-06)'!$B:$D,3,0)</f>
        <v>#N/A</v>
      </c>
      <c r="P12" s="90" t="e">
        <f>VLOOKUP(C12,'[1]站级商品进销存统计(2026-06-06)'!$B:$F,5,0)</f>
        <v>#N/A</v>
      </c>
    </row>
    <row r="13" spans="1:16" s="76" customFormat="1" ht="14.5">
      <c r="A13" s="481">
        <v>4</v>
      </c>
      <c r="B13" s="484" t="s">
        <v>400</v>
      </c>
      <c r="C13" s="21" t="s">
        <v>455</v>
      </c>
      <c r="D13" s="22" t="s">
        <v>456</v>
      </c>
      <c r="E13" s="23">
        <v>28.36</v>
      </c>
      <c r="F13" s="23">
        <f t="shared" si="0"/>
        <v>25.781818181818199</v>
      </c>
      <c r="G13" s="97">
        <v>26.5765041561713</v>
      </c>
      <c r="H13" s="94">
        <v>2</v>
      </c>
      <c r="I13" s="491">
        <v>59.9</v>
      </c>
      <c r="J13" s="23">
        <v>34.9</v>
      </c>
      <c r="K13" s="488">
        <f>1-F13*H13/I13</f>
        <v>0.13917134618303201</v>
      </c>
      <c r="L13" s="95">
        <v>0.1</v>
      </c>
      <c r="M13" s="445" t="s">
        <v>457</v>
      </c>
      <c r="N13" s="481" t="s">
        <v>458</v>
      </c>
      <c r="O13" s="89">
        <f>VLOOKUP(C13,'[1]站级商品进销存统计(2026-06-06)'!$B:$D,3,0)</f>
        <v>1588</v>
      </c>
      <c r="P13" s="90">
        <f>VLOOKUP(C13,'[1]站级商品进销存统计(2026-06-06)'!$B:$F,5,0)</f>
        <v>26.5765041561713</v>
      </c>
    </row>
    <row r="14" spans="1:16" s="76" customFormat="1" ht="14.5">
      <c r="A14" s="481"/>
      <c r="B14" s="481"/>
      <c r="C14" s="21" t="s">
        <v>279</v>
      </c>
      <c r="D14" s="22" t="s">
        <v>459</v>
      </c>
      <c r="E14" s="23" t="s">
        <v>279</v>
      </c>
      <c r="F14" s="23" t="s">
        <v>279</v>
      </c>
      <c r="G14" s="23" t="s">
        <v>279</v>
      </c>
      <c r="H14" s="94">
        <v>3</v>
      </c>
      <c r="I14" s="491"/>
      <c r="J14" s="23"/>
      <c r="K14" s="488"/>
      <c r="L14" s="95"/>
      <c r="M14" s="446"/>
      <c r="N14" s="481"/>
      <c r="O14" s="89" t="e">
        <f>VLOOKUP(C14,'[1]站级商品进销存统计(2026-06-06)'!$B:$D,3,0)</f>
        <v>#N/A</v>
      </c>
      <c r="P14" s="90" t="e">
        <f>VLOOKUP(C14,'[1]站级商品进销存统计(2026-06-06)'!$B:$F,5,0)</f>
        <v>#N/A</v>
      </c>
    </row>
    <row r="15" spans="1:16" s="76" customFormat="1" ht="14.5">
      <c r="A15" s="481"/>
      <c r="B15" s="481"/>
      <c r="C15" s="21" t="s">
        <v>279</v>
      </c>
      <c r="D15" s="22" t="s">
        <v>460</v>
      </c>
      <c r="E15" s="23" t="s">
        <v>279</v>
      </c>
      <c r="F15" s="23" t="s">
        <v>279</v>
      </c>
      <c r="G15" s="23" t="s">
        <v>279</v>
      </c>
      <c r="H15" s="94">
        <v>2</v>
      </c>
      <c r="I15" s="491"/>
      <c r="J15" s="23"/>
      <c r="K15" s="488"/>
      <c r="L15" s="95"/>
      <c r="M15" s="446"/>
      <c r="N15" s="481"/>
      <c r="O15" s="89" t="e">
        <f>VLOOKUP(C15,'[1]站级商品进销存统计(2026-06-06)'!$B:$D,3,0)</f>
        <v>#N/A</v>
      </c>
      <c r="P15" s="90" t="e">
        <f>VLOOKUP(C15,'[1]站级商品进销存统计(2026-06-06)'!$B:$F,5,0)</f>
        <v>#N/A</v>
      </c>
    </row>
    <row r="16" spans="1:16" s="76" customFormat="1" ht="14.5">
      <c r="A16" s="481"/>
      <c r="B16" s="482"/>
      <c r="C16" s="21" t="s">
        <v>279</v>
      </c>
      <c r="D16" s="22" t="s">
        <v>461</v>
      </c>
      <c r="E16" s="23" t="s">
        <v>279</v>
      </c>
      <c r="F16" s="23" t="s">
        <v>279</v>
      </c>
      <c r="G16" s="23" t="s">
        <v>279</v>
      </c>
      <c r="H16" s="94">
        <v>1</v>
      </c>
      <c r="I16" s="491"/>
      <c r="J16" s="23"/>
      <c r="K16" s="488"/>
      <c r="L16" s="95"/>
      <c r="M16" s="446"/>
      <c r="N16" s="482"/>
      <c r="O16" s="89" t="e">
        <f>VLOOKUP(C16,'[1]站级商品进销存统计(2026-06-06)'!$B:$D,3,0)</f>
        <v>#N/A</v>
      </c>
      <c r="P16" s="90" t="e">
        <f>VLOOKUP(C16,'[1]站级商品进销存统计(2026-06-06)'!$B:$F,5,0)</f>
        <v>#N/A</v>
      </c>
    </row>
    <row r="17" spans="1:16" s="77" customFormat="1" ht="20" customHeight="1">
      <c r="A17" s="484">
        <v>5</v>
      </c>
      <c r="B17" s="443" t="s">
        <v>400</v>
      </c>
      <c r="C17" s="21" t="s">
        <v>462</v>
      </c>
      <c r="D17" s="335" t="s">
        <v>3808</v>
      </c>
      <c r="E17" s="23">
        <v>41.31</v>
      </c>
      <c r="F17" s="23">
        <f>E17/(1+L17)</f>
        <v>34.424999999999997</v>
      </c>
      <c r="G17" s="97">
        <v>40.851290464104402</v>
      </c>
      <c r="H17" s="94">
        <v>1</v>
      </c>
      <c r="I17" s="493">
        <v>99.9</v>
      </c>
      <c r="J17" s="23">
        <v>58</v>
      </c>
      <c r="K17" s="490">
        <f>1-(G17*H17+G18*H18+G19*H19+G20*H20)/I17</f>
        <v>7.1274682954470606E-2</v>
      </c>
      <c r="L17" s="95">
        <v>0.2</v>
      </c>
      <c r="M17" s="484" t="s">
        <v>463</v>
      </c>
      <c r="N17" s="91" t="s">
        <v>458</v>
      </c>
      <c r="O17" s="89">
        <f>VLOOKUP(C17,'[1]站级商品进销存统计(2026-06-06)'!$B:$D,3,0)</f>
        <v>2758</v>
      </c>
      <c r="P17" s="90">
        <f>VLOOKUP(C17,'[1]站级商品进销存统计(2026-06-06)'!$B:$F,5,0)</f>
        <v>40.851290464104402</v>
      </c>
    </row>
    <row r="18" spans="1:16" s="77" customFormat="1" ht="20" customHeight="1">
      <c r="A18" s="481"/>
      <c r="B18" s="443"/>
      <c r="C18" s="21" t="s">
        <v>464</v>
      </c>
      <c r="D18" s="22" t="s">
        <v>465</v>
      </c>
      <c r="E18" s="23">
        <v>26.52</v>
      </c>
      <c r="F18" s="23">
        <f>E18/(1+L18)</f>
        <v>26.52</v>
      </c>
      <c r="G18" s="97">
        <v>26.5209005882353</v>
      </c>
      <c r="H18" s="94">
        <v>1</v>
      </c>
      <c r="I18" s="491"/>
      <c r="J18" s="23">
        <v>38.9</v>
      </c>
      <c r="K18" s="488"/>
      <c r="L18" s="95">
        <v>0</v>
      </c>
      <c r="M18" s="481"/>
      <c r="N18" s="91" t="s">
        <v>458</v>
      </c>
      <c r="O18" s="89">
        <f>VLOOKUP(C18,'[1]站级商品进销存统计(2026-06-06)'!$B:$D,3,0)</f>
        <v>340</v>
      </c>
      <c r="P18" s="90">
        <f>VLOOKUP(C18,'[1]站级商品进销存统计(2026-06-06)'!$B:$F,5,0)</f>
        <v>26.5209005882353</v>
      </c>
    </row>
    <row r="19" spans="1:16" s="77" customFormat="1" ht="20" customHeight="1">
      <c r="A19" s="481"/>
      <c r="B19" s="443"/>
      <c r="C19" s="21" t="s">
        <v>466</v>
      </c>
      <c r="D19" s="22" t="s">
        <v>467</v>
      </c>
      <c r="E19" s="23">
        <v>13.26</v>
      </c>
      <c r="F19" s="23">
        <f>E19/(1+L19)</f>
        <v>13.26</v>
      </c>
      <c r="G19" s="97">
        <v>10.3532538873995</v>
      </c>
      <c r="H19" s="94">
        <v>1</v>
      </c>
      <c r="I19" s="491"/>
      <c r="J19" s="23">
        <v>48</v>
      </c>
      <c r="K19" s="488"/>
      <c r="L19" s="95">
        <v>0</v>
      </c>
      <c r="M19" s="481"/>
      <c r="N19" s="91" t="s">
        <v>458</v>
      </c>
      <c r="O19" s="89">
        <f>VLOOKUP(C19,'[1]站级商品进销存统计(2026-06-06)'!$B:$D,3,0)</f>
        <v>4103</v>
      </c>
      <c r="P19" s="90">
        <f>VLOOKUP(C19,'[1]站级商品进销存统计(2026-06-06)'!$B:$F,5,0)</f>
        <v>10.3532538873995</v>
      </c>
    </row>
    <row r="20" spans="1:16" s="77" customFormat="1" ht="20" customHeight="1">
      <c r="A20" s="482"/>
      <c r="B20" s="443"/>
      <c r="C20" s="21" t="s">
        <v>468</v>
      </c>
      <c r="D20" s="335" t="s">
        <v>3819</v>
      </c>
      <c r="E20" s="23">
        <v>15.5754</v>
      </c>
      <c r="F20" s="23">
        <f>E20/(1+L20)</f>
        <v>15.5754</v>
      </c>
      <c r="G20" s="97">
        <v>15.054214233109199</v>
      </c>
      <c r="H20" s="94">
        <v>1</v>
      </c>
      <c r="I20" s="491"/>
      <c r="J20" s="23">
        <v>25.9</v>
      </c>
      <c r="K20" s="488"/>
      <c r="L20" s="95">
        <v>0</v>
      </c>
      <c r="M20" s="482"/>
      <c r="N20" s="91" t="s">
        <v>458</v>
      </c>
      <c r="O20" s="89">
        <f>VLOOKUP(C20,'[1]站级商品进销存统计(2026-06-06)'!$B:$D,3,0)</f>
        <v>6246</v>
      </c>
      <c r="P20" s="90">
        <f>VLOOKUP(C20,'[1]站级商品进销存统计(2026-06-06)'!$B:$F,5,0)</f>
        <v>15.054214233109199</v>
      </c>
    </row>
    <row r="21" spans="1:16" ht="20" customHeight="1">
      <c r="A21" s="481">
        <v>6</v>
      </c>
      <c r="B21" s="443" t="s">
        <v>342</v>
      </c>
      <c r="C21" s="21" t="s">
        <v>469</v>
      </c>
      <c r="D21" s="22" t="s">
        <v>470</v>
      </c>
      <c r="E21" s="23">
        <v>87.3</v>
      </c>
      <c r="F21" s="23">
        <f t="shared" ref="F21:F32" si="1">E21/(1+L21)</f>
        <v>60.2068965517241</v>
      </c>
      <c r="G21" s="97">
        <v>91.176216541353398</v>
      </c>
      <c r="H21" s="94">
        <v>1</v>
      </c>
      <c r="I21" s="493">
        <v>99.9</v>
      </c>
      <c r="J21" s="23">
        <v>129.9</v>
      </c>
      <c r="K21" s="490">
        <f>1-(F21*H21+F22*H22)/I21</f>
        <v>9.1099056616297996E-2</v>
      </c>
      <c r="L21" s="95">
        <v>0.45</v>
      </c>
      <c r="M21" s="485" t="s">
        <v>471</v>
      </c>
      <c r="N21" s="91" t="s">
        <v>458</v>
      </c>
      <c r="O21" s="89">
        <f>VLOOKUP(C21,'[1]站级商品进销存统计(2026-06-06)'!$B:$D,3,0)</f>
        <v>1064</v>
      </c>
      <c r="P21" s="90">
        <f>VLOOKUP(C21,'[1]站级商品进销存统计(2026-06-06)'!$B:$F,5,0)</f>
        <v>91.176216541353398</v>
      </c>
    </row>
    <row r="22" spans="1:16" ht="20" customHeight="1">
      <c r="A22" s="482"/>
      <c r="B22" s="443"/>
      <c r="C22" s="21" t="s">
        <v>472</v>
      </c>
      <c r="D22" s="22" t="s">
        <v>473</v>
      </c>
      <c r="E22" s="23">
        <v>39.770000000000003</v>
      </c>
      <c r="F22" s="23">
        <f t="shared" si="1"/>
        <v>30.592307692307699</v>
      </c>
      <c r="G22" s="97">
        <v>41.367027971614398</v>
      </c>
      <c r="H22" s="94">
        <v>1</v>
      </c>
      <c r="I22" s="492"/>
      <c r="J22" s="23">
        <v>49.9</v>
      </c>
      <c r="K22" s="489"/>
      <c r="L22" s="95">
        <v>0.3</v>
      </c>
      <c r="M22" s="486"/>
      <c r="N22" s="91" t="s">
        <v>458</v>
      </c>
      <c r="O22" s="89">
        <f>VLOOKUP(C22,'[1]站级商品进销存统计(2026-06-06)'!$B:$D,3,0)</f>
        <v>1691</v>
      </c>
      <c r="P22" s="90">
        <f>VLOOKUP(C22,'[1]站级商品进销存统计(2026-06-06)'!$B:$F,5,0)</f>
        <v>41.367027971614398</v>
      </c>
    </row>
    <row r="23" spans="1:16" ht="20" customHeight="1">
      <c r="A23" s="481">
        <v>7</v>
      </c>
      <c r="B23" s="484" t="s">
        <v>400</v>
      </c>
      <c r="C23" s="21" t="s">
        <v>474</v>
      </c>
      <c r="D23" s="22" t="s">
        <v>475</v>
      </c>
      <c r="E23" s="23">
        <v>14.1</v>
      </c>
      <c r="F23" s="23">
        <f t="shared" si="1"/>
        <v>14.1</v>
      </c>
      <c r="G23" s="97">
        <v>14.2020107355865</v>
      </c>
      <c r="H23" s="94">
        <v>1</v>
      </c>
      <c r="I23" s="491">
        <v>66</v>
      </c>
      <c r="J23" s="23">
        <v>22</v>
      </c>
      <c r="K23" s="488">
        <f>1-(F32*3)/I23</f>
        <v>0.12090909090909099</v>
      </c>
      <c r="L23" s="95"/>
      <c r="M23" s="485" t="s">
        <v>476</v>
      </c>
      <c r="N23" s="91" t="s">
        <v>458</v>
      </c>
      <c r="O23" s="89">
        <f>VLOOKUP(C23,'[1]站级商品进销存统计(2026-06-06)'!$B:$D,3,0)</f>
        <v>1006</v>
      </c>
      <c r="P23" s="90">
        <f>VLOOKUP(C23,'[1]站级商品进销存统计(2026-06-06)'!$B:$F,5,0)</f>
        <v>14.2020107355865</v>
      </c>
    </row>
    <row r="24" spans="1:16" ht="20" customHeight="1">
      <c r="A24" s="481"/>
      <c r="B24" s="481"/>
      <c r="C24" s="21" t="s">
        <v>477</v>
      </c>
      <c r="D24" s="22" t="s">
        <v>478</v>
      </c>
      <c r="E24" s="23">
        <v>15.82</v>
      </c>
      <c r="F24" s="23">
        <f t="shared" si="1"/>
        <v>15.82</v>
      </c>
      <c r="G24" s="97">
        <v>15.985499635036501</v>
      </c>
      <c r="H24" s="94">
        <v>1</v>
      </c>
      <c r="I24" s="491"/>
      <c r="J24" s="23">
        <v>22</v>
      </c>
      <c r="K24" s="488"/>
      <c r="L24" s="95"/>
      <c r="M24" s="487"/>
      <c r="N24" s="91" t="s">
        <v>458</v>
      </c>
      <c r="O24" s="89">
        <f>VLOOKUP(C24,'[1]站级商品进销存统计(2026-06-06)'!$B:$D,3,0)</f>
        <v>274</v>
      </c>
      <c r="P24" s="90">
        <f>VLOOKUP(C24,'[1]站级商品进销存统计(2026-06-06)'!$B:$F,5,0)</f>
        <v>15.985499635036501</v>
      </c>
    </row>
    <row r="25" spans="1:16" ht="20" customHeight="1">
      <c r="A25" s="481"/>
      <c r="B25" s="481"/>
      <c r="C25" s="21" t="s">
        <v>479</v>
      </c>
      <c r="D25" s="22" t="s">
        <v>480</v>
      </c>
      <c r="E25" s="23">
        <v>17.32</v>
      </c>
      <c r="F25" s="23">
        <f t="shared" si="1"/>
        <v>17.32</v>
      </c>
      <c r="G25" s="97">
        <v>17.7189319543509</v>
      </c>
      <c r="H25" s="94">
        <v>1</v>
      </c>
      <c r="I25" s="491"/>
      <c r="J25" s="23">
        <v>25.5</v>
      </c>
      <c r="K25" s="488"/>
      <c r="L25" s="95"/>
      <c r="M25" s="487"/>
      <c r="N25" s="91" t="s">
        <v>458</v>
      </c>
      <c r="O25" s="89">
        <f>VLOOKUP(C25,'[1]站级商品进销存统计(2026-06-06)'!$B:$D,3,0)</f>
        <v>701</v>
      </c>
      <c r="P25" s="90">
        <f>VLOOKUP(C25,'[1]站级商品进销存统计(2026-06-06)'!$B:$F,5,0)</f>
        <v>17.7189319543509</v>
      </c>
    </row>
    <row r="26" spans="1:16" ht="20" customHeight="1">
      <c r="A26" s="481"/>
      <c r="B26" s="481"/>
      <c r="C26" s="21" t="s">
        <v>481</v>
      </c>
      <c r="D26" s="22" t="s">
        <v>482</v>
      </c>
      <c r="E26" s="23">
        <v>17.73</v>
      </c>
      <c r="F26" s="23">
        <f t="shared" si="1"/>
        <v>17.73</v>
      </c>
      <c r="G26" s="97">
        <v>17.812775925925902</v>
      </c>
      <c r="H26" s="94">
        <v>1</v>
      </c>
      <c r="I26" s="491"/>
      <c r="J26" s="23">
        <v>26</v>
      </c>
      <c r="K26" s="488"/>
      <c r="L26" s="95"/>
      <c r="M26" s="487"/>
      <c r="N26" s="91" t="s">
        <v>458</v>
      </c>
      <c r="O26" s="89">
        <f>VLOOKUP(C26,'[1]站级商品进销存统计(2026-06-06)'!$B:$D,3,0)</f>
        <v>54</v>
      </c>
      <c r="P26" s="90">
        <f>VLOOKUP(C26,'[1]站级商品进销存统计(2026-06-06)'!$B:$F,5,0)</f>
        <v>17.812775925925902</v>
      </c>
    </row>
    <row r="27" spans="1:16" ht="20" customHeight="1">
      <c r="A27" s="481"/>
      <c r="B27" s="481"/>
      <c r="C27" s="21" t="s">
        <v>483</v>
      </c>
      <c r="D27" s="22" t="s">
        <v>484</v>
      </c>
      <c r="E27" s="23">
        <v>17.829999999999998</v>
      </c>
      <c r="F27" s="23">
        <f t="shared" si="1"/>
        <v>17.829999999999998</v>
      </c>
      <c r="G27" s="97">
        <v>18.010846411251201</v>
      </c>
      <c r="H27" s="94">
        <v>1</v>
      </c>
      <c r="I27" s="491"/>
      <c r="J27" s="23">
        <v>29</v>
      </c>
      <c r="K27" s="488"/>
      <c r="L27" s="95"/>
      <c r="M27" s="487"/>
      <c r="N27" s="91" t="s">
        <v>458</v>
      </c>
      <c r="O27" s="89">
        <f>VLOOKUP(C27,'[1]站级商品进销存统计(2026-06-06)'!$B:$D,3,0)</f>
        <v>2062</v>
      </c>
      <c r="P27" s="90">
        <f>VLOOKUP(C27,'[1]站级商品进销存统计(2026-06-06)'!$B:$F,5,0)</f>
        <v>18.010846411251201</v>
      </c>
    </row>
    <row r="28" spans="1:16" ht="20" customHeight="1">
      <c r="A28" s="481"/>
      <c r="B28" s="481"/>
      <c r="C28" s="21" t="s">
        <v>485</v>
      </c>
      <c r="D28" s="22" t="s">
        <v>486</v>
      </c>
      <c r="E28" s="23">
        <v>18.079999999999998</v>
      </c>
      <c r="F28" s="23">
        <f t="shared" si="1"/>
        <v>18.079999999999998</v>
      </c>
      <c r="G28" s="97">
        <v>18.355270430107499</v>
      </c>
      <c r="H28" s="94">
        <v>1</v>
      </c>
      <c r="I28" s="491"/>
      <c r="J28" s="23">
        <v>23</v>
      </c>
      <c r="K28" s="488"/>
      <c r="L28" s="95"/>
      <c r="M28" s="487"/>
      <c r="N28" s="91" t="s">
        <v>458</v>
      </c>
      <c r="O28" s="89">
        <f>VLOOKUP(C28,'[1]站级商品进销存统计(2026-06-06)'!$B:$D,3,0)</f>
        <v>186</v>
      </c>
      <c r="P28" s="90">
        <f>VLOOKUP(C28,'[1]站级商品进销存统计(2026-06-06)'!$B:$F,5,0)</f>
        <v>18.355270430107499</v>
      </c>
    </row>
    <row r="29" spans="1:16" ht="20" customHeight="1">
      <c r="A29" s="481"/>
      <c r="B29" s="481"/>
      <c r="C29" s="21" t="s">
        <v>487</v>
      </c>
      <c r="D29" s="22" t="s">
        <v>488</v>
      </c>
      <c r="E29" s="23">
        <v>18.63</v>
      </c>
      <c r="F29" s="23">
        <f t="shared" si="1"/>
        <v>18.63</v>
      </c>
      <c r="G29" s="97">
        <v>18.754433687943301</v>
      </c>
      <c r="H29" s="94">
        <v>1</v>
      </c>
      <c r="I29" s="491"/>
      <c r="J29" s="23">
        <v>23.9</v>
      </c>
      <c r="K29" s="488"/>
      <c r="L29" s="95"/>
      <c r="M29" s="487"/>
      <c r="N29" s="91" t="s">
        <v>458</v>
      </c>
      <c r="O29" s="89">
        <f>VLOOKUP(C29,'[1]站级商品进销存统计(2026-06-06)'!$B:$D,3,0)</f>
        <v>1128</v>
      </c>
      <c r="P29" s="90">
        <f>VLOOKUP(C29,'[1]站级商品进销存统计(2026-06-06)'!$B:$F,5,0)</f>
        <v>18.754433687943301</v>
      </c>
    </row>
    <row r="30" spans="1:16" ht="20" customHeight="1">
      <c r="A30" s="481"/>
      <c r="B30" s="481"/>
      <c r="C30" s="21" t="s">
        <v>489</v>
      </c>
      <c r="D30" s="22" t="s">
        <v>490</v>
      </c>
      <c r="E30" s="23">
        <v>20.71</v>
      </c>
      <c r="F30" s="23">
        <f t="shared" si="1"/>
        <v>18.8272727272727</v>
      </c>
      <c r="G30" s="97">
        <v>20.9320386541471</v>
      </c>
      <c r="H30" s="94">
        <v>1</v>
      </c>
      <c r="I30" s="491"/>
      <c r="J30" s="23">
        <v>29.9</v>
      </c>
      <c r="K30" s="488"/>
      <c r="L30" s="93">
        <v>0.1</v>
      </c>
      <c r="M30" s="487"/>
      <c r="N30" s="91" t="s">
        <v>458</v>
      </c>
      <c r="O30" s="89">
        <f>VLOOKUP(C30,'[1]站级商品进销存统计(2026-06-06)'!$B:$D,3,0)</f>
        <v>639</v>
      </c>
      <c r="P30" s="90">
        <f>VLOOKUP(C30,'[1]站级商品进销存统计(2026-06-06)'!$B:$F,5,0)</f>
        <v>20.9320386541471</v>
      </c>
    </row>
    <row r="31" spans="1:16" ht="20" customHeight="1">
      <c r="A31" s="481"/>
      <c r="B31" s="481"/>
      <c r="C31" s="21" t="s">
        <v>491</v>
      </c>
      <c r="D31" s="22" t="s">
        <v>492</v>
      </c>
      <c r="E31" s="23">
        <v>18.89</v>
      </c>
      <c r="F31" s="23">
        <f t="shared" si="1"/>
        <v>18.89</v>
      </c>
      <c r="G31" s="97">
        <v>18.922423604060899</v>
      </c>
      <c r="H31" s="94">
        <v>1</v>
      </c>
      <c r="I31" s="491"/>
      <c r="J31" s="23">
        <v>29</v>
      </c>
      <c r="K31" s="488"/>
      <c r="L31" s="95"/>
      <c r="M31" s="487"/>
      <c r="N31" s="91" t="s">
        <v>458</v>
      </c>
      <c r="O31" s="89">
        <f>VLOOKUP(C31,'[1]站级商品进销存统计(2026-06-06)'!$B:$D,3,0)</f>
        <v>788</v>
      </c>
      <c r="P31" s="90">
        <f>VLOOKUP(C31,'[1]站级商品进销存统计(2026-06-06)'!$B:$F,5,0)</f>
        <v>18.922423604060899</v>
      </c>
    </row>
    <row r="32" spans="1:16" ht="20" customHeight="1">
      <c r="A32" s="482"/>
      <c r="B32" s="482"/>
      <c r="C32" s="21" t="s">
        <v>493</v>
      </c>
      <c r="D32" s="22" t="s">
        <v>494</v>
      </c>
      <c r="E32" s="23">
        <v>19.34</v>
      </c>
      <c r="F32" s="23">
        <f t="shared" si="1"/>
        <v>19.34</v>
      </c>
      <c r="G32" s="97">
        <v>19.558193060200701</v>
      </c>
      <c r="H32" s="94">
        <v>1</v>
      </c>
      <c r="I32" s="492"/>
      <c r="J32" s="23">
        <v>29</v>
      </c>
      <c r="K32" s="489"/>
      <c r="L32" s="95"/>
      <c r="M32" s="486"/>
      <c r="N32" s="91" t="s">
        <v>458</v>
      </c>
      <c r="O32" s="89">
        <f>VLOOKUP(C32,'[1]站级商品进销存统计(2026-06-06)'!$B:$D,3,0)</f>
        <v>1196</v>
      </c>
      <c r="P32" s="90">
        <f>VLOOKUP(C32,'[1]站级商品进销存统计(2026-06-06)'!$B:$F,5,0)</f>
        <v>19.558193060200701</v>
      </c>
    </row>
    <row r="33" spans="1:16" s="78" customFormat="1" ht="16" customHeight="1">
      <c r="A33" s="20">
        <v>8</v>
      </c>
      <c r="B33" s="20" t="s">
        <v>298</v>
      </c>
      <c r="C33" s="21" t="s">
        <v>495</v>
      </c>
      <c r="D33" s="22" t="s">
        <v>496</v>
      </c>
      <c r="E33" s="23">
        <v>6.9</v>
      </c>
      <c r="F33" s="23">
        <v>6.9</v>
      </c>
      <c r="G33" s="97">
        <v>6.9012879230491402</v>
      </c>
      <c r="H33" s="30">
        <v>1</v>
      </c>
      <c r="I33" s="98">
        <v>8</v>
      </c>
      <c r="J33" s="23">
        <v>9.5</v>
      </c>
      <c r="K33" s="102">
        <f>(I33-H33*G33)/I33</f>
        <v>0.13733900961885701</v>
      </c>
      <c r="L33" s="95"/>
      <c r="M33" s="91"/>
      <c r="N33" s="91" t="s">
        <v>458</v>
      </c>
      <c r="O33" s="89">
        <f>VLOOKUP(C33,'[1]站级商品进销存统计(2026-06-06)'!$B:$D,3,0)</f>
        <v>94138</v>
      </c>
      <c r="P33" s="90">
        <f>VLOOKUP(C33,'[1]站级商品进销存统计(2026-06-06)'!$B:$F,5,0)</f>
        <v>6.9012879230491402</v>
      </c>
    </row>
    <row r="34" spans="1:16" s="78" customFormat="1" ht="16" customHeight="1">
      <c r="A34" s="20">
        <v>9</v>
      </c>
      <c r="B34" s="20" t="s">
        <v>298</v>
      </c>
      <c r="C34" s="21" t="s">
        <v>497</v>
      </c>
      <c r="D34" s="22" t="s">
        <v>498</v>
      </c>
      <c r="E34" s="23">
        <v>6.9</v>
      </c>
      <c r="F34" s="23">
        <v>6.9</v>
      </c>
      <c r="G34" s="97">
        <v>6.9019038248746298</v>
      </c>
      <c r="H34" s="30">
        <v>1</v>
      </c>
      <c r="I34" s="98">
        <v>8</v>
      </c>
      <c r="J34" s="23">
        <v>9.5</v>
      </c>
      <c r="K34" s="102">
        <f>(I34-H34*G34)/I34</f>
        <v>0.13726202189067099</v>
      </c>
      <c r="L34" s="95"/>
      <c r="M34" s="91"/>
      <c r="N34" s="91" t="s">
        <v>458</v>
      </c>
      <c r="O34" s="89">
        <f>VLOOKUP(C34,'[1]站级商品进销存统计(2026-06-06)'!$B:$D,3,0)</f>
        <v>104291</v>
      </c>
      <c r="P34" s="90">
        <f>VLOOKUP(C34,'[1]站级商品进销存统计(2026-06-06)'!$B:$F,5,0)</f>
        <v>6.9019038248746298</v>
      </c>
    </row>
    <row r="35" spans="1:16" s="78" customFormat="1" ht="16.5">
      <c r="A35" s="20">
        <v>10</v>
      </c>
      <c r="B35" s="20" t="s">
        <v>298</v>
      </c>
      <c r="C35" s="21" t="s">
        <v>499</v>
      </c>
      <c r="D35" s="22" t="s">
        <v>500</v>
      </c>
      <c r="E35" s="23">
        <v>3.9</v>
      </c>
      <c r="F35" s="23">
        <v>3.3050847457627102</v>
      </c>
      <c r="G35" s="97">
        <v>3.6744254492452701</v>
      </c>
      <c r="H35" s="30"/>
      <c r="I35" s="98"/>
      <c r="J35" s="23">
        <v>5</v>
      </c>
      <c r="K35" s="93"/>
      <c r="L35" s="95">
        <v>0.15</v>
      </c>
      <c r="M35" s="91"/>
      <c r="N35" s="91"/>
      <c r="O35" s="89">
        <f>VLOOKUP(C35,'[1]站级商品进销存统计(2026-06-06)'!$B:$D,3,0)</f>
        <v>25042</v>
      </c>
      <c r="P35" s="90">
        <f>VLOOKUP(C35,'[1]站级商品进销存统计(2026-06-06)'!$B:$F,5,0)</f>
        <v>3.6744254492452701</v>
      </c>
    </row>
    <row r="36" spans="1:16" s="78" customFormat="1" ht="16.5">
      <c r="A36" s="20">
        <v>11</v>
      </c>
      <c r="B36" s="20" t="s">
        <v>298</v>
      </c>
      <c r="C36" s="21" t="s">
        <v>501</v>
      </c>
      <c r="D36" s="22" t="s">
        <v>502</v>
      </c>
      <c r="E36" s="23">
        <v>3.9</v>
      </c>
      <c r="F36" s="23">
        <v>3.3050847457627102</v>
      </c>
      <c r="G36" s="97">
        <v>3.6826509392982101</v>
      </c>
      <c r="H36" s="30"/>
      <c r="I36" s="98"/>
      <c r="J36" s="23">
        <v>5</v>
      </c>
      <c r="K36" s="93"/>
      <c r="L36" s="95">
        <v>0.15</v>
      </c>
      <c r="M36" s="91"/>
      <c r="N36" s="91"/>
      <c r="O36" s="89">
        <f>VLOOKUP(C36,'[1]站级商品进销存统计(2026-06-06)'!$B:$D,3,0)</f>
        <v>35452</v>
      </c>
      <c r="P36" s="90">
        <f>VLOOKUP(C36,'[1]站级商品进销存统计(2026-06-06)'!$B:$F,5,0)</f>
        <v>3.6826509392982101</v>
      </c>
    </row>
    <row r="37" spans="1:16" s="78" customFormat="1" ht="16.5">
      <c r="A37" s="20">
        <v>12</v>
      </c>
      <c r="B37" s="20" t="s">
        <v>298</v>
      </c>
      <c r="C37" s="21" t="s">
        <v>503</v>
      </c>
      <c r="D37" s="22" t="s">
        <v>504</v>
      </c>
      <c r="E37" s="23">
        <v>3.9</v>
      </c>
      <c r="F37" s="23">
        <v>3.3050847457627102</v>
      </c>
      <c r="G37" s="97">
        <v>3.6730384916432599</v>
      </c>
      <c r="H37" s="30"/>
      <c r="I37" s="98"/>
      <c r="J37" s="23">
        <v>5</v>
      </c>
      <c r="K37" s="93"/>
      <c r="L37" s="95">
        <v>0.15</v>
      </c>
      <c r="M37" s="91"/>
      <c r="N37" s="91"/>
      <c r="O37" s="89">
        <f>VLOOKUP(C37,'[1]站级商品进销存统计(2026-06-06)'!$B:$D,3,0)</f>
        <v>21719</v>
      </c>
      <c r="P37" s="90">
        <f>VLOOKUP(C37,'[1]站级商品进销存统计(2026-06-06)'!$B:$F,5,0)</f>
        <v>3.6730384916432599</v>
      </c>
    </row>
    <row r="38" spans="1:16" s="78" customFormat="1" ht="16.5">
      <c r="A38" s="20">
        <v>13</v>
      </c>
      <c r="B38" s="20" t="s">
        <v>298</v>
      </c>
      <c r="C38" s="21" t="s">
        <v>505</v>
      </c>
      <c r="D38" s="22" t="s">
        <v>506</v>
      </c>
      <c r="E38" s="23">
        <v>3.9</v>
      </c>
      <c r="F38" s="23">
        <v>3.3050847457627102</v>
      </c>
      <c r="G38" s="97">
        <v>3.81839484013928</v>
      </c>
      <c r="H38" s="30"/>
      <c r="I38" s="98"/>
      <c r="J38" s="23">
        <v>5</v>
      </c>
      <c r="K38" s="93"/>
      <c r="L38" s="95">
        <v>0.15</v>
      </c>
      <c r="M38" s="91"/>
      <c r="N38" s="91"/>
      <c r="O38" s="89">
        <f>VLOOKUP(C38,'[1]站级商品进销存统计(2026-06-06)'!$B:$D,3,0)</f>
        <v>6318</v>
      </c>
      <c r="P38" s="90">
        <f>VLOOKUP(C38,'[1]站级商品进销存统计(2026-06-06)'!$B:$F,5,0)</f>
        <v>3.81839484013928</v>
      </c>
    </row>
    <row r="39" spans="1:16" s="78" customFormat="1" ht="16.5">
      <c r="A39" s="20">
        <v>14</v>
      </c>
      <c r="B39" s="20" t="s">
        <v>298</v>
      </c>
      <c r="C39" s="21" t="s">
        <v>507</v>
      </c>
      <c r="D39" s="22" t="s">
        <v>508</v>
      </c>
      <c r="E39" s="23">
        <v>3.9</v>
      </c>
      <c r="F39" s="23">
        <v>3.3050847457627102</v>
      </c>
      <c r="G39" s="97">
        <v>3.8215004010462099</v>
      </c>
      <c r="H39" s="30"/>
      <c r="I39" s="98"/>
      <c r="J39" s="23">
        <v>5</v>
      </c>
      <c r="K39" s="93"/>
      <c r="L39" s="95">
        <v>0.15</v>
      </c>
      <c r="M39" s="91"/>
      <c r="N39" s="91"/>
      <c r="O39" s="89">
        <f>VLOOKUP(C39,'[1]站级商品进销存统计(2026-06-06)'!$B:$D,3,0)</f>
        <v>5735</v>
      </c>
      <c r="P39" s="90">
        <f>VLOOKUP(C39,'[1]站级商品进销存统计(2026-06-06)'!$B:$F,5,0)</f>
        <v>3.8215004010462099</v>
      </c>
    </row>
    <row r="40" spans="1:16" s="78" customFormat="1" ht="16.5">
      <c r="A40" s="20">
        <v>15</v>
      </c>
      <c r="B40" s="20" t="s">
        <v>298</v>
      </c>
      <c r="C40" s="21" t="s">
        <v>509</v>
      </c>
      <c r="D40" s="22" t="s">
        <v>510</v>
      </c>
      <c r="E40" s="23">
        <v>3.9</v>
      </c>
      <c r="F40" s="23">
        <v>3.3050847457627102</v>
      </c>
      <c r="G40" s="97">
        <v>3.8051672434132899</v>
      </c>
      <c r="H40" s="30"/>
      <c r="I40" s="98"/>
      <c r="J40" s="23">
        <v>5</v>
      </c>
      <c r="K40" s="93"/>
      <c r="L40" s="95">
        <v>0.15</v>
      </c>
      <c r="M40" s="91"/>
      <c r="N40" s="91"/>
      <c r="O40" s="89">
        <f>VLOOKUP(C40,'[1]站级商品进销存统计(2026-06-06)'!$B:$D,3,0)</f>
        <v>5086</v>
      </c>
      <c r="P40" s="90">
        <f>VLOOKUP(C40,'[1]站级商品进销存统计(2026-06-06)'!$B:$F,5,0)</f>
        <v>3.8051672434132899</v>
      </c>
    </row>
    <row r="41" spans="1:16" s="76" customFormat="1" ht="14.5">
      <c r="A41" s="20">
        <v>16</v>
      </c>
      <c r="B41" s="20" t="s">
        <v>298</v>
      </c>
      <c r="C41" s="21" t="s">
        <v>511</v>
      </c>
      <c r="D41" s="22" t="s">
        <v>512</v>
      </c>
      <c r="E41" s="83">
        <v>5.6</v>
      </c>
      <c r="F41" s="83">
        <v>4.3076923076923102</v>
      </c>
      <c r="G41" s="84">
        <v>4.3680213697857901</v>
      </c>
      <c r="H41" s="85"/>
      <c r="I41" s="92"/>
      <c r="J41" s="83">
        <v>8</v>
      </c>
      <c r="K41" s="93"/>
      <c r="L41" s="88">
        <v>0.3</v>
      </c>
      <c r="M41" s="103"/>
      <c r="N41" s="91" t="s">
        <v>513</v>
      </c>
      <c r="O41" s="89">
        <f>VLOOKUP(C41,'[1]站级商品进销存统计(2026-06-06)'!$B:$D,3,0)</f>
        <v>17740</v>
      </c>
      <c r="P41" s="90">
        <f>VLOOKUP(C41,'[1]站级商品进销存统计(2026-06-06)'!$B:$F,5,0)</f>
        <v>4.3680213697857901</v>
      </c>
    </row>
    <row r="42" spans="1:16" s="78" customFormat="1" ht="16.5">
      <c r="A42" s="20">
        <v>17</v>
      </c>
      <c r="B42" s="33" t="s">
        <v>298</v>
      </c>
      <c r="C42" s="36" t="s">
        <v>514</v>
      </c>
      <c r="D42" s="104" t="s">
        <v>515</v>
      </c>
      <c r="E42" s="105">
        <v>2.5499999999999998</v>
      </c>
      <c r="F42" s="105">
        <f>E42*100/130</f>
        <v>1.9615384615384599</v>
      </c>
      <c r="G42" s="97">
        <v>1.88932198949191</v>
      </c>
      <c r="H42" s="35">
        <v>4</v>
      </c>
      <c r="I42" s="105">
        <v>9.9</v>
      </c>
      <c r="J42" s="105">
        <v>3.5</v>
      </c>
      <c r="K42" s="106">
        <f t="shared" ref="K42:K44" si="2">(I42-H42*G42)/I42</f>
        <v>0.23663758000326901</v>
      </c>
      <c r="L42" s="107">
        <v>0.3</v>
      </c>
      <c r="M42" s="108" t="s">
        <v>516</v>
      </c>
      <c r="N42" s="20" t="s">
        <v>458</v>
      </c>
      <c r="O42" s="89">
        <f>VLOOKUP(C42,'[1]站级商品进销存统计(2026-06-06)'!$B:$D,3,0)</f>
        <v>170345</v>
      </c>
      <c r="P42" s="90">
        <f>VLOOKUP(C42,'[1]站级商品进销存统计(2026-06-06)'!$B:$F,5,0)</f>
        <v>1.88932198949191</v>
      </c>
    </row>
    <row r="43" spans="1:16" customFormat="1" ht="14.5">
      <c r="A43" s="20">
        <v>18</v>
      </c>
      <c r="B43" s="20" t="s">
        <v>298</v>
      </c>
      <c r="C43" s="21" t="s">
        <v>517</v>
      </c>
      <c r="D43" s="22" t="s">
        <v>518</v>
      </c>
      <c r="E43" s="23">
        <v>3.12</v>
      </c>
      <c r="F43" s="23">
        <v>2.4761904761904798</v>
      </c>
      <c r="G43" s="97">
        <v>2.6082478562778699</v>
      </c>
      <c r="H43" s="94">
        <v>2</v>
      </c>
      <c r="I43" s="23">
        <v>6</v>
      </c>
      <c r="J43" s="23">
        <v>4</v>
      </c>
      <c r="K43" s="102">
        <f t="shared" si="2"/>
        <v>0.13058404790737699</v>
      </c>
      <c r="L43" s="95">
        <v>0.26</v>
      </c>
      <c r="M43" s="109" t="s">
        <v>519</v>
      </c>
      <c r="N43" s="20" t="s">
        <v>458</v>
      </c>
      <c r="O43" s="89">
        <f>VLOOKUP(C43,'[1]站级商品进销存统计(2026-06-06)'!$B:$D,3,0)</f>
        <v>142859</v>
      </c>
      <c r="P43" s="90">
        <f>VLOOKUP(C43,'[1]站级商品进销存统计(2026-06-06)'!$B:$F,5,0)</f>
        <v>2.6082478562778699</v>
      </c>
    </row>
    <row r="44" spans="1:16" customFormat="1" ht="14.5">
      <c r="A44" s="20">
        <v>19</v>
      </c>
      <c r="B44" s="20" t="s">
        <v>298</v>
      </c>
      <c r="C44" s="21" t="s">
        <v>520</v>
      </c>
      <c r="D44" s="22" t="s">
        <v>521</v>
      </c>
      <c r="E44" s="23">
        <v>4.29</v>
      </c>
      <c r="F44" s="23">
        <v>3.6666666666666701</v>
      </c>
      <c r="G44" s="97">
        <v>3.6180217157102401</v>
      </c>
      <c r="H44" s="94">
        <v>2</v>
      </c>
      <c r="I44" s="23">
        <v>8</v>
      </c>
      <c r="J44" s="23">
        <v>5.5</v>
      </c>
      <c r="K44" s="102">
        <f t="shared" si="2"/>
        <v>9.5494571072439999E-2</v>
      </c>
      <c r="L44" s="95">
        <v>0.17</v>
      </c>
      <c r="M44" s="109" t="s">
        <v>522</v>
      </c>
      <c r="N44" s="20" t="s">
        <v>458</v>
      </c>
      <c r="O44" s="89">
        <f>VLOOKUP(C44,'[1]站级商品进销存统计(2026-06-06)'!$B:$D,3,0)</f>
        <v>409160</v>
      </c>
      <c r="P44" s="90">
        <f>VLOOKUP(C44,'[1]站级商品进销存统计(2026-06-06)'!$B:$F,5,0)</f>
        <v>3.6180217157102401</v>
      </c>
    </row>
    <row r="45" spans="1:16" s="76" customFormat="1" ht="14.5">
      <c r="A45" s="20">
        <v>20</v>
      </c>
      <c r="B45" s="20" t="s">
        <v>298</v>
      </c>
      <c r="C45" s="21" t="s">
        <v>523</v>
      </c>
      <c r="D45" s="22" t="s">
        <v>524</v>
      </c>
      <c r="E45" s="83">
        <v>3.7</v>
      </c>
      <c r="F45" s="83">
        <f t="shared" ref="F45:F47" si="3">E45/(1+L45)</f>
        <v>3.7</v>
      </c>
      <c r="G45" s="84">
        <v>3.703236</v>
      </c>
      <c r="H45" s="85"/>
      <c r="I45" s="83"/>
      <c r="J45" s="83">
        <v>8</v>
      </c>
      <c r="K45" s="102"/>
      <c r="L45" s="88"/>
      <c r="M45" s="110"/>
      <c r="N45" s="20" t="s">
        <v>513</v>
      </c>
      <c r="O45" s="89">
        <f>VLOOKUP(C45,'[1]站级商品进销存统计(2026-06-06)'!$B:$D,3,0)</f>
        <v>25</v>
      </c>
      <c r="P45" s="90">
        <f>VLOOKUP(C45,'[1]站级商品进销存统计(2026-06-06)'!$B:$F,5,0)</f>
        <v>3.703236</v>
      </c>
    </row>
    <row r="46" spans="1:16" s="76" customFormat="1" ht="14.5">
      <c r="A46" s="20">
        <v>21</v>
      </c>
      <c r="B46" s="20" t="s">
        <v>298</v>
      </c>
      <c r="C46" s="21" t="s">
        <v>525</v>
      </c>
      <c r="D46" s="22" t="s">
        <v>526</v>
      </c>
      <c r="E46" s="83">
        <v>3.7</v>
      </c>
      <c r="F46" s="83">
        <f t="shared" si="3"/>
        <v>3.7</v>
      </c>
      <c r="G46" s="84">
        <v>3.702445</v>
      </c>
      <c r="H46" s="85"/>
      <c r="I46" s="83"/>
      <c r="J46" s="83">
        <v>8</v>
      </c>
      <c r="K46" s="102"/>
      <c r="L46" s="88"/>
      <c r="M46" s="110"/>
      <c r="N46" s="20" t="s">
        <v>513</v>
      </c>
      <c r="O46" s="89">
        <f>VLOOKUP(C46,'[1]站级商品进销存统计(2026-06-06)'!$B:$D,3,0)</f>
        <v>20</v>
      </c>
      <c r="P46" s="90">
        <f>VLOOKUP(C46,'[1]站级商品进销存统计(2026-06-06)'!$B:$F,5,0)</f>
        <v>3.702445</v>
      </c>
    </row>
    <row r="47" spans="1:16" s="76" customFormat="1" ht="14.5">
      <c r="A47" s="20">
        <v>22</v>
      </c>
      <c r="B47" s="20" t="s">
        <v>298</v>
      </c>
      <c r="C47" s="21" t="s">
        <v>527</v>
      </c>
      <c r="D47" s="22" t="s">
        <v>528</v>
      </c>
      <c r="E47" s="83">
        <v>3.17</v>
      </c>
      <c r="F47" s="83">
        <f t="shared" si="3"/>
        <v>3.17</v>
      </c>
      <c r="G47" s="84">
        <v>0.86513484848484801</v>
      </c>
      <c r="H47" s="85"/>
      <c r="I47" s="83"/>
      <c r="J47" s="83">
        <v>6</v>
      </c>
      <c r="K47" s="102"/>
      <c r="L47" s="88"/>
      <c r="M47" s="110"/>
      <c r="N47" s="20" t="s">
        <v>513</v>
      </c>
      <c r="O47" s="89">
        <f>VLOOKUP(C47,'[1]站级商品进销存统计(2026-06-06)'!$B:$D,3,0)</f>
        <v>66</v>
      </c>
      <c r="P47" s="90">
        <f>VLOOKUP(C47,'[1]站级商品进销存统计(2026-06-06)'!$B:$F,5,0)</f>
        <v>0.86513484848484801</v>
      </c>
    </row>
    <row r="48" spans="1:16" s="76" customFormat="1" ht="14.5">
      <c r="A48" s="20">
        <v>23</v>
      </c>
      <c r="B48" s="20" t="s">
        <v>298</v>
      </c>
      <c r="C48" s="21" t="s">
        <v>529</v>
      </c>
      <c r="D48" s="22" t="s">
        <v>530</v>
      </c>
      <c r="E48" s="83">
        <v>3.59</v>
      </c>
      <c r="F48" s="83">
        <v>3.1217391304347801</v>
      </c>
      <c r="G48" s="84">
        <v>3.0699005219873099</v>
      </c>
      <c r="H48" s="85"/>
      <c r="I48" s="83"/>
      <c r="J48" s="83">
        <v>6</v>
      </c>
      <c r="K48" s="102"/>
      <c r="L48" s="88">
        <v>0.15</v>
      </c>
      <c r="M48" s="110"/>
      <c r="N48" s="20"/>
      <c r="O48" s="89">
        <f>VLOOKUP(C48,'[1]站级商品进销存统计(2026-06-06)'!$B:$D,3,0)</f>
        <v>26629</v>
      </c>
      <c r="P48" s="90">
        <f>VLOOKUP(C48,'[1]站级商品进销存统计(2026-06-06)'!$B:$F,5,0)</f>
        <v>3.0699005219873099</v>
      </c>
    </row>
    <row r="49" spans="1:16" s="76" customFormat="1" ht="14.5">
      <c r="A49" s="20">
        <v>24</v>
      </c>
      <c r="B49" s="20" t="s">
        <v>298</v>
      </c>
      <c r="C49" s="21" t="s">
        <v>531</v>
      </c>
      <c r="D49" s="22" t="s">
        <v>532</v>
      </c>
      <c r="E49" s="83">
        <v>6.6</v>
      </c>
      <c r="F49" s="83">
        <v>6</v>
      </c>
      <c r="G49" s="84">
        <v>6.7806462531845701</v>
      </c>
      <c r="H49" s="85"/>
      <c r="I49" s="83"/>
      <c r="J49" s="83">
        <v>10</v>
      </c>
      <c r="K49" s="102"/>
      <c r="L49" s="88">
        <v>0.1</v>
      </c>
      <c r="M49" s="110"/>
      <c r="N49" s="20"/>
      <c r="O49" s="89">
        <f>VLOOKUP(C49,'[1]站级商品进销存统计(2026-06-06)'!$B:$D,3,0)</f>
        <v>11383</v>
      </c>
      <c r="P49" s="90">
        <f>VLOOKUP(C49,'[1]站级商品进销存统计(2026-06-06)'!$B:$F,5,0)</f>
        <v>6.7806462531845701</v>
      </c>
    </row>
    <row r="50" spans="1:16" s="76" customFormat="1" ht="14.5">
      <c r="A50" s="20">
        <v>25</v>
      </c>
      <c r="B50" s="20" t="s">
        <v>298</v>
      </c>
      <c r="C50" s="21" t="s">
        <v>533</v>
      </c>
      <c r="D50" s="22" t="s">
        <v>534</v>
      </c>
      <c r="E50" s="83">
        <v>5.5</v>
      </c>
      <c r="F50" s="83">
        <v>4.91</v>
      </c>
      <c r="G50" s="84">
        <v>5.39782784950203</v>
      </c>
      <c r="H50" s="85"/>
      <c r="I50" s="83"/>
      <c r="J50" s="83">
        <v>7</v>
      </c>
      <c r="K50" s="102"/>
      <c r="L50" s="88">
        <v>0.12</v>
      </c>
      <c r="M50" s="110"/>
      <c r="N50" s="20"/>
      <c r="O50" s="89">
        <f>VLOOKUP(C50,'[1]站级商品进销存统计(2026-06-06)'!$B:$D,3,0)</f>
        <v>2711</v>
      </c>
      <c r="P50" s="90">
        <f>VLOOKUP(C50,'[1]站级商品进销存统计(2026-06-06)'!$B:$F,5,0)</f>
        <v>5.39782784950203</v>
      </c>
    </row>
    <row r="51" spans="1:16" s="76" customFormat="1" ht="14.5">
      <c r="A51" s="20">
        <v>26</v>
      </c>
      <c r="B51" s="20" t="s">
        <v>298</v>
      </c>
      <c r="C51" s="21" t="s">
        <v>535</v>
      </c>
      <c r="D51" s="22" t="s">
        <v>536</v>
      </c>
      <c r="E51" s="83">
        <v>15.4</v>
      </c>
      <c r="F51" s="83">
        <v>14.5283018867925</v>
      </c>
      <c r="G51" s="84">
        <v>16.8068237510955</v>
      </c>
      <c r="H51" s="85"/>
      <c r="I51" s="83"/>
      <c r="J51" s="83">
        <v>20</v>
      </c>
      <c r="K51" s="102"/>
      <c r="L51" s="88">
        <v>0.06</v>
      </c>
      <c r="M51" s="110"/>
      <c r="N51" s="20"/>
      <c r="O51" s="89">
        <f>VLOOKUP(C51,'[1]站级商品进销存统计(2026-06-06)'!$B:$D,3,0)</f>
        <v>1141</v>
      </c>
      <c r="P51" s="90">
        <f>VLOOKUP(C51,'[1]站级商品进销存统计(2026-06-06)'!$B:$F,5,0)</f>
        <v>16.8068237510955</v>
      </c>
    </row>
    <row r="52" spans="1:16" s="76" customFormat="1" ht="14.5">
      <c r="A52" s="20">
        <v>27</v>
      </c>
      <c r="B52" s="20" t="s">
        <v>298</v>
      </c>
      <c r="C52" s="21" t="s">
        <v>537</v>
      </c>
      <c r="D52" s="22" t="s">
        <v>538</v>
      </c>
      <c r="E52" s="83">
        <v>3.4</v>
      </c>
      <c r="F52" s="83">
        <v>3.0909090909090899</v>
      </c>
      <c r="G52" s="84">
        <v>3.3929955960781601</v>
      </c>
      <c r="H52" s="85"/>
      <c r="I52" s="83"/>
      <c r="J52" s="83">
        <v>5</v>
      </c>
      <c r="K52" s="102"/>
      <c r="L52" s="88">
        <v>0.1</v>
      </c>
      <c r="M52" s="110"/>
      <c r="N52" s="20"/>
      <c r="O52" s="89">
        <f>VLOOKUP(C52,'[1]站级商品进销存统计(2026-06-06)'!$B:$D,3,0)</f>
        <v>42939</v>
      </c>
      <c r="P52" s="90">
        <f>VLOOKUP(C52,'[1]站级商品进销存统计(2026-06-06)'!$B:$F,5,0)</f>
        <v>3.3929955960781601</v>
      </c>
    </row>
    <row r="53" spans="1:16" s="76" customFormat="1" ht="14.5">
      <c r="A53" s="20">
        <v>28</v>
      </c>
      <c r="B53" s="20" t="s">
        <v>298</v>
      </c>
      <c r="C53" s="21" t="s">
        <v>539</v>
      </c>
      <c r="D53" s="22" t="s">
        <v>540</v>
      </c>
      <c r="E53" s="83">
        <v>3.4</v>
      </c>
      <c r="F53" s="83">
        <v>3.0909090909090899</v>
      </c>
      <c r="G53" s="84">
        <v>3.3960537891046401</v>
      </c>
      <c r="H53" s="85"/>
      <c r="I53" s="83"/>
      <c r="J53" s="83">
        <v>5</v>
      </c>
      <c r="K53" s="102"/>
      <c r="L53" s="88">
        <v>0.1</v>
      </c>
      <c r="M53" s="110"/>
      <c r="N53" s="20"/>
      <c r="O53" s="89">
        <f>VLOOKUP(C53,'[1]站级商品进销存统计(2026-06-06)'!$B:$D,3,0)</f>
        <v>44496</v>
      </c>
      <c r="P53" s="90">
        <f>VLOOKUP(C53,'[1]站级商品进销存统计(2026-06-06)'!$B:$F,5,0)</f>
        <v>3.3960537891046401</v>
      </c>
    </row>
    <row r="54" spans="1:16" s="76" customFormat="1" ht="14.5">
      <c r="A54" s="20">
        <v>29</v>
      </c>
      <c r="B54" s="20" t="s">
        <v>298</v>
      </c>
      <c r="C54" s="21" t="s">
        <v>541</v>
      </c>
      <c r="D54" s="22" t="s">
        <v>542</v>
      </c>
      <c r="E54" s="83">
        <v>3.9</v>
      </c>
      <c r="F54" s="83">
        <v>3.9</v>
      </c>
      <c r="G54" s="84">
        <v>3.1225168595041302</v>
      </c>
      <c r="H54" s="85"/>
      <c r="I54" s="83"/>
      <c r="J54" s="83">
        <v>5</v>
      </c>
      <c r="K54" s="102"/>
      <c r="L54" s="88"/>
      <c r="M54" s="110"/>
      <c r="N54" s="20" t="s">
        <v>513</v>
      </c>
      <c r="O54" s="89">
        <f>VLOOKUP(C54,'[1]站级商品进销存统计(2026-06-06)'!$B:$D,3,0)</f>
        <v>605</v>
      </c>
      <c r="P54" s="90">
        <f>VLOOKUP(C54,'[1]站级商品进销存统计(2026-06-06)'!$B:$F,5,0)</f>
        <v>3.1225168595041302</v>
      </c>
    </row>
    <row r="55" spans="1:16" s="76" customFormat="1" ht="18" customHeight="1">
      <c r="A55" s="20">
        <v>30</v>
      </c>
      <c r="B55" s="20" t="s">
        <v>298</v>
      </c>
      <c r="C55" s="21" t="s">
        <v>543</v>
      </c>
      <c r="D55" s="22" t="s">
        <v>544</v>
      </c>
      <c r="E55" s="23">
        <v>5.2</v>
      </c>
      <c r="F55" s="23">
        <v>4.9523809523809499</v>
      </c>
      <c r="G55" s="97">
        <v>5.1024104910524999</v>
      </c>
      <c r="H55" s="94"/>
      <c r="I55" s="23"/>
      <c r="J55" s="23">
        <v>8</v>
      </c>
      <c r="K55" s="102"/>
      <c r="L55" s="95">
        <v>0.05</v>
      </c>
      <c r="M55" s="110"/>
      <c r="N55" s="96"/>
      <c r="O55" s="89">
        <f>VLOOKUP(C55,'[1]站级商品进销存统计(2026-06-06)'!$B:$D,3,0)</f>
        <v>11791</v>
      </c>
      <c r="P55" s="90">
        <f>VLOOKUP(C55,'[1]站级商品进销存统计(2026-06-06)'!$B:$F,5,0)</f>
        <v>5.1024104910524999</v>
      </c>
    </row>
    <row r="56" spans="1:16" s="76" customFormat="1" ht="18" customHeight="1">
      <c r="A56" s="20">
        <v>31</v>
      </c>
      <c r="B56" s="20" t="s">
        <v>298</v>
      </c>
      <c r="C56" s="21" t="s">
        <v>545</v>
      </c>
      <c r="D56" s="22" t="s">
        <v>546</v>
      </c>
      <c r="E56" s="23">
        <v>5.2</v>
      </c>
      <c r="F56" s="23">
        <v>4.9523809523809499</v>
      </c>
      <c r="G56" s="97">
        <v>4.8948570871599397</v>
      </c>
      <c r="H56" s="94"/>
      <c r="I56" s="23"/>
      <c r="J56" s="23">
        <v>8</v>
      </c>
      <c r="K56" s="102"/>
      <c r="L56" s="95">
        <v>0.05</v>
      </c>
      <c r="M56" s="110"/>
      <c r="N56" s="96"/>
      <c r="O56" s="89">
        <f>VLOOKUP(C56,'[1]站级商品进销存统计(2026-06-06)'!$B:$D,3,0)</f>
        <v>11542</v>
      </c>
      <c r="P56" s="90">
        <f>VLOOKUP(C56,'[1]站级商品进销存统计(2026-06-06)'!$B:$F,5,0)</f>
        <v>4.8948570871599397</v>
      </c>
    </row>
    <row r="57" spans="1:16" s="76" customFormat="1" ht="18" customHeight="1">
      <c r="A57" s="20">
        <v>32</v>
      </c>
      <c r="B57" s="20" t="s">
        <v>298</v>
      </c>
      <c r="C57" s="21" t="s">
        <v>547</v>
      </c>
      <c r="D57" s="22" t="s">
        <v>548</v>
      </c>
      <c r="E57" s="23">
        <v>5.2</v>
      </c>
      <c r="F57" s="23">
        <v>4.9523809523809499</v>
      </c>
      <c r="G57" s="97">
        <v>5.1655165054211798</v>
      </c>
      <c r="H57" s="94"/>
      <c r="I57" s="23"/>
      <c r="J57" s="23">
        <v>8</v>
      </c>
      <c r="K57" s="102"/>
      <c r="L57" s="95">
        <v>0.05</v>
      </c>
      <c r="M57" s="110"/>
      <c r="N57" s="96"/>
      <c r="O57" s="89">
        <f>VLOOKUP(C57,'[1]站级商品进销存统计(2026-06-06)'!$B:$D,3,0)</f>
        <v>11990</v>
      </c>
      <c r="P57" s="90">
        <f>VLOOKUP(C57,'[1]站级商品进销存统计(2026-06-06)'!$B:$F,5,0)</f>
        <v>5.1655165054211798</v>
      </c>
    </row>
    <row r="58" spans="1:16" s="76" customFormat="1" ht="18" customHeight="1">
      <c r="A58" s="20">
        <v>33</v>
      </c>
      <c r="B58" s="20" t="s">
        <v>298</v>
      </c>
      <c r="C58" s="21" t="s">
        <v>549</v>
      </c>
      <c r="D58" s="22" t="s">
        <v>550</v>
      </c>
      <c r="E58" s="23">
        <v>5.2</v>
      </c>
      <c r="F58" s="23">
        <v>4.9523809523809499</v>
      </c>
      <c r="G58" s="97">
        <v>4.5416337360673902</v>
      </c>
      <c r="H58" s="94"/>
      <c r="I58" s="23"/>
      <c r="J58" s="23">
        <v>8</v>
      </c>
      <c r="K58" s="102"/>
      <c r="L58" s="95">
        <v>0.05</v>
      </c>
      <c r="M58" s="110"/>
      <c r="N58" s="96"/>
      <c r="O58" s="89">
        <f>VLOOKUP(C58,'[1]站级商品进销存统计(2026-06-06)'!$B:$D,3,0)</f>
        <v>11753</v>
      </c>
      <c r="P58" s="90">
        <f>VLOOKUP(C58,'[1]站级商品进销存统计(2026-06-06)'!$B:$F,5,0)</f>
        <v>4.5416337360673902</v>
      </c>
    </row>
    <row r="59" spans="1:16" s="76" customFormat="1" ht="14.5">
      <c r="A59" s="20">
        <v>34</v>
      </c>
      <c r="B59" s="20" t="s">
        <v>298</v>
      </c>
      <c r="C59" s="21" t="s">
        <v>551</v>
      </c>
      <c r="D59" s="22" t="s">
        <v>552</v>
      </c>
      <c r="E59" s="83">
        <v>2.88</v>
      </c>
      <c r="F59" s="83">
        <v>2.88</v>
      </c>
      <c r="G59" s="84">
        <v>2.61740285714286</v>
      </c>
      <c r="H59" s="85"/>
      <c r="I59" s="83"/>
      <c r="J59" s="83">
        <v>4.5</v>
      </c>
      <c r="K59" s="102"/>
      <c r="L59" s="88" t="s">
        <v>279</v>
      </c>
      <c r="M59" s="110"/>
      <c r="N59" s="20" t="s">
        <v>513</v>
      </c>
      <c r="O59" s="89">
        <f>VLOOKUP(C59,'[1]站级商品进销存统计(2026-06-06)'!$B:$D,3,0)</f>
        <v>70</v>
      </c>
      <c r="P59" s="90">
        <f>VLOOKUP(C59,'[1]站级商品进销存统计(2026-06-06)'!$B:$F,5,0)</f>
        <v>2.61740285714286</v>
      </c>
    </row>
    <row r="60" spans="1:16" s="76" customFormat="1" ht="14.5">
      <c r="A60" s="20">
        <v>35</v>
      </c>
      <c r="B60" s="20" t="s">
        <v>298</v>
      </c>
      <c r="C60" s="21" t="s">
        <v>553</v>
      </c>
      <c r="D60" s="22" t="s">
        <v>554</v>
      </c>
      <c r="E60" s="83">
        <v>2.88</v>
      </c>
      <c r="F60" s="83">
        <v>2.88</v>
      </c>
      <c r="G60" s="83">
        <v>2.8777333333333299</v>
      </c>
      <c r="H60" s="85"/>
      <c r="I60" s="83"/>
      <c r="J60" s="83">
        <v>4.5</v>
      </c>
      <c r="K60" s="102"/>
      <c r="L60" s="88" t="s">
        <v>279</v>
      </c>
      <c r="M60" s="31"/>
      <c r="N60" s="20" t="s">
        <v>513</v>
      </c>
      <c r="O60" s="89" t="e">
        <f>VLOOKUP(C60,'[1]站级商品进销存统计(2026-06-06)'!$B:$D,3,0)</f>
        <v>#N/A</v>
      </c>
      <c r="P60" s="90" t="e">
        <f>VLOOKUP(C60,'[1]站级商品进销存统计(2026-06-06)'!$B:$F,5,0)</f>
        <v>#N/A</v>
      </c>
    </row>
    <row r="61" spans="1:16" s="76" customFormat="1" ht="14.5">
      <c r="A61" s="20">
        <v>36</v>
      </c>
      <c r="B61" s="20" t="s">
        <v>298</v>
      </c>
      <c r="C61" s="21" t="s">
        <v>555</v>
      </c>
      <c r="D61" s="22" t="s">
        <v>556</v>
      </c>
      <c r="E61" s="23">
        <v>2.22676680200244</v>
      </c>
      <c r="F61" s="23">
        <v>2.22676680200244</v>
      </c>
      <c r="G61" s="97">
        <v>2.1233777135185399</v>
      </c>
      <c r="H61" s="94">
        <v>2</v>
      </c>
      <c r="I61" s="23">
        <v>5</v>
      </c>
      <c r="J61" s="23">
        <v>5</v>
      </c>
      <c r="K61" s="102">
        <f>(I61-H61*G61)/I61</f>
        <v>0.150648914592584</v>
      </c>
      <c r="L61" s="95">
        <v>0.15</v>
      </c>
      <c r="M61" s="31" t="s">
        <v>401</v>
      </c>
      <c r="N61" s="96"/>
      <c r="O61" s="89">
        <f>VLOOKUP(C61,'[1]站级商品进销存统计(2026-06-06)'!$B:$D,3,0)</f>
        <v>19366</v>
      </c>
      <c r="P61" s="90">
        <f>VLOOKUP(C61,'[1]站级商品进销存统计(2026-06-06)'!$B:$F,5,0)</f>
        <v>2.1233777135185399</v>
      </c>
    </row>
    <row r="62" spans="1:16" s="76" customFormat="1" ht="14.5">
      <c r="A62" s="20">
        <v>37</v>
      </c>
      <c r="B62" s="20" t="s">
        <v>298</v>
      </c>
      <c r="C62" s="21" t="s">
        <v>557</v>
      </c>
      <c r="D62" s="22" t="s">
        <v>558</v>
      </c>
      <c r="E62" s="23">
        <v>2.5367923566450101</v>
      </c>
      <c r="F62" s="23">
        <v>2.5367923566450101</v>
      </c>
      <c r="G62" s="97">
        <v>2.49729170418951</v>
      </c>
      <c r="H62" s="94">
        <v>2</v>
      </c>
      <c r="I62" s="29">
        <v>6</v>
      </c>
      <c r="J62" s="23">
        <v>6</v>
      </c>
      <c r="K62" s="87">
        <f>(I62-H62*G62)/I62</f>
        <v>0.16756943193682999</v>
      </c>
      <c r="L62" s="95">
        <v>0.15</v>
      </c>
      <c r="M62" s="31" t="s">
        <v>401</v>
      </c>
      <c r="N62" s="96"/>
      <c r="O62" s="89">
        <f>VLOOKUP(C62,'[1]站级商品进销存统计(2026-06-06)'!$B:$D,3,0)</f>
        <v>20432</v>
      </c>
      <c r="P62" s="90">
        <f>VLOOKUP(C62,'[1]站级商品进销存统计(2026-06-06)'!$B:$F,5,0)</f>
        <v>2.49729170418951</v>
      </c>
    </row>
    <row r="63" spans="1:16" s="76" customFormat="1" ht="14.5">
      <c r="A63" s="20">
        <v>38</v>
      </c>
      <c r="B63" s="20" t="s">
        <v>298</v>
      </c>
      <c r="C63" s="21" t="s">
        <v>559</v>
      </c>
      <c r="D63" s="22" t="s">
        <v>560</v>
      </c>
      <c r="E63" s="83">
        <v>4.09</v>
      </c>
      <c r="F63" s="83">
        <f>E63/(1+L63)</f>
        <v>3.8952380952380898</v>
      </c>
      <c r="G63" s="84">
        <v>3.8973367647058801</v>
      </c>
      <c r="H63" s="85"/>
      <c r="I63" s="86"/>
      <c r="J63" s="83">
        <v>6</v>
      </c>
      <c r="K63" s="87"/>
      <c r="L63" s="88">
        <v>0.05</v>
      </c>
      <c r="M63" s="31"/>
      <c r="N63" s="20" t="s">
        <v>513</v>
      </c>
      <c r="O63" s="89">
        <f>VLOOKUP(C63,'[1]站级商品进销存统计(2026-06-06)'!$B:$D,3,0)</f>
        <v>136</v>
      </c>
      <c r="P63" s="90">
        <f>VLOOKUP(C63,'[1]站级商品进销存统计(2026-06-06)'!$B:$F,5,0)</f>
        <v>3.8973367647058801</v>
      </c>
    </row>
    <row r="64" spans="1:16" s="76" customFormat="1" ht="14.5">
      <c r="A64" s="20">
        <v>39</v>
      </c>
      <c r="B64" s="20" t="s">
        <v>298</v>
      </c>
      <c r="C64" s="21" t="s">
        <v>561</v>
      </c>
      <c r="D64" s="22" t="s">
        <v>562</v>
      </c>
      <c r="E64" s="83">
        <v>3.3</v>
      </c>
      <c r="F64" s="83">
        <v>2.75</v>
      </c>
      <c r="G64" s="83">
        <v>3.3</v>
      </c>
      <c r="H64" s="85"/>
      <c r="I64" s="83"/>
      <c r="J64" s="83">
        <v>5</v>
      </c>
      <c r="K64" s="102"/>
      <c r="L64" s="88">
        <v>0.2</v>
      </c>
      <c r="M64" s="31"/>
      <c r="N64" s="20" t="s">
        <v>513</v>
      </c>
      <c r="O64" s="89" t="e">
        <f>VLOOKUP(C64,'[1]站级商品进销存统计(2026-06-06)'!$B:$D,3,0)</f>
        <v>#N/A</v>
      </c>
      <c r="P64" s="90" t="e">
        <f>VLOOKUP(C64,'[1]站级商品进销存统计(2026-06-06)'!$B:$F,5,0)</f>
        <v>#N/A</v>
      </c>
    </row>
    <row r="65" spans="1:16" s="76" customFormat="1" ht="14.5">
      <c r="A65" s="20">
        <v>40</v>
      </c>
      <c r="B65" s="20" t="s">
        <v>298</v>
      </c>
      <c r="C65" s="21" t="s">
        <v>563</v>
      </c>
      <c r="D65" s="22" t="s">
        <v>564</v>
      </c>
      <c r="E65" s="83">
        <v>4.09</v>
      </c>
      <c r="F65" s="83">
        <f>E65/(1+L65)</f>
        <v>3.8952380952380898</v>
      </c>
      <c r="G65" s="84">
        <v>3.8967615384615399</v>
      </c>
      <c r="H65" s="85"/>
      <c r="I65" s="83"/>
      <c r="J65" s="83">
        <v>6</v>
      </c>
      <c r="K65" s="102"/>
      <c r="L65" s="88">
        <v>0.05</v>
      </c>
      <c r="M65" s="31"/>
      <c r="N65" s="20" t="s">
        <v>513</v>
      </c>
      <c r="O65" s="89">
        <f>VLOOKUP(C65,'[1]站级商品进销存统计(2026-06-06)'!$B:$D,3,0)</f>
        <v>312</v>
      </c>
      <c r="P65" s="90">
        <f>VLOOKUP(C65,'[1]站级商品进销存统计(2026-06-06)'!$B:$F,5,0)</f>
        <v>3.8967615384615399</v>
      </c>
    </row>
    <row r="66" spans="1:16" s="76" customFormat="1" ht="14.5">
      <c r="A66" s="20">
        <v>41</v>
      </c>
      <c r="B66" s="20" t="s">
        <v>298</v>
      </c>
      <c r="C66" s="21" t="s">
        <v>565</v>
      </c>
      <c r="D66" s="22" t="s">
        <v>566</v>
      </c>
      <c r="E66" s="83">
        <v>3.7</v>
      </c>
      <c r="F66" s="83">
        <v>3.7</v>
      </c>
      <c r="G66" s="84">
        <v>3.4523294616419902</v>
      </c>
      <c r="H66" s="85"/>
      <c r="I66" s="83"/>
      <c r="J66" s="83">
        <v>6.5</v>
      </c>
      <c r="K66" s="102"/>
      <c r="L66" s="88" t="s">
        <v>279</v>
      </c>
      <c r="M66" s="31"/>
      <c r="N66" s="20"/>
      <c r="O66" s="89">
        <f>VLOOKUP(C66,'[1]站级商品进销存统计(2026-06-06)'!$B:$D,3,0)</f>
        <v>14860</v>
      </c>
      <c r="P66" s="90">
        <f>VLOOKUP(C66,'[1]站级商品进销存统计(2026-06-06)'!$B:$F,5,0)</f>
        <v>3.4523294616419902</v>
      </c>
    </row>
    <row r="67" spans="1:16" s="76" customFormat="1" ht="14.5">
      <c r="A67" s="20">
        <v>42</v>
      </c>
      <c r="B67" s="20" t="s">
        <v>298</v>
      </c>
      <c r="C67" s="21" t="s">
        <v>567</v>
      </c>
      <c r="D67" s="22" t="s">
        <v>568</v>
      </c>
      <c r="E67" s="83">
        <v>6.2</v>
      </c>
      <c r="F67" s="83">
        <v>5.2542372881355899</v>
      </c>
      <c r="G67" s="83">
        <v>6.1989421052631597</v>
      </c>
      <c r="H67" s="85"/>
      <c r="I67" s="83"/>
      <c r="J67" s="83">
        <v>7</v>
      </c>
      <c r="K67" s="102"/>
      <c r="L67" s="88">
        <v>0.18</v>
      </c>
      <c r="M67" s="31"/>
      <c r="N67" s="20"/>
      <c r="O67" s="89" t="e">
        <f>VLOOKUP(C67,'[1]站级商品进销存统计(2026-06-06)'!$B:$D,3,0)</f>
        <v>#N/A</v>
      </c>
      <c r="P67" s="90" t="e">
        <f>VLOOKUP(C67,'[1]站级商品进销存统计(2026-06-06)'!$B:$F,5,0)</f>
        <v>#N/A</v>
      </c>
    </row>
    <row r="68" spans="1:16" s="76" customFormat="1" ht="14.5">
      <c r="A68" s="20">
        <v>43</v>
      </c>
      <c r="B68" s="20" t="s">
        <v>298</v>
      </c>
      <c r="C68" s="21" t="s">
        <v>569</v>
      </c>
      <c r="D68" s="22" t="s">
        <v>570</v>
      </c>
      <c r="E68" s="83">
        <v>3.67</v>
      </c>
      <c r="F68" s="83">
        <v>3.3981481481481501</v>
      </c>
      <c r="G68" s="83">
        <v>3.67135569620253</v>
      </c>
      <c r="H68" s="85"/>
      <c r="I68" s="83"/>
      <c r="J68" s="83">
        <v>5</v>
      </c>
      <c r="K68" s="102"/>
      <c r="L68" s="102">
        <v>0.08</v>
      </c>
      <c r="M68" s="96"/>
      <c r="N68" s="20" t="s">
        <v>458</v>
      </c>
      <c r="O68" s="89" t="e">
        <f>VLOOKUP(C68,'[1]站级商品进销存统计(2026-06-06)'!$B:$D,3,0)</f>
        <v>#N/A</v>
      </c>
      <c r="P68" s="90" t="e">
        <f>VLOOKUP(C68,'[1]站级商品进销存统计(2026-06-06)'!$B:$F,5,0)</f>
        <v>#N/A</v>
      </c>
    </row>
    <row r="69" spans="1:16" s="76" customFormat="1" ht="14.5">
      <c r="A69" s="20">
        <v>44</v>
      </c>
      <c r="B69" s="20" t="s">
        <v>298</v>
      </c>
      <c r="C69" s="21" t="s">
        <v>571</v>
      </c>
      <c r="D69" s="22" t="s">
        <v>572</v>
      </c>
      <c r="E69" s="96">
        <v>3.67</v>
      </c>
      <c r="F69" s="83">
        <v>3.3981481481481501</v>
      </c>
      <c r="G69" s="84">
        <v>3.6545683495493901</v>
      </c>
      <c r="H69" s="85"/>
      <c r="I69" s="83"/>
      <c r="J69" s="83">
        <v>5</v>
      </c>
      <c r="K69" s="102"/>
      <c r="L69" s="102">
        <v>0.08</v>
      </c>
      <c r="M69" s="20"/>
      <c r="N69" s="20" t="s">
        <v>458</v>
      </c>
      <c r="O69" s="89">
        <f>VLOOKUP(C69,'[1]站级商品进销存统计(2026-06-06)'!$B:$D,3,0)</f>
        <v>44606</v>
      </c>
      <c r="P69" s="90">
        <f>VLOOKUP(C69,'[1]站级商品进销存统计(2026-06-06)'!$B:$F,5,0)</f>
        <v>3.6545683495493901</v>
      </c>
    </row>
    <row r="70" spans="1:16" s="76" customFormat="1" ht="14.5">
      <c r="A70" s="20">
        <v>45</v>
      </c>
      <c r="B70" s="20" t="s">
        <v>298</v>
      </c>
      <c r="C70" s="21" t="s">
        <v>573</v>
      </c>
      <c r="D70" s="22" t="s">
        <v>574</v>
      </c>
      <c r="E70" s="96">
        <v>3.67</v>
      </c>
      <c r="F70" s="83">
        <v>3.3981481481481501</v>
      </c>
      <c r="G70" s="84">
        <v>3.4690035237613399</v>
      </c>
      <c r="H70" s="85"/>
      <c r="I70" s="83"/>
      <c r="J70" s="83">
        <v>5</v>
      </c>
      <c r="K70" s="102"/>
      <c r="L70" s="102">
        <v>0.08</v>
      </c>
      <c r="M70" s="26"/>
      <c r="N70" s="20" t="s">
        <v>458</v>
      </c>
      <c r="O70" s="89">
        <f>VLOOKUP(C70,'[1]站级商品进销存统计(2026-06-06)'!$B:$D,3,0)</f>
        <v>160113</v>
      </c>
      <c r="P70" s="90">
        <f>VLOOKUP(C70,'[1]站级商品进销存统计(2026-06-06)'!$B:$F,5,0)</f>
        <v>3.4690035237613399</v>
      </c>
    </row>
    <row r="71" spans="1:16" s="76" customFormat="1" ht="14.5">
      <c r="A71" s="20">
        <v>46</v>
      </c>
      <c r="B71" s="20" t="s">
        <v>298</v>
      </c>
      <c r="C71" s="21" t="s">
        <v>575</v>
      </c>
      <c r="D71" s="22" t="s">
        <v>576</v>
      </c>
      <c r="E71" s="83">
        <v>3.67</v>
      </c>
      <c r="F71" s="83">
        <v>3.3981481481481501</v>
      </c>
      <c r="G71" s="84">
        <v>3.38955919861441</v>
      </c>
      <c r="H71" s="85"/>
      <c r="I71" s="83"/>
      <c r="J71" s="83">
        <v>5</v>
      </c>
      <c r="K71" s="102"/>
      <c r="L71" s="102">
        <v>0.08</v>
      </c>
      <c r="M71" s="99"/>
      <c r="N71" s="20" t="s">
        <v>458</v>
      </c>
      <c r="O71" s="89">
        <f>VLOOKUP(C71,'[1]站级商品进销存统计(2026-06-06)'!$B:$D,3,0)</f>
        <v>445154</v>
      </c>
      <c r="P71" s="90">
        <f>VLOOKUP(C71,'[1]站级商品进销存统计(2026-06-06)'!$B:$F,5,0)</f>
        <v>3.38955919861441</v>
      </c>
    </row>
    <row r="72" spans="1:16" s="76" customFormat="1" ht="14.5">
      <c r="A72" s="20">
        <v>47</v>
      </c>
      <c r="B72" s="20" t="s">
        <v>298</v>
      </c>
      <c r="C72" s="21" t="s">
        <v>577</v>
      </c>
      <c r="D72" s="22" t="s">
        <v>578</v>
      </c>
      <c r="E72" s="83">
        <v>6.2</v>
      </c>
      <c r="F72" s="83">
        <v>5.2542372881355899</v>
      </c>
      <c r="G72" s="84">
        <v>5.6154831269840004</v>
      </c>
      <c r="H72" s="85"/>
      <c r="I72" s="83"/>
      <c r="J72" s="83">
        <v>7</v>
      </c>
      <c r="K72" s="102"/>
      <c r="L72" s="88">
        <v>0.18</v>
      </c>
      <c r="M72" s="110"/>
      <c r="N72" s="20"/>
      <c r="O72" s="89">
        <f>VLOOKUP(C72,'[1]站级商品进销存统计(2026-06-06)'!$B:$D,3,0)</f>
        <v>129473</v>
      </c>
      <c r="P72" s="90">
        <f>VLOOKUP(C72,'[1]站级商品进销存统计(2026-06-06)'!$B:$F,5,0)</f>
        <v>5.6154831269840004</v>
      </c>
    </row>
    <row r="73" spans="1:16" s="76" customFormat="1" ht="14.5">
      <c r="A73" s="20">
        <v>48</v>
      </c>
      <c r="B73" s="20" t="s">
        <v>298</v>
      </c>
      <c r="C73" s="21" t="s">
        <v>579</v>
      </c>
      <c r="D73" s="22" t="s">
        <v>580</v>
      </c>
      <c r="E73" s="83">
        <v>6.2</v>
      </c>
      <c r="F73" s="83">
        <v>5.2542372881355899</v>
      </c>
      <c r="G73" s="84">
        <v>5.5858310117379304</v>
      </c>
      <c r="H73" s="85"/>
      <c r="I73" s="83"/>
      <c r="J73" s="83">
        <v>7</v>
      </c>
      <c r="K73" s="102"/>
      <c r="L73" s="88">
        <v>0.18</v>
      </c>
      <c r="M73" s="110"/>
      <c r="N73" s="20"/>
      <c r="O73" s="89">
        <f>VLOOKUP(C73,'[1]站级商品进销存统计(2026-06-06)'!$B:$D,3,0)</f>
        <v>47453</v>
      </c>
      <c r="P73" s="90">
        <f>VLOOKUP(C73,'[1]站级商品进销存统计(2026-06-06)'!$B:$F,5,0)</f>
        <v>5.5858310117379304</v>
      </c>
    </row>
    <row r="74" spans="1:16" s="76" customFormat="1" ht="14.5">
      <c r="A74" s="20">
        <v>49</v>
      </c>
      <c r="B74" s="20" t="s">
        <v>298</v>
      </c>
      <c r="C74" s="21" t="s">
        <v>581</v>
      </c>
      <c r="D74" s="22" t="s">
        <v>582</v>
      </c>
      <c r="E74" s="83">
        <v>3.67</v>
      </c>
      <c r="F74" s="83">
        <v>3.3981481481481501</v>
      </c>
      <c r="G74" s="84">
        <v>3.4641828943983199</v>
      </c>
      <c r="H74" s="85"/>
      <c r="I74" s="83"/>
      <c r="J74" s="83">
        <v>5</v>
      </c>
      <c r="K74" s="102"/>
      <c r="L74" s="102">
        <v>0.08</v>
      </c>
      <c r="M74" s="99"/>
      <c r="N74" s="20" t="s">
        <v>458</v>
      </c>
      <c r="O74" s="89">
        <f>VLOOKUP(C74,'[1]站级商品进销存统计(2026-06-06)'!$B:$D,3,0)</f>
        <v>85510</v>
      </c>
      <c r="P74" s="90">
        <f>VLOOKUP(C74,'[1]站级商品进销存统计(2026-06-06)'!$B:$F,5,0)</f>
        <v>3.4641828943983199</v>
      </c>
    </row>
    <row r="75" spans="1:16" s="76" customFormat="1" ht="14.5">
      <c r="A75" s="20">
        <v>50</v>
      </c>
      <c r="B75" s="20" t="s">
        <v>298</v>
      </c>
      <c r="C75" s="21" t="s">
        <v>583</v>
      </c>
      <c r="D75" s="22" t="s">
        <v>584</v>
      </c>
      <c r="E75" s="23">
        <v>3.67</v>
      </c>
      <c r="F75" s="23">
        <v>3.3981481481481501</v>
      </c>
      <c r="G75" s="97">
        <v>3.43270589355624</v>
      </c>
      <c r="H75" s="94"/>
      <c r="I75" s="23"/>
      <c r="J75" s="23">
        <v>5</v>
      </c>
      <c r="K75" s="102"/>
      <c r="L75" s="111">
        <v>0.08</v>
      </c>
      <c r="M75" s="99"/>
      <c r="N75" s="20" t="s">
        <v>458</v>
      </c>
      <c r="O75" s="89">
        <f>VLOOKUP(C75,'[1]站级商品进销存统计(2026-06-06)'!$B:$D,3,0)</f>
        <v>85059</v>
      </c>
      <c r="P75" s="90">
        <f>VLOOKUP(C75,'[1]站级商品进销存统计(2026-06-06)'!$B:$F,5,0)</f>
        <v>3.43270589355624</v>
      </c>
    </row>
    <row r="76" spans="1:16" s="76" customFormat="1" ht="14.5">
      <c r="A76" s="20">
        <v>51</v>
      </c>
      <c r="B76" s="20" t="s">
        <v>298</v>
      </c>
      <c r="C76" s="21" t="s">
        <v>585</v>
      </c>
      <c r="D76" s="22" t="s">
        <v>586</v>
      </c>
      <c r="E76" s="83">
        <v>3.4</v>
      </c>
      <c r="F76" s="83">
        <v>3.0909090909090899</v>
      </c>
      <c r="G76" s="84">
        <v>3.2616055601488201</v>
      </c>
      <c r="H76" s="85"/>
      <c r="I76" s="83"/>
      <c r="J76" s="83">
        <v>5</v>
      </c>
      <c r="K76" s="102"/>
      <c r="L76" s="88">
        <v>0.1</v>
      </c>
      <c r="M76" s="110"/>
      <c r="N76" s="20"/>
      <c r="O76" s="89">
        <f>VLOOKUP(C76,'[1]站级商品进销存统计(2026-06-06)'!$B:$D,3,0)</f>
        <v>14514</v>
      </c>
      <c r="P76" s="90">
        <f>VLOOKUP(C76,'[1]站级商品进销存统计(2026-06-06)'!$B:$F,5,0)</f>
        <v>3.2616055601488201</v>
      </c>
    </row>
    <row r="77" spans="1:16" s="76" customFormat="1" ht="14.5">
      <c r="A77" s="20">
        <v>52</v>
      </c>
      <c r="B77" s="20" t="s">
        <v>298</v>
      </c>
      <c r="C77" s="21" t="s">
        <v>587</v>
      </c>
      <c r="D77" s="22" t="s">
        <v>588</v>
      </c>
      <c r="E77" s="83">
        <v>3.4</v>
      </c>
      <c r="F77" s="83">
        <v>3.0909090909090899</v>
      </c>
      <c r="G77" s="84">
        <v>3.4538035933806102</v>
      </c>
      <c r="H77" s="85"/>
      <c r="I77" s="83"/>
      <c r="J77" s="83">
        <v>5</v>
      </c>
      <c r="K77" s="102"/>
      <c r="L77" s="88">
        <v>0.1</v>
      </c>
      <c r="M77" s="110"/>
      <c r="N77" s="20"/>
      <c r="O77" s="89">
        <f>VLOOKUP(C77,'[1]站级商品进销存统计(2026-06-06)'!$B:$D,3,0)</f>
        <v>8460</v>
      </c>
      <c r="P77" s="90">
        <f>VLOOKUP(C77,'[1]站级商品进销存统计(2026-06-06)'!$B:$F,5,0)</f>
        <v>3.4538035933806102</v>
      </c>
    </row>
    <row r="78" spans="1:16" s="76" customFormat="1" ht="14.5">
      <c r="A78" s="20">
        <v>53</v>
      </c>
      <c r="B78" s="20" t="s">
        <v>298</v>
      </c>
      <c r="C78" s="21" t="s">
        <v>589</v>
      </c>
      <c r="D78" s="22" t="s">
        <v>590</v>
      </c>
      <c r="E78" s="23">
        <v>3.6</v>
      </c>
      <c r="F78" s="23">
        <v>3.27</v>
      </c>
      <c r="G78" s="97">
        <v>3.5767472037652301</v>
      </c>
      <c r="H78" s="94"/>
      <c r="I78" s="23"/>
      <c r="J78" s="23">
        <v>5</v>
      </c>
      <c r="K78" s="102"/>
      <c r="L78" s="95">
        <v>0.1</v>
      </c>
      <c r="M78" s="110"/>
      <c r="N78" s="96"/>
      <c r="O78" s="89">
        <f>VLOOKUP(C78,'[1]站级商品进销存统计(2026-06-06)'!$B:$D,3,0)</f>
        <v>28896</v>
      </c>
      <c r="P78" s="90">
        <f>VLOOKUP(C78,'[1]站级商品进销存统计(2026-06-06)'!$B:$F,5,0)</f>
        <v>3.5767472037652301</v>
      </c>
    </row>
    <row r="79" spans="1:16" s="76" customFormat="1" ht="14.5">
      <c r="A79" s="20">
        <v>54</v>
      </c>
      <c r="B79" s="20" t="s">
        <v>298</v>
      </c>
      <c r="C79" s="21" t="s">
        <v>591</v>
      </c>
      <c r="D79" s="22" t="s">
        <v>592</v>
      </c>
      <c r="E79" s="23">
        <v>3.6</v>
      </c>
      <c r="F79" s="23">
        <v>3.27</v>
      </c>
      <c r="G79" s="97">
        <v>3.5747921245099801</v>
      </c>
      <c r="H79" s="94"/>
      <c r="I79" s="23"/>
      <c r="J79" s="23">
        <v>5</v>
      </c>
      <c r="K79" s="102"/>
      <c r="L79" s="95">
        <v>0.1</v>
      </c>
      <c r="M79" s="110"/>
      <c r="N79" s="96"/>
      <c r="O79" s="89">
        <f>VLOOKUP(C79,'[1]站级商品进销存统计(2026-06-06)'!$B:$D,3,0)</f>
        <v>34182</v>
      </c>
      <c r="P79" s="90">
        <f>VLOOKUP(C79,'[1]站级商品进销存统计(2026-06-06)'!$B:$F,5,0)</f>
        <v>3.5747921245099801</v>
      </c>
    </row>
    <row r="80" spans="1:16" s="76" customFormat="1" ht="14.5">
      <c r="A80" s="20">
        <v>55</v>
      </c>
      <c r="B80" s="20" t="s">
        <v>298</v>
      </c>
      <c r="C80" s="21" t="s">
        <v>593</v>
      </c>
      <c r="D80" s="22" t="s">
        <v>594</v>
      </c>
      <c r="E80" s="23">
        <v>3.6</v>
      </c>
      <c r="F80" s="23">
        <v>3.27</v>
      </c>
      <c r="G80" s="97">
        <v>3.5730508836588402</v>
      </c>
      <c r="H80" s="94"/>
      <c r="I80" s="23"/>
      <c r="J80" s="23">
        <v>5</v>
      </c>
      <c r="K80" s="102"/>
      <c r="L80" s="95">
        <v>0.1</v>
      </c>
      <c r="M80" s="110"/>
      <c r="N80" s="96"/>
      <c r="O80" s="89">
        <f>VLOOKUP(C80,'[1]站级商品进销存统计(2026-06-06)'!$B:$D,3,0)</f>
        <v>34459</v>
      </c>
      <c r="P80" s="90">
        <f>VLOOKUP(C80,'[1]站级商品进销存统计(2026-06-06)'!$B:$F,5,0)</f>
        <v>3.5730508836588402</v>
      </c>
    </row>
    <row r="81" spans="1:16" s="76" customFormat="1" ht="14.5">
      <c r="A81" s="20">
        <v>56</v>
      </c>
      <c r="B81" s="20" t="s">
        <v>298</v>
      </c>
      <c r="C81" s="21" t="s">
        <v>595</v>
      </c>
      <c r="D81" s="22" t="s">
        <v>596</v>
      </c>
      <c r="E81" s="23">
        <v>3.6</v>
      </c>
      <c r="F81" s="23">
        <v>3.27</v>
      </c>
      <c r="G81" s="97">
        <v>3.5294341593595102</v>
      </c>
      <c r="H81" s="94"/>
      <c r="I81" s="23"/>
      <c r="J81" s="23">
        <v>5</v>
      </c>
      <c r="K81" s="102"/>
      <c r="L81" s="95">
        <v>0.1</v>
      </c>
      <c r="M81" s="110"/>
      <c r="N81" s="96"/>
      <c r="O81" s="89">
        <f>VLOOKUP(C81,'[1]站级商品进销存统计(2026-06-06)'!$B:$D,3,0)</f>
        <v>20984</v>
      </c>
      <c r="P81" s="90">
        <f>VLOOKUP(C81,'[1]站级商品进销存统计(2026-06-06)'!$B:$F,5,0)</f>
        <v>3.5294341593595102</v>
      </c>
    </row>
    <row r="82" spans="1:16" s="76" customFormat="1" ht="14.5">
      <c r="A82" s="20">
        <v>57</v>
      </c>
      <c r="B82" s="20" t="s">
        <v>298</v>
      </c>
      <c r="C82" s="21" t="s">
        <v>597</v>
      </c>
      <c r="D82" s="22" t="s">
        <v>598</v>
      </c>
      <c r="E82" s="23">
        <v>2.8</v>
      </c>
      <c r="F82" s="23">
        <v>2.54</v>
      </c>
      <c r="G82" s="97">
        <v>2.7791197198991102</v>
      </c>
      <c r="H82" s="94"/>
      <c r="I82" s="23"/>
      <c r="J82" s="23">
        <v>4</v>
      </c>
      <c r="K82" s="102"/>
      <c r="L82" s="95">
        <v>0.1</v>
      </c>
      <c r="M82" s="110"/>
      <c r="N82" s="96"/>
      <c r="O82" s="89">
        <f>VLOOKUP(C82,'[1]站级商品进销存统计(2026-06-06)'!$B:$D,3,0)</f>
        <v>30132</v>
      </c>
      <c r="P82" s="90">
        <f>VLOOKUP(C82,'[1]站级商品进销存统计(2026-06-06)'!$B:$F,5,0)</f>
        <v>2.7791197198991102</v>
      </c>
    </row>
    <row r="83" spans="1:16" s="76" customFormat="1" ht="14.5">
      <c r="A83" s="20">
        <v>58</v>
      </c>
      <c r="B83" s="20" t="s">
        <v>298</v>
      </c>
      <c r="C83" s="21" t="s">
        <v>599</v>
      </c>
      <c r="D83" s="22" t="s">
        <v>600</v>
      </c>
      <c r="E83" s="23">
        <v>2.8</v>
      </c>
      <c r="F83" s="23">
        <v>2.54</v>
      </c>
      <c r="G83" s="97">
        <v>2.7779723536368999</v>
      </c>
      <c r="H83" s="94"/>
      <c r="I83" s="23"/>
      <c r="J83" s="23">
        <v>4</v>
      </c>
      <c r="K83" s="102"/>
      <c r="L83" s="95">
        <v>0.1</v>
      </c>
      <c r="M83" s="110"/>
      <c r="N83" s="96"/>
      <c r="O83" s="89">
        <f>VLOOKUP(C83,'[1]站级商品进销存统计(2026-06-06)'!$B:$D,3,0)</f>
        <v>30438</v>
      </c>
      <c r="P83" s="90">
        <f>VLOOKUP(C83,'[1]站级商品进销存统计(2026-06-06)'!$B:$F,5,0)</f>
        <v>2.7779723536368999</v>
      </c>
    </row>
    <row r="84" spans="1:16" s="76" customFormat="1" ht="14.5">
      <c r="A84" s="20">
        <v>59</v>
      </c>
      <c r="B84" s="20" t="s">
        <v>298</v>
      </c>
      <c r="C84" s="21" t="s">
        <v>601</v>
      </c>
      <c r="D84" s="22" t="s">
        <v>602</v>
      </c>
      <c r="E84" s="23">
        <v>2.8</v>
      </c>
      <c r="F84" s="23">
        <v>2.54</v>
      </c>
      <c r="G84" s="97">
        <v>2.8425953839157101</v>
      </c>
      <c r="H84" s="94"/>
      <c r="I84" s="23"/>
      <c r="J84" s="23">
        <v>4</v>
      </c>
      <c r="K84" s="102"/>
      <c r="L84" s="95">
        <v>0.1</v>
      </c>
      <c r="M84" s="110"/>
      <c r="N84" s="96"/>
      <c r="O84" s="89">
        <f>VLOOKUP(C84,'[1]站级商品进销存统计(2026-06-06)'!$B:$D,3,0)</f>
        <v>13193</v>
      </c>
      <c r="P84" s="90">
        <f>VLOOKUP(C84,'[1]站级商品进销存统计(2026-06-06)'!$B:$F,5,0)</f>
        <v>2.8425953839157101</v>
      </c>
    </row>
    <row r="85" spans="1:16" s="76" customFormat="1" ht="14.5">
      <c r="A85" s="20">
        <v>60</v>
      </c>
      <c r="B85" s="20" t="s">
        <v>298</v>
      </c>
      <c r="C85" s="21" t="s">
        <v>603</v>
      </c>
      <c r="D85" s="22" t="s">
        <v>604</v>
      </c>
      <c r="E85" s="83">
        <v>3.4</v>
      </c>
      <c r="F85" s="83">
        <f>E85/(1+L85)</f>
        <v>2.9565217391304301</v>
      </c>
      <c r="G85" s="84">
        <v>2.96010147058823</v>
      </c>
      <c r="H85" s="85"/>
      <c r="I85" s="83"/>
      <c r="J85" s="83">
        <v>5.5</v>
      </c>
      <c r="K85" s="102"/>
      <c r="L85" s="88">
        <v>0.15</v>
      </c>
      <c r="M85" s="110"/>
      <c r="N85" s="20" t="s">
        <v>513</v>
      </c>
      <c r="O85" s="89">
        <f>VLOOKUP(C85,'[1]站级商品进销存统计(2026-06-06)'!$B:$D,3,0)</f>
        <v>136</v>
      </c>
      <c r="P85" s="90">
        <f>VLOOKUP(C85,'[1]站级商品进销存统计(2026-06-06)'!$B:$F,5,0)</f>
        <v>2.96010147058823</v>
      </c>
    </row>
    <row r="86" spans="1:16" s="76" customFormat="1" ht="14.5">
      <c r="A86" s="20">
        <v>61</v>
      </c>
      <c r="B86" s="20" t="s">
        <v>298</v>
      </c>
      <c r="C86" s="21" t="s">
        <v>605</v>
      </c>
      <c r="D86" s="335" t="s">
        <v>3818</v>
      </c>
      <c r="E86" s="83">
        <v>1.3</v>
      </c>
      <c r="F86" s="83">
        <v>1.3</v>
      </c>
      <c r="G86" s="84">
        <v>1.25274453441296</v>
      </c>
      <c r="H86" s="85"/>
      <c r="I86" s="83"/>
      <c r="J86" s="83">
        <v>3</v>
      </c>
      <c r="K86" s="102"/>
      <c r="L86" s="88"/>
      <c r="M86" s="110"/>
      <c r="N86" s="20" t="s">
        <v>513</v>
      </c>
      <c r="O86" s="89">
        <f>VLOOKUP(C86,'[1]站级商品进销存统计(2026-06-06)'!$B:$D,3,0)</f>
        <v>247</v>
      </c>
      <c r="P86" s="90">
        <f>VLOOKUP(C86,'[1]站级商品进销存统计(2026-06-06)'!$B:$F,5,0)</f>
        <v>1.25274453441296</v>
      </c>
    </row>
    <row r="87" spans="1:16" s="76" customFormat="1" ht="14.5">
      <c r="A87" s="20">
        <v>62</v>
      </c>
      <c r="B87" s="20" t="s">
        <v>298</v>
      </c>
      <c r="C87" s="21" t="s">
        <v>607</v>
      </c>
      <c r="D87" s="22" t="s">
        <v>608</v>
      </c>
      <c r="E87" s="83">
        <v>4.71</v>
      </c>
      <c r="F87" s="83">
        <v>4.2818181818181804</v>
      </c>
      <c r="G87" s="84">
        <v>4.35813849952517</v>
      </c>
      <c r="H87" s="85"/>
      <c r="I87" s="83"/>
      <c r="J87" s="83">
        <v>6.5</v>
      </c>
      <c r="K87" s="102"/>
      <c r="L87" s="102">
        <v>0.1</v>
      </c>
      <c r="M87" s="99"/>
      <c r="N87" s="20" t="s">
        <v>458</v>
      </c>
      <c r="O87" s="89">
        <f>VLOOKUP(C87,'[1]站级商品进销存统计(2026-06-06)'!$B:$D,3,0)</f>
        <v>47385</v>
      </c>
      <c r="P87" s="90">
        <f>VLOOKUP(C87,'[1]站级商品进销存统计(2026-06-06)'!$B:$F,5,0)</f>
        <v>4.35813849952517</v>
      </c>
    </row>
    <row r="88" spans="1:16" s="76" customFormat="1" ht="14.5">
      <c r="A88" s="20">
        <v>63</v>
      </c>
      <c r="B88" s="20" t="s">
        <v>298</v>
      </c>
      <c r="C88" s="21" t="s">
        <v>609</v>
      </c>
      <c r="D88" s="22" t="s">
        <v>610</v>
      </c>
      <c r="E88" s="83">
        <v>4.71</v>
      </c>
      <c r="F88" s="83">
        <v>4.2818181818181804</v>
      </c>
      <c r="G88" s="84">
        <v>4.4869417682447299</v>
      </c>
      <c r="H88" s="85"/>
      <c r="I88" s="83"/>
      <c r="J88" s="83">
        <v>6.5</v>
      </c>
      <c r="K88" s="102"/>
      <c r="L88" s="102">
        <v>0.1</v>
      </c>
      <c r="M88" s="99"/>
      <c r="N88" s="20" t="s">
        <v>458</v>
      </c>
      <c r="O88" s="89">
        <f>VLOOKUP(C88,'[1]站级商品进销存统计(2026-06-06)'!$B:$D,3,0)</f>
        <v>50864</v>
      </c>
      <c r="P88" s="90">
        <f>VLOOKUP(C88,'[1]站级商品进销存统计(2026-06-06)'!$B:$F,5,0)</f>
        <v>4.4869417682447299</v>
      </c>
    </row>
    <row r="89" spans="1:16" s="76" customFormat="1" ht="14.5">
      <c r="A89" s="20">
        <v>64</v>
      </c>
      <c r="B89" s="20" t="s">
        <v>298</v>
      </c>
      <c r="C89" s="21" t="s">
        <v>611</v>
      </c>
      <c r="D89" s="22" t="s">
        <v>612</v>
      </c>
      <c r="E89" s="83">
        <v>4.71</v>
      </c>
      <c r="F89" s="83">
        <v>4.0956521739130398</v>
      </c>
      <c r="G89" s="84">
        <v>4.1581185818153603</v>
      </c>
      <c r="H89" s="85"/>
      <c r="I89" s="83"/>
      <c r="J89" s="83">
        <v>6.5</v>
      </c>
      <c r="K89" s="102"/>
      <c r="L89" s="102">
        <v>0.15</v>
      </c>
      <c r="M89" s="99"/>
      <c r="N89" s="20" t="s">
        <v>458</v>
      </c>
      <c r="O89" s="89">
        <f>VLOOKUP(C89,'[1]站级商品进销存统计(2026-06-06)'!$B:$D,3,0)</f>
        <v>309184</v>
      </c>
      <c r="P89" s="90">
        <f>VLOOKUP(C89,'[1]站级商品进销存统计(2026-06-06)'!$B:$F,5,0)</f>
        <v>4.1581185818153603</v>
      </c>
    </row>
    <row r="90" spans="1:16" s="76" customFormat="1" ht="14.5">
      <c r="A90" s="20">
        <v>65</v>
      </c>
      <c r="B90" s="20" t="s">
        <v>298</v>
      </c>
      <c r="C90" s="21" t="s">
        <v>613</v>
      </c>
      <c r="D90" s="22" t="s">
        <v>614</v>
      </c>
      <c r="E90" s="83">
        <v>4.9980000000000002</v>
      </c>
      <c r="F90" s="83">
        <v>4.4230088495575197</v>
      </c>
      <c r="G90" s="84">
        <v>4.7162609605911303</v>
      </c>
      <c r="H90" s="85"/>
      <c r="I90" s="83"/>
      <c r="J90" s="83">
        <v>7</v>
      </c>
      <c r="K90" s="102"/>
      <c r="L90" s="102">
        <v>0.13</v>
      </c>
      <c r="M90" s="99"/>
      <c r="N90" s="20" t="s">
        <v>458</v>
      </c>
      <c r="O90" s="89">
        <f>VLOOKUP(C90,'[1]站级商品进销存统计(2026-06-06)'!$B:$D,3,0)</f>
        <v>2436</v>
      </c>
      <c r="P90" s="90">
        <f>VLOOKUP(C90,'[1]站级商品进销存统计(2026-06-06)'!$B:$F,5,0)</f>
        <v>4.7162609605911303</v>
      </c>
    </row>
    <row r="91" spans="1:16" s="76" customFormat="1" ht="14.5">
      <c r="A91" s="20">
        <v>66</v>
      </c>
      <c r="B91" s="20" t="s">
        <v>298</v>
      </c>
      <c r="C91" s="21" t="s">
        <v>615</v>
      </c>
      <c r="D91" s="22" t="s">
        <v>616</v>
      </c>
      <c r="E91" s="83">
        <v>4.71</v>
      </c>
      <c r="F91" s="83">
        <v>4.2818181818181804</v>
      </c>
      <c r="G91" s="84">
        <v>4.4792960676815596</v>
      </c>
      <c r="H91" s="85"/>
      <c r="I91" s="83"/>
      <c r="J91" s="83">
        <v>6.5</v>
      </c>
      <c r="K91" s="102"/>
      <c r="L91" s="102">
        <v>0.1</v>
      </c>
      <c r="M91" s="99"/>
      <c r="N91" s="20" t="s">
        <v>458</v>
      </c>
      <c r="O91" s="89">
        <f>VLOOKUP(C91,'[1]站级商品进销存统计(2026-06-06)'!$B:$D,3,0)</f>
        <v>61287</v>
      </c>
      <c r="P91" s="90">
        <f>VLOOKUP(C91,'[1]站级商品进销存统计(2026-06-06)'!$B:$F,5,0)</f>
        <v>4.4792960676815596</v>
      </c>
    </row>
    <row r="92" spans="1:16" s="76" customFormat="1" ht="14.5">
      <c r="A92" s="20">
        <v>67</v>
      </c>
      <c r="B92" s="20" t="s">
        <v>298</v>
      </c>
      <c r="C92" s="21" t="s">
        <v>617</v>
      </c>
      <c r="D92" s="22" t="s">
        <v>618</v>
      </c>
      <c r="E92" s="83">
        <v>4.71</v>
      </c>
      <c r="F92" s="83">
        <v>4.2818181818181804</v>
      </c>
      <c r="G92" s="84">
        <v>4.4759427491723303</v>
      </c>
      <c r="H92" s="85"/>
      <c r="I92" s="83"/>
      <c r="J92" s="83">
        <v>6.5</v>
      </c>
      <c r="K92" s="102"/>
      <c r="L92" s="102">
        <v>0.1</v>
      </c>
      <c r="M92" s="99"/>
      <c r="N92" s="20" t="s">
        <v>458</v>
      </c>
      <c r="O92" s="89">
        <f>VLOOKUP(C92,'[1]站级商品进销存统计(2026-06-06)'!$B:$D,3,0)</f>
        <v>45912</v>
      </c>
      <c r="P92" s="90">
        <f>VLOOKUP(C92,'[1]站级商品进销存统计(2026-06-06)'!$B:$F,5,0)</f>
        <v>4.4759427491723303</v>
      </c>
    </row>
    <row r="93" spans="1:16" s="76" customFormat="1" ht="14.5">
      <c r="A93" s="20">
        <v>68</v>
      </c>
      <c r="B93" s="20" t="s">
        <v>298</v>
      </c>
      <c r="C93" s="21" t="s">
        <v>619</v>
      </c>
      <c r="D93" s="22" t="s">
        <v>620</v>
      </c>
      <c r="E93" s="83">
        <v>4.71</v>
      </c>
      <c r="F93" s="83">
        <v>4.2818181818181804</v>
      </c>
      <c r="G93" s="84">
        <v>4.4647619619784402</v>
      </c>
      <c r="H93" s="85"/>
      <c r="I93" s="83"/>
      <c r="J93" s="83">
        <v>6.5</v>
      </c>
      <c r="K93" s="102"/>
      <c r="L93" s="102">
        <v>0.1</v>
      </c>
      <c r="M93" s="99"/>
      <c r="N93" s="20" t="s">
        <v>458</v>
      </c>
      <c r="O93" s="89">
        <f>VLOOKUP(C93,'[1]站级商品进销存统计(2026-06-06)'!$B:$D,3,0)</f>
        <v>36453</v>
      </c>
      <c r="P93" s="90">
        <f>VLOOKUP(C93,'[1]站级商品进销存统计(2026-06-06)'!$B:$F,5,0)</f>
        <v>4.4647619619784402</v>
      </c>
    </row>
    <row r="94" spans="1:16" s="76" customFormat="1" ht="14.5">
      <c r="A94" s="20">
        <v>69</v>
      </c>
      <c r="B94" s="20" t="s">
        <v>298</v>
      </c>
      <c r="C94" s="21" t="s">
        <v>621</v>
      </c>
      <c r="D94" s="22" t="s">
        <v>622</v>
      </c>
      <c r="E94" s="83">
        <v>4.6399999999999997</v>
      </c>
      <c r="F94" s="83">
        <v>4.2181818181818196</v>
      </c>
      <c r="G94" s="84">
        <v>4.2786435897435897</v>
      </c>
      <c r="H94" s="85"/>
      <c r="I94" s="83"/>
      <c r="J94" s="83">
        <v>6.5</v>
      </c>
      <c r="K94" s="102"/>
      <c r="L94" s="102">
        <v>0.1</v>
      </c>
      <c r="M94" s="99"/>
      <c r="N94" s="20" t="s">
        <v>458</v>
      </c>
      <c r="O94" s="89">
        <f>VLOOKUP(C94,'[1]站级商品进销存统计(2026-06-06)'!$B:$D,3,0)</f>
        <v>234</v>
      </c>
      <c r="P94" s="90">
        <f>VLOOKUP(C94,'[1]站级商品进销存统计(2026-06-06)'!$B:$F,5,0)</f>
        <v>4.2786435897435897</v>
      </c>
    </row>
    <row r="95" spans="1:16" s="76" customFormat="1" ht="14.5">
      <c r="A95" s="20">
        <v>70</v>
      </c>
      <c r="B95" s="20" t="s">
        <v>298</v>
      </c>
      <c r="C95" s="21" t="s">
        <v>623</v>
      </c>
      <c r="D95" s="22" t="s">
        <v>624</v>
      </c>
      <c r="E95" s="23">
        <v>3.84</v>
      </c>
      <c r="F95" s="23">
        <f>E95*100/108</f>
        <v>3.5555555555555598</v>
      </c>
      <c r="G95" s="84">
        <v>3.3231543460871902</v>
      </c>
      <c r="H95" s="94"/>
      <c r="I95" s="23"/>
      <c r="J95" s="23">
        <v>5</v>
      </c>
      <c r="K95" s="102"/>
      <c r="L95" s="95">
        <v>0.1</v>
      </c>
      <c r="M95" s="112"/>
      <c r="N95" s="21"/>
      <c r="O95" s="89">
        <f>VLOOKUP(C95,'[1]站级商品进销存统计(2026-06-06)'!$B:$D,3,0)</f>
        <v>30004</v>
      </c>
      <c r="P95" s="90">
        <f>VLOOKUP(C95,'[1]站级商品进销存统计(2026-06-06)'!$B:$F,5,0)</f>
        <v>3.3231543460871902</v>
      </c>
    </row>
    <row r="96" spans="1:16" s="76" customFormat="1" ht="14.5">
      <c r="A96" s="20">
        <v>71</v>
      </c>
      <c r="B96" s="20" t="s">
        <v>298</v>
      </c>
      <c r="C96" s="21" t="s">
        <v>625</v>
      </c>
      <c r="D96" s="22" t="s">
        <v>626</v>
      </c>
      <c r="E96" s="23">
        <v>3.57</v>
      </c>
      <c r="F96" s="23">
        <f>E96*100/108</f>
        <v>3.3055555555555598</v>
      </c>
      <c r="G96" s="84">
        <v>3.1452965130512398</v>
      </c>
      <c r="H96" s="94"/>
      <c r="I96" s="23"/>
      <c r="J96" s="23">
        <v>5</v>
      </c>
      <c r="K96" s="102"/>
      <c r="L96" s="95">
        <v>0.1</v>
      </c>
      <c r="M96" s="112"/>
      <c r="N96" s="21"/>
      <c r="O96" s="89">
        <f>VLOOKUP(C96,'[1]站级商品进销存统计(2026-06-06)'!$B:$D,3,0)</f>
        <v>30227</v>
      </c>
      <c r="P96" s="90">
        <f>VLOOKUP(C96,'[1]站级商品进销存统计(2026-06-06)'!$B:$F,5,0)</f>
        <v>3.1452965130512398</v>
      </c>
    </row>
    <row r="97" spans="1:16" s="76" customFormat="1" ht="14.5">
      <c r="A97" s="20">
        <v>72</v>
      </c>
      <c r="B97" s="20" t="s">
        <v>298</v>
      </c>
      <c r="C97" s="21" t="s">
        <v>627</v>
      </c>
      <c r="D97" s="22" t="s">
        <v>628</v>
      </c>
      <c r="E97" s="83">
        <v>2.2000000000000002</v>
      </c>
      <c r="F97" s="83">
        <v>2</v>
      </c>
      <c r="G97" s="84">
        <v>2.0106614379084999</v>
      </c>
      <c r="H97" s="85"/>
      <c r="I97" s="83"/>
      <c r="J97" s="83">
        <v>3.5</v>
      </c>
      <c r="K97" s="102"/>
      <c r="L97" s="88">
        <v>0.1</v>
      </c>
      <c r="M97" s="110"/>
      <c r="N97" s="20" t="s">
        <v>513</v>
      </c>
      <c r="O97" s="89">
        <f>VLOOKUP(C97,'[1]站级商品进销存统计(2026-06-06)'!$B:$D,3,0)</f>
        <v>153</v>
      </c>
      <c r="P97" s="90">
        <f>VLOOKUP(C97,'[1]站级商品进销存统计(2026-06-06)'!$B:$F,5,0)</f>
        <v>2.0106614379084999</v>
      </c>
    </row>
    <row r="98" spans="1:16" s="76" customFormat="1" ht="14.5">
      <c r="A98" s="20">
        <v>73</v>
      </c>
      <c r="B98" s="20" t="s">
        <v>298</v>
      </c>
      <c r="C98" s="21" t="s">
        <v>629</v>
      </c>
      <c r="D98" s="22" t="s">
        <v>630</v>
      </c>
      <c r="E98" s="83">
        <v>2.2000000000000002</v>
      </c>
      <c r="F98" s="83">
        <v>2</v>
      </c>
      <c r="G98" s="84">
        <v>2.00671644736842</v>
      </c>
      <c r="H98" s="85"/>
      <c r="I98" s="83"/>
      <c r="J98" s="83">
        <v>3.5</v>
      </c>
      <c r="K98" s="102"/>
      <c r="L98" s="88">
        <v>0.1</v>
      </c>
      <c r="M98" s="110"/>
      <c r="N98" s="20" t="s">
        <v>513</v>
      </c>
      <c r="O98" s="89">
        <f>VLOOKUP(C98,'[1]站级商品进销存统计(2026-06-06)'!$B:$D,3,0)</f>
        <v>152</v>
      </c>
      <c r="P98" s="90">
        <f>VLOOKUP(C98,'[1]站级商品进销存统计(2026-06-06)'!$B:$F,5,0)</f>
        <v>2.00671644736842</v>
      </c>
    </row>
    <row r="99" spans="1:16" s="76" customFormat="1" ht="14.5">
      <c r="A99" s="20">
        <v>74</v>
      </c>
      <c r="B99" s="20" t="s">
        <v>298</v>
      </c>
      <c r="C99" s="21" t="s">
        <v>631</v>
      </c>
      <c r="D99" s="22" t="s">
        <v>632</v>
      </c>
      <c r="E99" s="83">
        <v>4</v>
      </c>
      <c r="F99" s="83">
        <v>4</v>
      </c>
      <c r="G99" s="84">
        <v>3.8313527236842102</v>
      </c>
      <c r="H99" s="85"/>
      <c r="I99" s="83"/>
      <c r="J99" s="83">
        <v>6</v>
      </c>
      <c r="K99" s="102"/>
      <c r="L99" s="88">
        <v>0.1</v>
      </c>
      <c r="M99" s="110"/>
      <c r="N99" s="20"/>
      <c r="O99" s="89">
        <f>VLOOKUP(C99,'[1]站级商品进销存统计(2026-06-06)'!$B:$D,3,0)</f>
        <v>7600</v>
      </c>
      <c r="P99" s="90">
        <f>VLOOKUP(C99,'[1]站级商品进销存统计(2026-06-06)'!$B:$F,5,0)</f>
        <v>3.8313527236842102</v>
      </c>
    </row>
    <row r="100" spans="1:16" s="76" customFormat="1" ht="14.5">
      <c r="A100" s="20">
        <v>75</v>
      </c>
      <c r="B100" s="20" t="s">
        <v>298</v>
      </c>
      <c r="C100" s="31" t="s">
        <v>633</v>
      </c>
      <c r="D100" s="32" t="s">
        <v>634</v>
      </c>
      <c r="E100" s="23">
        <v>3.6</v>
      </c>
      <c r="F100" s="23">
        <f>E100*100/112</f>
        <v>3.21428571428571</v>
      </c>
      <c r="G100" s="97">
        <v>2.8848056818673902</v>
      </c>
      <c r="H100" s="30">
        <v>2</v>
      </c>
      <c r="I100" s="23">
        <v>8</v>
      </c>
      <c r="J100" s="23">
        <v>6</v>
      </c>
      <c r="K100" s="102">
        <f>(I100-H100*G100)/I100</f>
        <v>0.27879857953315201</v>
      </c>
      <c r="L100" s="107">
        <v>0.12</v>
      </c>
      <c r="M100" s="100" t="s">
        <v>522</v>
      </c>
      <c r="N100" s="20" t="s">
        <v>458</v>
      </c>
      <c r="O100" s="89">
        <f>VLOOKUP(C100,'[1]站级商品进销存统计(2026-06-06)'!$B:$D,3,0)</f>
        <v>23091</v>
      </c>
      <c r="P100" s="90">
        <f>VLOOKUP(C100,'[1]站级商品进销存统计(2026-06-06)'!$B:$F,5,0)</f>
        <v>2.8848056818673902</v>
      </c>
    </row>
    <row r="101" spans="1:16" s="76" customFormat="1" ht="14.5">
      <c r="A101" s="20">
        <v>76</v>
      </c>
      <c r="B101" s="20" t="s">
        <v>298</v>
      </c>
      <c r="C101" s="21" t="s">
        <v>635</v>
      </c>
      <c r="D101" s="22" t="s">
        <v>636</v>
      </c>
      <c r="E101" s="23">
        <v>4.8</v>
      </c>
      <c r="F101" s="23">
        <f>E101/(1+L101)</f>
        <v>3.6090225563909799</v>
      </c>
      <c r="G101" s="97">
        <v>3.5909052724505699</v>
      </c>
      <c r="H101" s="94">
        <v>2</v>
      </c>
      <c r="I101" s="23">
        <v>6.01</v>
      </c>
      <c r="J101" s="23">
        <v>6</v>
      </c>
      <c r="K101" s="102">
        <f>(I101-H101*G101)/I101</f>
        <v>-0.19497679615659599</v>
      </c>
      <c r="L101" s="95">
        <v>0.33</v>
      </c>
      <c r="M101" s="100"/>
      <c r="N101" s="20" t="s">
        <v>458</v>
      </c>
      <c r="O101" s="89">
        <f>VLOOKUP(C101,'[1]站级商品进销存统计(2026-06-06)'!$B:$D,3,0)</f>
        <v>168214</v>
      </c>
      <c r="P101" s="90">
        <f>VLOOKUP(C101,'[1]站级商品进销存统计(2026-06-06)'!$B:$F,5,0)</f>
        <v>3.5909052724505699</v>
      </c>
    </row>
    <row r="102" spans="1:16" s="76" customFormat="1" ht="14.5">
      <c r="A102" s="20">
        <v>77</v>
      </c>
      <c r="B102" s="20" t="s">
        <v>298</v>
      </c>
      <c r="C102" s="21" t="s">
        <v>637</v>
      </c>
      <c r="D102" s="22" t="s">
        <v>638</v>
      </c>
      <c r="E102" s="23">
        <v>7.34</v>
      </c>
      <c r="F102" s="23">
        <v>6.6727272727272702</v>
      </c>
      <c r="G102" s="97">
        <v>6.6437328144056202</v>
      </c>
      <c r="H102" s="30"/>
      <c r="I102" s="23"/>
      <c r="J102" s="23">
        <v>11.9</v>
      </c>
      <c r="K102" s="102"/>
      <c r="L102" s="95">
        <v>0.12</v>
      </c>
      <c r="M102" s="110"/>
      <c r="N102" s="96"/>
      <c r="O102" s="89">
        <f>VLOOKUP(C102,'[1]站级商品进销存统计(2026-06-06)'!$B:$D,3,0)</f>
        <v>27878</v>
      </c>
      <c r="P102" s="90">
        <f>VLOOKUP(C102,'[1]站级商品进销存统计(2026-06-06)'!$B:$F,5,0)</f>
        <v>6.6437328144056202</v>
      </c>
    </row>
    <row r="103" spans="1:16" s="76" customFormat="1" ht="14.5">
      <c r="A103" s="20">
        <v>78</v>
      </c>
      <c r="B103" s="20" t="s">
        <v>298</v>
      </c>
      <c r="C103" s="21" t="s">
        <v>639</v>
      </c>
      <c r="D103" s="22" t="s">
        <v>640</v>
      </c>
      <c r="E103" s="23">
        <v>7.34</v>
      </c>
      <c r="F103" s="23">
        <v>6.6727272727272702</v>
      </c>
      <c r="G103" s="97">
        <v>6.6557616721355402</v>
      </c>
      <c r="H103" s="30"/>
      <c r="I103" s="23"/>
      <c r="J103" s="23">
        <v>11.9</v>
      </c>
      <c r="K103" s="102"/>
      <c r="L103" s="95">
        <v>0.12</v>
      </c>
      <c r="M103" s="110"/>
      <c r="N103" s="96"/>
      <c r="O103" s="89">
        <f>VLOOKUP(C103,'[1]站级商品进销存统计(2026-06-06)'!$B:$D,3,0)</f>
        <v>29866</v>
      </c>
      <c r="P103" s="90">
        <f>VLOOKUP(C103,'[1]站级商品进销存统计(2026-06-06)'!$B:$F,5,0)</f>
        <v>6.6557616721355402</v>
      </c>
    </row>
    <row r="104" spans="1:16" s="76" customFormat="1" ht="14.5">
      <c r="A104" s="20">
        <v>79</v>
      </c>
      <c r="B104" s="20" t="s">
        <v>298</v>
      </c>
      <c r="C104" s="21" t="s">
        <v>641</v>
      </c>
      <c r="D104" s="22" t="s">
        <v>642</v>
      </c>
      <c r="E104" s="23">
        <v>7.34</v>
      </c>
      <c r="F104" s="23">
        <v>6.6727272727272702</v>
      </c>
      <c r="G104" s="97">
        <v>6.8029390000000003</v>
      </c>
      <c r="H104" s="30"/>
      <c r="I104" s="23"/>
      <c r="J104" s="23">
        <v>11.9</v>
      </c>
      <c r="K104" s="102"/>
      <c r="L104" s="95">
        <v>0.12</v>
      </c>
      <c r="M104" s="110"/>
      <c r="N104" s="96"/>
      <c r="O104" s="89">
        <f>VLOOKUP(C104,'[1]站级商品进销存统计(2026-06-06)'!$B:$D,3,0)</f>
        <v>400</v>
      </c>
      <c r="P104" s="90">
        <f>VLOOKUP(C104,'[1]站级商品进销存统计(2026-06-06)'!$B:$F,5,0)</f>
        <v>6.8029390000000003</v>
      </c>
    </row>
    <row r="105" spans="1:16" s="76" customFormat="1" ht="14.5">
      <c r="A105" s="20">
        <v>80</v>
      </c>
      <c r="B105" s="20" t="s">
        <v>298</v>
      </c>
      <c r="C105" s="21" t="s">
        <v>643</v>
      </c>
      <c r="D105" s="22" t="s">
        <v>644</v>
      </c>
      <c r="E105" s="83">
        <v>4.2</v>
      </c>
      <c r="F105" s="83">
        <v>4.2</v>
      </c>
      <c r="G105" s="84">
        <v>4.2472358757062096</v>
      </c>
      <c r="H105" s="85"/>
      <c r="I105" s="83"/>
      <c r="J105" s="83">
        <v>6.5</v>
      </c>
      <c r="K105" s="102"/>
      <c r="L105" s="88"/>
      <c r="M105" s="110"/>
      <c r="N105" s="20" t="s">
        <v>513</v>
      </c>
      <c r="O105" s="89">
        <f>VLOOKUP(C105,'[1]站级商品进销存统计(2026-06-06)'!$B:$D,3,0)</f>
        <v>354</v>
      </c>
      <c r="P105" s="90">
        <f>VLOOKUP(C105,'[1]站级商品进销存统计(2026-06-06)'!$B:$F,5,0)</f>
        <v>4.2472358757062096</v>
      </c>
    </row>
    <row r="106" spans="1:16" s="76" customFormat="1" ht="14.5">
      <c r="A106" s="20">
        <v>81</v>
      </c>
      <c r="B106" s="20" t="s">
        <v>298</v>
      </c>
      <c r="C106" s="21" t="s">
        <v>645</v>
      </c>
      <c r="D106" s="22" t="s">
        <v>646</v>
      </c>
      <c r="E106" s="83">
        <v>5.1111111111111098</v>
      </c>
      <c r="F106" s="83">
        <v>5.1111111111111098</v>
      </c>
      <c r="G106" s="84">
        <v>5.0385859578896799</v>
      </c>
      <c r="H106" s="85"/>
      <c r="I106" s="83"/>
      <c r="J106" s="83">
        <v>10</v>
      </c>
      <c r="K106" s="102"/>
      <c r="L106" s="88" t="s">
        <v>279</v>
      </c>
      <c r="M106" s="110"/>
      <c r="N106" s="20" t="s">
        <v>647</v>
      </c>
      <c r="O106" s="89">
        <f>VLOOKUP(C106,'[1]站级商品进销存统计(2026-06-06)'!$B:$D,3,0)</f>
        <v>12491</v>
      </c>
      <c r="P106" s="90">
        <f>VLOOKUP(C106,'[1]站级商品进销存统计(2026-06-06)'!$B:$F,5,0)</f>
        <v>5.0385859578896799</v>
      </c>
    </row>
    <row r="107" spans="1:16" s="76" customFormat="1" ht="14.5">
      <c r="A107" s="20">
        <v>82</v>
      </c>
      <c r="B107" s="20" t="s">
        <v>298</v>
      </c>
      <c r="C107" s="21" t="s">
        <v>648</v>
      </c>
      <c r="D107" s="22" t="s">
        <v>649</v>
      </c>
      <c r="E107" s="83">
        <v>2.875</v>
      </c>
      <c r="F107" s="83">
        <v>2.875</v>
      </c>
      <c r="G107" s="84">
        <v>2.8266291972408299</v>
      </c>
      <c r="H107" s="85"/>
      <c r="I107" s="83"/>
      <c r="J107" s="83">
        <v>5</v>
      </c>
      <c r="K107" s="102"/>
      <c r="L107" s="88" t="s">
        <v>279</v>
      </c>
      <c r="M107" s="110"/>
      <c r="N107" s="20" t="s">
        <v>647</v>
      </c>
      <c r="O107" s="89">
        <f>VLOOKUP(C107,'[1]站级商品进销存统计(2026-06-06)'!$B:$D,3,0)</f>
        <v>50015</v>
      </c>
      <c r="P107" s="90">
        <f>VLOOKUP(C107,'[1]站级商品进销存统计(2026-06-06)'!$B:$F,5,0)</f>
        <v>2.8266291972408299</v>
      </c>
    </row>
    <row r="108" spans="1:16" s="76" customFormat="1" ht="14.5">
      <c r="A108" s="20">
        <v>83</v>
      </c>
      <c r="B108" s="20" t="s">
        <v>298</v>
      </c>
      <c r="C108" s="21" t="s">
        <v>279</v>
      </c>
      <c r="D108" s="51" t="s">
        <v>650</v>
      </c>
      <c r="E108" s="30">
        <v>50</v>
      </c>
      <c r="F108" s="30">
        <v>50</v>
      </c>
      <c r="G108" s="30">
        <v>50</v>
      </c>
      <c r="H108" s="113"/>
      <c r="I108" s="30"/>
      <c r="J108" s="30">
        <v>68</v>
      </c>
      <c r="K108" s="102"/>
      <c r="L108" s="113"/>
      <c r="M108" s="110"/>
      <c r="N108" s="20" t="s">
        <v>513</v>
      </c>
      <c r="O108" s="89" t="e">
        <f>VLOOKUP(C108,'[1]站级商品进销存统计(2026-06-06)'!$B:$D,3,0)</f>
        <v>#N/A</v>
      </c>
      <c r="P108" s="90" t="e">
        <f>VLOOKUP(C108,'[1]站级商品进销存统计(2026-06-06)'!$B:$F,5,0)</f>
        <v>#N/A</v>
      </c>
    </row>
    <row r="109" spans="1:16" s="76" customFormat="1" ht="14.5">
      <c r="A109" s="20">
        <v>84</v>
      </c>
      <c r="B109" s="20" t="s">
        <v>298</v>
      </c>
      <c r="C109" s="21" t="s">
        <v>279</v>
      </c>
      <c r="D109" s="51" t="s">
        <v>651</v>
      </c>
      <c r="E109" s="30">
        <v>50</v>
      </c>
      <c r="F109" s="30">
        <v>50</v>
      </c>
      <c r="G109" s="30">
        <v>50</v>
      </c>
      <c r="H109" s="113"/>
      <c r="I109" s="30"/>
      <c r="J109" s="30">
        <v>68</v>
      </c>
      <c r="K109" s="102"/>
      <c r="L109" s="113"/>
      <c r="M109" s="110"/>
      <c r="N109" s="20" t="s">
        <v>513</v>
      </c>
      <c r="O109" s="89" t="e">
        <f>VLOOKUP(C109,'[1]站级商品进销存统计(2026-06-06)'!$B:$D,3,0)</f>
        <v>#N/A</v>
      </c>
      <c r="P109" s="90" t="e">
        <f>VLOOKUP(C109,'[1]站级商品进销存统计(2026-06-06)'!$B:$F,5,0)</f>
        <v>#N/A</v>
      </c>
    </row>
    <row r="110" spans="1:16" s="76" customFormat="1" ht="14.5">
      <c r="A110" s="20">
        <v>85</v>
      </c>
      <c r="B110" s="20" t="s">
        <v>298</v>
      </c>
      <c r="C110" s="21" t="s">
        <v>279</v>
      </c>
      <c r="D110" s="51" t="s">
        <v>652</v>
      </c>
      <c r="E110" s="30">
        <v>50</v>
      </c>
      <c r="F110" s="30">
        <v>50</v>
      </c>
      <c r="G110" s="30">
        <v>50</v>
      </c>
      <c r="H110" s="113"/>
      <c r="I110" s="30"/>
      <c r="J110" s="30">
        <v>68</v>
      </c>
      <c r="K110" s="102"/>
      <c r="L110" s="113"/>
      <c r="M110" s="110"/>
      <c r="N110" s="20" t="s">
        <v>513</v>
      </c>
      <c r="O110" s="89" t="e">
        <f>VLOOKUP(C110,'[1]站级商品进销存统计(2026-06-06)'!$B:$D,3,0)</f>
        <v>#N/A</v>
      </c>
      <c r="P110" s="90" t="e">
        <f>VLOOKUP(C110,'[1]站级商品进销存统计(2026-06-06)'!$B:$F,5,0)</f>
        <v>#N/A</v>
      </c>
    </row>
    <row r="111" spans="1:16" s="76" customFormat="1" ht="14.5">
      <c r="A111" s="20">
        <v>86</v>
      </c>
      <c r="B111" s="20" t="s">
        <v>298</v>
      </c>
      <c r="C111" s="21" t="s">
        <v>653</v>
      </c>
      <c r="D111" s="22" t="s">
        <v>654</v>
      </c>
      <c r="E111" s="83">
        <v>4.3333333333333304</v>
      </c>
      <c r="F111" s="83">
        <v>4.3333333333333304</v>
      </c>
      <c r="G111" s="84">
        <v>4.2738334064080901</v>
      </c>
      <c r="H111" s="85"/>
      <c r="I111" s="83"/>
      <c r="J111" s="83">
        <v>7.5</v>
      </c>
      <c r="K111" s="102"/>
      <c r="L111" s="88" t="s">
        <v>279</v>
      </c>
      <c r="M111" s="110"/>
      <c r="N111" s="20" t="s">
        <v>647</v>
      </c>
      <c r="O111" s="89">
        <f>VLOOKUP(C111,'[1]站级商品进销存统计(2026-06-06)'!$B:$D,3,0)</f>
        <v>5930</v>
      </c>
      <c r="P111" s="90">
        <f>VLOOKUP(C111,'[1]站级商品进销存统计(2026-06-06)'!$B:$F,5,0)</f>
        <v>4.2738334064080901</v>
      </c>
    </row>
    <row r="112" spans="1:16" s="76" customFormat="1" ht="14.5">
      <c r="A112" s="20">
        <v>87</v>
      </c>
      <c r="B112" s="20" t="s">
        <v>298</v>
      </c>
      <c r="C112" s="21" t="s">
        <v>655</v>
      </c>
      <c r="D112" s="22" t="s">
        <v>656</v>
      </c>
      <c r="E112" s="83">
        <v>2.4700000000000002</v>
      </c>
      <c r="F112" s="23">
        <f t="shared" ref="F112:F148" si="4">E112/(1+L112)</f>
        <v>1.9</v>
      </c>
      <c r="G112" s="83"/>
      <c r="H112" s="85"/>
      <c r="I112" s="83"/>
      <c r="J112" s="83">
        <v>3</v>
      </c>
      <c r="K112" s="102"/>
      <c r="L112" s="88">
        <v>0.3</v>
      </c>
      <c r="M112" s="99"/>
      <c r="N112" s="20" t="s">
        <v>458</v>
      </c>
      <c r="O112" s="89" t="e">
        <f>VLOOKUP(C112,'[1]站级商品进销存统计(2026-06-06)'!$B:$D,3,0)</f>
        <v>#N/A</v>
      </c>
      <c r="P112" s="90" t="e">
        <f>VLOOKUP(C112,'[1]站级商品进销存统计(2026-06-06)'!$B:$F,5,0)</f>
        <v>#N/A</v>
      </c>
    </row>
    <row r="113" spans="1:16" s="76" customFormat="1" ht="14.5">
      <c r="A113" s="20">
        <v>88</v>
      </c>
      <c r="B113" s="20" t="s">
        <v>298</v>
      </c>
      <c r="C113" s="21" t="s">
        <v>657</v>
      </c>
      <c r="D113" s="22" t="s">
        <v>658</v>
      </c>
      <c r="E113" s="83">
        <f>VLOOKUP(C113,'[2]1.1集采目录'!$F:$N,9,0)</f>
        <v>2.4700000000000002</v>
      </c>
      <c r="F113" s="23">
        <f t="shared" si="4"/>
        <v>2.2454545454545456</v>
      </c>
      <c r="G113" s="84">
        <v>2.4783665826221899</v>
      </c>
      <c r="H113" s="85"/>
      <c r="I113" s="83"/>
      <c r="J113" s="83">
        <f>VLOOKUP(C113,'[2]1.1集采目录'!$F:$O,10,0)</f>
        <v>3.6</v>
      </c>
      <c r="K113" s="102"/>
      <c r="L113" s="88">
        <v>0.1</v>
      </c>
      <c r="M113" s="99"/>
      <c r="N113" s="20" t="s">
        <v>458</v>
      </c>
      <c r="O113" s="89">
        <f>VLOOKUP(C113,'[1]站级商品进销存统计(2026-06-06)'!$B:$D,3,0)</f>
        <v>5156</v>
      </c>
      <c r="P113" s="90">
        <f>VLOOKUP(C113,'[1]站级商品进销存统计(2026-06-06)'!$B:$F,5,0)</f>
        <v>2.4783665826221899</v>
      </c>
    </row>
    <row r="114" spans="1:16" s="76" customFormat="1" ht="14.5">
      <c r="A114" s="20">
        <v>89</v>
      </c>
      <c r="B114" s="20" t="s">
        <v>298</v>
      </c>
      <c r="C114" s="21" t="s">
        <v>659</v>
      </c>
      <c r="D114" s="22" t="s">
        <v>660</v>
      </c>
      <c r="E114" s="83">
        <f>VLOOKUP(C114,'[2]1.1集采目录'!$F:$N,9,0)</f>
        <v>2.4700000000000002</v>
      </c>
      <c r="F114" s="23">
        <f t="shared" si="4"/>
        <v>2.2454545454545456</v>
      </c>
      <c r="G114" s="84">
        <v>2.4871107363075802</v>
      </c>
      <c r="H114" s="85"/>
      <c r="I114" s="83"/>
      <c r="J114" s="83">
        <f>VLOOKUP(C114,'[2]1.1集采目录'!$F:$O,10,0)</f>
        <v>3.6</v>
      </c>
      <c r="K114" s="102"/>
      <c r="L114" s="88">
        <v>0.1</v>
      </c>
      <c r="M114" s="99"/>
      <c r="N114" s="20" t="s">
        <v>458</v>
      </c>
      <c r="O114" s="89">
        <f>VLOOKUP(C114,'[1]站级商品进销存统计(2026-06-06)'!$B:$D,3,0)</f>
        <v>2757</v>
      </c>
      <c r="P114" s="90">
        <f>VLOOKUP(C114,'[1]站级商品进销存统计(2026-06-06)'!$B:$F,5,0)</f>
        <v>2.4871107363075802</v>
      </c>
    </row>
    <row r="115" spans="1:16" s="76" customFormat="1" ht="14.5">
      <c r="A115" s="20">
        <v>90</v>
      </c>
      <c r="B115" s="20" t="s">
        <v>298</v>
      </c>
      <c r="C115" s="21" t="s">
        <v>661</v>
      </c>
      <c r="D115" s="22" t="s">
        <v>662</v>
      </c>
      <c r="E115" s="83">
        <f>VLOOKUP(C115,'[2]1.1集采目录'!$F:$N,9,0)</f>
        <v>2.4700000000000002</v>
      </c>
      <c r="F115" s="23">
        <f t="shared" si="4"/>
        <v>2.2454545454545456</v>
      </c>
      <c r="G115" s="84">
        <v>2.4748793106933502</v>
      </c>
      <c r="H115" s="85"/>
      <c r="I115" s="83"/>
      <c r="J115" s="83">
        <f>VLOOKUP(C115,'[2]1.1集采目录'!$F:$O,10,0)</f>
        <v>3.6</v>
      </c>
      <c r="K115" s="102"/>
      <c r="L115" s="88">
        <v>0.1</v>
      </c>
      <c r="M115" s="99"/>
      <c r="N115" s="20" t="s">
        <v>458</v>
      </c>
      <c r="O115" s="89">
        <f>VLOOKUP(C115,'[1]站级商品进销存统计(2026-06-06)'!$B:$D,3,0)</f>
        <v>9894</v>
      </c>
      <c r="P115" s="90">
        <f>VLOOKUP(C115,'[1]站级商品进销存统计(2026-06-06)'!$B:$F,5,0)</f>
        <v>2.4748793106933502</v>
      </c>
    </row>
    <row r="116" spans="1:16" s="76" customFormat="1" ht="14.5">
      <c r="A116" s="20">
        <v>91</v>
      </c>
      <c r="B116" s="20" t="s">
        <v>298</v>
      </c>
      <c r="C116" s="21" t="s">
        <v>663</v>
      </c>
      <c r="D116" s="22" t="s">
        <v>664</v>
      </c>
      <c r="E116" s="83">
        <v>3.91</v>
      </c>
      <c r="F116" s="23">
        <f t="shared" si="4"/>
        <v>3.5545454545454498</v>
      </c>
      <c r="G116" s="84">
        <v>3.7001522571733498</v>
      </c>
      <c r="H116" s="85"/>
      <c r="I116" s="83"/>
      <c r="J116" s="83">
        <v>6</v>
      </c>
      <c r="K116" s="102"/>
      <c r="L116" s="88">
        <v>0.1</v>
      </c>
      <c r="M116" s="99"/>
      <c r="N116" s="20"/>
      <c r="O116" s="89">
        <f>VLOOKUP(C116,'[1]站级商品进销存统计(2026-06-06)'!$B:$D,3,0)</f>
        <v>31854</v>
      </c>
      <c r="P116" s="90">
        <f>VLOOKUP(C116,'[1]站级商品进销存统计(2026-06-06)'!$B:$F,5,0)</f>
        <v>3.7001522571733498</v>
      </c>
    </row>
    <row r="117" spans="1:16" s="76" customFormat="1" ht="14.5">
      <c r="A117" s="20">
        <v>92</v>
      </c>
      <c r="B117" s="20" t="s">
        <v>298</v>
      </c>
      <c r="C117" s="21" t="s">
        <v>665</v>
      </c>
      <c r="D117" s="22" t="s">
        <v>666</v>
      </c>
      <c r="E117" s="83">
        <v>3.91</v>
      </c>
      <c r="F117" s="23">
        <f t="shared" si="4"/>
        <v>3.5545454545454498</v>
      </c>
      <c r="G117" s="84">
        <v>3.7127642669624699</v>
      </c>
      <c r="H117" s="85"/>
      <c r="I117" s="83"/>
      <c r="J117" s="83">
        <v>6</v>
      </c>
      <c r="K117" s="102"/>
      <c r="L117" s="88">
        <v>0.1</v>
      </c>
      <c r="M117" s="99"/>
      <c r="N117" s="20"/>
      <c r="O117" s="89">
        <f>VLOOKUP(C117,'[1]站级商品进销存统计(2026-06-06)'!$B:$D,3,0)</f>
        <v>27045</v>
      </c>
      <c r="P117" s="90">
        <f>VLOOKUP(C117,'[1]站级商品进销存统计(2026-06-06)'!$B:$F,5,0)</f>
        <v>3.7127642669624699</v>
      </c>
    </row>
    <row r="118" spans="1:16" s="76" customFormat="1" ht="14.5">
      <c r="A118" s="20">
        <v>93</v>
      </c>
      <c r="B118" s="20" t="s">
        <v>298</v>
      </c>
      <c r="C118" s="21" t="s">
        <v>667</v>
      </c>
      <c r="D118" s="22" t="s">
        <v>668</v>
      </c>
      <c r="E118" s="83">
        <v>3.91</v>
      </c>
      <c r="F118" s="23">
        <f t="shared" si="4"/>
        <v>3.5545454545454498</v>
      </c>
      <c r="G118" s="84">
        <v>3.7278387185069999</v>
      </c>
      <c r="H118" s="85"/>
      <c r="I118" s="83"/>
      <c r="J118" s="83">
        <v>6</v>
      </c>
      <c r="K118" s="102"/>
      <c r="L118" s="88">
        <v>0.1</v>
      </c>
      <c r="M118" s="99"/>
      <c r="N118" s="20"/>
      <c r="O118" s="89">
        <f>VLOOKUP(C118,'[1]站级商品进销存统计(2026-06-06)'!$B:$D,3,0)</f>
        <v>16075</v>
      </c>
      <c r="P118" s="90">
        <f>VLOOKUP(C118,'[1]站级商品进销存统计(2026-06-06)'!$B:$F,5,0)</f>
        <v>3.7278387185069999</v>
      </c>
    </row>
    <row r="119" spans="1:16" s="76" customFormat="1" ht="14.5">
      <c r="A119" s="20">
        <v>94</v>
      </c>
      <c r="B119" s="20" t="s">
        <v>298</v>
      </c>
      <c r="C119" s="21" t="s">
        <v>669</v>
      </c>
      <c r="D119" s="22" t="s">
        <v>670</v>
      </c>
      <c r="E119" s="83">
        <v>3.91</v>
      </c>
      <c r="F119" s="23">
        <f t="shared" si="4"/>
        <v>3.5545454545454498</v>
      </c>
      <c r="G119" s="84">
        <v>3.7317236626809298</v>
      </c>
      <c r="H119" s="85"/>
      <c r="I119" s="83"/>
      <c r="J119" s="83">
        <v>6</v>
      </c>
      <c r="K119" s="102"/>
      <c r="L119" s="88">
        <v>0.1</v>
      </c>
      <c r="M119" s="99"/>
      <c r="N119" s="20"/>
      <c r="O119" s="89">
        <f>VLOOKUP(C119,'[1]站级商品进销存统计(2026-06-06)'!$B:$D,3,0)</f>
        <v>15890</v>
      </c>
      <c r="P119" s="90">
        <f>VLOOKUP(C119,'[1]站级商品进销存统计(2026-06-06)'!$B:$F,5,0)</f>
        <v>3.7317236626809298</v>
      </c>
    </row>
    <row r="120" spans="1:16" s="76" customFormat="1" ht="14.5">
      <c r="A120" s="20">
        <v>95</v>
      </c>
      <c r="B120" s="20" t="s">
        <v>298</v>
      </c>
      <c r="C120" s="21" t="s">
        <v>671</v>
      </c>
      <c r="D120" s="22" t="s">
        <v>672</v>
      </c>
      <c r="E120" s="83">
        <v>3.91</v>
      </c>
      <c r="F120" s="23">
        <f t="shared" si="4"/>
        <v>3.5545454545454498</v>
      </c>
      <c r="G120" s="84">
        <v>4.1344705882352901</v>
      </c>
      <c r="H120" s="85"/>
      <c r="I120" s="83"/>
      <c r="J120" s="83">
        <v>6</v>
      </c>
      <c r="K120" s="102"/>
      <c r="L120" s="88">
        <v>0.1</v>
      </c>
      <c r="M120" s="99"/>
      <c r="N120" s="20"/>
      <c r="O120" s="89">
        <f>VLOOKUP(C120,'[1]站级商品进销存统计(2026-06-06)'!$B:$D,3,0)</f>
        <v>34</v>
      </c>
      <c r="P120" s="90">
        <f>VLOOKUP(C120,'[1]站级商品进销存统计(2026-06-06)'!$B:$F,5,0)</f>
        <v>4.1344705882352901</v>
      </c>
    </row>
    <row r="121" spans="1:16" s="76" customFormat="1" ht="14.5">
      <c r="A121" s="20">
        <v>96</v>
      </c>
      <c r="B121" s="20" t="s">
        <v>298</v>
      </c>
      <c r="C121" s="21" t="s">
        <v>673</v>
      </c>
      <c r="D121" s="22" t="s">
        <v>674</v>
      </c>
      <c r="E121" s="83">
        <v>3.91</v>
      </c>
      <c r="F121" s="23">
        <f t="shared" si="4"/>
        <v>3.5545454545454498</v>
      </c>
      <c r="G121" s="84">
        <v>3.6944319697358301</v>
      </c>
      <c r="H121" s="85"/>
      <c r="I121" s="83"/>
      <c r="J121" s="83">
        <v>6</v>
      </c>
      <c r="K121" s="102"/>
      <c r="L121" s="88">
        <v>0.1</v>
      </c>
      <c r="M121" s="99"/>
      <c r="N121" s="20"/>
      <c r="O121" s="89">
        <f>VLOOKUP(C121,'[1]站级商品进销存统计(2026-06-06)'!$B:$D,3,0)</f>
        <v>7798</v>
      </c>
      <c r="P121" s="90">
        <f>VLOOKUP(C121,'[1]站级商品进销存统计(2026-06-06)'!$B:$F,5,0)</f>
        <v>3.6944319697358301</v>
      </c>
    </row>
    <row r="122" spans="1:16" s="76" customFormat="1" ht="14.5">
      <c r="A122" s="20">
        <v>97</v>
      </c>
      <c r="B122" s="20" t="s">
        <v>298</v>
      </c>
      <c r="C122" s="21" t="s">
        <v>675</v>
      </c>
      <c r="D122" s="22" t="s">
        <v>676</v>
      </c>
      <c r="E122" s="83">
        <v>3.91</v>
      </c>
      <c r="F122" s="23">
        <f t="shared" si="4"/>
        <v>3.5545454545454498</v>
      </c>
      <c r="G122" s="84">
        <v>3.74479142730398</v>
      </c>
      <c r="H122" s="85"/>
      <c r="I122" s="83"/>
      <c r="J122" s="83">
        <v>6</v>
      </c>
      <c r="K122" s="102"/>
      <c r="L122" s="88">
        <v>0.1</v>
      </c>
      <c r="M122" s="99"/>
      <c r="N122" s="20"/>
      <c r="O122" s="89">
        <f>VLOOKUP(C122,'[1]站级商品进销存统计(2026-06-06)'!$B:$D,3,0)</f>
        <v>9017</v>
      </c>
      <c r="P122" s="90">
        <f>VLOOKUP(C122,'[1]站级商品进销存统计(2026-06-06)'!$B:$F,5,0)</f>
        <v>3.74479142730398</v>
      </c>
    </row>
    <row r="123" spans="1:16" s="76" customFormat="1" ht="14.5">
      <c r="A123" s="20">
        <v>98</v>
      </c>
      <c r="B123" s="20" t="s">
        <v>298</v>
      </c>
      <c r="C123" s="21" t="s">
        <v>677</v>
      </c>
      <c r="D123" s="22" t="s">
        <v>678</v>
      </c>
      <c r="E123" s="83">
        <v>5.15</v>
      </c>
      <c r="F123" s="23">
        <f t="shared" si="4"/>
        <v>4.6818181818181799</v>
      </c>
      <c r="G123" s="84">
        <v>4.9487088569518702</v>
      </c>
      <c r="H123" s="85"/>
      <c r="I123" s="83"/>
      <c r="J123" s="83">
        <v>7.5</v>
      </c>
      <c r="K123" s="102"/>
      <c r="L123" s="88">
        <v>0.1</v>
      </c>
      <c r="M123" s="99"/>
      <c r="N123" s="20"/>
      <c r="O123" s="89">
        <f>VLOOKUP(C123,'[1]站级商品进销存统计(2026-06-06)'!$B:$D,3,0)</f>
        <v>5984</v>
      </c>
      <c r="P123" s="90">
        <f>VLOOKUP(C123,'[1]站级商品进销存统计(2026-06-06)'!$B:$F,5,0)</f>
        <v>4.9487088569518702</v>
      </c>
    </row>
    <row r="124" spans="1:16" s="76" customFormat="1" ht="14.5">
      <c r="A124" s="20">
        <v>99</v>
      </c>
      <c r="B124" s="20" t="s">
        <v>298</v>
      </c>
      <c r="C124" s="21" t="s">
        <v>679</v>
      </c>
      <c r="D124" s="22" t="s">
        <v>680</v>
      </c>
      <c r="E124" s="83">
        <v>5.15</v>
      </c>
      <c r="F124" s="23">
        <f t="shared" si="4"/>
        <v>4.6818181818181799</v>
      </c>
      <c r="G124" s="84">
        <v>4.9194616520276604</v>
      </c>
      <c r="H124" s="85"/>
      <c r="I124" s="83"/>
      <c r="J124" s="83">
        <v>7.5</v>
      </c>
      <c r="K124" s="102"/>
      <c r="L124" s="88">
        <v>0.1</v>
      </c>
      <c r="M124" s="99"/>
      <c r="N124" s="20"/>
      <c r="O124" s="89">
        <f>VLOOKUP(C124,'[1]站级商品进销存统计(2026-06-06)'!$B:$D,3,0)</f>
        <v>5351</v>
      </c>
      <c r="P124" s="90">
        <f>VLOOKUP(C124,'[1]站级商品进销存统计(2026-06-06)'!$B:$F,5,0)</f>
        <v>4.9194616520276604</v>
      </c>
    </row>
    <row r="125" spans="1:16" s="76" customFormat="1" ht="14.5">
      <c r="A125" s="20">
        <v>100</v>
      </c>
      <c r="B125" s="20" t="s">
        <v>298</v>
      </c>
      <c r="C125" s="21" t="s">
        <v>681</v>
      </c>
      <c r="D125" s="22" t="s">
        <v>682</v>
      </c>
      <c r="E125" s="83">
        <v>4.92</v>
      </c>
      <c r="F125" s="23">
        <f t="shared" si="4"/>
        <v>4.0999999999999996</v>
      </c>
      <c r="G125" s="84">
        <v>4.0519273997108298</v>
      </c>
      <c r="H125" s="85"/>
      <c r="I125" s="83"/>
      <c r="J125" s="83">
        <v>6</v>
      </c>
      <c r="K125" s="102"/>
      <c r="L125" s="88">
        <v>0.2</v>
      </c>
      <c r="M125" s="99"/>
      <c r="N125" s="20"/>
      <c r="O125" s="89">
        <f>VLOOKUP(C125,'[1]站级商品进销存统计(2026-06-06)'!$B:$D,3,0)</f>
        <v>122421</v>
      </c>
      <c r="P125" s="90">
        <f>VLOOKUP(C125,'[1]站级商品进销存统计(2026-06-06)'!$B:$F,5,0)</f>
        <v>4.0519273997108298</v>
      </c>
    </row>
    <row r="126" spans="1:16" s="76" customFormat="1" ht="14.5">
      <c r="A126" s="20">
        <v>101</v>
      </c>
      <c r="B126" s="20" t="s">
        <v>298</v>
      </c>
      <c r="C126" s="21" t="s">
        <v>683</v>
      </c>
      <c r="D126" s="22" t="s">
        <v>684</v>
      </c>
      <c r="E126" s="83">
        <v>4.92</v>
      </c>
      <c r="F126" s="23">
        <f t="shared" si="4"/>
        <v>4.0999999999999996</v>
      </c>
      <c r="G126" s="84">
        <v>4.0121949122073604</v>
      </c>
      <c r="H126" s="85"/>
      <c r="I126" s="83"/>
      <c r="J126" s="83">
        <v>6</v>
      </c>
      <c r="K126" s="102"/>
      <c r="L126" s="88">
        <v>0.2</v>
      </c>
      <c r="M126" s="99"/>
      <c r="N126" s="20"/>
      <c r="O126" s="89">
        <f>VLOOKUP(C126,'[1]站级商品进销存统计(2026-06-06)'!$B:$D,3,0)</f>
        <v>71760</v>
      </c>
      <c r="P126" s="90">
        <f>VLOOKUP(C126,'[1]站级商品进销存统计(2026-06-06)'!$B:$F,5,0)</f>
        <v>4.0121949122073604</v>
      </c>
    </row>
    <row r="127" spans="1:16" s="76" customFormat="1" ht="14.5">
      <c r="A127" s="20">
        <v>102</v>
      </c>
      <c r="B127" s="20" t="s">
        <v>298</v>
      </c>
      <c r="C127" s="21" t="s">
        <v>685</v>
      </c>
      <c r="D127" s="22" t="s">
        <v>686</v>
      </c>
      <c r="E127" s="83">
        <v>4.92</v>
      </c>
      <c r="F127" s="23">
        <f t="shared" si="4"/>
        <v>4.0999999999999996</v>
      </c>
      <c r="G127" s="84">
        <v>4.0119194497463901</v>
      </c>
      <c r="H127" s="85"/>
      <c r="I127" s="83"/>
      <c r="J127" s="83">
        <v>6</v>
      </c>
      <c r="K127" s="102"/>
      <c r="L127" s="88">
        <v>0.2</v>
      </c>
      <c r="M127" s="99"/>
      <c r="N127" s="20"/>
      <c r="O127" s="89">
        <f>VLOOKUP(C127,'[1]站级商品进销存统计(2026-06-06)'!$B:$D,3,0)</f>
        <v>94829</v>
      </c>
      <c r="P127" s="90">
        <f>VLOOKUP(C127,'[1]站级商品进销存统计(2026-06-06)'!$B:$F,5,0)</f>
        <v>4.0119194497463901</v>
      </c>
    </row>
    <row r="128" spans="1:16" s="76" customFormat="1" ht="14.5">
      <c r="A128" s="20">
        <v>103</v>
      </c>
      <c r="B128" s="20" t="s">
        <v>298</v>
      </c>
      <c r="C128" s="21" t="s">
        <v>687</v>
      </c>
      <c r="D128" s="22" t="s">
        <v>688</v>
      </c>
      <c r="E128" s="83">
        <v>4.92</v>
      </c>
      <c r="F128" s="23">
        <f t="shared" si="4"/>
        <v>4.0999999999999996</v>
      </c>
      <c r="G128" s="84">
        <v>4.1817839310970104</v>
      </c>
      <c r="H128" s="85"/>
      <c r="I128" s="83"/>
      <c r="J128" s="83">
        <v>6</v>
      </c>
      <c r="K128" s="102"/>
      <c r="L128" s="88">
        <v>0.2</v>
      </c>
      <c r="M128" s="99"/>
      <c r="N128" s="20"/>
      <c r="O128" s="89">
        <f>VLOOKUP(C128,'[1]站级商品进销存统计(2026-06-06)'!$B:$D,3,0)</f>
        <v>27575</v>
      </c>
      <c r="P128" s="90">
        <f>VLOOKUP(C128,'[1]站级商品进销存统计(2026-06-06)'!$B:$F,5,0)</f>
        <v>4.1817839310970104</v>
      </c>
    </row>
    <row r="129" spans="1:16" s="76" customFormat="1" ht="14.5">
      <c r="A129" s="20">
        <v>104</v>
      </c>
      <c r="B129" s="20" t="s">
        <v>298</v>
      </c>
      <c r="C129" s="21" t="s">
        <v>689</v>
      </c>
      <c r="D129" s="22" t="s">
        <v>690</v>
      </c>
      <c r="E129" s="83">
        <v>2.6</v>
      </c>
      <c r="F129" s="23">
        <f t="shared" si="4"/>
        <v>2.3636363636363602</v>
      </c>
      <c r="G129" s="84">
        <v>2.5193385399548101</v>
      </c>
      <c r="H129" s="85"/>
      <c r="I129" s="83"/>
      <c r="J129" s="83">
        <v>3.5</v>
      </c>
      <c r="K129" s="102"/>
      <c r="L129" s="88">
        <v>0.1</v>
      </c>
      <c r="M129" s="99"/>
      <c r="N129" s="20"/>
      <c r="O129" s="89">
        <f>VLOOKUP(C129,'[1]站级商品进销存统计(2026-06-06)'!$B:$D,3,0)</f>
        <v>38944</v>
      </c>
      <c r="P129" s="90">
        <f>VLOOKUP(C129,'[1]站级商品进销存统计(2026-06-06)'!$B:$F,5,0)</f>
        <v>2.5193385399548101</v>
      </c>
    </row>
    <row r="130" spans="1:16" s="76" customFormat="1" ht="14.5">
      <c r="A130" s="20">
        <v>105</v>
      </c>
      <c r="B130" s="20" t="s">
        <v>298</v>
      </c>
      <c r="C130" s="21" t="s">
        <v>691</v>
      </c>
      <c r="D130" s="22" t="s">
        <v>692</v>
      </c>
      <c r="E130" s="83">
        <v>2.6</v>
      </c>
      <c r="F130" s="23">
        <f t="shared" si="4"/>
        <v>2.3636363636363602</v>
      </c>
      <c r="G130" s="84">
        <v>2.3563487711684501</v>
      </c>
      <c r="H130" s="85"/>
      <c r="I130" s="83"/>
      <c r="J130" s="83">
        <v>3.5</v>
      </c>
      <c r="K130" s="102"/>
      <c r="L130" s="88">
        <v>0.1</v>
      </c>
      <c r="M130" s="99"/>
      <c r="N130" s="20"/>
      <c r="O130" s="89">
        <f>VLOOKUP(C130,'[1]站级商品进销存统计(2026-06-06)'!$B:$D,3,0)</f>
        <v>21199</v>
      </c>
      <c r="P130" s="90">
        <f>VLOOKUP(C130,'[1]站级商品进销存统计(2026-06-06)'!$B:$F,5,0)</f>
        <v>2.3563487711684501</v>
      </c>
    </row>
    <row r="131" spans="1:16" s="76" customFormat="1" ht="14.5">
      <c r="A131" s="20">
        <v>106</v>
      </c>
      <c r="B131" s="20" t="s">
        <v>298</v>
      </c>
      <c r="C131" s="21" t="s">
        <v>693</v>
      </c>
      <c r="D131" s="22" t="s">
        <v>694</v>
      </c>
      <c r="E131" s="83">
        <v>2.6</v>
      </c>
      <c r="F131" s="23">
        <f t="shared" si="4"/>
        <v>2.4299065420560702</v>
      </c>
      <c r="G131" s="84">
        <v>2.4950371372944602</v>
      </c>
      <c r="H131" s="85"/>
      <c r="I131" s="83"/>
      <c r="J131" s="83">
        <v>3.5</v>
      </c>
      <c r="K131" s="102"/>
      <c r="L131" s="88">
        <v>7.0000000000000007E-2</v>
      </c>
      <c r="M131" s="96"/>
      <c r="N131" s="20"/>
      <c r="O131" s="89">
        <f>VLOOKUP(C131,'[1]站级商品进销存统计(2026-06-06)'!$B:$D,3,0)</f>
        <v>42631</v>
      </c>
      <c r="P131" s="90">
        <f>VLOOKUP(C131,'[1]站级商品进销存统计(2026-06-06)'!$B:$F,5,0)</f>
        <v>2.4950371372944602</v>
      </c>
    </row>
    <row r="132" spans="1:16" s="76" customFormat="1" ht="14.5">
      <c r="A132" s="20">
        <v>107</v>
      </c>
      <c r="B132" s="20" t="s">
        <v>298</v>
      </c>
      <c r="C132" s="21" t="s">
        <v>695</v>
      </c>
      <c r="D132" s="22" t="s">
        <v>696</v>
      </c>
      <c r="E132" s="83">
        <v>2.6</v>
      </c>
      <c r="F132" s="23">
        <f t="shared" si="4"/>
        <v>2.3636363636363602</v>
      </c>
      <c r="G132" s="84">
        <v>2.3319613472821898</v>
      </c>
      <c r="H132" s="85"/>
      <c r="I132" s="83"/>
      <c r="J132" s="83">
        <v>3.5</v>
      </c>
      <c r="K132" s="102"/>
      <c r="L132" s="88">
        <v>0.1</v>
      </c>
      <c r="M132" s="96"/>
      <c r="N132" s="20"/>
      <c r="O132" s="89">
        <f>VLOOKUP(C132,'[1]站级商品进销存统计(2026-06-06)'!$B:$D,3,0)</f>
        <v>18066</v>
      </c>
      <c r="P132" s="90">
        <f>VLOOKUP(C132,'[1]站级商品进销存统计(2026-06-06)'!$B:$F,5,0)</f>
        <v>2.3319613472821898</v>
      </c>
    </row>
    <row r="133" spans="1:16" s="76" customFormat="1" ht="14.5">
      <c r="A133" s="20">
        <v>108</v>
      </c>
      <c r="B133" s="20" t="s">
        <v>298</v>
      </c>
      <c r="C133" s="21" t="s">
        <v>697</v>
      </c>
      <c r="D133" s="22" t="s">
        <v>698</v>
      </c>
      <c r="E133" s="83">
        <v>3.5</v>
      </c>
      <c r="F133" s="23">
        <f t="shared" si="4"/>
        <v>3.3333333333333299</v>
      </c>
      <c r="G133" s="84">
        <v>3.4663853364396302</v>
      </c>
      <c r="H133" s="85"/>
      <c r="I133" s="83"/>
      <c r="J133" s="83">
        <v>5</v>
      </c>
      <c r="K133" s="102"/>
      <c r="L133" s="88">
        <v>0.05</v>
      </c>
      <c r="M133" s="96"/>
      <c r="N133" s="20"/>
      <c r="O133" s="89">
        <f>VLOOKUP(C133,'[1]站级商品进销存统计(2026-06-06)'!$B:$D,3,0)</f>
        <v>21891</v>
      </c>
      <c r="P133" s="90">
        <f>VLOOKUP(C133,'[1]站级商品进销存统计(2026-06-06)'!$B:$F,5,0)</f>
        <v>3.4663853364396302</v>
      </c>
    </row>
    <row r="134" spans="1:16" s="76" customFormat="1" ht="14.5">
      <c r="A134" s="20">
        <v>109</v>
      </c>
      <c r="B134" s="20" t="s">
        <v>298</v>
      </c>
      <c r="C134" s="21" t="s">
        <v>699</v>
      </c>
      <c r="D134" s="22" t="s">
        <v>700</v>
      </c>
      <c r="E134" s="83">
        <v>3.75</v>
      </c>
      <c r="F134" s="23">
        <f t="shared" si="4"/>
        <v>3</v>
      </c>
      <c r="G134" s="84">
        <v>3.5739947040145199</v>
      </c>
      <c r="H134" s="85"/>
      <c r="I134" s="92"/>
      <c r="J134" s="83">
        <v>5</v>
      </c>
      <c r="K134" s="93"/>
      <c r="L134" s="88">
        <v>0.25</v>
      </c>
      <c r="M134" s="114"/>
      <c r="N134" s="20"/>
      <c r="O134" s="89">
        <f>VLOOKUP(C134,'[1]站级商品进销存统计(2026-06-06)'!$B:$D,3,0)</f>
        <v>17636</v>
      </c>
      <c r="P134" s="90">
        <f>VLOOKUP(C134,'[1]站级商品进销存统计(2026-06-06)'!$B:$F,5,0)</f>
        <v>3.5739947040145199</v>
      </c>
    </row>
    <row r="135" spans="1:16" s="76" customFormat="1" ht="14.5">
      <c r="A135" s="20">
        <v>110</v>
      </c>
      <c r="B135" s="20" t="s">
        <v>298</v>
      </c>
      <c r="C135" s="21" t="s">
        <v>701</v>
      </c>
      <c r="D135" s="22" t="s">
        <v>702</v>
      </c>
      <c r="E135" s="83">
        <v>3.75</v>
      </c>
      <c r="F135" s="23">
        <f t="shared" si="4"/>
        <v>3</v>
      </c>
      <c r="G135" s="84">
        <v>3.51831702824694</v>
      </c>
      <c r="H135" s="85"/>
      <c r="I135" s="83"/>
      <c r="J135" s="83">
        <v>5</v>
      </c>
      <c r="K135" s="102"/>
      <c r="L135" s="88">
        <v>0.25</v>
      </c>
      <c r="M135" s="99"/>
      <c r="N135" s="20"/>
      <c r="O135" s="89">
        <f>VLOOKUP(C135,'[1]站级商品进销存统计(2026-06-06)'!$B:$D,3,0)</f>
        <v>13736</v>
      </c>
      <c r="P135" s="90">
        <f>VLOOKUP(C135,'[1]站级商品进销存统计(2026-06-06)'!$B:$F,5,0)</f>
        <v>3.51831702824694</v>
      </c>
    </row>
    <row r="136" spans="1:16" s="76" customFormat="1" ht="14.5">
      <c r="A136" s="20">
        <v>111</v>
      </c>
      <c r="B136" s="20" t="s">
        <v>298</v>
      </c>
      <c r="C136" s="21" t="s">
        <v>703</v>
      </c>
      <c r="D136" s="22" t="s">
        <v>704</v>
      </c>
      <c r="E136" s="83">
        <v>3.75</v>
      </c>
      <c r="F136" s="23">
        <f t="shared" si="4"/>
        <v>3.2327586206896601</v>
      </c>
      <c r="G136" s="84">
        <v>3.7649174789128401</v>
      </c>
      <c r="H136" s="85"/>
      <c r="I136" s="83"/>
      <c r="J136" s="83">
        <v>5</v>
      </c>
      <c r="K136" s="102"/>
      <c r="L136" s="88">
        <v>0.16</v>
      </c>
      <c r="M136" s="96"/>
      <c r="N136" s="20"/>
      <c r="O136" s="89">
        <f>VLOOKUP(C136,'[1]站级商品进销存统计(2026-06-06)'!$B:$D,3,0)</f>
        <v>2134</v>
      </c>
      <c r="P136" s="90">
        <f>VLOOKUP(C136,'[1]站级商品进销存统计(2026-06-06)'!$B:$F,5,0)</f>
        <v>3.7649174789128401</v>
      </c>
    </row>
    <row r="137" spans="1:16" s="76" customFormat="1" ht="14.5">
      <c r="A137" s="20">
        <v>112</v>
      </c>
      <c r="B137" s="20" t="s">
        <v>298</v>
      </c>
      <c r="C137" s="21" t="s">
        <v>705</v>
      </c>
      <c r="D137" s="22" t="s">
        <v>706</v>
      </c>
      <c r="E137" s="83">
        <v>3.75</v>
      </c>
      <c r="F137" s="23">
        <f t="shared" si="4"/>
        <v>3.2327586206896601</v>
      </c>
      <c r="G137" s="84">
        <v>3.6848907935417401</v>
      </c>
      <c r="H137" s="85"/>
      <c r="I137" s="92"/>
      <c r="J137" s="83">
        <v>5</v>
      </c>
      <c r="K137" s="93"/>
      <c r="L137" s="88">
        <v>0.16</v>
      </c>
      <c r="M137" s="114"/>
      <c r="N137" s="20"/>
      <c r="O137" s="89">
        <f>VLOOKUP(C137,'[1]站级商品进销存统计(2026-06-06)'!$B:$D,3,0)</f>
        <v>2911</v>
      </c>
      <c r="P137" s="90">
        <f>VLOOKUP(C137,'[1]站级商品进销存统计(2026-06-06)'!$B:$F,5,0)</f>
        <v>3.6848907935417401</v>
      </c>
    </row>
    <row r="138" spans="1:16" s="76" customFormat="1" ht="14.5">
      <c r="A138" s="20">
        <v>113</v>
      </c>
      <c r="B138" s="20" t="s">
        <v>298</v>
      </c>
      <c r="C138" s="21" t="s">
        <v>707</v>
      </c>
      <c r="D138" s="22" t="s">
        <v>708</v>
      </c>
      <c r="E138" s="83">
        <v>3.75</v>
      </c>
      <c r="F138" s="23">
        <f t="shared" si="4"/>
        <v>3.2327586206896601</v>
      </c>
      <c r="G138" s="84">
        <v>3.6618074827460898</v>
      </c>
      <c r="H138" s="85"/>
      <c r="I138" s="83"/>
      <c r="J138" s="83">
        <v>5</v>
      </c>
      <c r="K138" s="102"/>
      <c r="L138" s="88">
        <v>0.16</v>
      </c>
      <c r="M138" s="99"/>
      <c r="N138" s="20"/>
      <c r="O138" s="89">
        <f>VLOOKUP(C138,'[1]站级商品进销存统计(2026-06-06)'!$B:$D,3,0)</f>
        <v>2753</v>
      </c>
      <c r="P138" s="90">
        <f>VLOOKUP(C138,'[1]站级商品进销存统计(2026-06-06)'!$B:$F,5,0)</f>
        <v>3.6618074827460898</v>
      </c>
    </row>
    <row r="139" spans="1:16" s="76" customFormat="1" ht="14.5">
      <c r="A139" s="20">
        <v>114</v>
      </c>
      <c r="B139" s="20" t="s">
        <v>298</v>
      </c>
      <c r="C139" s="21" t="s">
        <v>709</v>
      </c>
      <c r="D139" s="22" t="s">
        <v>710</v>
      </c>
      <c r="E139" s="83">
        <v>3.75</v>
      </c>
      <c r="F139" s="23">
        <f t="shared" si="4"/>
        <v>3.2327586206896601</v>
      </c>
      <c r="G139" s="84">
        <v>3.6666232596232602</v>
      </c>
      <c r="H139" s="85"/>
      <c r="I139" s="83"/>
      <c r="J139" s="83">
        <v>5</v>
      </c>
      <c r="K139" s="102"/>
      <c r="L139" s="88">
        <v>0.16</v>
      </c>
      <c r="M139" s="99"/>
      <c r="N139" s="20"/>
      <c r="O139" s="89">
        <f>VLOOKUP(C139,'[1]站级商品进销存统计(2026-06-06)'!$B:$D,3,0)</f>
        <v>2442</v>
      </c>
      <c r="P139" s="90">
        <f>VLOOKUP(C139,'[1]站级商品进销存统计(2026-06-06)'!$B:$F,5,0)</f>
        <v>3.6666232596232602</v>
      </c>
    </row>
    <row r="140" spans="1:16" s="76" customFormat="1" ht="14.5">
      <c r="A140" s="20">
        <v>115</v>
      </c>
      <c r="B140" s="20" t="s">
        <v>298</v>
      </c>
      <c r="C140" s="21" t="s">
        <v>711</v>
      </c>
      <c r="D140" s="22" t="s">
        <v>712</v>
      </c>
      <c r="E140" s="83">
        <v>3.75</v>
      </c>
      <c r="F140" s="23">
        <f t="shared" si="4"/>
        <v>3.2327586206896601</v>
      </c>
      <c r="G140" s="84">
        <v>3.63649276126558</v>
      </c>
      <c r="H140" s="85"/>
      <c r="I140" s="83"/>
      <c r="J140" s="83">
        <v>5</v>
      </c>
      <c r="K140" s="102"/>
      <c r="L140" s="88">
        <v>0.16</v>
      </c>
      <c r="M140" s="99"/>
      <c r="N140" s="20"/>
      <c r="O140" s="89">
        <f>VLOOKUP(C140,'[1]站级商品进销存统计(2026-06-06)'!$B:$D,3,0)</f>
        <v>2086</v>
      </c>
      <c r="P140" s="90">
        <f>VLOOKUP(C140,'[1]站级商品进销存统计(2026-06-06)'!$B:$F,5,0)</f>
        <v>3.63649276126558</v>
      </c>
    </row>
    <row r="141" spans="1:16" s="76" customFormat="1" ht="14.5">
      <c r="A141" s="20">
        <v>116</v>
      </c>
      <c r="B141" s="20" t="s">
        <v>298</v>
      </c>
      <c r="C141" s="21" t="s">
        <v>713</v>
      </c>
      <c r="D141" s="22" t="s">
        <v>714</v>
      </c>
      <c r="E141" s="83">
        <v>4.0999999999999996</v>
      </c>
      <c r="F141" s="23">
        <f t="shared" si="4"/>
        <v>3.5652173913043499</v>
      </c>
      <c r="G141" s="84">
        <v>4.1155774682914696</v>
      </c>
      <c r="H141" s="85"/>
      <c r="I141" s="83"/>
      <c r="J141" s="83">
        <v>6</v>
      </c>
      <c r="K141" s="102"/>
      <c r="L141" s="88">
        <v>0.15</v>
      </c>
      <c r="M141" s="99"/>
      <c r="N141" s="20"/>
      <c r="O141" s="89">
        <f>VLOOKUP(C141,'[1]站级商品进销存统计(2026-06-06)'!$B:$D,3,0)</f>
        <v>4021</v>
      </c>
      <c r="P141" s="90">
        <f>VLOOKUP(C141,'[1]站级商品进销存统计(2026-06-06)'!$B:$F,5,0)</f>
        <v>4.1155774682914696</v>
      </c>
    </row>
    <row r="142" spans="1:16" s="76" customFormat="1" ht="14.5">
      <c r="A142" s="20">
        <v>117</v>
      </c>
      <c r="B142" s="20" t="s">
        <v>298</v>
      </c>
      <c r="C142" s="21" t="s">
        <v>715</v>
      </c>
      <c r="D142" s="22" t="s">
        <v>716</v>
      </c>
      <c r="E142" s="83">
        <v>4.0999999999999996</v>
      </c>
      <c r="F142" s="23">
        <f t="shared" si="4"/>
        <v>3.5652173913043499</v>
      </c>
      <c r="G142" s="84">
        <v>4.1210085528178997</v>
      </c>
      <c r="H142" s="85"/>
      <c r="I142" s="83"/>
      <c r="J142" s="83">
        <v>6</v>
      </c>
      <c r="K142" s="102"/>
      <c r="L142" s="88">
        <v>0.15</v>
      </c>
      <c r="M142" s="99"/>
      <c r="N142" s="20"/>
      <c r="O142" s="89">
        <f>VLOOKUP(C142,'[1]站级商品进销存统计(2026-06-06)'!$B:$D,3,0)</f>
        <v>3531</v>
      </c>
      <c r="P142" s="90">
        <f>VLOOKUP(C142,'[1]站级商品进销存统计(2026-06-06)'!$B:$F,5,0)</f>
        <v>4.1210085528178997</v>
      </c>
    </row>
    <row r="143" spans="1:16" s="76" customFormat="1" ht="14.5">
      <c r="A143" s="20">
        <v>118</v>
      </c>
      <c r="B143" s="20" t="s">
        <v>298</v>
      </c>
      <c r="C143" s="21" t="s">
        <v>717</v>
      </c>
      <c r="D143" s="22" t="s">
        <v>718</v>
      </c>
      <c r="E143" s="83">
        <v>4.0999999999999996</v>
      </c>
      <c r="F143" s="23">
        <f t="shared" si="4"/>
        <v>3.5652173913043499</v>
      </c>
      <c r="G143" s="84">
        <v>4.1225518297641601</v>
      </c>
      <c r="H143" s="85"/>
      <c r="I143" s="83"/>
      <c r="J143" s="83">
        <v>6</v>
      </c>
      <c r="K143" s="102"/>
      <c r="L143" s="88">
        <v>0.15</v>
      </c>
      <c r="M143" s="99"/>
      <c r="N143" s="20"/>
      <c r="O143" s="89">
        <f>VLOOKUP(C143,'[1]站级商品进销存统计(2026-06-06)'!$B:$D,3,0)</f>
        <v>3689</v>
      </c>
      <c r="P143" s="90">
        <f>VLOOKUP(C143,'[1]站级商品进销存统计(2026-06-06)'!$B:$F,5,0)</f>
        <v>4.1225518297641601</v>
      </c>
    </row>
    <row r="144" spans="1:16" s="76" customFormat="1" ht="14.5">
      <c r="A144" s="20">
        <v>119</v>
      </c>
      <c r="B144" s="20" t="s">
        <v>298</v>
      </c>
      <c r="C144" s="21" t="s">
        <v>719</v>
      </c>
      <c r="D144" s="22" t="s">
        <v>720</v>
      </c>
      <c r="E144" s="83">
        <v>4.0999999999999996</v>
      </c>
      <c r="F144" s="23">
        <f t="shared" si="4"/>
        <v>3.5652173913043499</v>
      </c>
      <c r="G144" s="84">
        <v>4.12334981462757</v>
      </c>
      <c r="H144" s="85"/>
      <c r="I144" s="83"/>
      <c r="J144" s="83">
        <v>6</v>
      </c>
      <c r="K144" s="102"/>
      <c r="L144" s="88">
        <v>0.15</v>
      </c>
      <c r="M144" s="99"/>
      <c r="N144" s="20"/>
      <c r="O144" s="89">
        <f>VLOOKUP(C144,'[1]站级商品进销存统计(2026-06-06)'!$B:$D,3,0)</f>
        <v>2967</v>
      </c>
      <c r="P144" s="90">
        <f>VLOOKUP(C144,'[1]站级商品进销存统计(2026-06-06)'!$B:$F,5,0)</f>
        <v>4.12334981462757</v>
      </c>
    </row>
    <row r="145" spans="1:16" s="76" customFormat="1" ht="14.5">
      <c r="A145" s="20">
        <v>120</v>
      </c>
      <c r="B145" s="20" t="s">
        <v>298</v>
      </c>
      <c r="C145" s="21" t="s">
        <v>721</v>
      </c>
      <c r="D145" s="22" t="s">
        <v>722</v>
      </c>
      <c r="E145" s="83">
        <v>4.0999999999999996</v>
      </c>
      <c r="F145" s="23">
        <f t="shared" si="4"/>
        <v>3.5652173913043499</v>
      </c>
      <c r="G145" s="84">
        <v>4.1116350305499001</v>
      </c>
      <c r="H145" s="85"/>
      <c r="I145" s="83"/>
      <c r="J145" s="83">
        <v>6</v>
      </c>
      <c r="K145" s="102"/>
      <c r="L145" s="88">
        <v>0.15</v>
      </c>
      <c r="M145" s="99"/>
      <c r="N145" s="20"/>
      <c r="O145" s="89">
        <f>VLOOKUP(C145,'[1]站级商品进销存统计(2026-06-06)'!$B:$D,3,0)</f>
        <v>3437</v>
      </c>
      <c r="P145" s="90">
        <f>VLOOKUP(C145,'[1]站级商品进销存统计(2026-06-06)'!$B:$F,5,0)</f>
        <v>4.1116350305499001</v>
      </c>
    </row>
    <row r="146" spans="1:16" s="76" customFormat="1" ht="14.5">
      <c r="A146" s="20">
        <v>121</v>
      </c>
      <c r="B146" s="20" t="s">
        <v>298</v>
      </c>
      <c r="C146" s="21" t="s">
        <v>723</v>
      </c>
      <c r="D146" s="22" t="s">
        <v>724</v>
      </c>
      <c r="E146" s="83">
        <v>2.2000000000000002</v>
      </c>
      <c r="F146" s="23">
        <f t="shared" si="4"/>
        <v>1.8032786885245899</v>
      </c>
      <c r="G146" s="84">
        <v>2.1070549250597801</v>
      </c>
      <c r="H146" s="85"/>
      <c r="I146" s="83"/>
      <c r="J146" s="23">
        <v>3</v>
      </c>
      <c r="K146" s="102"/>
      <c r="L146" s="88">
        <v>0.22</v>
      </c>
      <c r="M146" s="99"/>
      <c r="N146" s="20"/>
      <c r="O146" s="89">
        <f>VLOOKUP(C146,'[1]站级商品进销存统计(2026-06-06)'!$B:$D,3,0)</f>
        <v>17147</v>
      </c>
      <c r="P146" s="90">
        <f>VLOOKUP(C146,'[1]站级商品进销存统计(2026-06-06)'!$B:$F,5,0)</f>
        <v>2.1070549250597801</v>
      </c>
    </row>
    <row r="147" spans="1:16" s="76" customFormat="1" ht="14.5">
      <c r="A147" s="20">
        <v>122</v>
      </c>
      <c r="B147" s="20" t="s">
        <v>298</v>
      </c>
      <c r="C147" s="21" t="s">
        <v>725</v>
      </c>
      <c r="D147" s="22" t="s">
        <v>726</v>
      </c>
      <c r="E147" s="83">
        <v>2.2000000000000002</v>
      </c>
      <c r="F147" s="23">
        <f t="shared" si="4"/>
        <v>1.8032786885245899</v>
      </c>
      <c r="G147" s="84">
        <v>2.10462784993695</v>
      </c>
      <c r="H147" s="85"/>
      <c r="I147" s="83"/>
      <c r="J147" s="23">
        <v>3</v>
      </c>
      <c r="K147" s="102"/>
      <c r="L147" s="88">
        <v>0.22</v>
      </c>
      <c r="M147" s="99"/>
      <c r="N147" s="20"/>
      <c r="O147" s="89">
        <f>VLOOKUP(C147,'[1]站级商品进销存统计(2026-06-06)'!$B:$D,3,0)</f>
        <v>15860</v>
      </c>
      <c r="P147" s="90">
        <f>VLOOKUP(C147,'[1]站级商品进销存统计(2026-06-06)'!$B:$F,5,0)</f>
        <v>2.10462784993695</v>
      </c>
    </row>
    <row r="148" spans="1:16" s="76" customFormat="1" ht="14.5">
      <c r="A148" s="20">
        <v>123</v>
      </c>
      <c r="B148" s="20" t="s">
        <v>298</v>
      </c>
      <c r="C148" s="21" t="s">
        <v>727</v>
      </c>
      <c r="D148" s="22" t="s">
        <v>728</v>
      </c>
      <c r="E148" s="83">
        <v>2.2000000000000002</v>
      </c>
      <c r="F148" s="23">
        <f t="shared" si="4"/>
        <v>1.8032786885245899</v>
      </c>
      <c r="G148" s="84">
        <v>2.1105886309156898</v>
      </c>
      <c r="H148" s="85"/>
      <c r="I148" s="83"/>
      <c r="J148" s="23">
        <v>3</v>
      </c>
      <c r="K148" s="102"/>
      <c r="L148" s="88">
        <v>0.22</v>
      </c>
      <c r="M148" s="99"/>
      <c r="N148" s="20"/>
      <c r="O148" s="89">
        <f>VLOOKUP(C148,'[1]站级商品进销存统计(2026-06-06)'!$B:$D,3,0)</f>
        <v>14601</v>
      </c>
      <c r="P148" s="90">
        <f>VLOOKUP(C148,'[1]站级商品进销存统计(2026-06-06)'!$B:$F,5,0)</f>
        <v>2.1105886309156898</v>
      </c>
    </row>
    <row r="149" spans="1:16" s="76" customFormat="1" ht="14.5">
      <c r="A149" s="20">
        <v>124</v>
      </c>
      <c r="B149" s="20" t="s">
        <v>298</v>
      </c>
      <c r="C149" s="21" t="s">
        <v>729</v>
      </c>
      <c r="D149" s="22" t="s">
        <v>730</v>
      </c>
      <c r="E149" s="83">
        <v>6.45</v>
      </c>
      <c r="F149" s="23">
        <v>6.45</v>
      </c>
      <c r="G149" s="83"/>
      <c r="H149" s="85"/>
      <c r="I149" s="83"/>
      <c r="J149" s="23">
        <v>9.9</v>
      </c>
      <c r="K149" s="102"/>
      <c r="L149" s="88"/>
      <c r="M149" s="99"/>
      <c r="N149" s="20" t="s">
        <v>647</v>
      </c>
      <c r="O149" s="89" t="e">
        <f>VLOOKUP(C149,'[1]站级商品进销存统计(2026-06-06)'!$B:$D,3,0)</f>
        <v>#N/A</v>
      </c>
      <c r="P149" s="90" t="e">
        <f>VLOOKUP(C149,'[1]站级商品进销存统计(2026-06-06)'!$B:$F,5,0)</f>
        <v>#N/A</v>
      </c>
    </row>
    <row r="150" spans="1:16" s="76" customFormat="1" ht="14.5">
      <c r="A150" s="20">
        <v>125</v>
      </c>
      <c r="B150" s="20" t="s">
        <v>298</v>
      </c>
      <c r="C150" s="21" t="s">
        <v>731</v>
      </c>
      <c r="D150" s="22" t="s">
        <v>732</v>
      </c>
      <c r="E150" s="83">
        <v>5.4</v>
      </c>
      <c r="F150" s="23">
        <v>5.4</v>
      </c>
      <c r="G150" s="83"/>
      <c r="H150" s="85"/>
      <c r="I150" s="83"/>
      <c r="J150" s="23">
        <v>7.9</v>
      </c>
      <c r="K150" s="102"/>
      <c r="L150" s="88"/>
      <c r="M150" s="99"/>
      <c r="N150" s="20" t="s">
        <v>647</v>
      </c>
      <c r="O150" s="89" t="e">
        <f>VLOOKUP(C150,'[1]站级商品进销存统计(2026-06-06)'!$B:$D,3,0)</f>
        <v>#N/A</v>
      </c>
      <c r="P150" s="90" t="e">
        <f>VLOOKUP(C150,'[1]站级商品进销存统计(2026-06-06)'!$B:$F,5,0)</f>
        <v>#N/A</v>
      </c>
    </row>
    <row r="151" spans="1:16" s="76" customFormat="1" ht="14.5">
      <c r="A151" s="20">
        <v>126</v>
      </c>
      <c r="B151" s="20" t="s">
        <v>298</v>
      </c>
      <c r="C151" s="21" t="s">
        <v>733</v>
      </c>
      <c r="D151" s="22" t="s">
        <v>734</v>
      </c>
      <c r="E151" s="83">
        <v>6.45</v>
      </c>
      <c r="F151" s="23">
        <v>6.45</v>
      </c>
      <c r="G151" s="83"/>
      <c r="H151" s="85"/>
      <c r="I151" s="83"/>
      <c r="J151" s="23">
        <v>9.9</v>
      </c>
      <c r="K151" s="102"/>
      <c r="L151" s="88"/>
      <c r="M151" s="99"/>
      <c r="N151" s="20" t="s">
        <v>647</v>
      </c>
      <c r="O151" s="89" t="e">
        <f>VLOOKUP(C151,'[1]站级商品进销存统计(2026-06-06)'!$B:$D,3,0)</f>
        <v>#N/A</v>
      </c>
      <c r="P151" s="90" t="e">
        <f>VLOOKUP(C151,'[1]站级商品进销存统计(2026-06-06)'!$B:$F,5,0)</f>
        <v>#N/A</v>
      </c>
    </row>
    <row r="152" spans="1:16" s="76" customFormat="1" ht="14.5">
      <c r="A152" s="20">
        <v>127</v>
      </c>
      <c r="B152" s="20" t="s">
        <v>298</v>
      </c>
      <c r="C152" s="21" t="s">
        <v>735</v>
      </c>
      <c r="D152" s="22" t="s">
        <v>736</v>
      </c>
      <c r="E152" s="83">
        <v>6.45</v>
      </c>
      <c r="F152" s="23">
        <v>6.45</v>
      </c>
      <c r="G152" s="83"/>
      <c r="H152" s="85"/>
      <c r="I152" s="83"/>
      <c r="J152" s="23">
        <v>9.9</v>
      </c>
      <c r="K152" s="102"/>
      <c r="L152" s="88"/>
      <c r="M152" s="99"/>
      <c r="N152" s="20" t="s">
        <v>647</v>
      </c>
      <c r="O152" s="89" t="e">
        <f>VLOOKUP(C152,'[1]站级商品进销存统计(2026-06-06)'!$B:$D,3,0)</f>
        <v>#N/A</v>
      </c>
      <c r="P152" s="90" t="e">
        <f>VLOOKUP(C152,'[1]站级商品进销存统计(2026-06-06)'!$B:$F,5,0)</f>
        <v>#N/A</v>
      </c>
    </row>
    <row r="153" spans="1:16" s="76" customFormat="1" ht="14.5">
      <c r="A153" s="20">
        <v>128</v>
      </c>
      <c r="B153" s="20" t="s">
        <v>298</v>
      </c>
      <c r="C153" s="21" t="s">
        <v>737</v>
      </c>
      <c r="D153" s="22" t="s">
        <v>732</v>
      </c>
      <c r="E153" s="83">
        <v>6.45</v>
      </c>
      <c r="F153" s="23">
        <v>6.45</v>
      </c>
      <c r="G153" s="83"/>
      <c r="H153" s="85"/>
      <c r="I153" s="83"/>
      <c r="J153" s="23">
        <v>9.9</v>
      </c>
      <c r="K153" s="102"/>
      <c r="L153" s="88"/>
      <c r="M153" s="99"/>
      <c r="N153" s="20" t="s">
        <v>647</v>
      </c>
      <c r="O153" s="89" t="e">
        <f>VLOOKUP(C153,'[1]站级商品进销存统计(2026-06-06)'!$B:$D,3,0)</f>
        <v>#N/A</v>
      </c>
      <c r="P153" s="90" t="e">
        <f>VLOOKUP(C153,'[1]站级商品进销存统计(2026-06-06)'!$B:$F,5,0)</f>
        <v>#N/A</v>
      </c>
    </row>
    <row r="154" spans="1:16" s="76" customFormat="1" ht="14.5">
      <c r="A154" s="20">
        <v>129</v>
      </c>
      <c r="B154" s="20" t="s">
        <v>298</v>
      </c>
      <c r="C154" s="21" t="s">
        <v>738</v>
      </c>
      <c r="D154" s="22" t="s">
        <v>739</v>
      </c>
      <c r="E154" s="83">
        <v>6.95</v>
      </c>
      <c r="F154" s="23">
        <v>6.95</v>
      </c>
      <c r="G154" s="83"/>
      <c r="H154" s="85"/>
      <c r="I154" s="83"/>
      <c r="J154" s="23">
        <v>9.9</v>
      </c>
      <c r="K154" s="102"/>
      <c r="L154" s="88"/>
      <c r="M154" s="99"/>
      <c r="N154" s="20" t="s">
        <v>647</v>
      </c>
      <c r="O154" s="89" t="e">
        <f>VLOOKUP(C154,'[1]站级商品进销存统计(2026-06-06)'!$B:$D,3,0)</f>
        <v>#N/A</v>
      </c>
      <c r="P154" s="90" t="e">
        <f>VLOOKUP(C154,'[1]站级商品进销存统计(2026-06-06)'!$B:$F,5,0)</f>
        <v>#N/A</v>
      </c>
    </row>
    <row r="155" spans="1:16" s="76" customFormat="1" ht="14.5">
      <c r="A155" s="20">
        <v>130</v>
      </c>
      <c r="B155" s="20" t="s">
        <v>298</v>
      </c>
      <c r="C155" s="21"/>
      <c r="D155" s="22" t="s">
        <v>740</v>
      </c>
      <c r="E155" s="83">
        <v>4.2035999999999998</v>
      </c>
      <c r="F155" s="23">
        <f t="shared" ref="F155:F175" si="5">E155/(1+L155)</f>
        <v>4.1211764705882397</v>
      </c>
      <c r="G155" s="83">
        <v>4.2035999999999998</v>
      </c>
      <c r="H155" s="85"/>
      <c r="I155" s="83"/>
      <c r="J155" s="83">
        <v>5.5</v>
      </c>
      <c r="K155" s="102"/>
      <c r="L155" s="88">
        <v>0.02</v>
      </c>
      <c r="M155" s="99"/>
      <c r="N155" s="20"/>
      <c r="O155" s="89" t="e">
        <f>VLOOKUP(C155,'[1]站级商品进销存统计(2026-06-06)'!$B:$D,3,0)</f>
        <v>#N/A</v>
      </c>
      <c r="P155" s="90" t="e">
        <f>VLOOKUP(C155,'[1]站级商品进销存统计(2026-06-06)'!$B:$F,5,0)</f>
        <v>#N/A</v>
      </c>
    </row>
    <row r="156" spans="1:16" s="76" customFormat="1" ht="14.5">
      <c r="A156" s="20">
        <v>131</v>
      </c>
      <c r="B156" s="20" t="s">
        <v>298</v>
      </c>
      <c r="C156" s="21"/>
      <c r="D156" s="22" t="s">
        <v>741</v>
      </c>
      <c r="E156" s="83">
        <v>3.5030000000000001</v>
      </c>
      <c r="F156" s="23">
        <f t="shared" si="5"/>
        <v>2.99401709401709</v>
      </c>
      <c r="G156" s="83">
        <v>3.5030000000000001</v>
      </c>
      <c r="H156" s="85"/>
      <c r="I156" s="83"/>
      <c r="J156" s="83">
        <v>5</v>
      </c>
      <c r="K156" s="102"/>
      <c r="L156" s="88">
        <v>0.17</v>
      </c>
      <c r="M156" s="99"/>
      <c r="N156" s="20"/>
      <c r="O156" s="89" t="e">
        <f>VLOOKUP(C156,'[1]站级商品进销存统计(2026-06-06)'!$B:$D,3,0)</f>
        <v>#N/A</v>
      </c>
      <c r="P156" s="90" t="e">
        <f>VLOOKUP(C156,'[1]站级商品进销存统计(2026-06-06)'!$B:$F,5,0)</f>
        <v>#N/A</v>
      </c>
    </row>
    <row r="157" spans="1:16" ht="14.5">
      <c r="A157" s="20">
        <v>132</v>
      </c>
      <c r="B157" s="20" t="s">
        <v>298</v>
      </c>
      <c r="C157" s="21"/>
      <c r="D157" s="22" t="s">
        <v>742</v>
      </c>
      <c r="E157" s="83">
        <v>3.5030000000000001</v>
      </c>
      <c r="F157" s="23">
        <f t="shared" si="5"/>
        <v>2.99401709401709</v>
      </c>
      <c r="G157" s="83">
        <v>3.5030000000000001</v>
      </c>
      <c r="H157" s="85"/>
      <c r="I157" s="83"/>
      <c r="J157" s="83">
        <v>5</v>
      </c>
      <c r="K157" s="102"/>
      <c r="L157" s="88">
        <v>0.17</v>
      </c>
      <c r="M157" s="99"/>
      <c r="N157" s="20"/>
      <c r="O157" s="89" t="e">
        <f>VLOOKUP(C157,'[1]站级商品进销存统计(2026-06-06)'!$B:$D,3,0)</f>
        <v>#N/A</v>
      </c>
      <c r="P157" s="90" t="e">
        <f>VLOOKUP(C157,'[1]站级商品进销存统计(2026-06-06)'!$B:$F,5,0)</f>
        <v>#N/A</v>
      </c>
    </row>
    <row r="158" spans="1:16" ht="14.5">
      <c r="A158" s="20">
        <v>133</v>
      </c>
      <c r="B158" s="20" t="s">
        <v>743</v>
      </c>
      <c r="C158" s="21" t="s">
        <v>744</v>
      </c>
      <c r="D158" s="22" t="s">
        <v>745</v>
      </c>
      <c r="E158" s="23">
        <v>4.3247999999999998</v>
      </c>
      <c r="F158" s="23">
        <f t="shared" si="5"/>
        <v>3.8272566371681398</v>
      </c>
      <c r="G158" s="97">
        <v>4.0104713210130001</v>
      </c>
      <c r="H158" s="30"/>
      <c r="I158" s="23"/>
      <c r="J158" s="23">
        <v>6.5</v>
      </c>
      <c r="K158" s="102"/>
      <c r="L158" s="95">
        <v>0.13</v>
      </c>
      <c r="M158" s="26"/>
      <c r="N158" s="20" t="s">
        <v>458</v>
      </c>
      <c r="O158" s="89">
        <f>VLOOKUP(C158,'[1]站级商品进销存统计(2026-06-06)'!$B:$D,3,0)</f>
        <v>1461</v>
      </c>
      <c r="P158" s="90">
        <f>VLOOKUP(C158,'[1]站级商品进销存统计(2026-06-06)'!$B:$F,5,0)</f>
        <v>4.0104713210130001</v>
      </c>
    </row>
    <row r="159" spans="1:16" ht="14.5">
      <c r="A159" s="20">
        <v>134</v>
      </c>
      <c r="B159" s="20" t="s">
        <v>743</v>
      </c>
      <c r="C159" s="21" t="s">
        <v>746</v>
      </c>
      <c r="D159" s="22" t="s">
        <v>747</v>
      </c>
      <c r="E159" s="23">
        <v>4.3247999999999998</v>
      </c>
      <c r="F159" s="23">
        <f t="shared" si="5"/>
        <v>3.8272566371681398</v>
      </c>
      <c r="G159" s="97">
        <v>3.8909558739254999</v>
      </c>
      <c r="H159" s="30"/>
      <c r="I159" s="23"/>
      <c r="J159" s="23">
        <v>6.5</v>
      </c>
      <c r="K159" s="102"/>
      <c r="L159" s="95">
        <v>0.13</v>
      </c>
      <c r="M159" s="26"/>
      <c r="N159" s="20" t="s">
        <v>458</v>
      </c>
      <c r="O159" s="89">
        <f>VLOOKUP(C159,'[1]站级商品进销存统计(2026-06-06)'!$B:$D,3,0)</f>
        <v>1745</v>
      </c>
      <c r="P159" s="90">
        <f>VLOOKUP(C159,'[1]站级商品进销存统计(2026-06-06)'!$B:$F,5,0)</f>
        <v>3.8909558739254999</v>
      </c>
    </row>
    <row r="160" spans="1:16" ht="14.5">
      <c r="A160" s="20">
        <v>135</v>
      </c>
      <c r="B160" s="20" t="s">
        <v>743</v>
      </c>
      <c r="C160" s="21" t="s">
        <v>748</v>
      </c>
      <c r="D160" s="22" t="s">
        <v>749</v>
      </c>
      <c r="E160" s="83">
        <v>4.38</v>
      </c>
      <c r="F160" s="83">
        <f t="shared" si="5"/>
        <v>1.825</v>
      </c>
      <c r="G160" s="84">
        <v>2.63791361410382</v>
      </c>
      <c r="H160" s="85"/>
      <c r="I160" s="83"/>
      <c r="J160" s="83">
        <v>6.8</v>
      </c>
      <c r="K160" s="102"/>
      <c r="L160" s="88">
        <v>1.4</v>
      </c>
      <c r="M160" s="110"/>
      <c r="N160" s="20"/>
      <c r="O160" s="89">
        <f>VLOOKUP(C160,'[1]站级商品进销存统计(2026-06-06)'!$B:$D,3,0)</f>
        <v>2042</v>
      </c>
      <c r="P160" s="90">
        <f>VLOOKUP(C160,'[1]站级商品进销存统计(2026-06-06)'!$B:$F,5,0)</f>
        <v>2.63791361410382</v>
      </c>
    </row>
    <row r="161" spans="1:16" s="76" customFormat="1" ht="14.5">
      <c r="A161" s="20">
        <v>136</v>
      </c>
      <c r="B161" s="20" t="s">
        <v>743</v>
      </c>
      <c r="C161" s="21" t="s">
        <v>750</v>
      </c>
      <c r="D161" s="22" t="s">
        <v>751</v>
      </c>
      <c r="E161" s="23">
        <v>5.6406000000000001</v>
      </c>
      <c r="F161" s="23">
        <f t="shared" si="5"/>
        <v>4.9916814159292002</v>
      </c>
      <c r="G161" s="97">
        <v>5.6100495656150002</v>
      </c>
      <c r="H161" s="30"/>
      <c r="I161" s="23"/>
      <c r="J161" s="23">
        <v>8.5</v>
      </c>
      <c r="K161" s="102"/>
      <c r="L161" s="95">
        <v>0.13</v>
      </c>
      <c r="M161" s="26"/>
      <c r="N161" s="20" t="s">
        <v>458</v>
      </c>
      <c r="O161" s="89">
        <f>VLOOKUP(C161,'[1]站级商品进销存统计(2026-06-06)'!$B:$D,3,0)</f>
        <v>4374</v>
      </c>
      <c r="P161" s="90">
        <f>VLOOKUP(C161,'[1]站级商品进销存统计(2026-06-06)'!$B:$F,5,0)</f>
        <v>5.6100495656150002</v>
      </c>
    </row>
    <row r="162" spans="1:16" s="76" customFormat="1" ht="14.5">
      <c r="A162" s="20">
        <v>137</v>
      </c>
      <c r="B162" s="20" t="s">
        <v>743</v>
      </c>
      <c r="C162" s="21" t="s">
        <v>752</v>
      </c>
      <c r="D162" s="22" t="s">
        <v>753</v>
      </c>
      <c r="E162" s="23">
        <v>3.9167999999999998</v>
      </c>
      <c r="F162" s="23">
        <f t="shared" si="5"/>
        <v>3.4661946902654899</v>
      </c>
      <c r="G162" s="97">
        <v>3.9093253893345898</v>
      </c>
      <c r="H162" s="30"/>
      <c r="I162" s="23"/>
      <c r="J162" s="23">
        <v>5.9</v>
      </c>
      <c r="K162" s="102"/>
      <c r="L162" s="95">
        <v>0.13</v>
      </c>
      <c r="M162" s="26"/>
      <c r="N162" s="20" t="s">
        <v>458</v>
      </c>
      <c r="O162" s="89">
        <f>VLOOKUP(C162,'[1]站级商品进销存统计(2026-06-06)'!$B:$D,3,0)</f>
        <v>2119</v>
      </c>
      <c r="P162" s="90">
        <f>VLOOKUP(C162,'[1]站级商品进销存统计(2026-06-06)'!$B:$F,5,0)</f>
        <v>3.9093253893345898</v>
      </c>
    </row>
    <row r="163" spans="1:16" s="76" customFormat="1" ht="14.5">
      <c r="A163" s="20">
        <v>138</v>
      </c>
      <c r="B163" s="20" t="s">
        <v>743</v>
      </c>
      <c r="C163" s="21" t="s">
        <v>754</v>
      </c>
      <c r="D163" s="22" t="s">
        <v>755</v>
      </c>
      <c r="E163" s="23">
        <v>3.9167999999999998</v>
      </c>
      <c r="F163" s="23">
        <f t="shared" si="5"/>
        <v>3.4661946902654899</v>
      </c>
      <c r="G163" s="97">
        <v>3.90419940174873</v>
      </c>
      <c r="H163" s="30"/>
      <c r="I163" s="23"/>
      <c r="J163" s="23">
        <v>5.9</v>
      </c>
      <c r="K163" s="102"/>
      <c r="L163" s="95">
        <v>0.13</v>
      </c>
      <c r="M163" s="26"/>
      <c r="N163" s="20" t="s">
        <v>458</v>
      </c>
      <c r="O163" s="89">
        <f>VLOOKUP(C163,'[1]站级商品进销存统计(2026-06-06)'!$B:$D,3,0)</f>
        <v>2173</v>
      </c>
      <c r="P163" s="90">
        <f>VLOOKUP(C163,'[1]站级商品进销存统计(2026-06-06)'!$B:$F,5,0)</f>
        <v>3.90419940174873</v>
      </c>
    </row>
    <row r="164" spans="1:16" s="76" customFormat="1" ht="14.5">
      <c r="A164" s="20">
        <v>139</v>
      </c>
      <c r="B164" s="20" t="s">
        <v>743</v>
      </c>
      <c r="C164" s="21" t="s">
        <v>756</v>
      </c>
      <c r="D164" s="22" t="s">
        <v>757</v>
      </c>
      <c r="E164" s="23">
        <v>5.6406000000000001</v>
      </c>
      <c r="F164" s="23">
        <f t="shared" si="5"/>
        <v>4.9916814159292002</v>
      </c>
      <c r="G164" s="97">
        <v>5.6094974455498798</v>
      </c>
      <c r="H164" s="30"/>
      <c r="I164" s="23"/>
      <c r="J164" s="23">
        <v>8.5</v>
      </c>
      <c r="K164" s="102"/>
      <c r="L164" s="95">
        <v>0.13</v>
      </c>
      <c r="M164" s="20"/>
      <c r="N164" s="20" t="s">
        <v>458</v>
      </c>
      <c r="O164" s="89">
        <f>VLOOKUP(C164,'[1]站级商品进销存统计(2026-06-06)'!$B:$D,3,0)</f>
        <v>3719</v>
      </c>
      <c r="P164" s="90">
        <f>VLOOKUP(C164,'[1]站级商品进销存统计(2026-06-06)'!$B:$F,5,0)</f>
        <v>5.6094974455498798</v>
      </c>
    </row>
    <row r="165" spans="1:16" s="76" customFormat="1" ht="14.5">
      <c r="A165" s="20">
        <v>140</v>
      </c>
      <c r="B165" s="20" t="s">
        <v>743</v>
      </c>
      <c r="C165" s="21" t="s">
        <v>758</v>
      </c>
      <c r="D165" s="22" t="s">
        <v>759</v>
      </c>
      <c r="E165" s="23">
        <v>5.6406000000000001</v>
      </c>
      <c r="F165" s="23">
        <f t="shared" si="5"/>
        <v>4.9916814159292002</v>
      </c>
      <c r="G165" s="97">
        <v>5.5029507594100799</v>
      </c>
      <c r="H165" s="30"/>
      <c r="I165" s="23"/>
      <c r="J165" s="23">
        <v>8.5</v>
      </c>
      <c r="K165" s="102"/>
      <c r="L165" s="115">
        <v>0.13</v>
      </c>
      <c r="M165" s="20"/>
      <c r="N165" s="20" t="s">
        <v>458</v>
      </c>
      <c r="O165" s="89">
        <f>VLOOKUP(C165,'[1]站级商品进销存统计(2026-06-06)'!$B:$D,3,0)</f>
        <v>4543</v>
      </c>
      <c r="P165" s="90">
        <f>VLOOKUP(C165,'[1]站级商品进销存统计(2026-06-06)'!$B:$F,5,0)</f>
        <v>5.5029507594100799</v>
      </c>
    </row>
    <row r="166" spans="1:16" s="76" customFormat="1" ht="14.5">
      <c r="A166" s="20">
        <v>141</v>
      </c>
      <c r="B166" s="20" t="s">
        <v>743</v>
      </c>
      <c r="C166" s="21" t="s">
        <v>760</v>
      </c>
      <c r="D166" s="22" t="s">
        <v>761</v>
      </c>
      <c r="E166" s="23">
        <v>18.2988</v>
      </c>
      <c r="F166" s="23">
        <f t="shared" si="5"/>
        <v>15.912000000000001</v>
      </c>
      <c r="G166" s="97">
        <v>18.094648148148099</v>
      </c>
      <c r="H166" s="30"/>
      <c r="I166" s="23"/>
      <c r="J166" s="23">
        <v>25.9</v>
      </c>
      <c r="K166" s="102"/>
      <c r="L166" s="115">
        <v>0.15</v>
      </c>
      <c r="M166" s="20"/>
      <c r="N166" s="20" t="s">
        <v>458</v>
      </c>
      <c r="O166" s="89">
        <f>VLOOKUP(C166,'[1]站级商品进销存统计(2026-06-06)'!$B:$D,3,0)</f>
        <v>270</v>
      </c>
      <c r="P166" s="90">
        <f>VLOOKUP(C166,'[1]站级商品进销存统计(2026-06-06)'!$B:$F,5,0)</f>
        <v>18.094648148148099</v>
      </c>
    </row>
    <row r="167" spans="1:16" ht="20" customHeight="1">
      <c r="A167" s="20">
        <v>142</v>
      </c>
      <c r="B167" s="91" t="s">
        <v>743</v>
      </c>
      <c r="C167" s="21" t="s">
        <v>762</v>
      </c>
      <c r="D167" s="22" t="s">
        <v>763</v>
      </c>
      <c r="E167" s="23">
        <v>11.3832</v>
      </c>
      <c r="F167" s="23">
        <f t="shared" si="5"/>
        <v>9.4860000000000007</v>
      </c>
      <c r="G167" s="23">
        <v>9.4860000000000007</v>
      </c>
      <c r="H167" s="30"/>
      <c r="I167" s="23"/>
      <c r="J167" s="23">
        <v>15.9</v>
      </c>
      <c r="K167" s="102"/>
      <c r="L167" s="115">
        <v>0.2</v>
      </c>
      <c r="M167" s="20"/>
      <c r="N167" s="91" t="s">
        <v>458</v>
      </c>
      <c r="O167" s="89" t="e">
        <f>VLOOKUP(C167,'[1]站级商品进销存统计(2026-06-06)'!$B:$D,3,0)</f>
        <v>#N/A</v>
      </c>
      <c r="P167" s="90" t="e">
        <f>VLOOKUP(C167,'[1]站级商品进销存统计(2026-06-06)'!$B:$F,5,0)</f>
        <v>#N/A</v>
      </c>
    </row>
    <row r="168" spans="1:16" s="76" customFormat="1" ht="14.5">
      <c r="A168" s="20">
        <v>143</v>
      </c>
      <c r="B168" s="20" t="s">
        <v>743</v>
      </c>
      <c r="C168" s="21" t="s">
        <v>764</v>
      </c>
      <c r="D168" s="22" t="s">
        <v>765</v>
      </c>
      <c r="E168" s="23">
        <v>3.6821999999999999</v>
      </c>
      <c r="F168" s="23">
        <f t="shared" si="5"/>
        <v>3.3474545454545401</v>
      </c>
      <c r="G168" s="97">
        <v>3.45535101434933</v>
      </c>
      <c r="H168" s="30"/>
      <c r="I168" s="23"/>
      <c r="J168" s="23">
        <v>5</v>
      </c>
      <c r="K168" s="102"/>
      <c r="L168" s="95">
        <v>0.1</v>
      </c>
      <c r="M168" s="26"/>
      <c r="N168" s="20" t="s">
        <v>458</v>
      </c>
      <c r="O168" s="89">
        <f>VLOOKUP(C168,'[1]站级商品进销存统计(2026-06-06)'!$B:$D,3,0)</f>
        <v>2021</v>
      </c>
      <c r="P168" s="90">
        <f>VLOOKUP(C168,'[1]站级商品进销存统计(2026-06-06)'!$B:$F,5,0)</f>
        <v>3.45535101434933</v>
      </c>
    </row>
    <row r="169" spans="1:16" s="76" customFormat="1" ht="14.5">
      <c r="A169" s="20">
        <v>144</v>
      </c>
      <c r="B169" s="20" t="s">
        <v>743</v>
      </c>
      <c r="C169" s="21" t="s">
        <v>766</v>
      </c>
      <c r="D169" s="22" t="s">
        <v>767</v>
      </c>
      <c r="E169" s="23">
        <v>3.6821999999999999</v>
      </c>
      <c r="F169" s="23">
        <f t="shared" si="5"/>
        <v>3.3474545454545401</v>
      </c>
      <c r="G169" s="97">
        <v>3.38514388686131</v>
      </c>
      <c r="H169" s="30"/>
      <c r="I169" s="23"/>
      <c r="J169" s="23">
        <v>5</v>
      </c>
      <c r="K169" s="102"/>
      <c r="L169" s="95">
        <v>0.1</v>
      </c>
      <c r="M169" s="26"/>
      <c r="N169" s="20" t="s">
        <v>458</v>
      </c>
      <c r="O169" s="89">
        <f>VLOOKUP(C169,'[1]站级商品进销存统计(2026-06-06)'!$B:$D,3,0)</f>
        <v>1096</v>
      </c>
      <c r="P169" s="90">
        <f>VLOOKUP(C169,'[1]站级商品进销存统计(2026-06-06)'!$B:$F,5,0)</f>
        <v>3.38514388686131</v>
      </c>
    </row>
    <row r="170" spans="1:16" s="76" customFormat="1" ht="14.5">
      <c r="A170" s="20">
        <v>145</v>
      </c>
      <c r="B170" s="20" t="s">
        <v>743</v>
      </c>
      <c r="C170" s="21" t="s">
        <v>768</v>
      </c>
      <c r="D170" s="22" t="s">
        <v>769</v>
      </c>
      <c r="E170" s="23">
        <v>3.6821999999999999</v>
      </c>
      <c r="F170" s="23">
        <f t="shared" si="5"/>
        <v>3.3474545454545401</v>
      </c>
      <c r="G170" s="97">
        <v>3.14190042857143</v>
      </c>
      <c r="H170" s="30"/>
      <c r="I170" s="23"/>
      <c r="J170" s="23">
        <v>5</v>
      </c>
      <c r="K170" s="102"/>
      <c r="L170" s="95">
        <v>0.1</v>
      </c>
      <c r="M170" s="26"/>
      <c r="N170" s="20" t="s">
        <v>458</v>
      </c>
      <c r="O170" s="89">
        <f>VLOOKUP(C170,'[1]站级商品进销存统计(2026-06-06)'!$B:$D,3,0)</f>
        <v>2100</v>
      </c>
      <c r="P170" s="90">
        <f>VLOOKUP(C170,'[1]站级商品进销存统计(2026-06-06)'!$B:$F,5,0)</f>
        <v>3.14190042857143</v>
      </c>
    </row>
    <row r="171" spans="1:16" s="76" customFormat="1" ht="14.5">
      <c r="A171" s="20">
        <v>146</v>
      </c>
      <c r="B171" s="20" t="s">
        <v>743</v>
      </c>
      <c r="C171" s="21" t="s">
        <v>770</v>
      </c>
      <c r="D171" s="22" t="s">
        <v>771</v>
      </c>
      <c r="E171" s="23">
        <v>3.6821999999999999</v>
      </c>
      <c r="F171" s="23">
        <f t="shared" si="5"/>
        <v>3.0684999999999998</v>
      </c>
      <c r="G171" s="97">
        <v>2.20680228310502</v>
      </c>
      <c r="H171" s="30"/>
      <c r="I171" s="23"/>
      <c r="J171" s="23">
        <v>5</v>
      </c>
      <c r="K171" s="102"/>
      <c r="L171" s="95">
        <v>0.2</v>
      </c>
      <c r="M171" s="26"/>
      <c r="N171" s="20" t="s">
        <v>458</v>
      </c>
      <c r="O171" s="89">
        <f>VLOOKUP(C171,'[1]站级商品进销存统计(2026-06-06)'!$B:$D,3,0)</f>
        <v>1752</v>
      </c>
      <c r="P171" s="90">
        <f>VLOOKUP(C171,'[1]站级商品进销存统计(2026-06-06)'!$B:$F,5,0)</f>
        <v>2.20680228310502</v>
      </c>
    </row>
    <row r="172" spans="1:16" s="76" customFormat="1" ht="14.5">
      <c r="A172" s="20">
        <v>147</v>
      </c>
      <c r="B172" s="20" t="s">
        <v>743</v>
      </c>
      <c r="C172" s="21" t="s">
        <v>772</v>
      </c>
      <c r="D172" s="22" t="s">
        <v>773</v>
      </c>
      <c r="E172" s="23">
        <v>3.6821999999999999</v>
      </c>
      <c r="F172" s="23">
        <f t="shared" si="5"/>
        <v>3.0684999999999998</v>
      </c>
      <c r="G172" s="97">
        <v>3.08971589164786</v>
      </c>
      <c r="H172" s="30"/>
      <c r="I172" s="23"/>
      <c r="J172" s="23">
        <v>5</v>
      </c>
      <c r="K172" s="102"/>
      <c r="L172" s="95">
        <v>0.2</v>
      </c>
      <c r="M172" s="26"/>
      <c r="N172" s="20" t="s">
        <v>458</v>
      </c>
      <c r="O172" s="89">
        <f>VLOOKUP(C172,'[1]站级商品进销存统计(2026-06-06)'!$B:$D,3,0)</f>
        <v>2215</v>
      </c>
      <c r="P172" s="90">
        <f>VLOOKUP(C172,'[1]站级商品进销存统计(2026-06-06)'!$B:$F,5,0)</f>
        <v>3.08971589164786</v>
      </c>
    </row>
    <row r="173" spans="1:16" s="76" customFormat="1" ht="14.5">
      <c r="A173" s="20">
        <v>148</v>
      </c>
      <c r="B173" s="20" t="s">
        <v>743</v>
      </c>
      <c r="C173" s="21" t="s">
        <v>774</v>
      </c>
      <c r="D173" s="22" t="s">
        <v>775</v>
      </c>
      <c r="E173" s="23">
        <v>4.7531999999999996</v>
      </c>
      <c r="F173" s="23">
        <f t="shared" si="5"/>
        <v>3.6846511627907002</v>
      </c>
      <c r="G173" s="97">
        <v>4.5701027528426099</v>
      </c>
      <c r="H173" s="30"/>
      <c r="I173" s="23"/>
      <c r="J173" s="23">
        <v>7.5</v>
      </c>
      <c r="K173" s="102"/>
      <c r="L173" s="95">
        <v>0.28999999999999998</v>
      </c>
      <c r="M173" s="26"/>
      <c r="N173" s="20" t="s">
        <v>458</v>
      </c>
      <c r="O173" s="89">
        <f>VLOOKUP(C173,'[1]站级商品进销存统计(2026-06-06)'!$B:$D,3,0)</f>
        <v>1671</v>
      </c>
      <c r="P173" s="90">
        <f>VLOOKUP(C173,'[1]站级商品进销存统计(2026-06-06)'!$B:$F,5,0)</f>
        <v>4.5701027528426099</v>
      </c>
    </row>
    <row r="174" spans="1:16" s="76" customFormat="1" ht="18" customHeight="1">
      <c r="A174" s="20">
        <v>149</v>
      </c>
      <c r="B174" s="20" t="s">
        <v>743</v>
      </c>
      <c r="C174" s="21" t="s">
        <v>776</v>
      </c>
      <c r="D174" s="22" t="s">
        <v>777</v>
      </c>
      <c r="E174" s="23">
        <v>4.7531999999999996</v>
      </c>
      <c r="F174" s="23">
        <f t="shared" si="5"/>
        <v>4.32109090909091</v>
      </c>
      <c r="G174" s="97">
        <v>4.5899967939972699</v>
      </c>
      <c r="H174" s="30"/>
      <c r="I174" s="23"/>
      <c r="J174" s="23">
        <v>7.5</v>
      </c>
      <c r="K174" s="102"/>
      <c r="L174" s="95">
        <v>0.1</v>
      </c>
      <c r="M174" s="26"/>
      <c r="N174" s="20" t="s">
        <v>458</v>
      </c>
      <c r="O174" s="89">
        <f>VLOOKUP(C174,'[1]站级商品进销存统计(2026-06-06)'!$B:$D,3,0)</f>
        <v>1466</v>
      </c>
      <c r="P174" s="90">
        <f>VLOOKUP(C174,'[1]站级商品进销存统计(2026-06-06)'!$B:$F,5,0)</f>
        <v>4.5899967939972699</v>
      </c>
    </row>
    <row r="175" spans="1:16" s="76" customFormat="1" ht="18" customHeight="1">
      <c r="A175" s="20">
        <v>150</v>
      </c>
      <c r="B175" s="20" t="s">
        <v>743</v>
      </c>
      <c r="C175" s="21" t="s">
        <v>778</v>
      </c>
      <c r="D175" s="22" t="s">
        <v>779</v>
      </c>
      <c r="E175" s="23">
        <v>4.7531999999999996</v>
      </c>
      <c r="F175" s="23">
        <f t="shared" si="5"/>
        <v>3.6846511627907002</v>
      </c>
      <c r="G175" s="97">
        <v>4.5977780831571504</v>
      </c>
      <c r="H175" s="30"/>
      <c r="I175" s="23"/>
      <c r="J175" s="23">
        <v>7.5</v>
      </c>
      <c r="K175" s="102"/>
      <c r="L175" s="95">
        <v>0.28999999999999998</v>
      </c>
      <c r="M175" s="26"/>
      <c r="N175" s="20" t="s">
        <v>458</v>
      </c>
      <c r="O175" s="89">
        <f>VLOOKUP(C175,'[1]站级商品进销存统计(2026-06-06)'!$B:$D,3,0)</f>
        <v>1419</v>
      </c>
      <c r="P175" s="90">
        <f>VLOOKUP(C175,'[1]站级商品进销存统计(2026-06-06)'!$B:$F,5,0)</f>
        <v>4.5977780831571504</v>
      </c>
    </row>
    <row r="176" spans="1:16" s="76" customFormat="1" ht="18" customHeight="1">
      <c r="A176" s="20">
        <v>151</v>
      </c>
      <c r="B176" s="20" t="s">
        <v>743</v>
      </c>
      <c r="C176" s="21" t="s">
        <v>780</v>
      </c>
      <c r="D176" s="22" t="s">
        <v>781</v>
      </c>
      <c r="E176" s="83">
        <v>4.95</v>
      </c>
      <c r="F176" s="83">
        <v>4.5</v>
      </c>
      <c r="G176" s="84">
        <v>4.7951382415254198</v>
      </c>
      <c r="H176" s="85"/>
      <c r="I176" s="83"/>
      <c r="J176" s="83">
        <v>6.9</v>
      </c>
      <c r="K176" s="102"/>
      <c r="L176" s="88">
        <v>0.08</v>
      </c>
      <c r="M176" s="110"/>
      <c r="N176" s="20"/>
      <c r="O176" s="89">
        <f>VLOOKUP(C176,'[1]站级商品进销存统计(2026-06-06)'!$B:$D,3,0)</f>
        <v>944</v>
      </c>
      <c r="P176" s="90">
        <f>VLOOKUP(C176,'[1]站级商品进销存统计(2026-06-06)'!$B:$F,5,0)</f>
        <v>4.7951382415254198</v>
      </c>
    </row>
    <row r="177" spans="1:16" s="76" customFormat="1" ht="18" customHeight="1">
      <c r="A177" s="20">
        <v>152</v>
      </c>
      <c r="B177" s="20" t="s">
        <v>743</v>
      </c>
      <c r="C177" s="21" t="s">
        <v>782</v>
      </c>
      <c r="D177" s="22" t="s">
        <v>783</v>
      </c>
      <c r="E177" s="83">
        <v>4.95</v>
      </c>
      <c r="F177" s="83">
        <v>4.5</v>
      </c>
      <c r="G177" s="84">
        <v>4.7620617268041201</v>
      </c>
      <c r="H177" s="85"/>
      <c r="I177" s="83"/>
      <c r="J177" s="83">
        <v>6.9</v>
      </c>
      <c r="K177" s="102"/>
      <c r="L177" s="88">
        <v>0.08</v>
      </c>
      <c r="M177" s="110"/>
      <c r="N177" s="20"/>
      <c r="O177" s="89">
        <f>VLOOKUP(C177,'[1]站级商品进销存统计(2026-06-06)'!$B:$D,3,0)</f>
        <v>776</v>
      </c>
      <c r="P177" s="90">
        <f>VLOOKUP(C177,'[1]站级商品进销存统计(2026-06-06)'!$B:$F,5,0)</f>
        <v>4.7620617268041201</v>
      </c>
    </row>
    <row r="178" spans="1:16" s="76" customFormat="1" ht="14.5">
      <c r="A178" s="20">
        <v>153</v>
      </c>
      <c r="B178" s="20" t="s">
        <v>743</v>
      </c>
      <c r="C178" s="21" t="s">
        <v>784</v>
      </c>
      <c r="D178" s="22" t="s">
        <v>785</v>
      </c>
      <c r="E178" s="83">
        <v>4.95</v>
      </c>
      <c r="F178" s="83">
        <v>4.5</v>
      </c>
      <c r="G178" s="84">
        <v>4.7962665760869596</v>
      </c>
      <c r="H178" s="85"/>
      <c r="I178" s="83"/>
      <c r="J178" s="83">
        <v>6.9</v>
      </c>
      <c r="K178" s="102"/>
      <c r="L178" s="88">
        <v>0.08</v>
      </c>
      <c r="M178" s="110"/>
      <c r="N178" s="20"/>
      <c r="O178" s="89">
        <f>VLOOKUP(C178,'[1]站级商品进销存统计(2026-06-06)'!$B:$D,3,0)</f>
        <v>1104</v>
      </c>
      <c r="P178" s="90">
        <f>VLOOKUP(C178,'[1]站级商品进销存统计(2026-06-06)'!$B:$F,5,0)</f>
        <v>4.7962665760869596</v>
      </c>
    </row>
    <row r="179" spans="1:16" s="76" customFormat="1" ht="14.5">
      <c r="A179" s="20">
        <v>154</v>
      </c>
      <c r="B179" s="20" t="s">
        <v>743</v>
      </c>
      <c r="C179" s="21" t="s">
        <v>786</v>
      </c>
      <c r="D179" s="22" t="s">
        <v>787</v>
      </c>
      <c r="E179" s="83">
        <v>4.95</v>
      </c>
      <c r="F179" s="83">
        <v>4.5</v>
      </c>
      <c r="G179" s="84">
        <v>4.80877919010124</v>
      </c>
      <c r="H179" s="85"/>
      <c r="I179" s="83"/>
      <c r="J179" s="83">
        <v>6.9</v>
      </c>
      <c r="K179" s="102"/>
      <c r="L179" s="88">
        <v>0.08</v>
      </c>
      <c r="M179" s="110"/>
      <c r="N179" s="20"/>
      <c r="O179" s="89">
        <f>VLOOKUP(C179,'[1]站级商品进销存统计(2026-06-06)'!$B:$D,3,0)</f>
        <v>889</v>
      </c>
      <c r="P179" s="90">
        <f>VLOOKUP(C179,'[1]站级商品进销存统计(2026-06-06)'!$B:$F,5,0)</f>
        <v>4.80877919010124</v>
      </c>
    </row>
    <row r="180" spans="1:16" s="76" customFormat="1" ht="14.5">
      <c r="A180" s="20">
        <v>155</v>
      </c>
      <c r="B180" s="20" t="s">
        <v>743</v>
      </c>
      <c r="C180" s="21" t="s">
        <v>788</v>
      </c>
      <c r="D180" s="22" t="s">
        <v>789</v>
      </c>
      <c r="E180" s="23">
        <v>5.3141999999999996</v>
      </c>
      <c r="F180" s="23">
        <f t="shared" ref="F180:F190" si="6">E180/(1+L180)</f>
        <v>4.7028318584070803</v>
      </c>
      <c r="G180" s="97">
        <v>5.0032157589802999</v>
      </c>
      <c r="H180" s="30"/>
      <c r="I180" s="23"/>
      <c r="J180" s="23">
        <v>7.5</v>
      </c>
      <c r="K180" s="102"/>
      <c r="L180" s="95">
        <v>0.13</v>
      </c>
      <c r="M180" s="26"/>
      <c r="N180" s="20" t="s">
        <v>458</v>
      </c>
      <c r="O180" s="89">
        <f>VLOOKUP(C180,'[1]站级商品进销存统计(2026-06-06)'!$B:$D,3,0)</f>
        <v>863</v>
      </c>
      <c r="P180" s="90">
        <f>VLOOKUP(C180,'[1]站级商品进销存统计(2026-06-06)'!$B:$F,5,0)</f>
        <v>5.0032157589802999</v>
      </c>
    </row>
    <row r="181" spans="1:16" s="76" customFormat="1" ht="14.5">
      <c r="A181" s="20">
        <v>156</v>
      </c>
      <c r="B181" s="20" t="s">
        <v>743</v>
      </c>
      <c r="C181" s="21" t="s">
        <v>790</v>
      </c>
      <c r="D181" s="22" t="s">
        <v>791</v>
      </c>
      <c r="E181" s="23">
        <v>5.3141999999999996</v>
      </c>
      <c r="F181" s="23">
        <f t="shared" si="6"/>
        <v>4.7028318584070803</v>
      </c>
      <c r="G181" s="97">
        <v>4.7019266862170097</v>
      </c>
      <c r="H181" s="30"/>
      <c r="I181" s="23"/>
      <c r="J181" s="23">
        <v>7.5</v>
      </c>
      <c r="K181" s="102"/>
      <c r="L181" s="95">
        <v>0.13</v>
      </c>
      <c r="M181" s="26"/>
      <c r="N181" s="20" t="s">
        <v>458</v>
      </c>
      <c r="O181" s="89">
        <f>VLOOKUP(C181,'[1]站级商品进销存统计(2026-06-06)'!$B:$D,3,0)</f>
        <v>1023</v>
      </c>
      <c r="P181" s="90">
        <f>VLOOKUP(C181,'[1]站级商品进销存统计(2026-06-06)'!$B:$F,5,0)</f>
        <v>4.7019266862170097</v>
      </c>
    </row>
    <row r="182" spans="1:16" s="76" customFormat="1" ht="14.5">
      <c r="A182" s="20">
        <v>157</v>
      </c>
      <c r="B182" s="20" t="s">
        <v>743</v>
      </c>
      <c r="C182" s="21" t="s">
        <v>792</v>
      </c>
      <c r="D182" s="22" t="s">
        <v>793</v>
      </c>
      <c r="E182" s="23">
        <v>19.696200000000001</v>
      </c>
      <c r="F182" s="23">
        <f t="shared" si="6"/>
        <v>16.413499999999999</v>
      </c>
      <c r="G182" s="23">
        <v>16.413499999999999</v>
      </c>
      <c r="H182" s="30"/>
      <c r="I182" s="23"/>
      <c r="J182" s="23">
        <v>27.9</v>
      </c>
      <c r="K182" s="102"/>
      <c r="L182" s="95">
        <v>0.2</v>
      </c>
      <c r="M182" s="26"/>
      <c r="N182" s="20" t="s">
        <v>458</v>
      </c>
      <c r="O182" s="89" t="e">
        <f>VLOOKUP(C182,'[1]站级商品进销存统计(2026-06-06)'!$B:$D,3,0)</f>
        <v>#N/A</v>
      </c>
      <c r="P182" s="90" t="e">
        <f>VLOOKUP(C182,'[1]站级商品进销存统计(2026-06-06)'!$B:$F,5,0)</f>
        <v>#N/A</v>
      </c>
    </row>
    <row r="183" spans="1:16" s="76" customFormat="1" ht="14.5">
      <c r="A183" s="20">
        <v>158</v>
      </c>
      <c r="B183" s="20" t="s">
        <v>743</v>
      </c>
      <c r="C183" s="21" t="s">
        <v>794</v>
      </c>
      <c r="D183" s="22" t="s">
        <v>795</v>
      </c>
      <c r="E183" s="23">
        <v>6.6402000000000001</v>
      </c>
      <c r="F183" s="23">
        <f t="shared" si="6"/>
        <v>6.0365454545454504</v>
      </c>
      <c r="G183" s="97">
        <v>6.4495918687589198</v>
      </c>
      <c r="H183" s="30"/>
      <c r="I183" s="23"/>
      <c r="J183" s="23">
        <v>10</v>
      </c>
      <c r="K183" s="102"/>
      <c r="L183" s="95">
        <v>0.1</v>
      </c>
      <c r="M183" s="26"/>
      <c r="N183" s="20" t="s">
        <v>458</v>
      </c>
      <c r="O183" s="89">
        <f>VLOOKUP(C183,'[1]站级商品进销存统计(2026-06-06)'!$B:$D,3,0)</f>
        <v>2103</v>
      </c>
      <c r="P183" s="90">
        <f>VLOOKUP(C183,'[1]站级商品进销存统计(2026-06-06)'!$B:$F,5,0)</f>
        <v>6.4495918687589198</v>
      </c>
    </row>
    <row r="184" spans="1:16" s="76" customFormat="1" ht="14.5">
      <c r="A184" s="20">
        <v>159</v>
      </c>
      <c r="B184" s="20" t="s">
        <v>743</v>
      </c>
      <c r="C184" s="21" t="s">
        <v>796</v>
      </c>
      <c r="D184" s="22" t="s">
        <v>797</v>
      </c>
      <c r="E184" s="23">
        <v>6.6402000000000001</v>
      </c>
      <c r="F184" s="23">
        <f t="shared" si="6"/>
        <v>6.0365454545454504</v>
      </c>
      <c r="G184" s="97">
        <v>6.2911619999999999</v>
      </c>
      <c r="H184" s="30"/>
      <c r="I184" s="23"/>
      <c r="J184" s="23">
        <v>10</v>
      </c>
      <c r="K184" s="102"/>
      <c r="L184" s="95">
        <v>0.1</v>
      </c>
      <c r="M184" s="26"/>
      <c r="N184" s="20" t="s">
        <v>458</v>
      </c>
      <c r="O184" s="89">
        <f>VLOOKUP(C184,'[1]站级商品进销存统计(2026-06-06)'!$B:$D,3,0)</f>
        <v>2600</v>
      </c>
      <c r="P184" s="90">
        <f>VLOOKUP(C184,'[1]站级商品进销存统计(2026-06-06)'!$B:$F,5,0)</f>
        <v>6.2911619999999999</v>
      </c>
    </row>
    <row r="185" spans="1:16" s="76" customFormat="1" ht="14.5">
      <c r="A185" s="20">
        <v>160</v>
      </c>
      <c r="B185" s="20" t="s">
        <v>743</v>
      </c>
      <c r="C185" s="21" t="s">
        <v>798</v>
      </c>
      <c r="D185" s="22" t="s">
        <v>799</v>
      </c>
      <c r="E185" s="23">
        <v>6.6402000000000001</v>
      </c>
      <c r="F185" s="23">
        <f t="shared" si="6"/>
        <v>4.7771223021582703</v>
      </c>
      <c r="G185" s="97">
        <v>6.4313410615554698</v>
      </c>
      <c r="H185" s="30"/>
      <c r="I185" s="23"/>
      <c r="J185" s="23">
        <v>10</v>
      </c>
      <c r="K185" s="102"/>
      <c r="L185" s="95">
        <v>0.39</v>
      </c>
      <c r="M185" s="26"/>
      <c r="N185" s="20" t="s">
        <v>458</v>
      </c>
      <c r="O185" s="89">
        <f>VLOOKUP(C185,'[1]站级商品进销存统计(2026-06-06)'!$B:$D,3,0)</f>
        <v>2713</v>
      </c>
      <c r="P185" s="90">
        <f>VLOOKUP(C185,'[1]站级商品进销存统计(2026-06-06)'!$B:$F,5,0)</f>
        <v>6.4313410615554698</v>
      </c>
    </row>
    <row r="186" spans="1:16" s="76" customFormat="1" ht="14.5">
      <c r="A186" s="20">
        <v>161</v>
      </c>
      <c r="B186" s="20" t="s">
        <v>743</v>
      </c>
      <c r="C186" s="21" t="s">
        <v>800</v>
      </c>
      <c r="D186" s="22" t="s">
        <v>801</v>
      </c>
      <c r="E186" s="23">
        <v>6.6402000000000001</v>
      </c>
      <c r="F186" s="23">
        <f t="shared" si="6"/>
        <v>4.7771223021582703</v>
      </c>
      <c r="G186" s="97">
        <v>6.0111288996029497</v>
      </c>
      <c r="H186" s="30"/>
      <c r="I186" s="23"/>
      <c r="J186" s="23">
        <v>10</v>
      </c>
      <c r="K186" s="102"/>
      <c r="L186" s="95">
        <v>0.39</v>
      </c>
      <c r="M186" s="26"/>
      <c r="N186" s="20" t="s">
        <v>458</v>
      </c>
      <c r="O186" s="89">
        <f>VLOOKUP(C186,'[1]站级商品进销存统计(2026-06-06)'!$B:$D,3,0)</f>
        <v>3526</v>
      </c>
      <c r="P186" s="90">
        <f>VLOOKUP(C186,'[1]站级商品进销存统计(2026-06-06)'!$B:$F,5,0)</f>
        <v>6.0111288996029497</v>
      </c>
    </row>
    <row r="187" spans="1:16" s="76" customFormat="1" ht="14.5">
      <c r="A187" s="20">
        <v>162</v>
      </c>
      <c r="B187" s="20" t="s">
        <v>743</v>
      </c>
      <c r="C187" s="21" t="s">
        <v>802</v>
      </c>
      <c r="D187" s="22" t="s">
        <v>803</v>
      </c>
      <c r="E187" s="23">
        <v>4.7531999999999996</v>
      </c>
      <c r="F187" s="23">
        <f t="shared" si="6"/>
        <v>4.32109090909091</v>
      </c>
      <c r="G187" s="97">
        <v>4.5378410829394102</v>
      </c>
      <c r="H187" s="30"/>
      <c r="I187" s="23"/>
      <c r="J187" s="23">
        <v>7.5</v>
      </c>
      <c r="K187" s="102"/>
      <c r="L187" s="95">
        <v>0.1</v>
      </c>
      <c r="M187" s="26"/>
      <c r="N187" s="20" t="s">
        <v>458</v>
      </c>
      <c r="O187" s="89">
        <f>VLOOKUP(C187,'[1]站级商品进销存统计(2026-06-06)'!$B:$D,3,0)</f>
        <v>2327</v>
      </c>
      <c r="P187" s="90">
        <f>VLOOKUP(C187,'[1]站级商品进销存统计(2026-06-06)'!$B:$F,5,0)</f>
        <v>4.5378410829394102</v>
      </c>
    </row>
    <row r="188" spans="1:16" s="76" customFormat="1" ht="14.5">
      <c r="A188" s="20">
        <v>163</v>
      </c>
      <c r="B188" s="20" t="s">
        <v>743</v>
      </c>
      <c r="C188" s="21" t="s">
        <v>804</v>
      </c>
      <c r="D188" s="22" t="s">
        <v>805</v>
      </c>
      <c r="E188" s="23">
        <v>4.7531999999999996</v>
      </c>
      <c r="F188" s="23">
        <f t="shared" si="6"/>
        <v>4.32109090909091</v>
      </c>
      <c r="G188" s="97">
        <v>4.4771300610615299</v>
      </c>
      <c r="H188" s="30"/>
      <c r="I188" s="23"/>
      <c r="J188" s="23">
        <v>7.5</v>
      </c>
      <c r="K188" s="102"/>
      <c r="L188" s="95">
        <v>0.1</v>
      </c>
      <c r="M188" s="26"/>
      <c r="N188" s="20" t="s">
        <v>458</v>
      </c>
      <c r="O188" s="89">
        <f>VLOOKUP(C188,'[1]站级商品进销存统计(2026-06-06)'!$B:$D,3,0)</f>
        <v>2129</v>
      </c>
      <c r="P188" s="90">
        <f>VLOOKUP(C188,'[1]站级商品进销存统计(2026-06-06)'!$B:$F,5,0)</f>
        <v>4.4771300610615299</v>
      </c>
    </row>
    <row r="189" spans="1:16" s="76" customFormat="1" ht="14.5">
      <c r="A189" s="20">
        <v>164</v>
      </c>
      <c r="B189" s="20" t="s">
        <v>743</v>
      </c>
      <c r="C189" s="21" t="s">
        <v>806</v>
      </c>
      <c r="D189" s="22" t="s">
        <v>807</v>
      </c>
      <c r="E189" s="23">
        <v>4.7531999999999996</v>
      </c>
      <c r="F189" s="23">
        <f t="shared" si="6"/>
        <v>4.32109090909091</v>
      </c>
      <c r="G189" s="97">
        <v>4.6274898174442196</v>
      </c>
      <c r="H189" s="30"/>
      <c r="I189" s="23"/>
      <c r="J189" s="23">
        <v>7.5</v>
      </c>
      <c r="K189" s="102"/>
      <c r="L189" s="95">
        <v>0.1</v>
      </c>
      <c r="M189" s="26"/>
      <c r="N189" s="20" t="s">
        <v>458</v>
      </c>
      <c r="O189" s="89">
        <f>VLOOKUP(C189,'[1]站级商品进销存统计(2026-06-06)'!$B:$D,3,0)</f>
        <v>2465</v>
      </c>
      <c r="P189" s="90">
        <f>VLOOKUP(C189,'[1]站级商品进销存统计(2026-06-06)'!$B:$F,5,0)</f>
        <v>4.6274898174442196</v>
      </c>
    </row>
    <row r="190" spans="1:16" s="76" customFormat="1" ht="14.5">
      <c r="A190" s="20">
        <v>165</v>
      </c>
      <c r="B190" s="20" t="s">
        <v>743</v>
      </c>
      <c r="C190" s="21" t="s">
        <v>808</v>
      </c>
      <c r="D190" s="22" t="s">
        <v>809</v>
      </c>
      <c r="E190" s="23">
        <v>4.7531999999999996</v>
      </c>
      <c r="F190" s="23">
        <f t="shared" si="6"/>
        <v>4.32109090909091</v>
      </c>
      <c r="G190" s="97">
        <v>4.5817584158415796</v>
      </c>
      <c r="H190" s="30"/>
      <c r="I190" s="23"/>
      <c r="J190" s="23">
        <v>7.5</v>
      </c>
      <c r="K190" s="102"/>
      <c r="L190" s="95">
        <v>0.1</v>
      </c>
      <c r="M190" s="26"/>
      <c r="N190" s="20" t="s">
        <v>458</v>
      </c>
      <c r="O190" s="89">
        <f>VLOOKUP(C190,'[1]站级商品进销存统计(2026-06-06)'!$B:$D,3,0)</f>
        <v>2626</v>
      </c>
      <c r="P190" s="90">
        <f>VLOOKUP(C190,'[1]站级商品进销存统计(2026-06-06)'!$B:$F,5,0)</f>
        <v>4.5817584158415796</v>
      </c>
    </row>
    <row r="191" spans="1:16" s="76" customFormat="1" ht="14.5">
      <c r="A191" s="20">
        <v>166</v>
      </c>
      <c r="B191" s="20" t="s">
        <v>743</v>
      </c>
      <c r="C191" s="21" t="s">
        <v>810</v>
      </c>
      <c r="D191" s="22" t="s">
        <v>811</v>
      </c>
      <c r="E191" s="83">
        <v>10</v>
      </c>
      <c r="F191" s="83">
        <v>10</v>
      </c>
      <c r="G191" s="84">
        <v>9.5220858044164007</v>
      </c>
      <c r="H191" s="85"/>
      <c r="I191" s="83"/>
      <c r="J191" s="83">
        <v>17.899999999999999</v>
      </c>
      <c r="K191" s="102"/>
      <c r="L191" s="88" t="s">
        <v>279</v>
      </c>
      <c r="M191" s="110"/>
      <c r="N191" s="20" t="s">
        <v>647</v>
      </c>
      <c r="O191" s="89">
        <f>VLOOKUP(C191,'[1]站级商品进销存统计(2026-06-06)'!$B:$D,3,0)</f>
        <v>634</v>
      </c>
      <c r="P191" s="90">
        <f>VLOOKUP(C191,'[1]站级商品进销存统计(2026-06-06)'!$B:$F,5,0)</f>
        <v>9.5220858044164007</v>
      </c>
    </row>
    <row r="192" spans="1:16" s="76" customFormat="1" ht="14.5">
      <c r="A192" s="20">
        <v>167</v>
      </c>
      <c r="B192" s="20" t="s">
        <v>743</v>
      </c>
      <c r="C192" s="21" t="s">
        <v>812</v>
      </c>
      <c r="D192" s="22" t="s">
        <v>813</v>
      </c>
      <c r="E192" s="83">
        <v>9</v>
      </c>
      <c r="F192" s="83">
        <v>9</v>
      </c>
      <c r="G192" s="84">
        <v>9.0079231629392993</v>
      </c>
      <c r="H192" s="85"/>
      <c r="I192" s="83"/>
      <c r="J192" s="83">
        <v>17.899999999999999</v>
      </c>
      <c r="K192" s="102"/>
      <c r="L192" s="88" t="s">
        <v>279</v>
      </c>
      <c r="M192" s="110"/>
      <c r="N192" s="20" t="s">
        <v>647</v>
      </c>
      <c r="O192" s="89">
        <f>VLOOKUP(C192,'[1]站级商品进销存统计(2026-06-06)'!$B:$D,3,0)</f>
        <v>626</v>
      </c>
      <c r="P192" s="90">
        <f>VLOOKUP(C192,'[1]站级商品进销存统计(2026-06-06)'!$B:$F,5,0)</f>
        <v>9.0079231629392993</v>
      </c>
    </row>
    <row r="193" spans="1:16" s="76" customFormat="1" ht="14.5">
      <c r="A193" s="20">
        <v>168</v>
      </c>
      <c r="B193" s="20" t="s">
        <v>743</v>
      </c>
      <c r="C193" s="21" t="s">
        <v>814</v>
      </c>
      <c r="D193" s="22" t="s">
        <v>815</v>
      </c>
      <c r="E193" s="83">
        <v>4.18</v>
      </c>
      <c r="F193" s="23">
        <f t="shared" ref="F193:F206" si="7">E193/(1+L193)</f>
        <v>3.9809523809523801</v>
      </c>
      <c r="G193" s="84">
        <v>4.2175153710247297</v>
      </c>
      <c r="H193" s="85"/>
      <c r="I193" s="83"/>
      <c r="J193" s="83">
        <v>7.5</v>
      </c>
      <c r="K193" s="102"/>
      <c r="L193" s="88">
        <v>0.05</v>
      </c>
      <c r="M193" s="99"/>
      <c r="N193" s="20" t="s">
        <v>458</v>
      </c>
      <c r="O193" s="89">
        <f>VLOOKUP(C193,'[1]站级商品进销存统计(2026-06-06)'!$B:$D,3,0)</f>
        <v>1132</v>
      </c>
      <c r="P193" s="90">
        <f>VLOOKUP(C193,'[1]站级商品进销存统计(2026-06-06)'!$B:$F,5,0)</f>
        <v>4.2175153710247297</v>
      </c>
    </row>
    <row r="194" spans="1:16" s="76" customFormat="1" ht="14.5">
      <c r="A194" s="20">
        <v>169</v>
      </c>
      <c r="B194" s="20" t="s">
        <v>743</v>
      </c>
      <c r="C194" s="21" t="s">
        <v>816</v>
      </c>
      <c r="D194" s="22" t="s">
        <v>817</v>
      </c>
      <c r="E194" s="83">
        <v>4.18</v>
      </c>
      <c r="F194" s="23">
        <f t="shared" si="7"/>
        <v>3.9809523809523801</v>
      </c>
      <c r="G194" s="84">
        <v>4.2237097943192898</v>
      </c>
      <c r="H194" s="85"/>
      <c r="I194" s="83"/>
      <c r="J194" s="83">
        <v>7.5</v>
      </c>
      <c r="K194" s="102"/>
      <c r="L194" s="88">
        <v>0.05</v>
      </c>
      <c r="M194" s="99"/>
      <c r="N194" s="20"/>
      <c r="O194" s="89">
        <f>VLOOKUP(C194,'[1]站级商品进销存统计(2026-06-06)'!$B:$D,3,0)</f>
        <v>1021</v>
      </c>
      <c r="P194" s="90">
        <f>VLOOKUP(C194,'[1]站级商品进销存统计(2026-06-06)'!$B:$F,5,0)</f>
        <v>4.2237097943192898</v>
      </c>
    </row>
    <row r="195" spans="1:16" s="76" customFormat="1" ht="14.5">
      <c r="A195" s="20">
        <v>170</v>
      </c>
      <c r="B195" s="20" t="s">
        <v>743</v>
      </c>
      <c r="C195" s="21" t="s">
        <v>818</v>
      </c>
      <c r="D195" s="22" t="s">
        <v>819</v>
      </c>
      <c r="E195" s="83">
        <v>4.18</v>
      </c>
      <c r="F195" s="23">
        <f t="shared" si="7"/>
        <v>3.9809523809523801</v>
      </c>
      <c r="G195" s="84">
        <v>4.2499945714285703</v>
      </c>
      <c r="H195" s="85"/>
      <c r="I195" s="83"/>
      <c r="J195" s="83">
        <v>7.5</v>
      </c>
      <c r="K195" s="102"/>
      <c r="L195" s="88">
        <v>0.05</v>
      </c>
      <c r="M195" s="99"/>
      <c r="N195" s="20"/>
      <c r="O195" s="89">
        <f>VLOOKUP(C195,'[1]站级商品进销存统计(2026-06-06)'!$B:$D,3,0)</f>
        <v>1050</v>
      </c>
      <c r="P195" s="90">
        <f>VLOOKUP(C195,'[1]站级商品进销存统计(2026-06-06)'!$B:$F,5,0)</f>
        <v>4.2499945714285703</v>
      </c>
    </row>
    <row r="196" spans="1:16" s="76" customFormat="1" ht="14.5">
      <c r="A196" s="20">
        <v>171</v>
      </c>
      <c r="B196" s="20" t="s">
        <v>743</v>
      </c>
      <c r="C196" s="21" t="s">
        <v>820</v>
      </c>
      <c r="D196" s="22" t="s">
        <v>821</v>
      </c>
      <c r="E196" s="83">
        <v>4.18</v>
      </c>
      <c r="F196" s="23">
        <f t="shared" si="7"/>
        <v>3.9809523809523801</v>
      </c>
      <c r="G196" s="84">
        <v>4.2266323979591798</v>
      </c>
      <c r="H196" s="85"/>
      <c r="I196" s="83"/>
      <c r="J196" s="83">
        <v>7.5</v>
      </c>
      <c r="K196" s="102"/>
      <c r="L196" s="88">
        <v>0.05</v>
      </c>
      <c r="M196" s="99"/>
      <c r="N196" s="20"/>
      <c r="O196" s="89">
        <f>VLOOKUP(C196,'[1]站级商品进销存统计(2026-06-06)'!$B:$D,3,0)</f>
        <v>784</v>
      </c>
      <c r="P196" s="90">
        <f>VLOOKUP(C196,'[1]站级商品进销存统计(2026-06-06)'!$B:$F,5,0)</f>
        <v>4.2266323979591798</v>
      </c>
    </row>
    <row r="197" spans="1:16" s="76" customFormat="1" ht="14.5">
      <c r="A197" s="20">
        <v>172</v>
      </c>
      <c r="B197" s="20" t="s">
        <v>743</v>
      </c>
      <c r="C197" s="21" t="s">
        <v>822</v>
      </c>
      <c r="D197" s="22" t="s">
        <v>823</v>
      </c>
      <c r="E197" s="83">
        <v>9.49</v>
      </c>
      <c r="F197" s="23">
        <f t="shared" si="7"/>
        <v>8.2521739130434799</v>
      </c>
      <c r="G197" s="84">
        <v>8.6431461835748795</v>
      </c>
      <c r="H197" s="85"/>
      <c r="I197" s="83"/>
      <c r="J197" s="83">
        <v>14</v>
      </c>
      <c r="K197" s="102"/>
      <c r="L197" s="88">
        <v>0.15</v>
      </c>
      <c r="M197" s="99"/>
      <c r="N197" s="20"/>
      <c r="O197" s="89">
        <f>VLOOKUP(C197,'[1]站级商品进销存统计(2026-06-06)'!$B:$D,3,0)</f>
        <v>1035</v>
      </c>
      <c r="P197" s="90">
        <f>VLOOKUP(C197,'[1]站级商品进销存统计(2026-06-06)'!$B:$F,5,0)</f>
        <v>8.6431461835748795</v>
      </c>
    </row>
    <row r="198" spans="1:16" s="76" customFormat="1" ht="14.5">
      <c r="A198" s="20">
        <v>173</v>
      </c>
      <c r="B198" s="20" t="s">
        <v>743</v>
      </c>
      <c r="C198" s="21" t="s">
        <v>824</v>
      </c>
      <c r="D198" s="22" t="s">
        <v>825</v>
      </c>
      <c r="E198" s="83">
        <v>3.54</v>
      </c>
      <c r="F198" s="23">
        <f t="shared" si="7"/>
        <v>3.07826086956522</v>
      </c>
      <c r="G198" s="84">
        <v>3.4478559999999998</v>
      </c>
      <c r="H198" s="85"/>
      <c r="I198" s="83"/>
      <c r="J198" s="83">
        <v>5.5</v>
      </c>
      <c r="K198" s="102"/>
      <c r="L198" s="88">
        <v>0.15</v>
      </c>
      <c r="M198" s="99"/>
      <c r="N198" s="20"/>
      <c r="O198" s="89">
        <f>VLOOKUP(C198,'[1]站级商品进销存统计(2026-06-06)'!$B:$D,3,0)</f>
        <v>175</v>
      </c>
      <c r="P198" s="90">
        <f>VLOOKUP(C198,'[1]站级商品进销存统计(2026-06-06)'!$B:$F,5,0)</f>
        <v>3.4478559999999998</v>
      </c>
    </row>
    <row r="199" spans="1:16" s="76" customFormat="1" ht="14.5">
      <c r="A199" s="20">
        <v>174</v>
      </c>
      <c r="B199" s="20" t="s">
        <v>743</v>
      </c>
      <c r="C199" s="21" t="s">
        <v>826</v>
      </c>
      <c r="D199" s="22" t="s">
        <v>827</v>
      </c>
      <c r="E199" s="83">
        <v>3.54</v>
      </c>
      <c r="F199" s="23">
        <f t="shared" si="7"/>
        <v>3.07826086956522</v>
      </c>
      <c r="G199" s="84">
        <v>3.2701258333333301</v>
      </c>
      <c r="H199" s="85"/>
      <c r="I199" s="83"/>
      <c r="J199" s="83">
        <v>5.5</v>
      </c>
      <c r="K199" s="102"/>
      <c r="L199" s="88">
        <v>0.15</v>
      </c>
      <c r="M199" s="99"/>
      <c r="N199" s="20"/>
      <c r="O199" s="89">
        <f>VLOOKUP(C199,'[1]站级商品进销存统计(2026-06-06)'!$B:$D,3,0)</f>
        <v>120</v>
      </c>
      <c r="P199" s="90">
        <f>VLOOKUP(C199,'[1]站级商品进销存统计(2026-06-06)'!$B:$F,5,0)</f>
        <v>3.2701258333333301</v>
      </c>
    </row>
    <row r="200" spans="1:16" s="76" customFormat="1" ht="14.5">
      <c r="A200" s="20">
        <v>175</v>
      </c>
      <c r="B200" s="20" t="s">
        <v>743</v>
      </c>
      <c r="C200" s="21" t="s">
        <v>828</v>
      </c>
      <c r="D200" s="22" t="s">
        <v>829</v>
      </c>
      <c r="E200" s="83">
        <v>5.26</v>
      </c>
      <c r="F200" s="23">
        <f t="shared" si="7"/>
        <v>4.5739130434782602</v>
      </c>
      <c r="G200" s="84">
        <v>5.26</v>
      </c>
      <c r="H200" s="85"/>
      <c r="I200" s="83"/>
      <c r="J200" s="83">
        <v>6.9</v>
      </c>
      <c r="K200" s="102"/>
      <c r="L200" s="88">
        <v>0.15</v>
      </c>
      <c r="M200" s="99"/>
      <c r="N200" s="20"/>
      <c r="O200" s="89" t="e">
        <f>VLOOKUP(C200,'[1]站级商品进销存统计(2026-06-06)'!$B:$D,3,0)</f>
        <v>#N/A</v>
      </c>
      <c r="P200" s="90" t="e">
        <f>VLOOKUP(C200,'[1]站级商品进销存统计(2026-06-06)'!$B:$F,5,0)</f>
        <v>#N/A</v>
      </c>
    </row>
    <row r="201" spans="1:16" s="76" customFormat="1" ht="14.5">
      <c r="A201" s="20">
        <v>176</v>
      </c>
      <c r="B201" s="20" t="s">
        <v>743</v>
      </c>
      <c r="C201" s="21" t="s">
        <v>830</v>
      </c>
      <c r="D201" s="22" t="s">
        <v>831</v>
      </c>
      <c r="E201" s="83">
        <v>5.26</v>
      </c>
      <c r="F201" s="23">
        <f t="shared" si="7"/>
        <v>4.5739130434782602</v>
      </c>
      <c r="G201" s="84">
        <v>5.26</v>
      </c>
      <c r="H201" s="85"/>
      <c r="I201" s="83"/>
      <c r="J201" s="83">
        <v>6.9</v>
      </c>
      <c r="K201" s="102"/>
      <c r="L201" s="88">
        <v>0.15</v>
      </c>
      <c r="M201" s="99"/>
      <c r="N201" s="20"/>
      <c r="O201" s="89" t="e">
        <f>VLOOKUP(C201,'[1]站级商品进销存统计(2026-06-06)'!$B:$D,3,0)</f>
        <v>#N/A</v>
      </c>
      <c r="P201" s="90" t="e">
        <f>VLOOKUP(C201,'[1]站级商品进销存统计(2026-06-06)'!$B:$F,5,0)</f>
        <v>#N/A</v>
      </c>
    </row>
    <row r="202" spans="1:16" s="76" customFormat="1" ht="14.5">
      <c r="A202" s="20">
        <v>177</v>
      </c>
      <c r="B202" s="20" t="s">
        <v>743</v>
      </c>
      <c r="C202" s="21" t="s">
        <v>832</v>
      </c>
      <c r="D202" s="22" t="s">
        <v>833</v>
      </c>
      <c r="E202" s="83">
        <v>5.26</v>
      </c>
      <c r="F202" s="23">
        <f t="shared" si="7"/>
        <v>4.5739130434782602</v>
      </c>
      <c r="G202" s="84">
        <v>5.26</v>
      </c>
      <c r="H202" s="85"/>
      <c r="I202" s="83"/>
      <c r="J202" s="83">
        <v>6.9</v>
      </c>
      <c r="K202" s="102"/>
      <c r="L202" s="88">
        <v>0.15</v>
      </c>
      <c r="M202" s="99"/>
      <c r="N202" s="20"/>
      <c r="O202" s="89" t="e">
        <f>VLOOKUP(C202,'[1]站级商品进销存统计(2026-06-06)'!$B:$D,3,0)</f>
        <v>#N/A</v>
      </c>
      <c r="P202" s="90" t="e">
        <f>VLOOKUP(C202,'[1]站级商品进销存统计(2026-06-06)'!$B:$F,5,0)</f>
        <v>#N/A</v>
      </c>
    </row>
    <row r="203" spans="1:16" s="76" customFormat="1" ht="14.5">
      <c r="A203" s="20">
        <v>178</v>
      </c>
      <c r="B203" s="20" t="s">
        <v>743</v>
      </c>
      <c r="C203" s="21" t="s">
        <v>834</v>
      </c>
      <c r="D203" s="22" t="s">
        <v>835</v>
      </c>
      <c r="E203" s="83">
        <v>5.26</v>
      </c>
      <c r="F203" s="23">
        <f t="shared" si="7"/>
        <v>4.5739130434782602</v>
      </c>
      <c r="G203" s="84">
        <v>5.26</v>
      </c>
      <c r="H203" s="85"/>
      <c r="I203" s="83"/>
      <c r="J203" s="83">
        <v>6.9</v>
      </c>
      <c r="K203" s="102"/>
      <c r="L203" s="88">
        <v>0.15</v>
      </c>
      <c r="M203" s="99"/>
      <c r="N203" s="20"/>
      <c r="O203" s="89" t="e">
        <f>VLOOKUP(C203,'[1]站级商品进销存统计(2026-06-06)'!$B:$D,3,0)</f>
        <v>#N/A</v>
      </c>
      <c r="P203" s="90" t="e">
        <f>VLOOKUP(C203,'[1]站级商品进销存统计(2026-06-06)'!$B:$F,5,0)</f>
        <v>#N/A</v>
      </c>
    </row>
    <row r="204" spans="1:16" s="76" customFormat="1" ht="14.5">
      <c r="A204" s="20">
        <v>179</v>
      </c>
      <c r="B204" s="20" t="s">
        <v>743</v>
      </c>
      <c r="C204" s="21" t="s">
        <v>836</v>
      </c>
      <c r="D204" s="22" t="s">
        <v>837</v>
      </c>
      <c r="E204" s="83">
        <v>4.28</v>
      </c>
      <c r="F204" s="23">
        <f t="shared" si="7"/>
        <v>3.7217391304347802</v>
      </c>
      <c r="G204" s="84">
        <v>4.28</v>
      </c>
      <c r="H204" s="85"/>
      <c r="I204" s="83"/>
      <c r="J204" s="83">
        <v>5.9</v>
      </c>
      <c r="K204" s="102"/>
      <c r="L204" s="88">
        <v>0.15</v>
      </c>
      <c r="M204" s="99"/>
      <c r="N204" s="20"/>
      <c r="O204" s="89" t="e">
        <f>VLOOKUP(C204,'[1]站级商品进销存统计(2026-06-06)'!$B:$D,3,0)</f>
        <v>#N/A</v>
      </c>
      <c r="P204" s="90" t="e">
        <f>VLOOKUP(C204,'[1]站级商品进销存统计(2026-06-06)'!$B:$F,5,0)</f>
        <v>#N/A</v>
      </c>
    </row>
    <row r="205" spans="1:16" s="76" customFormat="1" ht="14.5">
      <c r="A205" s="20">
        <v>180</v>
      </c>
      <c r="B205" s="20" t="s">
        <v>743</v>
      </c>
      <c r="C205" s="21" t="s">
        <v>838</v>
      </c>
      <c r="D205" s="22" t="s">
        <v>839</v>
      </c>
      <c r="E205" s="83">
        <v>4.28</v>
      </c>
      <c r="F205" s="23">
        <f t="shared" si="7"/>
        <v>3.7217391304347802</v>
      </c>
      <c r="G205" s="84">
        <v>4.28</v>
      </c>
      <c r="H205" s="85"/>
      <c r="I205" s="83"/>
      <c r="J205" s="83">
        <v>5.9</v>
      </c>
      <c r="K205" s="102"/>
      <c r="L205" s="88">
        <v>0.15</v>
      </c>
      <c r="M205" s="99"/>
      <c r="N205" s="20"/>
      <c r="O205" s="89" t="e">
        <f>VLOOKUP(C205,'[1]站级商品进销存统计(2026-06-06)'!$B:$D,3,0)</f>
        <v>#N/A</v>
      </c>
      <c r="P205" s="90" t="e">
        <f>VLOOKUP(C205,'[1]站级商品进销存统计(2026-06-06)'!$B:$F,5,0)</f>
        <v>#N/A</v>
      </c>
    </row>
    <row r="206" spans="1:16" s="76" customFormat="1" ht="14.5">
      <c r="A206" s="20">
        <v>181</v>
      </c>
      <c r="B206" s="20" t="s">
        <v>743</v>
      </c>
      <c r="C206" s="21" t="s">
        <v>840</v>
      </c>
      <c r="D206" s="22" t="s">
        <v>841</v>
      </c>
      <c r="E206" s="83">
        <v>5.26</v>
      </c>
      <c r="F206" s="23">
        <f t="shared" si="7"/>
        <v>4.5739130434782602</v>
      </c>
      <c r="G206" s="84">
        <v>5.26</v>
      </c>
      <c r="H206" s="85"/>
      <c r="I206" s="83"/>
      <c r="J206" s="83">
        <v>6.9</v>
      </c>
      <c r="K206" s="102"/>
      <c r="L206" s="88">
        <v>0.15</v>
      </c>
      <c r="M206" s="99"/>
      <c r="N206" s="20"/>
      <c r="O206" s="89" t="e">
        <f>VLOOKUP(C206,'[1]站级商品进销存统计(2026-06-06)'!$B:$D,3,0)</f>
        <v>#N/A</v>
      </c>
      <c r="P206" s="90" t="e">
        <f>VLOOKUP(C206,'[1]站级商品进销存统计(2026-06-06)'!$B:$F,5,0)</f>
        <v>#N/A</v>
      </c>
    </row>
    <row r="207" spans="1:16" s="76" customFormat="1" ht="14.5">
      <c r="A207" s="20">
        <v>182</v>
      </c>
      <c r="B207" s="20" t="s">
        <v>400</v>
      </c>
      <c r="C207" s="21" t="s">
        <v>842</v>
      </c>
      <c r="D207" s="22" t="s">
        <v>843</v>
      </c>
      <c r="E207" s="83">
        <v>13.74</v>
      </c>
      <c r="F207" s="83">
        <v>13.74</v>
      </c>
      <c r="G207" s="84">
        <v>11.898627891859901</v>
      </c>
      <c r="H207" s="85"/>
      <c r="I207" s="83"/>
      <c r="J207" s="83">
        <v>23.8</v>
      </c>
      <c r="K207" s="102"/>
      <c r="L207" s="88" t="s">
        <v>279</v>
      </c>
      <c r="M207" s="110"/>
      <c r="N207" s="20" t="s">
        <v>647</v>
      </c>
      <c r="O207" s="89">
        <f>VLOOKUP(C207,'[1]站级商品进销存统计(2026-06-06)'!$B:$D,3,0)</f>
        <v>6769</v>
      </c>
      <c r="P207" s="90">
        <f>VLOOKUP(C207,'[1]站级商品进销存统计(2026-06-06)'!$B:$F,5,0)</f>
        <v>11.898627891859901</v>
      </c>
    </row>
    <row r="208" spans="1:16" s="76" customFormat="1" ht="14.5">
      <c r="A208" s="20">
        <v>183</v>
      </c>
      <c r="B208" s="20" t="s">
        <v>400</v>
      </c>
      <c r="C208" s="21" t="s">
        <v>844</v>
      </c>
      <c r="D208" s="22" t="s">
        <v>845</v>
      </c>
      <c r="E208" s="83">
        <v>3.43</v>
      </c>
      <c r="F208" s="83">
        <v>3.43</v>
      </c>
      <c r="G208" s="84">
        <v>2.9631795849420799</v>
      </c>
      <c r="H208" s="85"/>
      <c r="I208" s="83"/>
      <c r="J208" s="83">
        <v>6</v>
      </c>
      <c r="K208" s="102"/>
      <c r="L208" s="88" t="s">
        <v>279</v>
      </c>
      <c r="M208" s="110"/>
      <c r="N208" s="20" t="s">
        <v>647</v>
      </c>
      <c r="O208" s="89">
        <f>VLOOKUP(C208,'[1]站级商品进销存统计(2026-06-06)'!$B:$D,3,0)</f>
        <v>2072</v>
      </c>
      <c r="P208" s="90">
        <f>VLOOKUP(C208,'[1]站级商品进销存统计(2026-06-06)'!$B:$F,5,0)</f>
        <v>2.9631795849420799</v>
      </c>
    </row>
    <row r="209" spans="1:16" s="76" customFormat="1" ht="29">
      <c r="A209" s="20">
        <v>184</v>
      </c>
      <c r="B209" s="20" t="s">
        <v>400</v>
      </c>
      <c r="C209" s="21" t="s">
        <v>846</v>
      </c>
      <c r="D209" s="22" t="s">
        <v>847</v>
      </c>
      <c r="E209" s="83">
        <v>4.5</v>
      </c>
      <c r="F209" s="83">
        <v>4.5</v>
      </c>
      <c r="G209" s="84">
        <v>3.81223210688592</v>
      </c>
      <c r="H209" s="85"/>
      <c r="I209" s="83"/>
      <c r="J209" s="83">
        <v>8</v>
      </c>
      <c r="K209" s="102"/>
      <c r="L209" s="88" t="s">
        <v>279</v>
      </c>
      <c r="M209" s="110"/>
      <c r="N209" s="20" t="s">
        <v>647</v>
      </c>
      <c r="O209" s="89">
        <f>VLOOKUP(C209,'[1]站级商品进销存统计(2026-06-06)'!$B:$D,3,0)</f>
        <v>4865</v>
      </c>
      <c r="P209" s="90">
        <f>VLOOKUP(C209,'[1]站级商品进销存统计(2026-06-06)'!$B:$F,5,0)</f>
        <v>3.81223210688592</v>
      </c>
    </row>
    <row r="210" spans="1:16" s="76" customFormat="1" ht="29">
      <c r="A210" s="20">
        <v>185</v>
      </c>
      <c r="B210" s="20" t="s">
        <v>400</v>
      </c>
      <c r="C210" s="21" t="s">
        <v>848</v>
      </c>
      <c r="D210" s="22" t="s">
        <v>849</v>
      </c>
      <c r="E210" s="83">
        <v>18.010000000000002</v>
      </c>
      <c r="F210" s="83">
        <v>18.010000000000002</v>
      </c>
      <c r="G210" s="84">
        <v>15.2278927460132</v>
      </c>
      <c r="H210" s="85"/>
      <c r="I210" s="83"/>
      <c r="J210" s="83">
        <v>31</v>
      </c>
      <c r="K210" s="102"/>
      <c r="L210" s="88" t="s">
        <v>279</v>
      </c>
      <c r="M210" s="110"/>
      <c r="N210" s="20" t="s">
        <v>647</v>
      </c>
      <c r="O210" s="89">
        <f>VLOOKUP(C210,'[1]站级商品进销存统计(2026-06-06)'!$B:$D,3,0)</f>
        <v>5142</v>
      </c>
      <c r="P210" s="90">
        <f>VLOOKUP(C210,'[1]站级商品进销存统计(2026-06-06)'!$B:$F,5,0)</f>
        <v>15.2278927460132</v>
      </c>
    </row>
    <row r="211" spans="1:16" s="76" customFormat="1" ht="14.5">
      <c r="A211" s="20">
        <v>186</v>
      </c>
      <c r="B211" s="20" t="s">
        <v>400</v>
      </c>
      <c r="C211" s="21" t="s">
        <v>850</v>
      </c>
      <c r="D211" s="22" t="s">
        <v>851</v>
      </c>
      <c r="E211" s="83">
        <v>20.6</v>
      </c>
      <c r="F211" s="83">
        <v>20.6</v>
      </c>
      <c r="G211" s="84">
        <v>22.380959900335998</v>
      </c>
      <c r="H211" s="85"/>
      <c r="I211" s="83"/>
      <c r="J211" s="83">
        <v>42</v>
      </c>
      <c r="K211" s="102"/>
      <c r="L211" s="88" t="s">
        <v>279</v>
      </c>
      <c r="M211" s="110"/>
      <c r="N211" s="20" t="s">
        <v>647</v>
      </c>
      <c r="O211" s="89">
        <f>VLOOKUP(C211,'[1]站级商品进销存统计(2026-06-06)'!$B:$D,3,0)</f>
        <v>69634</v>
      </c>
      <c r="P211" s="90">
        <f>VLOOKUP(C211,'[1]站级商品进销存统计(2026-06-06)'!$B:$F,5,0)</f>
        <v>22.380959900335998</v>
      </c>
    </row>
    <row r="212" spans="1:16" s="76" customFormat="1" ht="14.5">
      <c r="A212" s="20">
        <v>187</v>
      </c>
      <c r="B212" s="20" t="s">
        <v>400</v>
      </c>
      <c r="C212" s="21" t="s">
        <v>852</v>
      </c>
      <c r="D212" s="22" t="s">
        <v>853</v>
      </c>
      <c r="E212" s="83">
        <v>22.9</v>
      </c>
      <c r="F212" s="83">
        <v>22.9</v>
      </c>
      <c r="G212" s="84">
        <v>25.2084120506536</v>
      </c>
      <c r="H212" s="85"/>
      <c r="I212" s="83"/>
      <c r="J212" s="83">
        <v>49</v>
      </c>
      <c r="K212" s="102"/>
      <c r="L212" s="88" t="s">
        <v>279</v>
      </c>
      <c r="M212" s="110"/>
      <c r="N212" s="20" t="s">
        <v>647</v>
      </c>
      <c r="O212" s="89">
        <f>VLOOKUP(C212,'[1]站级商品进销存统计(2026-06-06)'!$B:$D,3,0)</f>
        <v>12240</v>
      </c>
      <c r="P212" s="90">
        <f>VLOOKUP(C212,'[1]站级商品进销存统计(2026-06-06)'!$B:$F,5,0)</f>
        <v>25.2084120506536</v>
      </c>
    </row>
    <row r="213" spans="1:16" s="76" customFormat="1" ht="14.5">
      <c r="A213" s="20">
        <v>188</v>
      </c>
      <c r="B213" s="20" t="s">
        <v>400</v>
      </c>
      <c r="C213" s="21" t="s">
        <v>854</v>
      </c>
      <c r="D213" s="22" t="s">
        <v>855</v>
      </c>
      <c r="E213" s="83">
        <v>17.329999999999998</v>
      </c>
      <c r="F213" s="83">
        <v>17.899999999999999</v>
      </c>
      <c r="G213" s="84">
        <v>17.337882241379301</v>
      </c>
      <c r="H213" s="85"/>
      <c r="I213" s="83"/>
      <c r="J213" s="83">
        <v>28</v>
      </c>
      <c r="K213" s="102"/>
      <c r="L213" s="88" t="s">
        <v>279</v>
      </c>
      <c r="M213" s="110"/>
      <c r="N213" s="20" t="s">
        <v>647</v>
      </c>
      <c r="O213" s="89">
        <f>VLOOKUP(C213,'[1]站级商品进销存统计(2026-06-06)'!$B:$D,3,0)</f>
        <v>5220</v>
      </c>
      <c r="P213" s="90">
        <f>VLOOKUP(C213,'[1]站级商品进销存统计(2026-06-06)'!$B:$F,5,0)</f>
        <v>17.337882241379301</v>
      </c>
    </row>
    <row r="214" spans="1:16" s="76" customFormat="1" ht="14.5">
      <c r="A214" s="20">
        <v>189</v>
      </c>
      <c r="B214" s="20" t="s">
        <v>400</v>
      </c>
      <c r="C214" s="21" t="s">
        <v>856</v>
      </c>
      <c r="D214" s="22" t="s">
        <v>857</v>
      </c>
      <c r="E214" s="23">
        <v>3.66</v>
      </c>
      <c r="F214" s="23">
        <v>3.66</v>
      </c>
      <c r="G214" s="97">
        <v>3.4737256542845101</v>
      </c>
      <c r="H214" s="94">
        <v>2</v>
      </c>
      <c r="I214" s="23">
        <v>7.5</v>
      </c>
      <c r="J214" s="23">
        <v>7.5</v>
      </c>
      <c r="K214" s="102">
        <f>(I214-H214*G214)/I214</f>
        <v>7.3673158857464005E-2</v>
      </c>
      <c r="L214" s="109" t="s">
        <v>279</v>
      </c>
      <c r="M214" s="100" t="s">
        <v>401</v>
      </c>
      <c r="N214" s="20" t="s">
        <v>458</v>
      </c>
      <c r="O214" s="89">
        <f>VLOOKUP(C214,'[1]站级商品进销存统计(2026-06-06)'!$B:$D,3,0)</f>
        <v>9476</v>
      </c>
      <c r="P214" s="90">
        <f>VLOOKUP(C214,'[1]站级商品进销存统计(2026-06-06)'!$B:$F,5,0)</f>
        <v>3.4737256542845101</v>
      </c>
    </row>
    <row r="215" spans="1:16" s="76" customFormat="1" ht="14.5">
      <c r="A215" s="20">
        <v>190</v>
      </c>
      <c r="B215" s="20" t="s">
        <v>400</v>
      </c>
      <c r="C215" s="21" t="s">
        <v>858</v>
      </c>
      <c r="D215" s="22" t="s">
        <v>859</v>
      </c>
      <c r="E215" s="83">
        <v>34.799999999999997</v>
      </c>
      <c r="F215" s="83">
        <v>31.636363636363601</v>
      </c>
      <c r="G215" s="84">
        <v>34.801955238095204</v>
      </c>
      <c r="H215" s="85"/>
      <c r="I215" s="83"/>
      <c r="J215" s="83">
        <v>49</v>
      </c>
      <c r="K215" s="102"/>
      <c r="L215" s="88">
        <v>0.1</v>
      </c>
      <c r="M215" s="110"/>
      <c r="N215" s="20" t="s">
        <v>647</v>
      </c>
      <c r="O215" s="89">
        <f>VLOOKUP(C215,'[1]站级商品进销存统计(2026-06-06)'!$B:$D,3,0)</f>
        <v>105</v>
      </c>
      <c r="P215" s="90">
        <f>VLOOKUP(C215,'[1]站级商品进销存统计(2026-06-06)'!$B:$F,5,0)</f>
        <v>34.801955238095204</v>
      </c>
    </row>
    <row r="216" spans="1:16" s="76" customFormat="1" ht="14.5">
      <c r="A216" s="20">
        <v>191</v>
      </c>
      <c r="B216" s="20" t="s">
        <v>400</v>
      </c>
      <c r="C216" s="21" t="s">
        <v>860</v>
      </c>
      <c r="D216" s="22" t="s">
        <v>861</v>
      </c>
      <c r="E216" s="23">
        <v>1.26</v>
      </c>
      <c r="F216" s="23">
        <v>1.26</v>
      </c>
      <c r="G216" s="97">
        <v>1.2548108572802701</v>
      </c>
      <c r="H216" s="94">
        <v>2</v>
      </c>
      <c r="I216" s="23">
        <v>3.5</v>
      </c>
      <c r="J216" s="23">
        <v>3.5</v>
      </c>
      <c r="K216" s="102">
        <f>(I216-H216*G216)/I216</f>
        <v>0.28296522441127397</v>
      </c>
      <c r="L216" s="109" t="s">
        <v>279</v>
      </c>
      <c r="M216" s="100" t="s">
        <v>401</v>
      </c>
      <c r="N216" s="20" t="s">
        <v>458</v>
      </c>
      <c r="O216" s="89">
        <f>VLOOKUP(C216,'[1]站级商品进销存统计(2026-06-06)'!$B:$D,3,0)</f>
        <v>8317</v>
      </c>
      <c r="P216" s="90">
        <f>VLOOKUP(C216,'[1]站级商品进销存统计(2026-06-06)'!$B:$F,5,0)</f>
        <v>1.2548108572802701</v>
      </c>
    </row>
    <row r="217" spans="1:16" s="76" customFormat="1" ht="14.5">
      <c r="A217" s="20">
        <v>192</v>
      </c>
      <c r="B217" s="20" t="s">
        <v>400</v>
      </c>
      <c r="C217" s="21" t="s">
        <v>862</v>
      </c>
      <c r="D217" s="22" t="s">
        <v>863</v>
      </c>
      <c r="E217" s="83">
        <v>7.34</v>
      </c>
      <c r="F217" s="83">
        <v>6.99</v>
      </c>
      <c r="G217" s="84">
        <v>6.6539799097601504</v>
      </c>
      <c r="H217" s="85"/>
      <c r="I217" s="83"/>
      <c r="J217" s="83">
        <v>12</v>
      </c>
      <c r="K217" s="102"/>
      <c r="L217" s="88" t="s">
        <v>279</v>
      </c>
      <c r="M217" s="110"/>
      <c r="N217" s="20" t="s">
        <v>647</v>
      </c>
      <c r="O217" s="89">
        <f>VLOOKUP(C217,'[1]站级商品进销存统计(2026-06-06)'!$B:$D,3,0)</f>
        <v>4211</v>
      </c>
      <c r="P217" s="90">
        <f>VLOOKUP(C217,'[1]站级商品进销存统计(2026-06-06)'!$B:$F,5,0)</f>
        <v>6.6539799097601504</v>
      </c>
    </row>
    <row r="218" spans="1:16" s="76" customFormat="1" ht="14.5">
      <c r="A218" s="20">
        <v>193</v>
      </c>
      <c r="B218" s="20" t="s">
        <v>400</v>
      </c>
      <c r="C218" s="21" t="s">
        <v>864</v>
      </c>
      <c r="D218" s="22" t="s">
        <v>865</v>
      </c>
      <c r="E218" s="83">
        <v>2.3199999999999998</v>
      </c>
      <c r="F218" s="83">
        <v>2.3560173042919099</v>
      </c>
      <c r="G218" s="84">
        <v>2.0217783806426199</v>
      </c>
      <c r="H218" s="85"/>
      <c r="I218" s="83"/>
      <c r="J218" s="83">
        <v>4</v>
      </c>
      <c r="K218" s="102"/>
      <c r="L218" s="88">
        <v>0.15</v>
      </c>
      <c r="M218" s="110"/>
      <c r="N218" s="20" t="s">
        <v>647</v>
      </c>
      <c r="O218" s="89">
        <f>VLOOKUP(C218,'[1]站级商品进销存统计(2026-06-06)'!$B:$D,3,0)</f>
        <v>20292</v>
      </c>
      <c r="P218" s="90">
        <f>VLOOKUP(C218,'[1]站级商品进销存统计(2026-06-06)'!$B:$F,5,0)</f>
        <v>2.0217783806426199</v>
      </c>
    </row>
    <row r="219" spans="1:16" s="76" customFormat="1" ht="14.5">
      <c r="A219" s="20">
        <v>194</v>
      </c>
      <c r="B219" s="20" t="s">
        <v>400</v>
      </c>
      <c r="C219" s="21" t="s">
        <v>866</v>
      </c>
      <c r="D219" s="22" t="s">
        <v>867</v>
      </c>
      <c r="E219" s="83">
        <v>5.3</v>
      </c>
      <c r="F219" s="83">
        <v>5.1456310679611699</v>
      </c>
      <c r="G219" s="84">
        <v>5.2243266094176501</v>
      </c>
      <c r="H219" s="85"/>
      <c r="I219" s="83"/>
      <c r="J219" s="83">
        <v>10</v>
      </c>
      <c r="K219" s="102"/>
      <c r="L219" s="88">
        <v>0.03</v>
      </c>
      <c r="M219" s="110"/>
      <c r="N219" s="20" t="s">
        <v>647</v>
      </c>
      <c r="O219" s="89">
        <f>VLOOKUP(C219,'[1]站级商品进销存统计(2026-06-06)'!$B:$D,3,0)</f>
        <v>17584</v>
      </c>
      <c r="P219" s="90">
        <f>VLOOKUP(C219,'[1]站级商品进销存统计(2026-06-06)'!$B:$F,5,0)</f>
        <v>5.2243266094176501</v>
      </c>
    </row>
    <row r="220" spans="1:16" s="76" customFormat="1" ht="14.5">
      <c r="A220" s="20">
        <v>195</v>
      </c>
      <c r="B220" s="20" t="s">
        <v>400</v>
      </c>
      <c r="C220" s="21" t="s">
        <v>868</v>
      </c>
      <c r="D220" s="22" t="s">
        <v>869</v>
      </c>
      <c r="E220" s="83">
        <v>15.228</v>
      </c>
      <c r="F220" s="83">
        <v>15.228</v>
      </c>
      <c r="G220" s="84">
        <v>11.8384738977072</v>
      </c>
      <c r="H220" s="85"/>
      <c r="I220" s="83"/>
      <c r="J220" s="83">
        <v>23.5</v>
      </c>
      <c r="K220" s="102"/>
      <c r="L220" s="88" t="s">
        <v>279</v>
      </c>
      <c r="M220" s="110"/>
      <c r="N220" s="20" t="s">
        <v>647</v>
      </c>
      <c r="O220" s="89">
        <f>VLOOKUP(C220,'[1]站级商品进销存统计(2026-06-06)'!$B:$D,3,0)</f>
        <v>1701</v>
      </c>
      <c r="P220" s="90">
        <f>VLOOKUP(C220,'[1]站级商品进销存统计(2026-06-06)'!$B:$F,5,0)</f>
        <v>11.8384738977072</v>
      </c>
    </row>
    <row r="221" spans="1:16" s="76" customFormat="1" ht="14.5">
      <c r="A221" s="20">
        <v>196</v>
      </c>
      <c r="B221" s="20" t="s">
        <v>400</v>
      </c>
      <c r="C221" s="21" t="s">
        <v>870</v>
      </c>
      <c r="D221" s="22" t="s">
        <v>871</v>
      </c>
      <c r="E221" s="83">
        <v>17.82</v>
      </c>
      <c r="F221" s="83">
        <v>17.82</v>
      </c>
      <c r="G221" s="84">
        <v>17.8201</v>
      </c>
      <c r="H221" s="85"/>
      <c r="I221" s="83"/>
      <c r="J221" s="83">
        <v>40</v>
      </c>
      <c r="K221" s="102"/>
      <c r="L221" s="88" t="s">
        <v>279</v>
      </c>
      <c r="M221" s="110"/>
      <c r="N221" s="20" t="s">
        <v>647</v>
      </c>
      <c r="O221" s="89">
        <f>VLOOKUP(C221,'[1]站级商品进销存统计(2026-06-06)'!$B:$D,3,0)</f>
        <v>81</v>
      </c>
      <c r="P221" s="90">
        <f>VLOOKUP(C221,'[1]站级商品进销存统计(2026-06-06)'!$B:$F,5,0)</f>
        <v>17.8201</v>
      </c>
    </row>
    <row r="222" spans="1:16" s="76" customFormat="1" ht="14.5">
      <c r="A222" s="20">
        <v>197</v>
      </c>
      <c r="B222" s="20" t="s">
        <v>400</v>
      </c>
      <c r="C222" s="21" t="s">
        <v>872</v>
      </c>
      <c r="D222" s="22" t="s">
        <v>873</v>
      </c>
      <c r="E222" s="83">
        <v>7.56</v>
      </c>
      <c r="F222" s="83">
        <v>6.5739130434782602</v>
      </c>
      <c r="G222" s="84">
        <v>6.8055260371959898</v>
      </c>
      <c r="H222" s="85"/>
      <c r="I222" s="83"/>
      <c r="J222" s="83">
        <v>12</v>
      </c>
      <c r="K222" s="102"/>
      <c r="L222" s="88">
        <v>0.15</v>
      </c>
      <c r="M222" s="110"/>
      <c r="N222" s="20" t="s">
        <v>647</v>
      </c>
      <c r="O222" s="89">
        <f>VLOOKUP(C222,'[1]站级商品进销存统计(2026-06-06)'!$B:$D,3,0)</f>
        <v>699</v>
      </c>
      <c r="P222" s="90">
        <f>VLOOKUP(C222,'[1]站级商品进销存统计(2026-06-06)'!$B:$F,5,0)</f>
        <v>6.8055260371959898</v>
      </c>
    </row>
    <row r="223" spans="1:16" s="76" customFormat="1" ht="29">
      <c r="A223" s="20">
        <v>198</v>
      </c>
      <c r="B223" s="20" t="s">
        <v>400</v>
      </c>
      <c r="C223" s="21" t="s">
        <v>874</v>
      </c>
      <c r="D223" s="22" t="s">
        <v>875</v>
      </c>
      <c r="E223" s="83">
        <v>2.6</v>
      </c>
      <c r="F223" s="83">
        <v>2.6</v>
      </c>
      <c r="G223" s="84">
        <v>2.60213635314483</v>
      </c>
      <c r="H223" s="85"/>
      <c r="I223" s="83"/>
      <c r="J223" s="83">
        <v>4</v>
      </c>
      <c r="K223" s="102"/>
      <c r="L223" s="88"/>
      <c r="M223" s="110"/>
      <c r="N223" s="20" t="s">
        <v>513</v>
      </c>
      <c r="O223" s="89">
        <f>VLOOKUP(C223,'[1]站级商品进销存统计(2026-06-06)'!$B:$D,3,0)</f>
        <v>1733</v>
      </c>
      <c r="P223" s="90">
        <f>VLOOKUP(C223,'[1]站级商品进销存统计(2026-06-06)'!$B:$F,5,0)</f>
        <v>2.60213635314483</v>
      </c>
    </row>
    <row r="224" spans="1:16" s="76" customFormat="1" ht="14.5">
      <c r="A224" s="20">
        <v>199</v>
      </c>
      <c r="B224" s="20" t="s">
        <v>400</v>
      </c>
      <c r="C224" s="21" t="s">
        <v>876</v>
      </c>
      <c r="D224" s="22" t="s">
        <v>877</v>
      </c>
      <c r="E224" s="83">
        <v>25.07</v>
      </c>
      <c r="F224" s="83">
        <v>25.07</v>
      </c>
      <c r="G224" s="84">
        <v>25.105083566433599</v>
      </c>
      <c r="H224" s="85"/>
      <c r="I224" s="83"/>
      <c r="J224" s="83">
        <v>33</v>
      </c>
      <c r="K224" s="102"/>
      <c r="L224" s="88"/>
      <c r="M224" s="110"/>
      <c r="N224" s="20" t="s">
        <v>513</v>
      </c>
      <c r="O224" s="89">
        <f>VLOOKUP(C224,'[1]站级商品进销存统计(2026-06-06)'!$B:$D,3,0)</f>
        <v>286</v>
      </c>
      <c r="P224" s="90">
        <f>VLOOKUP(C224,'[1]站级商品进销存统计(2026-06-06)'!$B:$F,5,0)</f>
        <v>25.105083566433599</v>
      </c>
    </row>
    <row r="225" spans="1:16" s="76" customFormat="1" ht="14.5">
      <c r="A225" s="20">
        <v>200</v>
      </c>
      <c r="B225" s="20" t="s">
        <v>400</v>
      </c>
      <c r="C225" s="21" t="s">
        <v>878</v>
      </c>
      <c r="D225" s="22" t="s">
        <v>879</v>
      </c>
      <c r="E225" s="83">
        <v>50.8</v>
      </c>
      <c r="F225" s="83">
        <v>50.8</v>
      </c>
      <c r="G225" s="84">
        <v>50.842633420138903</v>
      </c>
      <c r="H225" s="85"/>
      <c r="I225" s="83"/>
      <c r="J225" s="83">
        <v>72</v>
      </c>
      <c r="K225" s="102"/>
      <c r="L225" s="88">
        <v>0.05</v>
      </c>
      <c r="M225" s="110"/>
      <c r="N225" s="20" t="s">
        <v>513</v>
      </c>
      <c r="O225" s="89">
        <f>VLOOKUP(C225,'[1]站级商品进销存统计(2026-06-06)'!$B:$D,3,0)</f>
        <v>2304</v>
      </c>
      <c r="P225" s="90">
        <f>VLOOKUP(C225,'[1]站级商品进销存统计(2026-06-06)'!$B:$F,5,0)</f>
        <v>50.842633420138903</v>
      </c>
    </row>
    <row r="226" spans="1:16" s="76" customFormat="1" ht="14.5">
      <c r="A226" s="20">
        <v>201</v>
      </c>
      <c r="B226" s="20" t="s">
        <v>400</v>
      </c>
      <c r="C226" s="21" t="s">
        <v>880</v>
      </c>
      <c r="D226" s="22" t="s">
        <v>881</v>
      </c>
      <c r="E226" s="83">
        <v>55.5</v>
      </c>
      <c r="F226" s="83">
        <v>55.5</v>
      </c>
      <c r="G226" s="84">
        <v>55.5424139608118</v>
      </c>
      <c r="H226" s="85"/>
      <c r="I226" s="83"/>
      <c r="J226" s="83">
        <v>79</v>
      </c>
      <c r="K226" s="102"/>
      <c r="L226" s="88">
        <v>0.05</v>
      </c>
      <c r="M226" s="110"/>
      <c r="N226" s="20" t="s">
        <v>513</v>
      </c>
      <c r="O226" s="89">
        <f>VLOOKUP(C226,'[1]站级商品进销存统计(2026-06-06)'!$B:$D,3,0)</f>
        <v>2858</v>
      </c>
      <c r="P226" s="90">
        <f>VLOOKUP(C226,'[1]站级商品进销存统计(2026-06-06)'!$B:$F,5,0)</f>
        <v>55.5424139608118</v>
      </c>
    </row>
    <row r="227" spans="1:16" s="76" customFormat="1" ht="14.5">
      <c r="A227" s="20">
        <v>202</v>
      </c>
      <c r="B227" s="20" t="s">
        <v>400</v>
      </c>
      <c r="C227" s="21" t="s">
        <v>882</v>
      </c>
      <c r="D227" s="22" t="s">
        <v>883</v>
      </c>
      <c r="E227" s="83">
        <v>8.32</v>
      </c>
      <c r="F227" s="23">
        <f>E227/(1+L227)</f>
        <v>8.1568627450980404</v>
      </c>
      <c r="G227" s="83"/>
      <c r="H227" s="85"/>
      <c r="I227" s="83"/>
      <c r="J227" s="83">
        <v>16</v>
      </c>
      <c r="K227" s="102"/>
      <c r="L227" s="88">
        <v>0.02</v>
      </c>
      <c r="M227" s="99"/>
      <c r="N227" s="20" t="s">
        <v>458</v>
      </c>
      <c r="O227" s="89" t="e">
        <f>VLOOKUP(C227,'[1]站级商品进销存统计(2026-06-06)'!$B:$D,3,0)</f>
        <v>#N/A</v>
      </c>
      <c r="P227" s="90" t="e">
        <f>VLOOKUP(C227,'[1]站级商品进销存统计(2026-06-06)'!$B:$F,5,0)</f>
        <v>#N/A</v>
      </c>
    </row>
    <row r="228" spans="1:16" s="76" customFormat="1" ht="14.5">
      <c r="A228" s="20">
        <v>203</v>
      </c>
      <c r="B228" s="20" t="s">
        <v>342</v>
      </c>
      <c r="C228" s="21" t="s">
        <v>884</v>
      </c>
      <c r="D228" s="32" t="s">
        <v>885</v>
      </c>
      <c r="E228" s="23">
        <v>84.5</v>
      </c>
      <c r="F228" s="23">
        <v>75.446428571428598</v>
      </c>
      <c r="G228" s="97">
        <v>89.356095238095193</v>
      </c>
      <c r="H228" s="30">
        <v>1</v>
      </c>
      <c r="I228" s="23">
        <v>84.9</v>
      </c>
      <c r="J228" s="23">
        <v>99.9</v>
      </c>
      <c r="K228" s="102">
        <v>0.11134948679118301</v>
      </c>
      <c r="L228" s="95">
        <v>0.12</v>
      </c>
      <c r="M228" s="26"/>
      <c r="N228" s="20" t="s">
        <v>458</v>
      </c>
      <c r="O228" s="89">
        <f>VLOOKUP(C228,'[1]站级商品进销存统计(2026-06-06)'!$B:$D,3,0)</f>
        <v>21</v>
      </c>
      <c r="P228" s="90">
        <f>VLOOKUP(C228,'[1]站级商品进销存统计(2026-06-06)'!$B:$F,5,0)</f>
        <v>89.356095238095193</v>
      </c>
    </row>
    <row r="229" spans="1:16" s="76" customFormat="1" ht="14.5">
      <c r="A229" s="20">
        <v>204</v>
      </c>
      <c r="B229" s="20" t="s">
        <v>342</v>
      </c>
      <c r="C229" s="21" t="s">
        <v>886</v>
      </c>
      <c r="D229" s="22" t="s">
        <v>887</v>
      </c>
      <c r="E229" s="83">
        <v>110</v>
      </c>
      <c r="F229" s="83">
        <v>91.6666666666667</v>
      </c>
      <c r="G229" s="84">
        <v>84.730320224719094</v>
      </c>
      <c r="H229" s="85"/>
      <c r="I229" s="83"/>
      <c r="J229" s="83">
        <v>168</v>
      </c>
      <c r="K229" s="102"/>
      <c r="L229" s="88">
        <v>0.2</v>
      </c>
      <c r="M229" s="110"/>
      <c r="N229" s="20"/>
      <c r="O229" s="89">
        <f>VLOOKUP(C229,'[1]站级商品进销存统计(2026-06-06)'!$B:$D,3,0)</f>
        <v>178</v>
      </c>
      <c r="P229" s="90">
        <f>VLOOKUP(C229,'[1]站级商品进销存统计(2026-06-06)'!$B:$F,5,0)</f>
        <v>84.730320224719094</v>
      </c>
    </row>
    <row r="230" spans="1:16" s="76" customFormat="1" ht="14.5">
      <c r="A230" s="20">
        <v>205</v>
      </c>
      <c r="B230" s="20" t="s">
        <v>342</v>
      </c>
      <c r="C230" s="21" t="s">
        <v>888</v>
      </c>
      <c r="D230" s="22" t="s">
        <v>889</v>
      </c>
      <c r="E230" s="83">
        <v>29.5</v>
      </c>
      <c r="F230" s="83">
        <f>E230/(1+L230)</f>
        <v>28.365384615384599</v>
      </c>
      <c r="G230" s="84">
        <v>30.22072</v>
      </c>
      <c r="H230" s="85"/>
      <c r="I230" s="83"/>
      <c r="J230" s="83">
        <v>39</v>
      </c>
      <c r="K230" s="102"/>
      <c r="L230" s="88">
        <v>0.04</v>
      </c>
      <c r="M230" s="110"/>
      <c r="N230" s="20"/>
      <c r="O230" s="89">
        <f>VLOOKUP(C230,'[1]站级商品进销存统计(2026-06-06)'!$B:$D,3,0)</f>
        <v>90</v>
      </c>
      <c r="P230" s="90">
        <f>VLOOKUP(C230,'[1]站级商品进销存统计(2026-06-06)'!$B:$F,5,0)</f>
        <v>30.22072</v>
      </c>
    </row>
    <row r="231" spans="1:16" s="76" customFormat="1" ht="14.5">
      <c r="A231" s="20">
        <v>206</v>
      </c>
      <c r="B231" s="20" t="s">
        <v>342</v>
      </c>
      <c r="C231" s="21" t="s">
        <v>890</v>
      </c>
      <c r="D231" s="22" t="s">
        <v>891</v>
      </c>
      <c r="E231" s="83">
        <v>65.28</v>
      </c>
      <c r="F231" s="83">
        <v>52.223999999999997</v>
      </c>
      <c r="G231" s="84">
        <v>54.486473815789502</v>
      </c>
      <c r="H231" s="85"/>
      <c r="I231" s="83"/>
      <c r="J231" s="83">
        <v>86.9</v>
      </c>
      <c r="K231" s="102"/>
      <c r="L231" s="88">
        <v>0.25</v>
      </c>
      <c r="M231" s="110"/>
      <c r="N231" s="20"/>
      <c r="O231" s="89">
        <f>VLOOKUP(C231,'[1]站级商品进销存统计(2026-06-06)'!$B:$D,3,0)</f>
        <v>760</v>
      </c>
      <c r="P231" s="90">
        <f>VLOOKUP(C231,'[1]站级商品进销存统计(2026-06-06)'!$B:$F,5,0)</f>
        <v>54.486473815789502</v>
      </c>
    </row>
    <row r="232" spans="1:16" s="76" customFormat="1" ht="14.5">
      <c r="A232" s="20">
        <v>207</v>
      </c>
      <c r="B232" s="20" t="s">
        <v>342</v>
      </c>
      <c r="C232" s="31" t="s">
        <v>892</v>
      </c>
      <c r="D232" s="116" t="s">
        <v>893</v>
      </c>
      <c r="E232" s="23">
        <v>39.270000000000003</v>
      </c>
      <c r="F232" s="23">
        <f>E232/(1+L232)</f>
        <v>37.047169811320799</v>
      </c>
      <c r="G232" s="97">
        <v>40.386649369544102</v>
      </c>
      <c r="H232" s="109"/>
      <c r="I232" s="23"/>
      <c r="J232" s="23">
        <v>49.9</v>
      </c>
      <c r="K232" s="102"/>
      <c r="L232" s="95">
        <v>0.06</v>
      </c>
      <c r="M232" s="46"/>
      <c r="N232" s="20"/>
      <c r="O232" s="89">
        <f>VLOOKUP(C232,'[1]站级商品进销存统计(2026-06-06)'!$B:$D,3,0)</f>
        <v>1031</v>
      </c>
      <c r="P232" s="90">
        <f>VLOOKUP(C232,'[1]站级商品进销存统计(2026-06-06)'!$B:$F,5,0)</f>
        <v>40.386649369544102</v>
      </c>
    </row>
    <row r="233" spans="1:16" s="76" customFormat="1" ht="14.5">
      <c r="A233" s="20">
        <v>208</v>
      </c>
      <c r="B233" s="20" t="s">
        <v>342</v>
      </c>
      <c r="C233" s="21" t="s">
        <v>894</v>
      </c>
      <c r="D233" s="22" t="s">
        <v>895</v>
      </c>
      <c r="E233" s="83">
        <v>9.7125000000000004</v>
      </c>
      <c r="F233" s="83">
        <v>9.25</v>
      </c>
      <c r="G233" s="84">
        <v>9.9616536026655496</v>
      </c>
      <c r="H233" s="85"/>
      <c r="I233" s="83"/>
      <c r="J233" s="83">
        <v>13</v>
      </c>
      <c r="K233" s="102"/>
      <c r="L233" s="88">
        <v>0.05</v>
      </c>
      <c r="M233" s="110"/>
      <c r="N233" s="20" t="s">
        <v>647</v>
      </c>
      <c r="O233" s="89">
        <f>VLOOKUP(C233,'[1]站级商品进销存统计(2026-06-06)'!$B:$D,3,0)</f>
        <v>2401</v>
      </c>
      <c r="P233" s="90">
        <f>VLOOKUP(C233,'[1]站级商品进销存统计(2026-06-06)'!$B:$F,5,0)</f>
        <v>9.9616536026655496</v>
      </c>
    </row>
    <row r="234" spans="1:16" s="76" customFormat="1" ht="14.5">
      <c r="A234" s="20">
        <v>209</v>
      </c>
      <c r="B234" s="20" t="s">
        <v>342</v>
      </c>
      <c r="C234" s="21" t="s">
        <v>896</v>
      </c>
      <c r="D234" s="22" t="s">
        <v>897</v>
      </c>
      <c r="E234" s="83">
        <v>48.5625</v>
      </c>
      <c r="F234" s="83">
        <v>46.25</v>
      </c>
      <c r="G234" s="84">
        <v>47.90296</v>
      </c>
      <c r="H234" s="85"/>
      <c r="I234" s="83"/>
      <c r="J234" s="83">
        <v>66</v>
      </c>
      <c r="K234" s="102"/>
      <c r="L234" s="88">
        <v>0.05</v>
      </c>
      <c r="M234" s="110"/>
      <c r="N234" s="20" t="s">
        <v>647</v>
      </c>
      <c r="O234" s="89">
        <f>VLOOKUP(C234,'[1]站级商品进销存统计(2026-06-06)'!$B:$D,3,0)</f>
        <v>35</v>
      </c>
      <c r="P234" s="90">
        <f>VLOOKUP(C234,'[1]站级商品进销存统计(2026-06-06)'!$B:$F,5,0)</f>
        <v>47.90296</v>
      </c>
    </row>
    <row r="235" spans="1:16" s="76" customFormat="1" ht="14.5">
      <c r="A235" s="20">
        <v>210</v>
      </c>
      <c r="B235" s="20" t="s">
        <v>342</v>
      </c>
      <c r="C235" s="21" t="s">
        <v>898</v>
      </c>
      <c r="D235" s="22" t="s">
        <v>899</v>
      </c>
      <c r="E235" s="83">
        <v>58</v>
      </c>
      <c r="F235" s="23">
        <f>E235/(1+L235)</f>
        <v>50.434782608695699</v>
      </c>
      <c r="G235" s="84">
        <v>60.880229761904801</v>
      </c>
      <c r="H235" s="85"/>
      <c r="I235" s="38"/>
      <c r="J235" s="83">
        <v>79.900000000000006</v>
      </c>
      <c r="K235" s="102"/>
      <c r="L235" s="88">
        <v>0.15</v>
      </c>
      <c r="M235" s="110"/>
      <c r="N235" s="20"/>
      <c r="O235" s="89">
        <f>VLOOKUP(C235,'[1]站级商品进销存统计(2026-06-06)'!$B:$D,3,0)</f>
        <v>84</v>
      </c>
      <c r="P235" s="90">
        <f>VLOOKUP(C235,'[1]站级商品进销存统计(2026-06-06)'!$B:$F,5,0)</f>
        <v>60.880229761904801</v>
      </c>
    </row>
    <row r="236" spans="1:16" s="76" customFormat="1" ht="14.5">
      <c r="A236" s="20">
        <v>211</v>
      </c>
      <c r="B236" s="20" t="s">
        <v>342</v>
      </c>
      <c r="C236" s="21" t="s">
        <v>469</v>
      </c>
      <c r="D236" s="22" t="s">
        <v>470</v>
      </c>
      <c r="E236" s="23">
        <v>90</v>
      </c>
      <c r="F236" s="23">
        <f>E236/(1+L236)</f>
        <v>64.285714285714306</v>
      </c>
      <c r="G236" s="97">
        <v>91.176216541353398</v>
      </c>
      <c r="H236" s="94"/>
      <c r="I236" s="23"/>
      <c r="J236" s="23">
        <v>119</v>
      </c>
      <c r="K236" s="102"/>
      <c r="L236" s="95">
        <v>0.4</v>
      </c>
      <c r="M236" s="46"/>
      <c r="N236" s="20"/>
      <c r="O236" s="89">
        <f>VLOOKUP(C236,'[1]站级商品进销存统计(2026-06-06)'!$B:$D,3,0)</f>
        <v>1064</v>
      </c>
      <c r="P236" s="90">
        <f>VLOOKUP(C236,'[1]站级商品进销存统计(2026-06-06)'!$B:$F,5,0)</f>
        <v>91.176216541353398</v>
      </c>
    </row>
    <row r="237" spans="1:16" s="76" customFormat="1" ht="14.5">
      <c r="A237" s="20">
        <v>212</v>
      </c>
      <c r="B237" s="20" t="s">
        <v>342</v>
      </c>
      <c r="C237" s="340" t="s">
        <v>3828</v>
      </c>
      <c r="D237" s="335" t="s">
        <v>3827</v>
      </c>
      <c r="E237" s="23">
        <v>39.770000000000003</v>
      </c>
      <c r="F237" s="23">
        <f>E237/(1+L237)</f>
        <v>33.141666666666701</v>
      </c>
      <c r="G237" s="97">
        <v>41.367027971614398</v>
      </c>
      <c r="H237" s="94"/>
      <c r="I237" s="23"/>
      <c r="J237" s="23">
        <v>49.9</v>
      </c>
      <c r="K237" s="102"/>
      <c r="L237" s="95">
        <v>0.2</v>
      </c>
      <c r="M237" s="46"/>
      <c r="N237" s="20"/>
      <c r="O237" s="89">
        <f>VLOOKUP(C237,'[1]站级商品进销存统计(2026-06-06)'!$B:$D,3,0)</f>
        <v>1691</v>
      </c>
      <c r="P237" s="90">
        <f>VLOOKUP(C237,'[1]站级商品进销存统计(2026-06-06)'!$B:$F,5,0)</f>
        <v>41.367027971614398</v>
      </c>
    </row>
    <row r="238" spans="1:16" s="76" customFormat="1" ht="14.5">
      <c r="A238" s="20">
        <v>213</v>
      </c>
      <c r="B238" s="20" t="s">
        <v>342</v>
      </c>
      <c r="C238" s="21" t="s">
        <v>900</v>
      </c>
      <c r="D238" s="22" t="s">
        <v>901</v>
      </c>
      <c r="E238" s="83">
        <v>26</v>
      </c>
      <c r="F238" s="83">
        <v>26.000544473684201</v>
      </c>
      <c r="G238" s="84">
        <v>27.2778011764706</v>
      </c>
      <c r="H238" s="85"/>
      <c r="I238" s="83"/>
      <c r="J238" s="83">
        <v>32</v>
      </c>
      <c r="K238" s="102"/>
      <c r="L238" s="88">
        <v>0.1</v>
      </c>
      <c r="M238" s="110"/>
      <c r="N238" s="20"/>
      <c r="O238" s="89">
        <f>VLOOKUP(C238,'[1]站级商品进销存统计(2026-06-06)'!$B:$D,3,0)</f>
        <v>170</v>
      </c>
      <c r="P238" s="90">
        <f>VLOOKUP(C238,'[1]站级商品进销存统计(2026-06-06)'!$B:$F,5,0)</f>
        <v>27.2778011764706</v>
      </c>
    </row>
    <row r="239" spans="1:16" ht="16" customHeight="1">
      <c r="A239" s="20">
        <v>214</v>
      </c>
      <c r="B239" s="20" t="s">
        <v>342</v>
      </c>
      <c r="C239" s="21" t="s">
        <v>902</v>
      </c>
      <c r="D239" s="22" t="s">
        <v>903</v>
      </c>
      <c r="E239" s="83">
        <v>5.59</v>
      </c>
      <c r="F239" s="83">
        <f>E239/(1+L239)</f>
        <v>5.59</v>
      </c>
      <c r="G239" s="84">
        <v>5.5885044366005996</v>
      </c>
      <c r="H239" s="85"/>
      <c r="I239" s="83"/>
      <c r="J239" s="83">
        <v>8.8000000000000007</v>
      </c>
      <c r="K239" s="102"/>
      <c r="L239" s="88"/>
      <c r="M239" s="31"/>
      <c r="N239" s="20" t="s">
        <v>513</v>
      </c>
      <c r="O239" s="89">
        <f>VLOOKUP(C239,'[1]站级商品进销存统计(2026-06-06)'!$B:$D,3,0)</f>
        <v>18415</v>
      </c>
      <c r="P239" s="90">
        <f>VLOOKUP(C239,'[1]站级商品进销存统计(2026-06-06)'!$B:$F,5,0)</f>
        <v>5.5885044366005996</v>
      </c>
    </row>
    <row r="240" spans="1:16" ht="16" customHeight="1">
      <c r="A240" s="20">
        <v>215</v>
      </c>
      <c r="B240" s="20" t="s">
        <v>342</v>
      </c>
      <c r="C240" s="31" t="s">
        <v>904</v>
      </c>
      <c r="D240" s="342" t="s">
        <v>3838</v>
      </c>
      <c r="E240" s="23">
        <v>100</v>
      </c>
      <c r="F240" s="23">
        <f>E240/(1+L240)</f>
        <v>92.592592592592595</v>
      </c>
      <c r="G240" s="97">
        <v>104.86455802469099</v>
      </c>
      <c r="H240" s="109"/>
      <c r="I240" s="98"/>
      <c r="J240" s="23">
        <v>129.9</v>
      </c>
      <c r="K240" s="93"/>
      <c r="L240" s="95">
        <v>0.08</v>
      </c>
      <c r="M240" s="30"/>
      <c r="N240" s="91"/>
      <c r="O240" s="89">
        <f>VLOOKUP(C240,'[1]站级商品进销存统计(2026-06-06)'!$B:$D,3,0)</f>
        <v>891</v>
      </c>
      <c r="P240" s="90">
        <f>VLOOKUP(C240,'[1]站级商品进销存统计(2026-06-06)'!$B:$F,5,0)</f>
        <v>104.86455802469099</v>
      </c>
    </row>
    <row r="241" spans="1:16" ht="16" customHeight="1">
      <c r="A241" s="20">
        <v>216</v>
      </c>
      <c r="B241" s="20" t="s">
        <v>342</v>
      </c>
      <c r="C241" s="31" t="s">
        <v>905</v>
      </c>
      <c r="D241" s="116" t="s">
        <v>906</v>
      </c>
      <c r="E241" s="23">
        <v>88.5</v>
      </c>
      <c r="F241" s="23">
        <f>E241/(1+L241)</f>
        <v>81.9444444444444</v>
      </c>
      <c r="G241" s="97">
        <v>92.877098882681594</v>
      </c>
      <c r="H241" s="109"/>
      <c r="I241" s="98"/>
      <c r="J241" s="23">
        <v>109.9</v>
      </c>
      <c r="K241" s="93"/>
      <c r="L241" s="95">
        <v>0.08</v>
      </c>
      <c r="M241" s="30"/>
      <c r="N241" s="91"/>
      <c r="O241" s="89">
        <f>VLOOKUP(C241,'[1]站级商品进销存统计(2026-06-06)'!$B:$D,3,0)</f>
        <v>358</v>
      </c>
      <c r="P241" s="90">
        <f>VLOOKUP(C241,'[1]站级商品进销存统计(2026-06-06)'!$B:$F,5,0)</f>
        <v>92.877098882681594</v>
      </c>
    </row>
    <row r="242" spans="1:16" ht="16" customHeight="1">
      <c r="A242" s="20">
        <v>217</v>
      </c>
      <c r="B242" s="20" t="s">
        <v>342</v>
      </c>
      <c r="C242" s="36" t="s">
        <v>907</v>
      </c>
      <c r="D242" s="117" t="s">
        <v>908</v>
      </c>
      <c r="E242" s="105">
        <v>34.340000000000003</v>
      </c>
      <c r="F242" s="105">
        <f>E242/(1+L242)</f>
        <v>31.218181818181801</v>
      </c>
      <c r="G242" s="97">
        <v>35.196029308861497</v>
      </c>
      <c r="H242" s="118"/>
      <c r="I242" s="105"/>
      <c r="J242" s="105">
        <v>40.9</v>
      </c>
      <c r="K242" s="106"/>
      <c r="L242" s="95">
        <v>0.1</v>
      </c>
      <c r="M242" s="30"/>
      <c r="N242" s="91"/>
      <c r="O242" s="89">
        <f>VLOOKUP(C242,'[1]站级商品进销存统计(2026-06-06)'!$B:$D,3,0)</f>
        <v>3487</v>
      </c>
      <c r="P242" s="90">
        <f>VLOOKUP(C242,'[1]站级商品进销存统计(2026-06-06)'!$B:$F,5,0)</f>
        <v>35.196029308861497</v>
      </c>
    </row>
    <row r="243" spans="1:16" ht="16" customHeight="1">
      <c r="A243" s="20">
        <v>218</v>
      </c>
      <c r="B243" s="20" t="s">
        <v>342</v>
      </c>
      <c r="C243" s="21" t="s">
        <v>909</v>
      </c>
      <c r="D243" s="22" t="s">
        <v>910</v>
      </c>
      <c r="E243" s="83">
        <v>48.3</v>
      </c>
      <c r="F243" s="83">
        <v>42</v>
      </c>
      <c r="G243" s="84">
        <v>42.249824031007797</v>
      </c>
      <c r="H243" s="85"/>
      <c r="I243" s="83"/>
      <c r="J243" s="83">
        <v>60</v>
      </c>
      <c r="K243" s="102"/>
      <c r="L243" s="88">
        <v>0.13</v>
      </c>
      <c r="M243" s="31"/>
      <c r="N243" s="20" t="s">
        <v>647</v>
      </c>
      <c r="O243" s="89">
        <f>VLOOKUP(C243,'[1]站级商品进销存统计(2026-06-06)'!$B:$D,3,0)</f>
        <v>129</v>
      </c>
      <c r="P243" s="90">
        <f>VLOOKUP(C243,'[1]站级商品进销存统计(2026-06-06)'!$B:$F,5,0)</f>
        <v>42.249824031007797</v>
      </c>
    </row>
    <row r="244" spans="1:16" ht="16" customHeight="1">
      <c r="A244" s="20">
        <v>219</v>
      </c>
      <c r="B244" s="30" t="s">
        <v>342</v>
      </c>
      <c r="C244" s="31" t="s">
        <v>911</v>
      </c>
      <c r="D244" s="116" t="s">
        <v>912</v>
      </c>
      <c r="E244" s="23">
        <v>6.91</v>
      </c>
      <c r="F244" s="23">
        <f>E244/(1+L244)</f>
        <v>6.2818181818181804</v>
      </c>
      <c r="G244" s="97">
        <v>6.5170089686098596</v>
      </c>
      <c r="H244" s="109">
        <v>2</v>
      </c>
      <c r="I244" s="23">
        <v>13.9</v>
      </c>
      <c r="J244" s="23">
        <v>9.8000000000000007</v>
      </c>
      <c r="K244" s="102">
        <f>(I244-H244*G244)/I244</f>
        <v>6.2300867825919502E-2</v>
      </c>
      <c r="L244" s="95">
        <v>0.1</v>
      </c>
      <c r="M244" s="109" t="s">
        <v>913</v>
      </c>
      <c r="N244" s="91" t="s">
        <v>458</v>
      </c>
      <c r="O244" s="89">
        <f>VLOOKUP(C244,'[1]站级商品进销存统计(2026-06-06)'!$B:$D,3,0)</f>
        <v>223</v>
      </c>
      <c r="P244" s="90">
        <f>VLOOKUP(C244,'[1]站级商品进销存统计(2026-06-06)'!$B:$F,5,0)</f>
        <v>6.5170089686098596</v>
      </c>
    </row>
    <row r="245" spans="1:16" ht="16" customHeight="1">
      <c r="A245" s="20">
        <v>220</v>
      </c>
      <c r="B245" s="20" t="s">
        <v>342</v>
      </c>
      <c r="C245" s="21" t="s">
        <v>914</v>
      </c>
      <c r="D245" s="22" t="s">
        <v>915</v>
      </c>
      <c r="E245" s="83">
        <v>32.119999999999997</v>
      </c>
      <c r="F245" s="83">
        <f>E245/(1+L245)</f>
        <v>31.490196078431399</v>
      </c>
      <c r="G245" s="84">
        <v>35.051696</v>
      </c>
      <c r="H245" s="85"/>
      <c r="I245" s="83"/>
      <c r="J245" s="83">
        <v>45</v>
      </c>
      <c r="K245" s="102"/>
      <c r="L245" s="88">
        <v>0.02</v>
      </c>
      <c r="M245" s="31"/>
      <c r="N245" s="91"/>
      <c r="O245" s="89">
        <f>VLOOKUP(C245,'[1]站级商品进销存统计(2026-06-06)'!$B:$D,3,0)</f>
        <v>25</v>
      </c>
      <c r="P245" s="90">
        <f>VLOOKUP(C245,'[1]站级商品进销存统计(2026-06-06)'!$B:$F,5,0)</f>
        <v>35.051696</v>
      </c>
    </row>
    <row r="246" spans="1:16" ht="16" customHeight="1">
      <c r="A246" s="20">
        <v>221</v>
      </c>
      <c r="B246" s="20" t="s">
        <v>342</v>
      </c>
      <c r="C246" s="21" t="s">
        <v>916</v>
      </c>
      <c r="D246" s="22" t="s">
        <v>917</v>
      </c>
      <c r="E246" s="83">
        <v>73.400000000000006</v>
      </c>
      <c r="F246" s="83">
        <f>E246/(1+L246)</f>
        <v>54.776119402985103</v>
      </c>
      <c r="G246" s="84">
        <v>76.093708695652197</v>
      </c>
      <c r="H246" s="85"/>
      <c r="I246" s="83"/>
      <c r="J246" s="83">
        <v>119</v>
      </c>
      <c r="K246" s="102"/>
      <c r="L246" s="88">
        <v>0.34</v>
      </c>
      <c r="M246" s="31"/>
      <c r="N246" s="91"/>
      <c r="O246" s="89">
        <f>VLOOKUP(C246,'[1]站级商品进销存统计(2026-06-06)'!$B:$D,3,0)</f>
        <v>23</v>
      </c>
      <c r="P246" s="90">
        <f>VLOOKUP(C246,'[1]站级商品进销存统计(2026-06-06)'!$B:$F,5,0)</f>
        <v>76.093708695652197</v>
      </c>
    </row>
    <row r="247" spans="1:16" ht="16" customHeight="1">
      <c r="A247" s="20">
        <v>222</v>
      </c>
      <c r="B247" s="20" t="s">
        <v>342</v>
      </c>
      <c r="C247" s="21" t="s">
        <v>918</v>
      </c>
      <c r="D247" s="22" t="s">
        <v>919</v>
      </c>
      <c r="E247" s="83">
        <v>18.18</v>
      </c>
      <c r="F247" s="83">
        <v>18.18</v>
      </c>
      <c r="G247" s="84">
        <v>18.1811816513761</v>
      </c>
      <c r="H247" s="85"/>
      <c r="I247" s="83"/>
      <c r="J247" s="83">
        <v>26</v>
      </c>
      <c r="K247" s="102"/>
      <c r="L247" s="88"/>
      <c r="M247" s="31"/>
      <c r="N247" s="91" t="s">
        <v>513</v>
      </c>
      <c r="O247" s="89">
        <f>VLOOKUP(C247,'[1]站级商品进销存统计(2026-06-06)'!$B:$D,3,0)</f>
        <v>109</v>
      </c>
      <c r="P247" s="90">
        <f>VLOOKUP(C247,'[1]站级商品进销存统计(2026-06-06)'!$B:$F,5,0)</f>
        <v>18.1811816513761</v>
      </c>
    </row>
    <row r="248" spans="1:16" ht="16" customHeight="1">
      <c r="A248" s="20">
        <v>223</v>
      </c>
      <c r="B248" s="20" t="s">
        <v>342</v>
      </c>
      <c r="C248" s="21" t="s">
        <v>920</v>
      </c>
      <c r="D248" s="22" t="s">
        <v>921</v>
      </c>
      <c r="E248" s="83">
        <v>38</v>
      </c>
      <c r="F248" s="83">
        <f>E248/(1+L248)</f>
        <v>35.849056603773597</v>
      </c>
      <c r="G248" s="84">
        <v>37.322341379310302</v>
      </c>
      <c r="H248" s="85"/>
      <c r="I248" s="83"/>
      <c r="J248" s="83">
        <v>60</v>
      </c>
      <c r="K248" s="102"/>
      <c r="L248" s="88">
        <v>0.06</v>
      </c>
      <c r="M248" s="31"/>
      <c r="N248" s="91" t="s">
        <v>513</v>
      </c>
      <c r="O248" s="89">
        <f>VLOOKUP(C248,'[1]站级商品进销存统计(2026-06-06)'!$B:$D,3,0)</f>
        <v>29</v>
      </c>
      <c r="P248" s="90">
        <f>VLOOKUP(C248,'[1]站级商品进销存统计(2026-06-06)'!$B:$F,5,0)</f>
        <v>37.322341379310302</v>
      </c>
    </row>
    <row r="249" spans="1:16" ht="16" customHeight="1">
      <c r="A249" s="20">
        <v>224</v>
      </c>
      <c r="B249" s="20" t="s">
        <v>342</v>
      </c>
      <c r="C249" s="21" t="s">
        <v>922</v>
      </c>
      <c r="D249" s="22" t="s">
        <v>923</v>
      </c>
      <c r="E249" s="83">
        <v>12</v>
      </c>
      <c r="F249" s="83">
        <f>E249/(1+L249)</f>
        <v>12</v>
      </c>
      <c r="G249" s="84">
        <v>12.000653937947501</v>
      </c>
      <c r="H249" s="85"/>
      <c r="I249" s="83"/>
      <c r="J249" s="83">
        <v>17</v>
      </c>
      <c r="K249" s="102"/>
      <c r="L249" s="88"/>
      <c r="M249" s="31"/>
      <c r="N249" s="91" t="s">
        <v>513</v>
      </c>
      <c r="O249" s="89">
        <f>VLOOKUP(C249,'[1]站级商品进销存统计(2026-06-06)'!$B:$D,3,0)</f>
        <v>419</v>
      </c>
      <c r="P249" s="90">
        <f>VLOOKUP(C249,'[1]站级商品进销存统计(2026-06-06)'!$B:$F,5,0)</f>
        <v>12.000653937947501</v>
      </c>
    </row>
    <row r="250" spans="1:16" ht="16" customHeight="1">
      <c r="A250" s="20">
        <v>225</v>
      </c>
      <c r="B250" s="20" t="s">
        <v>342</v>
      </c>
      <c r="C250" s="21" t="s">
        <v>924</v>
      </c>
      <c r="D250" s="22" t="s">
        <v>925</v>
      </c>
      <c r="E250" s="83">
        <v>15</v>
      </c>
      <c r="F250" s="83">
        <f>E250/(1+L250)</f>
        <v>15</v>
      </c>
      <c r="G250" s="84">
        <v>15.0109770252324</v>
      </c>
      <c r="H250" s="85"/>
      <c r="I250" s="83"/>
      <c r="J250" s="83">
        <v>20</v>
      </c>
      <c r="K250" s="102"/>
      <c r="L250" s="88"/>
      <c r="M250" s="31"/>
      <c r="N250" s="91" t="s">
        <v>513</v>
      </c>
      <c r="O250" s="89">
        <f>VLOOKUP(C250,'[1]站级商品进销存统计(2026-06-06)'!$B:$D,3,0)</f>
        <v>1506</v>
      </c>
      <c r="P250" s="90">
        <f>VLOOKUP(C250,'[1]站级商品进销存统计(2026-06-06)'!$B:$F,5,0)</f>
        <v>15.0109770252324</v>
      </c>
    </row>
    <row r="251" spans="1:16" ht="16" customHeight="1">
      <c r="A251" s="20">
        <v>226</v>
      </c>
      <c r="B251" s="20" t="s">
        <v>342</v>
      </c>
      <c r="C251" s="21" t="s">
        <v>926</v>
      </c>
      <c r="D251" s="22" t="s">
        <v>927</v>
      </c>
      <c r="E251" s="83">
        <v>17.5</v>
      </c>
      <c r="F251" s="83">
        <f>E251/(1+L251)</f>
        <v>17.5</v>
      </c>
      <c r="G251" s="84">
        <v>17.515328854489201</v>
      </c>
      <c r="H251" s="85"/>
      <c r="I251" s="83"/>
      <c r="J251" s="83">
        <v>22.8</v>
      </c>
      <c r="K251" s="102"/>
      <c r="L251" s="88"/>
      <c r="M251" s="31"/>
      <c r="N251" s="91" t="s">
        <v>513</v>
      </c>
      <c r="O251" s="89">
        <f>VLOOKUP(C251,'[1]站级商品进销存统计(2026-06-06)'!$B:$D,3,0)</f>
        <v>1615</v>
      </c>
      <c r="P251" s="90">
        <f>VLOOKUP(C251,'[1]站级商品进销存统计(2026-06-06)'!$B:$F,5,0)</f>
        <v>17.515328854489201</v>
      </c>
    </row>
    <row r="252" spans="1:16" ht="16" customHeight="1">
      <c r="A252" s="20">
        <v>227</v>
      </c>
      <c r="B252" s="20" t="s">
        <v>342</v>
      </c>
      <c r="C252" s="21" t="s">
        <v>928</v>
      </c>
      <c r="D252" s="22" t="s">
        <v>929</v>
      </c>
      <c r="E252" s="83">
        <v>10.1</v>
      </c>
      <c r="F252" s="83">
        <v>8.4166666666666696</v>
      </c>
      <c r="G252" s="84">
        <v>9.0178378749999997</v>
      </c>
      <c r="H252" s="85"/>
      <c r="I252" s="83"/>
      <c r="J252" s="83">
        <v>19</v>
      </c>
      <c r="K252" s="102"/>
      <c r="L252" s="88">
        <v>0.2</v>
      </c>
      <c r="M252" s="31"/>
      <c r="N252" s="91" t="s">
        <v>647</v>
      </c>
      <c r="O252" s="89">
        <f>VLOOKUP(C252,'[1]站级商品进销存统计(2026-06-06)'!$B:$D,3,0)</f>
        <v>800</v>
      </c>
      <c r="P252" s="90">
        <f>VLOOKUP(C252,'[1]站级商品进销存统计(2026-06-06)'!$B:$F,5,0)</f>
        <v>9.0178378749999997</v>
      </c>
    </row>
    <row r="253" spans="1:16" ht="16" customHeight="1">
      <c r="A253" s="20">
        <v>228</v>
      </c>
      <c r="B253" s="20" t="s">
        <v>342</v>
      </c>
      <c r="C253" s="21" t="s">
        <v>930</v>
      </c>
      <c r="D253" s="22" t="s">
        <v>931</v>
      </c>
      <c r="E253" s="83">
        <v>23.74</v>
      </c>
      <c r="F253" s="83">
        <v>19.783333333333299</v>
      </c>
      <c r="G253" s="84">
        <v>18.138664314516099</v>
      </c>
      <c r="H253" s="85"/>
      <c r="I253" s="83"/>
      <c r="J253" s="83">
        <v>38</v>
      </c>
      <c r="K253" s="102"/>
      <c r="L253" s="88">
        <v>0.2</v>
      </c>
      <c r="M253" s="31"/>
      <c r="N253" s="20" t="s">
        <v>647</v>
      </c>
      <c r="O253" s="89">
        <f>VLOOKUP(C253,'[1]站级商品进销存统计(2026-06-06)'!$B:$D,3,0)</f>
        <v>992</v>
      </c>
      <c r="P253" s="90">
        <f>VLOOKUP(C253,'[1]站级商品进销存统计(2026-06-06)'!$B:$F,5,0)</f>
        <v>18.138664314516099</v>
      </c>
    </row>
    <row r="254" spans="1:16" ht="16" customHeight="1">
      <c r="A254" s="20">
        <v>229</v>
      </c>
      <c r="B254" s="20" t="s">
        <v>342</v>
      </c>
      <c r="C254" s="21" t="s">
        <v>932</v>
      </c>
      <c r="D254" s="22" t="s">
        <v>933</v>
      </c>
      <c r="E254" s="83">
        <v>30.4</v>
      </c>
      <c r="F254" s="83">
        <v>25.3333333333333</v>
      </c>
      <c r="G254" s="84">
        <v>23.023341396508702</v>
      </c>
      <c r="H254" s="85"/>
      <c r="I254" s="83"/>
      <c r="J254" s="83">
        <v>49</v>
      </c>
      <c r="K254" s="102"/>
      <c r="L254" s="88">
        <v>0.2</v>
      </c>
      <c r="M254" s="31"/>
      <c r="N254" s="20" t="s">
        <v>647</v>
      </c>
      <c r="O254" s="89">
        <f>VLOOKUP(C254,'[1]站级商品进销存统计(2026-06-06)'!$B:$D,3,0)</f>
        <v>802</v>
      </c>
      <c r="P254" s="90">
        <f>VLOOKUP(C254,'[1]站级商品进销存统计(2026-06-06)'!$B:$F,5,0)</f>
        <v>23.023341396508702</v>
      </c>
    </row>
    <row r="255" spans="1:16" ht="16" customHeight="1">
      <c r="A255" s="20">
        <v>230</v>
      </c>
      <c r="B255" s="20" t="s">
        <v>342</v>
      </c>
      <c r="C255" s="21" t="s">
        <v>934</v>
      </c>
      <c r="D255" s="22" t="s">
        <v>935</v>
      </c>
      <c r="E255" s="83">
        <v>20.91</v>
      </c>
      <c r="F255" s="83">
        <v>17.425000000000001</v>
      </c>
      <c r="G255" s="84">
        <v>16.462013459399301</v>
      </c>
      <c r="H255" s="85"/>
      <c r="I255" s="83"/>
      <c r="J255" s="83">
        <v>34</v>
      </c>
      <c r="K255" s="102"/>
      <c r="L255" s="88">
        <v>0.2</v>
      </c>
      <c r="M255" s="31"/>
      <c r="N255" s="20" t="s">
        <v>647</v>
      </c>
      <c r="O255" s="89">
        <f>VLOOKUP(C255,'[1]站级商品进销存统计(2026-06-06)'!$B:$D,3,0)</f>
        <v>899</v>
      </c>
      <c r="P255" s="90">
        <f>VLOOKUP(C255,'[1]站级商品进销存统计(2026-06-06)'!$B:$F,5,0)</f>
        <v>16.462013459399301</v>
      </c>
    </row>
    <row r="256" spans="1:16" s="76" customFormat="1" ht="14.5">
      <c r="A256" s="20">
        <v>231</v>
      </c>
      <c r="B256" s="20" t="s">
        <v>342</v>
      </c>
      <c r="C256" s="21" t="s">
        <v>936</v>
      </c>
      <c r="D256" s="22" t="s">
        <v>937</v>
      </c>
      <c r="E256" s="83">
        <v>4.8</v>
      </c>
      <c r="F256" s="83">
        <v>4.8</v>
      </c>
      <c r="G256" s="84">
        <v>4.7016991802732404</v>
      </c>
      <c r="H256" s="85"/>
      <c r="I256" s="83"/>
      <c r="J256" s="83">
        <v>9</v>
      </c>
      <c r="K256" s="102"/>
      <c r="L256" s="88" t="s">
        <v>279</v>
      </c>
      <c r="M256" s="110"/>
      <c r="N256" s="20" t="s">
        <v>647</v>
      </c>
      <c r="O256" s="89">
        <f>VLOOKUP(C256,'[1]站级商品进销存统计(2026-06-06)'!$B:$D,3,0)</f>
        <v>30010</v>
      </c>
      <c r="P256" s="90">
        <f>VLOOKUP(C256,'[1]站级商品进销存统计(2026-06-06)'!$B:$F,5,0)</f>
        <v>4.7016991802732404</v>
      </c>
    </row>
    <row r="257" spans="1:16" s="76" customFormat="1" ht="14.5">
      <c r="A257" s="20">
        <v>232</v>
      </c>
      <c r="B257" s="20" t="s">
        <v>342</v>
      </c>
      <c r="C257" s="21" t="s">
        <v>938</v>
      </c>
      <c r="D257" s="22" t="s">
        <v>939</v>
      </c>
      <c r="E257" s="83">
        <v>8.8000000000000007</v>
      </c>
      <c r="F257" s="83">
        <v>8.8000000000000007</v>
      </c>
      <c r="G257" s="84">
        <v>8.8110376321352994</v>
      </c>
      <c r="H257" s="85"/>
      <c r="I257" s="83"/>
      <c r="J257" s="83">
        <v>15.9</v>
      </c>
      <c r="K257" s="102"/>
      <c r="L257" s="88" t="s">
        <v>279</v>
      </c>
      <c r="M257" s="110"/>
      <c r="N257" s="20" t="s">
        <v>647</v>
      </c>
      <c r="O257" s="89">
        <f>VLOOKUP(C257,'[1]站级商品进销存统计(2026-06-06)'!$B:$D,3,0)</f>
        <v>946</v>
      </c>
      <c r="P257" s="90">
        <f>VLOOKUP(C257,'[1]站级商品进销存统计(2026-06-06)'!$B:$F,5,0)</f>
        <v>8.8110376321352994</v>
      </c>
    </row>
    <row r="258" spans="1:16" s="76" customFormat="1" ht="14.5">
      <c r="A258" s="20">
        <v>233</v>
      </c>
      <c r="B258" s="20" t="s">
        <v>342</v>
      </c>
      <c r="C258" s="21" t="s">
        <v>940</v>
      </c>
      <c r="D258" s="22" t="s">
        <v>941</v>
      </c>
      <c r="E258" s="83">
        <v>9.9</v>
      </c>
      <c r="F258" s="83">
        <v>9.9</v>
      </c>
      <c r="G258" s="84">
        <v>9.9063893341952198</v>
      </c>
      <c r="H258" s="85"/>
      <c r="I258" s="83"/>
      <c r="J258" s="83">
        <v>17.899999999999999</v>
      </c>
      <c r="K258" s="102"/>
      <c r="L258" s="88" t="s">
        <v>279</v>
      </c>
      <c r="M258" s="110"/>
      <c r="N258" s="20" t="s">
        <v>647</v>
      </c>
      <c r="O258" s="89">
        <f>VLOOKUP(C258,'[1]站级商品进销存统计(2026-06-06)'!$B:$D,3,0)</f>
        <v>1547</v>
      </c>
      <c r="P258" s="90">
        <f>VLOOKUP(C258,'[1]站级商品进销存统计(2026-06-06)'!$B:$F,5,0)</f>
        <v>9.9063893341952198</v>
      </c>
    </row>
    <row r="259" spans="1:16" s="76" customFormat="1" ht="14.5">
      <c r="A259" s="20">
        <v>234</v>
      </c>
      <c r="B259" s="20" t="s">
        <v>342</v>
      </c>
      <c r="C259" s="21" t="s">
        <v>942</v>
      </c>
      <c r="D259" s="22" t="s">
        <v>943</v>
      </c>
      <c r="E259" s="83">
        <v>11</v>
      </c>
      <c r="F259" s="83">
        <v>11</v>
      </c>
      <c r="G259" s="84">
        <v>10.999696812080501</v>
      </c>
      <c r="H259" s="85"/>
      <c r="I259" s="83"/>
      <c r="J259" s="83">
        <v>19.899999999999999</v>
      </c>
      <c r="K259" s="102"/>
      <c r="L259" s="88" t="s">
        <v>279</v>
      </c>
      <c r="M259" s="110"/>
      <c r="N259" s="20" t="s">
        <v>647</v>
      </c>
      <c r="O259" s="89">
        <f>VLOOKUP(C259,'[1]站级商品进销存统计(2026-06-06)'!$B:$D,3,0)</f>
        <v>596</v>
      </c>
      <c r="P259" s="90">
        <f>VLOOKUP(C259,'[1]站级商品进销存统计(2026-06-06)'!$B:$F,5,0)</f>
        <v>10.999696812080501</v>
      </c>
    </row>
    <row r="260" spans="1:16" s="76" customFormat="1" ht="14.5">
      <c r="A260" s="20">
        <v>235</v>
      </c>
      <c r="B260" s="20" t="s">
        <v>342</v>
      </c>
      <c r="C260" s="21" t="s">
        <v>944</v>
      </c>
      <c r="D260" s="335" t="s">
        <v>3843</v>
      </c>
      <c r="E260" s="83">
        <v>8.1</v>
      </c>
      <c r="F260" s="83">
        <v>8.1</v>
      </c>
      <c r="G260" s="84">
        <v>8.1068348811498101</v>
      </c>
      <c r="H260" s="85"/>
      <c r="I260" s="83"/>
      <c r="J260" s="83">
        <v>14.6</v>
      </c>
      <c r="K260" s="102"/>
      <c r="L260" s="88" t="s">
        <v>279</v>
      </c>
      <c r="M260" s="110"/>
      <c r="N260" s="20" t="s">
        <v>647</v>
      </c>
      <c r="O260" s="89">
        <f>VLOOKUP(C260,'[1]站级商品进销存统计(2026-06-06)'!$B:$D,3,0)</f>
        <v>1809</v>
      </c>
      <c r="P260" s="90">
        <f>VLOOKUP(C260,'[1]站级商品进销存统计(2026-06-06)'!$B:$F,5,0)</f>
        <v>8.1068348811498101</v>
      </c>
    </row>
    <row r="261" spans="1:16" s="76" customFormat="1" ht="14.5">
      <c r="A261" s="20">
        <v>236</v>
      </c>
      <c r="B261" s="20" t="s">
        <v>342</v>
      </c>
      <c r="C261" s="340" t="s">
        <v>3831</v>
      </c>
      <c r="D261" s="22" t="s">
        <v>946</v>
      </c>
      <c r="E261" s="23">
        <v>8</v>
      </c>
      <c r="F261" s="23">
        <f>E261/(1+L261)</f>
        <v>5.71428571428571</v>
      </c>
      <c r="G261" s="97">
        <v>5.48674623115578</v>
      </c>
      <c r="H261" s="94">
        <v>2</v>
      </c>
      <c r="I261" s="23">
        <v>12.9</v>
      </c>
      <c r="J261" s="23">
        <v>9.9</v>
      </c>
      <c r="K261" s="102">
        <f>(I261-H261*G261)/I261</f>
        <v>0.14934166958825101</v>
      </c>
      <c r="L261" s="95">
        <v>0.4</v>
      </c>
      <c r="M261" s="341" t="s">
        <v>3832</v>
      </c>
      <c r="N261" s="20" t="s">
        <v>458</v>
      </c>
      <c r="O261" s="89">
        <f>VLOOKUP(C261,'[1]站级商品进销存统计(2026-06-06)'!$B:$D,3,0)</f>
        <v>398</v>
      </c>
      <c r="P261" s="90">
        <f>VLOOKUP(C261,'[1]站级商品进销存统计(2026-06-06)'!$B:$F,5,0)</f>
        <v>5.48674623115578</v>
      </c>
    </row>
    <row r="262" spans="1:16" s="76" customFormat="1" ht="14.5">
      <c r="A262" s="20">
        <v>237</v>
      </c>
      <c r="B262" s="20" t="s">
        <v>342</v>
      </c>
      <c r="C262" s="21" t="s">
        <v>948</v>
      </c>
      <c r="D262" s="22" t="s">
        <v>949</v>
      </c>
      <c r="E262" s="23">
        <v>8</v>
      </c>
      <c r="F262" s="23">
        <f>E262/(1+L262)</f>
        <v>5.71428571428571</v>
      </c>
      <c r="G262" s="97">
        <v>5.6445536036036001</v>
      </c>
      <c r="H262" s="94">
        <v>2</v>
      </c>
      <c r="I262" s="23">
        <v>12.9</v>
      </c>
      <c r="J262" s="23">
        <v>9.9</v>
      </c>
      <c r="K262" s="102">
        <f>(I262-H262*G262)/I262</f>
        <v>0.124875410294015</v>
      </c>
      <c r="L262" s="95">
        <v>0.4</v>
      </c>
      <c r="M262" s="26" t="s">
        <v>947</v>
      </c>
      <c r="N262" s="20" t="s">
        <v>458</v>
      </c>
      <c r="O262" s="89">
        <f>VLOOKUP(C262,'[1]站级商品进销存统计(2026-06-06)'!$B:$D,3,0)</f>
        <v>444</v>
      </c>
      <c r="P262" s="90">
        <f>VLOOKUP(C262,'[1]站级商品进销存统计(2026-06-06)'!$B:$F,5,0)</f>
        <v>5.6445536036036001</v>
      </c>
    </row>
    <row r="263" spans="1:16" s="76" customFormat="1" ht="14.5">
      <c r="A263" s="20">
        <v>238</v>
      </c>
      <c r="B263" s="20" t="s">
        <v>342</v>
      </c>
      <c r="C263" s="21" t="s">
        <v>950</v>
      </c>
      <c r="D263" s="22" t="s">
        <v>951</v>
      </c>
      <c r="E263" s="23">
        <v>8</v>
      </c>
      <c r="F263" s="23">
        <f>E263/(1+L263)</f>
        <v>5.71428571428571</v>
      </c>
      <c r="G263" s="97">
        <v>5.9252408993575996</v>
      </c>
      <c r="H263" s="94">
        <v>2</v>
      </c>
      <c r="I263" s="23">
        <v>12.9</v>
      </c>
      <c r="J263" s="23">
        <v>9.9</v>
      </c>
      <c r="K263" s="102">
        <f>(I263-H263*G263)/I263</f>
        <v>8.1358000099596997E-2</v>
      </c>
      <c r="L263" s="95">
        <v>0.4</v>
      </c>
      <c r="M263" s="26" t="s">
        <v>947</v>
      </c>
      <c r="N263" s="20" t="s">
        <v>458</v>
      </c>
      <c r="O263" s="89">
        <f>VLOOKUP(C263,'[1]站级商品进销存统计(2026-06-06)'!$B:$D,3,0)</f>
        <v>467</v>
      </c>
      <c r="P263" s="90">
        <f>VLOOKUP(C263,'[1]站级商品进销存统计(2026-06-06)'!$B:$F,5,0)</f>
        <v>5.9252408993575996</v>
      </c>
    </row>
    <row r="264" spans="1:16" s="76" customFormat="1" ht="14.5">
      <c r="A264" s="20">
        <v>239</v>
      </c>
      <c r="B264" s="20" t="s">
        <v>342</v>
      </c>
      <c r="C264" s="21" t="s">
        <v>952</v>
      </c>
      <c r="D264" s="22" t="s">
        <v>953</v>
      </c>
      <c r="E264" s="23">
        <v>8</v>
      </c>
      <c r="F264" s="23">
        <f>E264/(1+L264)</f>
        <v>5.71428571428571</v>
      </c>
      <c r="G264" s="97">
        <v>5.4602746376811604</v>
      </c>
      <c r="H264" s="94">
        <v>2</v>
      </c>
      <c r="I264" s="23">
        <v>12.9</v>
      </c>
      <c r="J264" s="23">
        <v>9.9</v>
      </c>
      <c r="K264" s="102">
        <f>(I264-H264*G264)/I264</f>
        <v>0.15344579260757199</v>
      </c>
      <c r="L264" s="95">
        <v>0.4</v>
      </c>
      <c r="M264" s="20" t="s">
        <v>947</v>
      </c>
      <c r="N264" s="20" t="s">
        <v>458</v>
      </c>
      <c r="O264" s="89">
        <f>VLOOKUP(C264,'[1]站级商品进销存统计(2026-06-06)'!$B:$D,3,0)</f>
        <v>276</v>
      </c>
      <c r="P264" s="90">
        <f>VLOOKUP(C264,'[1]站级商品进销存统计(2026-06-06)'!$B:$F,5,0)</f>
        <v>5.4602746376811604</v>
      </c>
    </row>
    <row r="265" spans="1:16" s="76" customFormat="1" ht="14.5">
      <c r="A265" s="20">
        <v>240</v>
      </c>
      <c r="B265" s="20" t="s">
        <v>342</v>
      </c>
      <c r="C265" s="21" t="s">
        <v>954</v>
      </c>
      <c r="D265" s="22" t="s">
        <v>955</v>
      </c>
      <c r="E265" s="83">
        <v>15.5</v>
      </c>
      <c r="F265" s="23">
        <v>15.5</v>
      </c>
      <c r="G265" s="84">
        <v>15.8836239130435</v>
      </c>
      <c r="H265" s="85"/>
      <c r="I265" s="83"/>
      <c r="J265" s="23">
        <v>19.899999999999999</v>
      </c>
      <c r="K265" s="102"/>
      <c r="L265" s="88"/>
      <c r="M265" s="96"/>
      <c r="N265" s="20" t="s">
        <v>647</v>
      </c>
      <c r="O265" s="89">
        <f>VLOOKUP(C265,'[1]站级商品进销存统计(2026-06-06)'!$B:$D,3,0)</f>
        <v>92</v>
      </c>
      <c r="P265" s="90">
        <f>VLOOKUP(C265,'[1]站级商品进销存统计(2026-06-06)'!$B:$F,5,0)</f>
        <v>15.8836239130435</v>
      </c>
    </row>
    <row r="266" spans="1:16" s="76" customFormat="1" ht="14.5">
      <c r="A266" s="20">
        <v>241</v>
      </c>
      <c r="B266" s="20" t="s">
        <v>342</v>
      </c>
      <c r="C266" s="21" t="s">
        <v>956</v>
      </c>
      <c r="D266" s="22" t="s">
        <v>957</v>
      </c>
      <c r="E266" s="23">
        <v>43.55</v>
      </c>
      <c r="F266" s="84">
        <v>39.590909090909101</v>
      </c>
      <c r="G266" s="84">
        <v>43.01</v>
      </c>
      <c r="H266" s="85"/>
      <c r="I266" s="83"/>
      <c r="J266" s="83">
        <v>54.9</v>
      </c>
      <c r="K266" s="102"/>
      <c r="L266" s="88">
        <v>0.02</v>
      </c>
      <c r="M266" s="96"/>
      <c r="N266" s="20"/>
      <c r="O266" s="89">
        <f>VLOOKUP(C266,'[1]站级商品进销存统计(2026-06-06)'!$B:$D,3,0)</f>
        <v>18651</v>
      </c>
      <c r="P266" s="90">
        <f>VLOOKUP(C266,'[1]站级商品进销存统计(2026-06-06)'!$B:$F,5,0)</f>
        <v>43.008332555895102</v>
      </c>
    </row>
    <row r="267" spans="1:16" s="76" customFormat="1" ht="43.5">
      <c r="A267" s="20">
        <v>242</v>
      </c>
      <c r="B267" s="20" t="s">
        <v>358</v>
      </c>
      <c r="C267" s="340" t="s">
        <v>3833</v>
      </c>
      <c r="D267" s="22" t="s">
        <v>958</v>
      </c>
      <c r="E267" s="23">
        <v>290</v>
      </c>
      <c r="F267" s="84">
        <v>290</v>
      </c>
      <c r="G267" s="84">
        <v>290</v>
      </c>
      <c r="H267" s="85">
        <v>1</v>
      </c>
      <c r="I267" s="83">
        <v>358</v>
      </c>
      <c r="J267" s="83">
        <v>458</v>
      </c>
      <c r="K267" s="102">
        <v>0.18994413407821201</v>
      </c>
      <c r="L267" s="88"/>
      <c r="M267" s="96" t="s">
        <v>959</v>
      </c>
      <c r="N267" s="20"/>
      <c r="O267" s="89">
        <f>VLOOKUP(C267,'[1]站级商品进销存统计(2026-06-06)'!$B:$D,3,0)</f>
        <v>2760</v>
      </c>
      <c r="P267" s="90">
        <f>VLOOKUP(C267,'[1]站级商品进销存统计(2026-06-06)'!$B:$F,5,0)</f>
        <v>290.38873061594199</v>
      </c>
    </row>
    <row r="268" spans="1:16" s="76" customFormat="1" ht="43.5">
      <c r="A268" s="20">
        <v>243</v>
      </c>
      <c r="B268" s="20" t="s">
        <v>358</v>
      </c>
      <c r="C268" s="21" t="s">
        <v>960</v>
      </c>
      <c r="D268" s="22" t="s">
        <v>961</v>
      </c>
      <c r="E268" s="23">
        <v>210</v>
      </c>
      <c r="F268" s="84">
        <v>210</v>
      </c>
      <c r="G268" s="84">
        <v>210</v>
      </c>
      <c r="H268" s="85">
        <v>1</v>
      </c>
      <c r="I268" s="83">
        <v>268</v>
      </c>
      <c r="J268" s="83">
        <v>358</v>
      </c>
      <c r="K268" s="102">
        <v>0.21641791044776101</v>
      </c>
      <c r="L268" s="88"/>
      <c r="M268" s="96" t="s">
        <v>962</v>
      </c>
      <c r="N268" s="20"/>
      <c r="O268" s="89">
        <f>VLOOKUP(C268,'[1]站级商品进销存统计(2026-06-06)'!$B:$D,3,0)</f>
        <v>2598</v>
      </c>
      <c r="P268" s="90">
        <f>VLOOKUP(C268,'[1]站级商品进销存统计(2026-06-06)'!$B:$F,5,0)</f>
        <v>210.05493883756699</v>
      </c>
    </row>
    <row r="269" spans="1:16" s="76" customFormat="1" ht="43.5">
      <c r="A269" s="20">
        <v>244</v>
      </c>
      <c r="B269" s="20" t="s">
        <v>358</v>
      </c>
      <c r="C269" s="21" t="s">
        <v>963</v>
      </c>
      <c r="D269" s="22" t="s">
        <v>964</v>
      </c>
      <c r="E269" s="23">
        <v>105</v>
      </c>
      <c r="F269" s="84">
        <v>105</v>
      </c>
      <c r="G269" s="84">
        <v>105</v>
      </c>
      <c r="H269" s="85">
        <v>1</v>
      </c>
      <c r="I269" s="83">
        <v>138</v>
      </c>
      <c r="J269" s="83">
        <v>198</v>
      </c>
      <c r="K269" s="102">
        <v>0.23913043478260901</v>
      </c>
      <c r="L269" s="88"/>
      <c r="M269" s="96" t="s">
        <v>965</v>
      </c>
      <c r="N269" s="20"/>
      <c r="O269" s="89">
        <f>VLOOKUP(C269,'[1]站级商品进销存统计(2026-06-06)'!$B:$D,3,0)</f>
        <v>16706</v>
      </c>
      <c r="P269" s="90">
        <f>VLOOKUP(C269,'[1]站级商品进销存统计(2026-06-06)'!$B:$F,5,0)</f>
        <v>105.11862269843201</v>
      </c>
    </row>
    <row r="270" spans="1:16" s="76" customFormat="1" ht="14.5">
      <c r="A270" s="20">
        <v>245</v>
      </c>
      <c r="B270" s="20" t="s">
        <v>358</v>
      </c>
      <c r="C270" s="21" t="s">
        <v>966</v>
      </c>
      <c r="D270" s="22" t="s">
        <v>967</v>
      </c>
      <c r="E270" s="83">
        <v>108</v>
      </c>
      <c r="F270" s="83">
        <v>108</v>
      </c>
      <c r="G270" s="84">
        <v>108.028081321557</v>
      </c>
      <c r="H270" s="85">
        <v>1</v>
      </c>
      <c r="I270" s="83">
        <v>149</v>
      </c>
      <c r="J270" s="83">
        <v>298</v>
      </c>
      <c r="K270" s="102">
        <v>0.21593847589049001</v>
      </c>
      <c r="L270" s="88" t="s">
        <v>279</v>
      </c>
      <c r="M270" s="31"/>
      <c r="N270" s="20" t="s">
        <v>458</v>
      </c>
      <c r="O270" s="89">
        <f>VLOOKUP(C270,'[1]站级商品进销存统计(2026-06-06)'!$B:$D,3,0)</f>
        <v>3057</v>
      </c>
      <c r="P270" s="90">
        <f>VLOOKUP(C270,'[1]站级商品进销存统计(2026-06-06)'!$B:$F,5,0)</f>
        <v>108.028081321557</v>
      </c>
    </row>
    <row r="271" spans="1:16" s="76" customFormat="1" ht="14.5">
      <c r="A271" s="20">
        <v>246</v>
      </c>
      <c r="B271" s="20" t="s">
        <v>358</v>
      </c>
      <c r="C271" s="21" t="s">
        <v>968</v>
      </c>
      <c r="D271" s="22" t="s">
        <v>969</v>
      </c>
      <c r="E271" s="83">
        <v>218</v>
      </c>
      <c r="F271" s="83">
        <v>218</v>
      </c>
      <c r="G271" s="84">
        <v>218.00005487288101</v>
      </c>
      <c r="H271" s="85">
        <v>1</v>
      </c>
      <c r="I271" s="83">
        <v>249</v>
      </c>
      <c r="J271" s="83">
        <v>498</v>
      </c>
      <c r="K271" s="102">
        <v>0.12449798363208001</v>
      </c>
      <c r="L271" s="88" t="s">
        <v>279</v>
      </c>
      <c r="M271" s="31"/>
      <c r="N271" s="20" t="s">
        <v>458</v>
      </c>
      <c r="O271" s="89">
        <f>VLOOKUP(C271,'[1]站级商品进销存统计(2026-06-06)'!$B:$D,3,0)</f>
        <v>944</v>
      </c>
      <c r="P271" s="90">
        <f>VLOOKUP(C271,'[1]站级商品进销存统计(2026-06-06)'!$B:$F,5,0)</f>
        <v>218.00005487288101</v>
      </c>
    </row>
    <row r="272" spans="1:16" s="76" customFormat="1" ht="14.5">
      <c r="A272" s="20">
        <v>247</v>
      </c>
      <c r="B272" s="20" t="s">
        <v>358</v>
      </c>
      <c r="C272" s="21" t="s">
        <v>970</v>
      </c>
      <c r="D272" s="22" t="s">
        <v>971</v>
      </c>
      <c r="E272" s="83">
        <v>344.41</v>
      </c>
      <c r="F272" s="83">
        <v>191.33888888888899</v>
      </c>
      <c r="G272" s="84">
        <v>191.83787675667099</v>
      </c>
      <c r="H272" s="85">
        <v>1</v>
      </c>
      <c r="I272" s="83">
        <v>249</v>
      </c>
      <c r="J272" s="83">
        <v>498</v>
      </c>
      <c r="K272" s="102">
        <v>0.23100125320369899</v>
      </c>
      <c r="L272" s="88">
        <v>0.8</v>
      </c>
      <c r="M272" s="31"/>
      <c r="N272" s="20" t="s">
        <v>458</v>
      </c>
      <c r="O272" s="89">
        <f>VLOOKUP(C272,'[1]站级商品进销存统计(2026-06-06)'!$B:$D,3,0)</f>
        <v>12666</v>
      </c>
      <c r="P272" s="90">
        <f>VLOOKUP(C272,'[1]站级商品进销存统计(2026-06-06)'!$B:$F,5,0)</f>
        <v>191.83787675667099</v>
      </c>
    </row>
    <row r="273" spans="1:16" s="76" customFormat="1" ht="14.5">
      <c r="A273" s="20">
        <v>248</v>
      </c>
      <c r="B273" s="20" t="s">
        <v>358</v>
      </c>
      <c r="C273" s="21" t="s">
        <v>972</v>
      </c>
      <c r="D273" s="22" t="s">
        <v>973</v>
      </c>
      <c r="E273" s="83">
        <v>651.45000000000005</v>
      </c>
      <c r="F273" s="83">
        <v>434.3</v>
      </c>
      <c r="G273" s="84">
        <v>434.34395178571401</v>
      </c>
      <c r="H273" s="85">
        <v>1</v>
      </c>
      <c r="I273" s="83">
        <v>499</v>
      </c>
      <c r="J273" s="83">
        <v>1099</v>
      </c>
      <c r="K273" s="102">
        <v>0.12888556489834299</v>
      </c>
      <c r="L273" s="88">
        <v>0.5</v>
      </c>
      <c r="M273" s="31"/>
      <c r="N273" s="20" t="s">
        <v>458</v>
      </c>
      <c r="O273" s="89">
        <f>VLOOKUP(C273,'[1]站级商品进销存统计(2026-06-06)'!$B:$D,3,0)</f>
        <v>1232</v>
      </c>
      <c r="P273" s="90">
        <f>VLOOKUP(C273,'[1]站级商品进销存统计(2026-06-06)'!$B:$F,5,0)</f>
        <v>434.34395178571401</v>
      </c>
    </row>
    <row r="274" spans="1:16" s="76" customFormat="1" ht="14.5">
      <c r="A274" s="20">
        <v>249</v>
      </c>
      <c r="B274" s="20" t="s">
        <v>358</v>
      </c>
      <c r="C274" s="21" t="s">
        <v>974</v>
      </c>
      <c r="D274" s="22" t="s">
        <v>975</v>
      </c>
      <c r="E274" s="83">
        <v>459.55</v>
      </c>
      <c r="F274" s="83">
        <v>306.36666666666702</v>
      </c>
      <c r="G274" s="84">
        <v>306.26636578110799</v>
      </c>
      <c r="H274" s="85">
        <v>1</v>
      </c>
      <c r="I274" s="83">
        <v>359</v>
      </c>
      <c r="J274" s="83">
        <v>888</v>
      </c>
      <c r="K274" s="102">
        <v>0.14292275410076</v>
      </c>
      <c r="L274" s="88">
        <v>0.5</v>
      </c>
      <c r="M274" s="31"/>
      <c r="N274" s="20" t="s">
        <v>458</v>
      </c>
      <c r="O274" s="89">
        <f>VLOOKUP(C274,'[1]站级商品进销存统计(2026-06-06)'!$B:$D,3,0)</f>
        <v>4404</v>
      </c>
      <c r="P274" s="90">
        <f>VLOOKUP(C274,'[1]站级商品进销存统计(2026-06-06)'!$B:$F,5,0)</f>
        <v>306.26636578110799</v>
      </c>
    </row>
    <row r="275" spans="1:16" s="76" customFormat="1" ht="14.5">
      <c r="A275" s="20">
        <v>250</v>
      </c>
      <c r="B275" s="20" t="s">
        <v>358</v>
      </c>
      <c r="C275" s="21" t="s">
        <v>976</v>
      </c>
      <c r="D275" s="22" t="s">
        <v>977</v>
      </c>
      <c r="E275" s="83">
        <v>38.5</v>
      </c>
      <c r="F275" s="83">
        <f>E275/(1+L275)</f>
        <v>36.6666666666667</v>
      </c>
      <c r="G275" s="83">
        <v>38.5</v>
      </c>
      <c r="H275" s="85"/>
      <c r="I275" s="83"/>
      <c r="J275" s="83">
        <v>59</v>
      </c>
      <c r="K275" s="102"/>
      <c r="L275" s="88">
        <v>0.05</v>
      </c>
      <c r="M275" s="31"/>
      <c r="N275" s="20"/>
      <c r="O275" s="89" t="e">
        <f>VLOOKUP(C275,'[1]站级商品进销存统计(2026-06-06)'!$B:$D,3,0)</f>
        <v>#N/A</v>
      </c>
      <c r="P275" s="90" t="e">
        <f>VLOOKUP(C275,'[1]站级商品进销存统计(2026-06-06)'!$B:$F,5,0)</f>
        <v>#N/A</v>
      </c>
    </row>
    <row r="276" spans="1:16" s="76" customFormat="1" ht="14.5">
      <c r="A276" s="20">
        <v>251</v>
      </c>
      <c r="B276" s="20" t="s">
        <v>358</v>
      </c>
      <c r="C276" s="21" t="s">
        <v>978</v>
      </c>
      <c r="D276" s="22" t="s">
        <v>979</v>
      </c>
      <c r="E276" s="83">
        <v>30</v>
      </c>
      <c r="F276" s="83">
        <f>E276/(1+L276)</f>
        <v>27.272727272727298</v>
      </c>
      <c r="G276" s="84">
        <v>23.539155555555599</v>
      </c>
      <c r="H276" s="85"/>
      <c r="I276" s="83"/>
      <c r="J276" s="83">
        <v>39</v>
      </c>
      <c r="K276" s="102"/>
      <c r="L276" s="88">
        <v>0.1</v>
      </c>
      <c r="M276" s="31"/>
      <c r="N276" s="20"/>
      <c r="O276" s="89">
        <f>VLOOKUP(C276,'[1]站级商品进销存统计(2026-06-06)'!$B:$D,3,0)</f>
        <v>63</v>
      </c>
      <c r="P276" s="90">
        <f>VLOOKUP(C276,'[1]站级商品进销存统计(2026-06-06)'!$B:$F,5,0)</f>
        <v>23.539155555555599</v>
      </c>
    </row>
    <row r="277" spans="1:16" s="76" customFormat="1" ht="14.5">
      <c r="A277" s="20">
        <v>252</v>
      </c>
      <c r="B277" s="20" t="s">
        <v>358</v>
      </c>
      <c r="C277" s="21" t="s">
        <v>980</v>
      </c>
      <c r="D277" s="22" t="s">
        <v>981</v>
      </c>
      <c r="E277" s="83">
        <v>85</v>
      </c>
      <c r="F277" s="83">
        <f>E277/(1+L277)</f>
        <v>77.272727272727295</v>
      </c>
      <c r="G277" s="84">
        <v>67.320280662983393</v>
      </c>
      <c r="H277" s="85"/>
      <c r="I277" s="83"/>
      <c r="J277" s="83">
        <v>109</v>
      </c>
      <c r="K277" s="102"/>
      <c r="L277" s="88">
        <v>0.1</v>
      </c>
      <c r="M277" s="31"/>
      <c r="N277" s="20"/>
      <c r="O277" s="89">
        <f>VLOOKUP(C277,'[1]站级商品进销存统计(2026-06-06)'!$B:$D,3,0)</f>
        <v>362</v>
      </c>
      <c r="P277" s="90">
        <f>VLOOKUP(C277,'[1]站级商品进销存统计(2026-06-06)'!$B:$F,5,0)</f>
        <v>67.320280662983393</v>
      </c>
    </row>
    <row r="278" spans="1:16" s="76" customFormat="1" ht="14.5">
      <c r="A278" s="20">
        <v>253</v>
      </c>
      <c r="B278" s="20" t="s">
        <v>358</v>
      </c>
      <c r="C278" s="21" t="s">
        <v>982</v>
      </c>
      <c r="D278" s="22" t="s">
        <v>983</v>
      </c>
      <c r="E278" s="96">
        <v>78.03</v>
      </c>
      <c r="F278" s="83">
        <f>E278/(1+L278)</f>
        <v>76.5</v>
      </c>
      <c r="G278" s="84">
        <v>73.1043349761526</v>
      </c>
      <c r="H278" s="85">
        <v>8</v>
      </c>
      <c r="I278" s="83">
        <v>798</v>
      </c>
      <c r="J278" s="83">
        <v>225</v>
      </c>
      <c r="K278" s="102">
        <f>1-G278*H278/I278</f>
        <v>0.267124461391954</v>
      </c>
      <c r="L278" s="88">
        <v>0.02</v>
      </c>
      <c r="M278" s="119" t="s">
        <v>984</v>
      </c>
      <c r="N278" s="20"/>
      <c r="O278" s="89">
        <f>VLOOKUP(C278,'[1]站级商品进销存统计(2026-06-06)'!$B:$D,3,0)</f>
        <v>8806</v>
      </c>
      <c r="P278" s="90">
        <f>VLOOKUP(C278,'[1]站级商品进销存统计(2026-06-06)'!$B:$F,5,0)</f>
        <v>73.1043349761526</v>
      </c>
    </row>
    <row r="279" spans="1:16" s="76" customFormat="1" ht="14.5">
      <c r="A279" s="20">
        <v>254</v>
      </c>
      <c r="B279" s="20" t="s">
        <v>358</v>
      </c>
      <c r="C279" s="21" t="s">
        <v>985</v>
      </c>
      <c r="D279" s="22" t="s">
        <v>986</v>
      </c>
      <c r="E279" s="96">
        <v>94.86</v>
      </c>
      <c r="F279" s="83">
        <f>E279/(1+L279)</f>
        <v>93</v>
      </c>
      <c r="G279" s="84">
        <v>94.487586666666701</v>
      </c>
      <c r="H279" s="85">
        <v>6</v>
      </c>
      <c r="I279" s="83">
        <v>800</v>
      </c>
      <c r="J279" s="83">
        <v>280</v>
      </c>
      <c r="K279" s="102">
        <f>1-G279*H279/I279</f>
        <v>0.29134310000000002</v>
      </c>
      <c r="L279" s="88">
        <v>0.02</v>
      </c>
      <c r="M279" s="119" t="s">
        <v>987</v>
      </c>
      <c r="N279" s="20"/>
      <c r="O279" s="89">
        <f>VLOOKUP(C279,'[1]站级商品进销存统计(2026-06-06)'!$B:$D,3,0)</f>
        <v>30</v>
      </c>
      <c r="P279" s="90">
        <f>VLOOKUP(C279,'[1]站级商品进销存统计(2026-06-06)'!$B:$F,5,0)</f>
        <v>94.487586666666701</v>
      </c>
    </row>
    <row r="280" spans="1:16" s="76" customFormat="1" ht="14.5">
      <c r="A280" s="20">
        <v>255</v>
      </c>
      <c r="B280" s="20" t="s">
        <v>358</v>
      </c>
      <c r="C280" s="21" t="s">
        <v>988</v>
      </c>
      <c r="D280" s="22" t="s">
        <v>989</v>
      </c>
      <c r="E280" s="83">
        <v>447.43</v>
      </c>
      <c r="F280" s="83">
        <v>406.754545454545</v>
      </c>
      <c r="G280" s="84">
        <v>415.47044814814802</v>
      </c>
      <c r="H280" s="85"/>
      <c r="I280" s="83"/>
      <c r="J280" s="83">
        <v>578</v>
      </c>
      <c r="K280" s="102"/>
      <c r="L280" s="88">
        <v>0.1</v>
      </c>
      <c r="M280" s="31"/>
      <c r="N280" s="20"/>
      <c r="O280" s="89">
        <f>VLOOKUP(C280,'[1]站级商品进销存统计(2026-06-06)'!$B:$D,3,0)</f>
        <v>27</v>
      </c>
      <c r="P280" s="90">
        <f>VLOOKUP(C280,'[1]站级商品进销存统计(2026-06-06)'!$B:$F,5,0)</f>
        <v>415.47044814814802</v>
      </c>
    </row>
    <row r="281" spans="1:16" s="76" customFormat="1" ht="14.5">
      <c r="A281" s="20">
        <v>256</v>
      </c>
      <c r="B281" s="20" t="s">
        <v>358</v>
      </c>
      <c r="C281" s="21" t="s">
        <v>990</v>
      </c>
      <c r="D281" s="22" t="s">
        <v>991</v>
      </c>
      <c r="E281" s="83">
        <v>117</v>
      </c>
      <c r="F281" s="83">
        <v>87.75</v>
      </c>
      <c r="G281" s="84">
        <v>106.115193353474</v>
      </c>
      <c r="H281" s="85"/>
      <c r="I281" s="83"/>
      <c r="J281" s="83">
        <v>158</v>
      </c>
      <c r="K281" s="102"/>
      <c r="L281" s="102">
        <v>0.33300000000000002</v>
      </c>
      <c r="M281" s="96"/>
      <c r="N281" s="20"/>
      <c r="O281" s="89">
        <f>VLOOKUP(C281,'[1]站级商品进销存统计(2026-06-06)'!$B:$D,3,0)</f>
        <v>662</v>
      </c>
      <c r="P281" s="90">
        <f>VLOOKUP(C281,'[1]站级商品进销存统计(2026-06-06)'!$B:$F,5,0)</f>
        <v>106.115193353474</v>
      </c>
    </row>
    <row r="282" spans="1:16" s="76" customFormat="1" ht="14.5">
      <c r="A282" s="20">
        <v>257</v>
      </c>
      <c r="B282" s="20" t="s">
        <v>358</v>
      </c>
      <c r="C282" s="21" t="s">
        <v>992</v>
      </c>
      <c r="D282" s="22" t="s">
        <v>993</v>
      </c>
      <c r="E282" s="83">
        <v>163</v>
      </c>
      <c r="F282" s="83">
        <v>122.25</v>
      </c>
      <c r="G282" s="84">
        <v>125.431215537849</v>
      </c>
      <c r="H282" s="85"/>
      <c r="I282" s="83"/>
      <c r="J282" s="83">
        <v>219</v>
      </c>
      <c r="K282" s="102"/>
      <c r="L282" s="102">
        <v>0.33300000000000002</v>
      </c>
      <c r="M282" s="96"/>
      <c r="N282" s="20"/>
      <c r="O282" s="89">
        <f>VLOOKUP(C282,'[1]站级商品进销存统计(2026-06-06)'!$B:$D,3,0)</f>
        <v>3263</v>
      </c>
      <c r="P282" s="90">
        <f>VLOOKUP(C282,'[1]站级商品进销存统计(2026-06-06)'!$B:$F,5,0)</f>
        <v>125.431215537849</v>
      </c>
    </row>
    <row r="283" spans="1:16" s="76" customFormat="1" ht="14.5">
      <c r="A283" s="20">
        <v>258</v>
      </c>
      <c r="B283" s="20" t="s">
        <v>358</v>
      </c>
      <c r="C283" s="21" t="s">
        <v>279</v>
      </c>
      <c r="D283" s="22" t="s">
        <v>994</v>
      </c>
      <c r="E283" s="23">
        <v>13.5</v>
      </c>
      <c r="F283" s="23">
        <v>13.5</v>
      </c>
      <c r="G283" s="23">
        <v>13.5</v>
      </c>
      <c r="H283" s="85"/>
      <c r="I283" s="83"/>
      <c r="J283" s="83">
        <v>19.899999999999999</v>
      </c>
      <c r="K283" s="102"/>
      <c r="L283" s="88"/>
      <c r="M283" s="31"/>
      <c r="N283" s="20" t="s">
        <v>513</v>
      </c>
      <c r="O283" s="89" t="e">
        <f>VLOOKUP(C283,'[1]站级商品进销存统计(2026-06-06)'!$B:$D,3,0)</f>
        <v>#N/A</v>
      </c>
      <c r="P283" s="90" t="e">
        <f>VLOOKUP(C283,'[1]站级商品进销存统计(2026-06-06)'!$B:$F,5,0)</f>
        <v>#N/A</v>
      </c>
    </row>
    <row r="284" spans="1:16" s="76" customFormat="1" ht="14.5">
      <c r="A284" s="20">
        <v>259</v>
      </c>
      <c r="B284" s="20" t="s">
        <v>358</v>
      </c>
      <c r="C284" s="21" t="s">
        <v>995</v>
      </c>
      <c r="D284" s="22" t="s">
        <v>996</v>
      </c>
      <c r="E284" s="83">
        <v>168</v>
      </c>
      <c r="F284" s="83">
        <v>168</v>
      </c>
      <c r="G284" s="84">
        <v>167.43993981556801</v>
      </c>
      <c r="H284" s="85"/>
      <c r="I284" s="83"/>
      <c r="J284" s="83">
        <v>408</v>
      </c>
      <c r="K284" s="102"/>
      <c r="L284" s="88" t="s">
        <v>279</v>
      </c>
      <c r="M284" s="31"/>
      <c r="N284" s="20"/>
      <c r="O284" s="89">
        <f>VLOOKUP(C284,'[1]站级商品进销存统计(2026-06-06)'!$B:$D,3,0)</f>
        <v>7374</v>
      </c>
      <c r="P284" s="90">
        <f>VLOOKUP(C284,'[1]站级商品进销存统计(2026-06-06)'!$B:$F,5,0)</f>
        <v>167.43993981556801</v>
      </c>
    </row>
    <row r="285" spans="1:16" s="76" customFormat="1" ht="14.5">
      <c r="A285" s="20">
        <v>260</v>
      </c>
      <c r="B285" s="20" t="s">
        <v>358</v>
      </c>
      <c r="C285" s="21" t="s">
        <v>997</v>
      </c>
      <c r="D285" s="22" t="s">
        <v>998</v>
      </c>
      <c r="E285" s="83">
        <v>147</v>
      </c>
      <c r="F285" s="83">
        <v>147</v>
      </c>
      <c r="G285" s="84">
        <v>146.99341402383101</v>
      </c>
      <c r="H285" s="85"/>
      <c r="I285" s="83"/>
      <c r="J285" s="83">
        <v>308</v>
      </c>
      <c r="K285" s="102"/>
      <c r="L285" s="88" t="s">
        <v>279</v>
      </c>
      <c r="M285" s="31"/>
      <c r="N285" s="20"/>
      <c r="O285" s="89">
        <f>VLOOKUP(C285,'[1]站级商品进销存统计(2026-06-06)'!$B:$D,3,0)</f>
        <v>9819</v>
      </c>
      <c r="P285" s="90">
        <f>VLOOKUP(C285,'[1]站级商品进销存统计(2026-06-06)'!$B:$F,5,0)</f>
        <v>146.99341402383101</v>
      </c>
    </row>
    <row r="286" spans="1:16" s="76" customFormat="1" ht="14.5">
      <c r="A286" s="20">
        <v>261</v>
      </c>
      <c r="B286" s="20" t="s">
        <v>358</v>
      </c>
      <c r="C286" s="21" t="s">
        <v>999</v>
      </c>
      <c r="D286" s="22" t="s">
        <v>1000</v>
      </c>
      <c r="E286" s="83">
        <v>190</v>
      </c>
      <c r="F286" s="83">
        <v>190</v>
      </c>
      <c r="G286" s="84">
        <v>117.676544585987</v>
      </c>
      <c r="H286" s="85"/>
      <c r="I286" s="83"/>
      <c r="J286" s="83">
        <v>298</v>
      </c>
      <c r="K286" s="102"/>
      <c r="L286" s="88" t="s">
        <v>1001</v>
      </c>
      <c r="M286" s="31"/>
      <c r="N286" s="20"/>
      <c r="O286" s="89">
        <f>VLOOKUP(C286,'[1]站级商品进销存统计(2026-06-06)'!$B:$D,3,0)</f>
        <v>471</v>
      </c>
      <c r="P286" s="90">
        <f>VLOOKUP(C286,'[1]站级商品进销存统计(2026-06-06)'!$B:$F,5,0)</f>
        <v>117.676544585987</v>
      </c>
    </row>
    <row r="287" spans="1:16" s="76" customFormat="1" ht="14.5">
      <c r="A287" s="20">
        <v>262</v>
      </c>
      <c r="B287" s="20" t="s">
        <v>358</v>
      </c>
      <c r="C287" s="21" t="s">
        <v>1002</v>
      </c>
      <c r="D287" s="22" t="s">
        <v>1003</v>
      </c>
      <c r="E287" s="83">
        <v>139</v>
      </c>
      <c r="F287" s="83">
        <v>139</v>
      </c>
      <c r="G287" s="84">
        <v>135.85745919999999</v>
      </c>
      <c r="H287" s="85"/>
      <c r="I287" s="83"/>
      <c r="J287" s="83">
        <v>369</v>
      </c>
      <c r="K287" s="102"/>
      <c r="L287" s="88" t="s">
        <v>279</v>
      </c>
      <c r="M287" s="31"/>
      <c r="N287" s="20"/>
      <c r="O287" s="89">
        <f>VLOOKUP(C287,'[1]站级商品进销存统计(2026-06-06)'!$B:$D,3,0)</f>
        <v>125</v>
      </c>
      <c r="P287" s="90">
        <f>VLOOKUP(C287,'[1]站级商品进销存统计(2026-06-06)'!$B:$F,5,0)</f>
        <v>135.85745919999999</v>
      </c>
    </row>
    <row r="288" spans="1:16" s="76" customFormat="1" ht="14.5">
      <c r="A288" s="20">
        <v>263</v>
      </c>
      <c r="B288" s="20" t="s">
        <v>358</v>
      </c>
      <c r="C288" s="21" t="s">
        <v>1004</v>
      </c>
      <c r="D288" s="22" t="s">
        <v>1005</v>
      </c>
      <c r="E288" s="83">
        <v>89</v>
      </c>
      <c r="F288" s="83">
        <v>89</v>
      </c>
      <c r="G288" s="84">
        <v>85.893264511494195</v>
      </c>
      <c r="H288" s="85"/>
      <c r="I288" s="83"/>
      <c r="J288" s="83">
        <v>199</v>
      </c>
      <c r="K288" s="102"/>
      <c r="L288" s="88" t="s">
        <v>279</v>
      </c>
      <c r="M288" s="31"/>
      <c r="N288" s="20"/>
      <c r="O288" s="89">
        <f>VLOOKUP(C288,'[1]站级商品进销存统计(2026-06-06)'!$B:$D,3,0)</f>
        <v>1392</v>
      </c>
      <c r="P288" s="90">
        <f>VLOOKUP(C288,'[1]站级商品进销存统计(2026-06-06)'!$B:$F,5,0)</f>
        <v>85.893264511494195</v>
      </c>
    </row>
    <row r="289" spans="1:16" s="76" customFormat="1" ht="14.5">
      <c r="A289" s="20">
        <v>264</v>
      </c>
      <c r="B289" s="20" t="s">
        <v>358</v>
      </c>
      <c r="C289" s="21" t="s">
        <v>1006</v>
      </c>
      <c r="D289" s="22" t="s">
        <v>1007</v>
      </c>
      <c r="E289" s="83">
        <v>4.91</v>
      </c>
      <c r="F289" s="83">
        <v>4.4636363636363603</v>
      </c>
      <c r="G289" s="84">
        <v>4.8324242931937196</v>
      </c>
      <c r="H289" s="85"/>
      <c r="I289" s="83"/>
      <c r="J289" s="83">
        <v>6.5</v>
      </c>
      <c r="K289" s="102"/>
      <c r="L289" s="88">
        <v>0.1</v>
      </c>
      <c r="M289" s="31"/>
      <c r="N289" s="20"/>
      <c r="O289" s="89">
        <f>VLOOKUP(C289,'[1]站级商品进销存统计(2026-06-06)'!$B:$D,3,0)</f>
        <v>3820</v>
      </c>
      <c r="P289" s="90">
        <f>VLOOKUP(C289,'[1]站级商品进销存统计(2026-06-06)'!$B:$F,5,0)</f>
        <v>4.8324242931937196</v>
      </c>
    </row>
    <row r="290" spans="1:16" s="76" customFormat="1" ht="14.5">
      <c r="A290" s="20">
        <v>265</v>
      </c>
      <c r="B290" s="20" t="s">
        <v>358</v>
      </c>
      <c r="C290" s="21" t="s">
        <v>1008</v>
      </c>
      <c r="D290" s="22" t="s">
        <v>1009</v>
      </c>
      <c r="E290" s="83">
        <v>6.12</v>
      </c>
      <c r="F290" s="83">
        <v>5.5636363636363599</v>
      </c>
      <c r="G290" s="84">
        <v>6.0858342501074301</v>
      </c>
      <c r="H290" s="85"/>
      <c r="I290" s="83"/>
      <c r="J290" s="83">
        <v>8</v>
      </c>
      <c r="K290" s="102"/>
      <c r="L290" s="88">
        <v>0.1</v>
      </c>
      <c r="M290" s="31"/>
      <c r="N290" s="20"/>
      <c r="O290" s="89">
        <f>VLOOKUP(C290,'[1]站级商品进销存统计(2026-06-06)'!$B:$D,3,0)</f>
        <v>2327</v>
      </c>
      <c r="P290" s="90">
        <f>VLOOKUP(C290,'[1]站级商品进销存统计(2026-06-06)'!$B:$F,5,0)</f>
        <v>6.0858342501074301</v>
      </c>
    </row>
    <row r="291" spans="1:16" s="76" customFormat="1" ht="14.5">
      <c r="A291" s="20">
        <v>266</v>
      </c>
      <c r="B291" s="20" t="s">
        <v>358</v>
      </c>
      <c r="C291" s="21" t="s">
        <v>1010</v>
      </c>
      <c r="D291" s="22" t="s">
        <v>1011</v>
      </c>
      <c r="E291" s="83">
        <v>4.75</v>
      </c>
      <c r="F291" s="83">
        <f t="shared" ref="F291:F302" si="8">E291/(1+L291)</f>
        <v>3.4420289855072501</v>
      </c>
      <c r="G291" s="84">
        <v>3.46870359534207</v>
      </c>
      <c r="H291" s="85"/>
      <c r="I291" s="83"/>
      <c r="J291" s="83">
        <v>6.9</v>
      </c>
      <c r="K291" s="102"/>
      <c r="L291" s="88">
        <v>0.38</v>
      </c>
      <c r="M291" s="31"/>
      <c r="N291" s="20" t="s">
        <v>458</v>
      </c>
      <c r="O291" s="89">
        <f>VLOOKUP(C291,'[1]站级商品进销存统计(2026-06-06)'!$B:$D,3,0)</f>
        <v>54960</v>
      </c>
      <c r="P291" s="90">
        <f>VLOOKUP(C291,'[1]站级商品进销存统计(2026-06-06)'!$B:$F,5,0)</f>
        <v>3.46870359534207</v>
      </c>
    </row>
    <row r="292" spans="1:16" s="76" customFormat="1" ht="14.5">
      <c r="A292" s="20">
        <v>267</v>
      </c>
      <c r="B292" s="20" t="s">
        <v>358</v>
      </c>
      <c r="C292" s="21" t="s">
        <v>1012</v>
      </c>
      <c r="D292" s="22" t="s">
        <v>1013</v>
      </c>
      <c r="E292" s="83">
        <v>3.5</v>
      </c>
      <c r="F292" s="83">
        <f t="shared" si="8"/>
        <v>2.5925925925925899</v>
      </c>
      <c r="G292" s="84">
        <v>2.6176595280028199</v>
      </c>
      <c r="H292" s="85"/>
      <c r="I292" s="83"/>
      <c r="J292" s="83">
        <v>4.9000000000000004</v>
      </c>
      <c r="K292" s="102"/>
      <c r="L292" s="88">
        <v>0.35</v>
      </c>
      <c r="M292" s="31"/>
      <c r="N292" s="20" t="s">
        <v>458</v>
      </c>
      <c r="O292" s="89">
        <f>VLOOKUP(C292,'[1]站级商品进销存统计(2026-06-06)'!$B:$D,3,0)</f>
        <v>51102</v>
      </c>
      <c r="P292" s="90">
        <f>VLOOKUP(C292,'[1]站级商品进销存统计(2026-06-06)'!$B:$F,5,0)</f>
        <v>2.6176595280028199</v>
      </c>
    </row>
    <row r="293" spans="1:16" s="76" customFormat="1" ht="14.5">
      <c r="A293" s="20">
        <v>268</v>
      </c>
      <c r="B293" s="20" t="s">
        <v>358</v>
      </c>
      <c r="C293" s="21" t="s">
        <v>1014</v>
      </c>
      <c r="D293" s="22" t="s">
        <v>1015</v>
      </c>
      <c r="E293" s="83">
        <v>7.2</v>
      </c>
      <c r="F293" s="83">
        <f t="shared" si="8"/>
        <v>5</v>
      </c>
      <c r="G293" s="84">
        <v>5.0250494162208597</v>
      </c>
      <c r="H293" s="85"/>
      <c r="I293" s="83"/>
      <c r="J293" s="83">
        <v>10</v>
      </c>
      <c r="K293" s="102"/>
      <c r="L293" s="88">
        <v>0.44</v>
      </c>
      <c r="M293" s="31"/>
      <c r="N293" s="20" t="s">
        <v>458</v>
      </c>
      <c r="O293" s="89">
        <f>VLOOKUP(C293,'[1]站级商品进销存统计(2026-06-06)'!$B:$D,3,0)</f>
        <v>25609</v>
      </c>
      <c r="P293" s="90">
        <f>VLOOKUP(C293,'[1]站级商品进销存统计(2026-06-06)'!$B:$F,5,0)</f>
        <v>5.0250494162208597</v>
      </c>
    </row>
    <row r="294" spans="1:16" s="76" customFormat="1" ht="14.5">
      <c r="A294" s="20">
        <v>269</v>
      </c>
      <c r="B294" s="20" t="s">
        <v>358</v>
      </c>
      <c r="C294" s="21" t="s">
        <v>1016</v>
      </c>
      <c r="D294" s="22" t="s">
        <v>1017</v>
      </c>
      <c r="E294" s="83">
        <v>1.92</v>
      </c>
      <c r="F294" s="23">
        <f t="shared" si="8"/>
        <v>1.4769230769230799</v>
      </c>
      <c r="G294" s="83"/>
      <c r="H294" s="85"/>
      <c r="I294" s="83"/>
      <c r="J294" s="23">
        <f>VLOOKUP(C294,'[2]1.1集采目录'!$F:$P,10,0)</f>
        <v>2.5</v>
      </c>
      <c r="K294" s="102"/>
      <c r="L294" s="88">
        <v>0.3</v>
      </c>
      <c r="M294" s="96"/>
      <c r="N294" s="20"/>
      <c r="O294" s="89" t="e">
        <f>VLOOKUP(C294,'[1]站级商品进销存统计(2026-06-06)'!$B:$D,3,0)</f>
        <v>#N/A</v>
      </c>
      <c r="P294" s="90" t="e">
        <f>VLOOKUP(C294,'[1]站级商品进销存统计(2026-06-06)'!$B:$F,5,0)</f>
        <v>#N/A</v>
      </c>
    </row>
    <row r="295" spans="1:16" s="76" customFormat="1" ht="14.5">
      <c r="A295" s="20">
        <v>270</v>
      </c>
      <c r="B295" s="20" t="s">
        <v>358</v>
      </c>
      <c r="C295" s="21" t="s">
        <v>1018</v>
      </c>
      <c r="D295" s="22" t="s">
        <v>1019</v>
      </c>
      <c r="E295" s="83">
        <v>1.94</v>
      </c>
      <c r="F295" s="23">
        <f t="shared" si="8"/>
        <v>1.4923076923076899</v>
      </c>
      <c r="G295" s="83"/>
      <c r="H295" s="85"/>
      <c r="I295" s="83"/>
      <c r="J295" s="23">
        <v>2.5</v>
      </c>
      <c r="K295" s="102"/>
      <c r="L295" s="88">
        <v>0.3</v>
      </c>
      <c r="M295" s="96"/>
      <c r="N295" s="20"/>
      <c r="O295" s="89" t="e">
        <f>VLOOKUP(C295,'[1]站级商品进销存统计(2026-06-06)'!$B:$D,3,0)</f>
        <v>#N/A</v>
      </c>
      <c r="P295" s="90" t="e">
        <f>VLOOKUP(C295,'[1]站级商品进销存统计(2026-06-06)'!$B:$F,5,0)</f>
        <v>#N/A</v>
      </c>
    </row>
    <row r="296" spans="1:16" s="76" customFormat="1" ht="14.5">
      <c r="A296" s="20">
        <v>271</v>
      </c>
      <c r="B296" s="20" t="s">
        <v>358</v>
      </c>
      <c r="C296" s="21" t="s">
        <v>1020</v>
      </c>
      <c r="D296" s="22" t="s">
        <v>1021</v>
      </c>
      <c r="E296" s="83">
        <v>3.08</v>
      </c>
      <c r="F296" s="23">
        <f t="shared" si="8"/>
        <v>2.93333333333333</v>
      </c>
      <c r="G296" s="83"/>
      <c r="H296" s="85"/>
      <c r="I296" s="83"/>
      <c r="J296" s="23">
        <v>5</v>
      </c>
      <c r="K296" s="102"/>
      <c r="L296" s="88">
        <v>0.05</v>
      </c>
      <c r="M296" s="96"/>
      <c r="N296" s="20"/>
      <c r="O296" s="89" t="e">
        <f>VLOOKUP(C296,'[1]站级商品进销存统计(2026-06-06)'!$B:$D,3,0)</f>
        <v>#N/A</v>
      </c>
      <c r="P296" s="90" t="e">
        <f>VLOOKUP(C296,'[1]站级商品进销存统计(2026-06-06)'!$B:$F,5,0)</f>
        <v>#N/A</v>
      </c>
    </row>
    <row r="297" spans="1:16" s="76" customFormat="1" ht="14.5">
      <c r="A297" s="20">
        <v>272</v>
      </c>
      <c r="B297" s="20" t="s">
        <v>1022</v>
      </c>
      <c r="C297" s="21" t="s">
        <v>1023</v>
      </c>
      <c r="D297" s="22" t="s">
        <v>1024</v>
      </c>
      <c r="E297" s="83">
        <v>10.61</v>
      </c>
      <c r="F297" s="83">
        <f t="shared" si="8"/>
        <v>10.104761904761901</v>
      </c>
      <c r="G297" s="84">
        <v>10.5320128846154</v>
      </c>
      <c r="H297" s="85"/>
      <c r="I297" s="83"/>
      <c r="J297" s="83">
        <v>14.9</v>
      </c>
      <c r="K297" s="102"/>
      <c r="L297" s="88">
        <v>0.05</v>
      </c>
      <c r="M297" s="31"/>
      <c r="N297" s="20" t="s">
        <v>458</v>
      </c>
      <c r="O297" s="89">
        <f>VLOOKUP(C297,'[1]站级商品进销存统计(2026-06-06)'!$B:$D,3,0)</f>
        <v>520</v>
      </c>
      <c r="P297" s="90">
        <f>VLOOKUP(C297,'[1]站级商品进销存统计(2026-06-06)'!$B:$F,5,0)</f>
        <v>10.5320128846154</v>
      </c>
    </row>
    <row r="298" spans="1:16" s="76" customFormat="1" ht="14.5">
      <c r="A298" s="20">
        <v>273</v>
      </c>
      <c r="B298" s="20" t="s">
        <v>1022</v>
      </c>
      <c r="C298" s="21" t="s">
        <v>1025</v>
      </c>
      <c r="D298" s="22" t="s">
        <v>1026</v>
      </c>
      <c r="E298" s="83">
        <v>10.47</v>
      </c>
      <c r="F298" s="83">
        <f t="shared" si="8"/>
        <v>9.5181818181818194</v>
      </c>
      <c r="G298" s="84">
        <v>10.3926879310345</v>
      </c>
      <c r="H298" s="85"/>
      <c r="I298" s="83"/>
      <c r="J298" s="83">
        <v>15.9</v>
      </c>
      <c r="K298" s="102"/>
      <c r="L298" s="88">
        <v>0.1</v>
      </c>
      <c r="M298" s="31"/>
      <c r="N298" s="20" t="s">
        <v>458</v>
      </c>
      <c r="O298" s="89">
        <f>VLOOKUP(C298,'[1]站级商品进销存统计(2026-06-06)'!$B:$D,3,0)</f>
        <v>116</v>
      </c>
      <c r="P298" s="90">
        <f>VLOOKUP(C298,'[1]站级商品进销存统计(2026-06-06)'!$B:$F,5,0)</f>
        <v>10.3926879310345</v>
      </c>
    </row>
    <row r="299" spans="1:16" s="76" customFormat="1" ht="14.5">
      <c r="A299" s="20">
        <v>274</v>
      </c>
      <c r="B299" s="20" t="s">
        <v>1022</v>
      </c>
      <c r="C299" s="21" t="s">
        <v>1027</v>
      </c>
      <c r="D299" s="22" t="s">
        <v>1028</v>
      </c>
      <c r="E299" s="83">
        <v>10.47</v>
      </c>
      <c r="F299" s="83">
        <f t="shared" si="8"/>
        <v>9.5181818181818194</v>
      </c>
      <c r="G299" s="84">
        <v>10.3750142857143</v>
      </c>
      <c r="H299" s="85"/>
      <c r="I299" s="83"/>
      <c r="J299" s="83">
        <v>15.9</v>
      </c>
      <c r="K299" s="102"/>
      <c r="L299" s="88">
        <v>0.1</v>
      </c>
      <c r="M299" s="31"/>
      <c r="N299" s="20" t="s">
        <v>458</v>
      </c>
      <c r="O299" s="89">
        <f>VLOOKUP(C299,'[1]站级商品进销存统计(2026-06-06)'!$B:$D,3,0)</f>
        <v>161</v>
      </c>
      <c r="P299" s="90">
        <f>VLOOKUP(C299,'[1]站级商品进销存统计(2026-06-06)'!$B:$F,5,0)</f>
        <v>10.3750142857143</v>
      </c>
    </row>
    <row r="300" spans="1:16" s="76" customFormat="1" ht="14.5">
      <c r="A300" s="20">
        <v>275</v>
      </c>
      <c r="B300" s="20" t="s">
        <v>1022</v>
      </c>
      <c r="C300" s="21" t="s">
        <v>1029</v>
      </c>
      <c r="D300" s="22" t="s">
        <v>1030</v>
      </c>
      <c r="E300" s="83">
        <v>10.61</v>
      </c>
      <c r="F300" s="83">
        <f t="shared" si="8"/>
        <v>10.104761904761901</v>
      </c>
      <c r="G300" s="84">
        <v>10.507100840336101</v>
      </c>
      <c r="H300" s="85"/>
      <c r="I300" s="83"/>
      <c r="J300" s="83">
        <v>14.9</v>
      </c>
      <c r="K300" s="102"/>
      <c r="L300" s="88">
        <v>0.05</v>
      </c>
      <c r="M300" s="31"/>
      <c r="N300" s="20" t="s">
        <v>458</v>
      </c>
      <c r="O300" s="89">
        <f>VLOOKUP(C300,'[1]站级商品进销存统计(2026-06-06)'!$B:$D,3,0)</f>
        <v>357</v>
      </c>
      <c r="P300" s="90">
        <f>VLOOKUP(C300,'[1]站级商品进销存统计(2026-06-06)'!$B:$F,5,0)</f>
        <v>10.507100840336101</v>
      </c>
    </row>
    <row r="301" spans="1:16" s="76" customFormat="1" ht="14.5">
      <c r="A301" s="20">
        <v>276</v>
      </c>
      <c r="B301" s="20" t="s">
        <v>1022</v>
      </c>
      <c r="C301" s="21" t="s">
        <v>1031</v>
      </c>
      <c r="D301" s="22" t="s">
        <v>1032</v>
      </c>
      <c r="E301" s="83">
        <v>10.61</v>
      </c>
      <c r="F301" s="83">
        <f t="shared" si="8"/>
        <v>10.104761904761901</v>
      </c>
      <c r="G301" s="84">
        <v>10.506358028169</v>
      </c>
      <c r="H301" s="85"/>
      <c r="I301" s="83"/>
      <c r="J301" s="83">
        <v>14.9</v>
      </c>
      <c r="K301" s="102"/>
      <c r="L301" s="88">
        <v>0.05</v>
      </c>
      <c r="M301" s="31"/>
      <c r="N301" s="20" t="s">
        <v>458</v>
      </c>
      <c r="O301" s="89">
        <f>VLOOKUP(C301,'[1]站级商品进销存统计(2026-06-06)'!$B:$D,3,0)</f>
        <v>355</v>
      </c>
      <c r="P301" s="90">
        <f>VLOOKUP(C301,'[1]站级商品进销存统计(2026-06-06)'!$B:$F,5,0)</f>
        <v>10.506358028169</v>
      </c>
    </row>
    <row r="302" spans="1:16" s="76" customFormat="1" ht="14.5">
      <c r="A302" s="20">
        <v>277</v>
      </c>
      <c r="B302" s="20" t="s">
        <v>1022</v>
      </c>
      <c r="C302" s="21" t="s">
        <v>1033</v>
      </c>
      <c r="D302" s="22" t="s">
        <v>1034</v>
      </c>
      <c r="E302" s="83">
        <v>10.61</v>
      </c>
      <c r="F302" s="83">
        <f t="shared" si="8"/>
        <v>10.104761904761901</v>
      </c>
      <c r="G302" s="84">
        <v>10.5261926380368</v>
      </c>
      <c r="H302" s="85"/>
      <c r="I302" s="83"/>
      <c r="J302" s="83">
        <v>14.9</v>
      </c>
      <c r="K302" s="102"/>
      <c r="L302" s="88">
        <v>0.05</v>
      </c>
      <c r="M302" s="31"/>
      <c r="N302" s="20" t="s">
        <v>458</v>
      </c>
      <c r="O302" s="89">
        <f>VLOOKUP(C302,'[1]站级商品进销存统计(2026-06-06)'!$B:$D,3,0)</f>
        <v>489</v>
      </c>
      <c r="P302" s="90">
        <f>VLOOKUP(C302,'[1]站级商品进销存统计(2026-06-06)'!$B:$F,5,0)</f>
        <v>10.5261926380368</v>
      </c>
    </row>
    <row r="303" spans="1:16" s="76" customFormat="1" ht="14.5">
      <c r="A303" s="20">
        <v>278</v>
      </c>
      <c r="B303" s="20" t="s">
        <v>1022</v>
      </c>
      <c r="C303" s="21" t="s">
        <v>1035</v>
      </c>
      <c r="D303" s="22" t="s">
        <v>1036</v>
      </c>
      <c r="E303" s="83">
        <v>6.21</v>
      </c>
      <c r="F303" s="83">
        <v>6.21</v>
      </c>
      <c r="G303" s="84">
        <v>6.2133259259259299</v>
      </c>
      <c r="H303" s="85"/>
      <c r="I303" s="83"/>
      <c r="J303" s="83">
        <v>13.9</v>
      </c>
      <c r="K303" s="102"/>
      <c r="L303" s="88"/>
      <c r="M303" s="31"/>
      <c r="N303" s="20" t="s">
        <v>513</v>
      </c>
      <c r="O303" s="89">
        <f>VLOOKUP(C303,'[1]站级商品进销存统计(2026-06-06)'!$B:$D,3,0)</f>
        <v>27</v>
      </c>
      <c r="P303" s="90">
        <f>VLOOKUP(C303,'[1]站级商品进销存统计(2026-06-06)'!$B:$F,5,0)</f>
        <v>6.2133259259259299</v>
      </c>
    </row>
    <row r="304" spans="1:16" s="76" customFormat="1" ht="14.5">
      <c r="A304" s="20">
        <v>279</v>
      </c>
      <c r="B304" s="20" t="s">
        <v>1022</v>
      </c>
      <c r="C304" s="21" t="s">
        <v>1037</v>
      </c>
      <c r="D304" s="22" t="s">
        <v>1038</v>
      </c>
      <c r="E304" s="83">
        <v>10.1</v>
      </c>
      <c r="F304" s="83">
        <v>10.1</v>
      </c>
      <c r="G304" s="84">
        <v>10.101172727272701</v>
      </c>
      <c r="H304" s="85"/>
      <c r="I304" s="83"/>
      <c r="J304" s="83">
        <v>19.8</v>
      </c>
      <c r="K304" s="102"/>
      <c r="L304" s="88"/>
      <c r="M304" s="31"/>
      <c r="N304" s="20" t="s">
        <v>513</v>
      </c>
      <c r="O304" s="89">
        <f>VLOOKUP(C304,'[1]站级商品进销存统计(2026-06-06)'!$B:$D,3,0)</f>
        <v>44</v>
      </c>
      <c r="P304" s="90">
        <f>VLOOKUP(C304,'[1]站级商品进销存统计(2026-06-06)'!$B:$F,5,0)</f>
        <v>10.101172727272701</v>
      </c>
    </row>
    <row r="305" spans="1:16" s="76" customFormat="1" ht="14.5">
      <c r="A305" s="20">
        <v>280</v>
      </c>
      <c r="B305" s="20" t="s">
        <v>1022</v>
      </c>
      <c r="C305" s="21" t="s">
        <v>1039</v>
      </c>
      <c r="D305" s="22" t="s">
        <v>1040</v>
      </c>
      <c r="E305" s="83">
        <v>10.1</v>
      </c>
      <c r="F305" s="83">
        <v>10.1</v>
      </c>
      <c r="G305" s="84">
        <v>10.1013078947368</v>
      </c>
      <c r="H305" s="85"/>
      <c r="I305" s="83"/>
      <c r="J305" s="83">
        <v>19.8</v>
      </c>
      <c r="K305" s="102"/>
      <c r="L305" s="88"/>
      <c r="M305" s="31"/>
      <c r="N305" s="20" t="s">
        <v>513</v>
      </c>
      <c r="O305" s="89">
        <f>VLOOKUP(C305,'[1]站级商品进销存统计(2026-06-06)'!$B:$D,3,0)</f>
        <v>38</v>
      </c>
      <c r="P305" s="90">
        <f>VLOOKUP(C305,'[1]站级商品进销存统计(2026-06-06)'!$B:$F,5,0)</f>
        <v>10.1013078947368</v>
      </c>
    </row>
    <row r="306" spans="1:16" s="76" customFormat="1" ht="14.5">
      <c r="A306" s="20">
        <v>281</v>
      </c>
      <c r="B306" s="20" t="s">
        <v>1022</v>
      </c>
      <c r="C306" s="21" t="s">
        <v>1041</v>
      </c>
      <c r="D306" s="22" t="s">
        <v>1042</v>
      </c>
      <c r="E306" s="83">
        <v>53.03</v>
      </c>
      <c r="F306" s="83">
        <v>53.03</v>
      </c>
      <c r="G306" s="84">
        <v>53.110551219512203</v>
      </c>
      <c r="H306" s="85"/>
      <c r="I306" s="83"/>
      <c r="J306" s="83">
        <v>68.8</v>
      </c>
      <c r="K306" s="102"/>
      <c r="L306" s="88"/>
      <c r="M306" s="31"/>
      <c r="N306" s="20" t="s">
        <v>513</v>
      </c>
      <c r="O306" s="89">
        <f>VLOOKUP(C306,'[1]站级商品进销存统计(2026-06-06)'!$B:$D,3,0)</f>
        <v>82</v>
      </c>
      <c r="P306" s="90">
        <f>VLOOKUP(C306,'[1]站级商品进销存统计(2026-06-06)'!$B:$F,5,0)</f>
        <v>53.110551219512203</v>
      </c>
    </row>
    <row r="307" spans="1:16" s="76" customFormat="1" ht="14.5">
      <c r="A307" s="20">
        <v>282</v>
      </c>
      <c r="B307" s="20" t="s">
        <v>1022</v>
      </c>
      <c r="C307" s="21" t="s">
        <v>1043</v>
      </c>
      <c r="D307" s="22" t="s">
        <v>1044</v>
      </c>
      <c r="E307" s="83">
        <v>28.56</v>
      </c>
      <c r="F307" s="83">
        <f>E307/(1+L307)</f>
        <v>27.728155339805799</v>
      </c>
      <c r="G307" s="84">
        <v>27.692797168405399</v>
      </c>
      <c r="H307" s="85"/>
      <c r="I307" s="83"/>
      <c r="J307" s="83">
        <v>43.5</v>
      </c>
      <c r="K307" s="102"/>
      <c r="L307" s="88">
        <v>0.03</v>
      </c>
      <c r="M307" s="31"/>
      <c r="N307" s="20" t="s">
        <v>458</v>
      </c>
      <c r="O307" s="89">
        <f>VLOOKUP(C307,'[1]站级商品进销存统计(2026-06-06)'!$B:$D,3,0)</f>
        <v>671</v>
      </c>
      <c r="P307" s="90">
        <f>VLOOKUP(C307,'[1]站级商品进销存统计(2026-06-06)'!$B:$F,5,0)</f>
        <v>27.692797168405399</v>
      </c>
    </row>
    <row r="308" spans="1:16" s="76" customFormat="1" ht="14.5">
      <c r="A308" s="20">
        <v>283</v>
      </c>
      <c r="B308" s="20" t="s">
        <v>1022</v>
      </c>
      <c r="C308" s="21" t="s">
        <v>1045</v>
      </c>
      <c r="D308" s="22" t="s">
        <v>1046</v>
      </c>
      <c r="E308" s="83">
        <v>6.35</v>
      </c>
      <c r="F308" s="83">
        <v>6.35</v>
      </c>
      <c r="G308" s="84">
        <v>6.3600072581108202</v>
      </c>
      <c r="H308" s="85"/>
      <c r="I308" s="83"/>
      <c r="J308" s="83">
        <v>8.8000000000000007</v>
      </c>
      <c r="K308" s="102"/>
      <c r="L308" s="88" t="s">
        <v>279</v>
      </c>
      <c r="M308" s="31"/>
      <c r="N308" s="20" t="s">
        <v>647</v>
      </c>
      <c r="O308" s="89">
        <f>VLOOKUP(C308,'[1]站级商品进销存统计(2026-06-06)'!$B:$D,3,0)</f>
        <v>17415</v>
      </c>
      <c r="P308" s="90">
        <f>VLOOKUP(C308,'[1]站级商品进销存统计(2026-06-06)'!$B:$F,5,0)</f>
        <v>6.3600072581108202</v>
      </c>
    </row>
    <row r="309" spans="1:16" s="76" customFormat="1" ht="14.5">
      <c r="A309" s="20">
        <v>284</v>
      </c>
      <c r="B309" s="20" t="s">
        <v>1022</v>
      </c>
      <c r="C309" s="21" t="s">
        <v>1047</v>
      </c>
      <c r="D309" s="22" t="s">
        <v>1048</v>
      </c>
      <c r="E309" s="83">
        <v>6.35</v>
      </c>
      <c r="F309" s="83">
        <v>6.35</v>
      </c>
      <c r="G309" s="84">
        <v>6.3631418123400296</v>
      </c>
      <c r="H309" s="85"/>
      <c r="I309" s="83"/>
      <c r="J309" s="83">
        <v>8.8000000000000007</v>
      </c>
      <c r="K309" s="102"/>
      <c r="L309" s="88" t="s">
        <v>279</v>
      </c>
      <c r="M309" s="31"/>
      <c r="N309" s="20" t="s">
        <v>647</v>
      </c>
      <c r="O309" s="89">
        <f>VLOOKUP(C309,'[1]站级商品进销存统计(2026-06-06)'!$B:$D,3,0)</f>
        <v>18363</v>
      </c>
      <c r="P309" s="90">
        <f>VLOOKUP(C309,'[1]站级商品进销存统计(2026-06-06)'!$B:$F,5,0)</f>
        <v>6.3631418123400296</v>
      </c>
    </row>
    <row r="310" spans="1:16" s="76" customFormat="1" ht="14.5">
      <c r="A310" s="20">
        <v>285</v>
      </c>
      <c r="B310" s="20" t="s">
        <v>1022</v>
      </c>
      <c r="C310" s="21" t="s">
        <v>1049</v>
      </c>
      <c r="D310" s="22" t="s">
        <v>1050</v>
      </c>
      <c r="E310" s="83">
        <v>6.35</v>
      </c>
      <c r="F310" s="83">
        <v>6.35</v>
      </c>
      <c r="G310" s="84">
        <v>6.3660903875849302</v>
      </c>
      <c r="H310" s="85"/>
      <c r="I310" s="83"/>
      <c r="J310" s="83">
        <v>8.8000000000000007</v>
      </c>
      <c r="K310" s="102"/>
      <c r="L310" s="88" t="s">
        <v>279</v>
      </c>
      <c r="M310" s="31"/>
      <c r="N310" s="20" t="s">
        <v>647</v>
      </c>
      <c r="O310" s="89">
        <f>VLOOKUP(C310,'[1]站级商品进销存统计(2026-06-06)'!$B:$D,3,0)</f>
        <v>12952</v>
      </c>
      <c r="P310" s="90">
        <f>VLOOKUP(C310,'[1]站级商品进销存统计(2026-06-06)'!$B:$F,5,0)</f>
        <v>6.3660903875849302</v>
      </c>
    </row>
    <row r="311" spans="1:16" s="76" customFormat="1" ht="14.5">
      <c r="A311" s="20">
        <v>286</v>
      </c>
      <c r="B311" s="20" t="s">
        <v>1022</v>
      </c>
      <c r="C311" s="21" t="s">
        <v>1051</v>
      </c>
      <c r="D311" s="22" t="s">
        <v>1052</v>
      </c>
      <c r="E311" s="83">
        <v>9</v>
      </c>
      <c r="F311" s="83">
        <v>9</v>
      </c>
      <c r="G311" s="84">
        <v>8.9066721179624704</v>
      </c>
      <c r="H311" s="85"/>
      <c r="I311" s="83"/>
      <c r="J311" s="83">
        <v>14.9</v>
      </c>
      <c r="K311" s="102"/>
      <c r="L311" s="88" t="s">
        <v>279</v>
      </c>
      <c r="M311" s="31"/>
      <c r="N311" s="20" t="s">
        <v>647</v>
      </c>
      <c r="O311" s="89">
        <f>VLOOKUP(C311,'[1]站级商品进销存统计(2026-06-06)'!$B:$D,3,0)</f>
        <v>746</v>
      </c>
      <c r="P311" s="90">
        <f>VLOOKUP(C311,'[1]站级商品进销存统计(2026-06-06)'!$B:$F,5,0)</f>
        <v>8.9066721179624704</v>
      </c>
    </row>
    <row r="312" spans="1:16" s="76" customFormat="1" ht="14.5">
      <c r="A312" s="20">
        <v>287</v>
      </c>
      <c r="B312" s="20" t="s">
        <v>1022</v>
      </c>
      <c r="C312" s="21" t="s">
        <v>1053</v>
      </c>
      <c r="D312" s="22" t="s">
        <v>1054</v>
      </c>
      <c r="E312" s="83">
        <v>2.92</v>
      </c>
      <c r="F312" s="83">
        <v>2.92</v>
      </c>
      <c r="G312" s="84">
        <v>2.9211566037735799</v>
      </c>
      <c r="H312" s="85"/>
      <c r="I312" s="83"/>
      <c r="J312" s="83">
        <v>5.6</v>
      </c>
      <c r="K312" s="102"/>
      <c r="L312" s="88" t="s">
        <v>279</v>
      </c>
      <c r="M312" s="31"/>
      <c r="N312" s="20" t="s">
        <v>647</v>
      </c>
      <c r="O312" s="89">
        <f>VLOOKUP(C312,'[1]站级商品进销存统计(2026-06-06)'!$B:$D,3,0)</f>
        <v>106</v>
      </c>
      <c r="P312" s="90">
        <f>VLOOKUP(C312,'[1]站级商品进销存统计(2026-06-06)'!$B:$F,5,0)</f>
        <v>2.9211566037735799</v>
      </c>
    </row>
    <row r="313" spans="1:16" s="76" customFormat="1" ht="14.5">
      <c r="A313" s="20">
        <v>288</v>
      </c>
      <c r="B313" s="20" t="s">
        <v>1022</v>
      </c>
      <c r="C313" s="21" t="s">
        <v>1055</v>
      </c>
      <c r="D313" s="22" t="s">
        <v>1056</v>
      </c>
      <c r="E313" s="83">
        <v>2.92</v>
      </c>
      <c r="F313" s="83">
        <v>2.92</v>
      </c>
      <c r="G313" s="84">
        <v>3.0262726161369198</v>
      </c>
      <c r="H313" s="85"/>
      <c r="I313" s="83"/>
      <c r="J313" s="83">
        <v>5.6</v>
      </c>
      <c r="K313" s="102"/>
      <c r="L313" s="88" t="s">
        <v>279</v>
      </c>
      <c r="M313" s="31"/>
      <c r="N313" s="20" t="s">
        <v>647</v>
      </c>
      <c r="O313" s="89">
        <f>VLOOKUP(C313,'[1]站级商品进销存统计(2026-06-06)'!$B:$D,3,0)</f>
        <v>409</v>
      </c>
      <c r="P313" s="90">
        <f>VLOOKUP(C313,'[1]站级商品进销存统计(2026-06-06)'!$B:$F,5,0)</f>
        <v>3.0262726161369198</v>
      </c>
    </row>
    <row r="314" spans="1:16" s="76" customFormat="1" ht="14.5">
      <c r="A314" s="20">
        <v>289</v>
      </c>
      <c r="B314" s="20" t="s">
        <v>1022</v>
      </c>
      <c r="C314" s="21" t="s">
        <v>1057</v>
      </c>
      <c r="D314" s="22" t="s">
        <v>1058</v>
      </c>
      <c r="E314" s="83">
        <v>13.5</v>
      </c>
      <c r="F314" s="83">
        <v>13.5</v>
      </c>
      <c r="G314" s="84">
        <v>13.9017096938775</v>
      </c>
      <c r="H314" s="85"/>
      <c r="I314" s="83"/>
      <c r="J314" s="83">
        <v>24.9</v>
      </c>
      <c r="K314" s="102"/>
      <c r="L314" s="88" t="s">
        <v>279</v>
      </c>
      <c r="M314" s="110"/>
      <c r="N314" s="20" t="s">
        <v>647</v>
      </c>
      <c r="O314" s="89">
        <f>VLOOKUP(C314,'[1]站级商品进销存统计(2026-06-06)'!$B:$D,3,0)</f>
        <v>392</v>
      </c>
      <c r="P314" s="90">
        <f>VLOOKUP(C314,'[1]站级商品进销存统计(2026-06-06)'!$B:$F,5,0)</f>
        <v>13.9017096938775</v>
      </c>
    </row>
    <row r="315" spans="1:16" s="76" customFormat="1" ht="14.5">
      <c r="A315" s="20">
        <v>290</v>
      </c>
      <c r="B315" s="20" t="s">
        <v>1022</v>
      </c>
      <c r="C315" s="21" t="s">
        <v>1059</v>
      </c>
      <c r="D315" s="22" t="s">
        <v>1060</v>
      </c>
      <c r="E315" s="83">
        <v>9</v>
      </c>
      <c r="F315" s="83">
        <v>9</v>
      </c>
      <c r="G315" s="84">
        <v>9.3052691329479806</v>
      </c>
      <c r="H315" s="85"/>
      <c r="I315" s="83"/>
      <c r="J315" s="83">
        <v>14.9</v>
      </c>
      <c r="K315" s="102"/>
      <c r="L315" s="88" t="s">
        <v>279</v>
      </c>
      <c r="M315" s="110"/>
      <c r="N315" s="20" t="s">
        <v>647</v>
      </c>
      <c r="O315" s="89">
        <f>VLOOKUP(C315,'[1]站级商品进销存统计(2026-06-06)'!$B:$D,3,0)</f>
        <v>865</v>
      </c>
      <c r="P315" s="90">
        <f>VLOOKUP(C315,'[1]站级商品进销存统计(2026-06-06)'!$B:$F,5,0)</f>
        <v>9.3052691329479806</v>
      </c>
    </row>
    <row r="316" spans="1:16" ht="14.5">
      <c r="A316" s="20">
        <v>291</v>
      </c>
      <c r="B316" s="20" t="s">
        <v>1022</v>
      </c>
      <c r="C316" s="21" t="s">
        <v>1061</v>
      </c>
      <c r="D316" s="22" t="s">
        <v>1062</v>
      </c>
      <c r="E316" s="83">
        <v>9</v>
      </c>
      <c r="F316" s="83">
        <v>9</v>
      </c>
      <c r="G316" s="84">
        <v>7.7662734581497803</v>
      </c>
      <c r="H316" s="85"/>
      <c r="I316" s="83"/>
      <c r="J316" s="83">
        <v>17.899999999999999</v>
      </c>
      <c r="K316" s="102"/>
      <c r="L316" s="88" t="s">
        <v>279</v>
      </c>
      <c r="M316" s="110"/>
      <c r="N316" s="20" t="s">
        <v>647</v>
      </c>
      <c r="O316" s="89">
        <f>VLOOKUP(C316,'[1]站级商品进销存统计(2026-06-06)'!$B:$D,3,0)</f>
        <v>908</v>
      </c>
      <c r="P316" s="90">
        <f>VLOOKUP(C316,'[1]站级商品进销存统计(2026-06-06)'!$B:$F,5,0)</f>
        <v>7.7662734581497803</v>
      </c>
    </row>
    <row r="317" spans="1:16" ht="14.5">
      <c r="A317" s="20">
        <v>292</v>
      </c>
      <c r="B317" s="20" t="s">
        <v>1022</v>
      </c>
      <c r="C317" s="21" t="s">
        <v>1063</v>
      </c>
      <c r="D317" s="22" t="s">
        <v>1064</v>
      </c>
      <c r="E317" s="83">
        <v>13.5</v>
      </c>
      <c r="F317" s="83">
        <v>13.5</v>
      </c>
      <c r="G317" s="84">
        <v>11.9641002277904</v>
      </c>
      <c r="H317" s="85"/>
      <c r="I317" s="83"/>
      <c r="J317" s="83">
        <v>22.9</v>
      </c>
      <c r="K317" s="102"/>
      <c r="L317" s="88" t="s">
        <v>279</v>
      </c>
      <c r="M317" s="110"/>
      <c r="N317" s="20" t="s">
        <v>647</v>
      </c>
      <c r="O317" s="89">
        <f>VLOOKUP(C317,'[1]站级商品进销存统计(2026-06-06)'!$B:$D,3,0)</f>
        <v>439</v>
      </c>
      <c r="P317" s="90">
        <f>VLOOKUP(C317,'[1]站级商品进销存统计(2026-06-06)'!$B:$F,5,0)</f>
        <v>11.9641002277904</v>
      </c>
    </row>
    <row r="318" spans="1:16" ht="14.5">
      <c r="A318" s="20">
        <v>293</v>
      </c>
      <c r="B318" s="20" t="s">
        <v>1022</v>
      </c>
      <c r="C318" s="21" t="s">
        <v>1065</v>
      </c>
      <c r="D318" s="22" t="s">
        <v>1066</v>
      </c>
      <c r="E318" s="83">
        <v>19.5</v>
      </c>
      <c r="F318" s="83">
        <v>19.5</v>
      </c>
      <c r="G318" s="84">
        <v>19.270135204855801</v>
      </c>
      <c r="H318" s="85"/>
      <c r="I318" s="83"/>
      <c r="J318" s="83">
        <v>34.9</v>
      </c>
      <c r="K318" s="102"/>
      <c r="L318" s="88" t="s">
        <v>279</v>
      </c>
      <c r="M318" s="110"/>
      <c r="N318" s="20" t="s">
        <v>647</v>
      </c>
      <c r="O318" s="89">
        <f>VLOOKUP(C318,'[1]站级商品进销存统计(2026-06-06)'!$B:$D,3,0)</f>
        <v>659</v>
      </c>
      <c r="P318" s="90">
        <f>VLOOKUP(C318,'[1]站级商品进销存统计(2026-06-06)'!$B:$F,5,0)</f>
        <v>19.270135204855801</v>
      </c>
    </row>
    <row r="319" spans="1:16" ht="14.5">
      <c r="A319" s="20">
        <v>294</v>
      </c>
      <c r="B319" s="20" t="s">
        <v>1022</v>
      </c>
      <c r="C319" s="21" t="s">
        <v>1067</v>
      </c>
      <c r="D319" s="22" t="s">
        <v>1068</v>
      </c>
      <c r="E319" s="83">
        <v>6.35</v>
      </c>
      <c r="F319" s="83">
        <v>6.35</v>
      </c>
      <c r="G319" s="84">
        <v>6.3610245351514099</v>
      </c>
      <c r="H319" s="85"/>
      <c r="I319" s="83"/>
      <c r="J319" s="83">
        <v>8.8000000000000007</v>
      </c>
      <c r="K319" s="102"/>
      <c r="L319" s="88" t="s">
        <v>279</v>
      </c>
      <c r="M319" s="110"/>
      <c r="N319" s="20" t="s">
        <v>647</v>
      </c>
      <c r="O319" s="89">
        <f>VLOOKUP(C319,'[1]站级商品进销存统计(2026-06-06)'!$B:$D,3,0)</f>
        <v>11294</v>
      </c>
      <c r="P319" s="90">
        <f>VLOOKUP(C319,'[1]站级商品进销存统计(2026-06-06)'!$B:$F,5,0)</f>
        <v>6.3610245351514099</v>
      </c>
    </row>
    <row r="320" spans="1:16" ht="14.5">
      <c r="A320" s="20">
        <v>295</v>
      </c>
      <c r="B320" s="20" t="s">
        <v>1022</v>
      </c>
      <c r="C320" s="21" t="s">
        <v>1069</v>
      </c>
      <c r="D320" s="22" t="s">
        <v>1070</v>
      </c>
      <c r="E320" s="83">
        <v>6.35</v>
      </c>
      <c r="F320" s="83">
        <v>6.35</v>
      </c>
      <c r="G320" s="84">
        <v>6.3660095579043103</v>
      </c>
      <c r="H320" s="85"/>
      <c r="I320" s="83"/>
      <c r="J320" s="83">
        <v>8.8000000000000007</v>
      </c>
      <c r="K320" s="102"/>
      <c r="L320" s="88" t="s">
        <v>279</v>
      </c>
      <c r="M320" s="110"/>
      <c r="N320" s="20" t="s">
        <v>647</v>
      </c>
      <c r="O320" s="89">
        <f>VLOOKUP(C320,'[1]站级商品进销存统计(2026-06-06)'!$B:$D,3,0)</f>
        <v>8799</v>
      </c>
      <c r="P320" s="90">
        <f>VLOOKUP(C320,'[1]站级商品进销存统计(2026-06-06)'!$B:$F,5,0)</f>
        <v>6.3660095579043103</v>
      </c>
    </row>
    <row r="321" spans="1:16" ht="14.5">
      <c r="A321" s="20">
        <v>296</v>
      </c>
      <c r="B321" s="20" t="s">
        <v>1022</v>
      </c>
      <c r="C321" s="21" t="s">
        <v>1071</v>
      </c>
      <c r="D321" s="22" t="s">
        <v>1072</v>
      </c>
      <c r="E321" s="83">
        <v>16.5</v>
      </c>
      <c r="F321" s="83">
        <v>16.5</v>
      </c>
      <c r="G321" s="84">
        <v>12.5798410958904</v>
      </c>
      <c r="H321" s="85"/>
      <c r="I321" s="83"/>
      <c r="J321" s="83">
        <v>29.9</v>
      </c>
      <c r="K321" s="102"/>
      <c r="L321" s="88" t="s">
        <v>279</v>
      </c>
      <c r="M321" s="110"/>
      <c r="N321" s="20" t="s">
        <v>647</v>
      </c>
      <c r="O321" s="89">
        <f>VLOOKUP(C321,'[1]站级商品进销存统计(2026-06-06)'!$B:$D,3,0)</f>
        <v>146</v>
      </c>
      <c r="P321" s="90">
        <f>VLOOKUP(C321,'[1]站级商品进销存统计(2026-06-06)'!$B:$F,5,0)</f>
        <v>12.5798410958904</v>
      </c>
    </row>
    <row r="322" spans="1:16" ht="14.5">
      <c r="A322" s="20">
        <v>297</v>
      </c>
      <c r="B322" s="20" t="s">
        <v>1022</v>
      </c>
      <c r="C322" s="21" t="s">
        <v>279</v>
      </c>
      <c r="D322" s="22" t="s">
        <v>1073</v>
      </c>
      <c r="E322" s="30">
        <v>65</v>
      </c>
      <c r="F322" s="30">
        <v>65</v>
      </c>
      <c r="G322" s="30">
        <v>65</v>
      </c>
      <c r="H322" s="113"/>
      <c r="I322" s="30"/>
      <c r="J322" s="30">
        <v>99</v>
      </c>
      <c r="K322" s="102"/>
      <c r="L322" s="113"/>
      <c r="M322" s="110"/>
      <c r="N322" s="20" t="s">
        <v>647</v>
      </c>
      <c r="O322" s="89" t="e">
        <f>VLOOKUP(C322,'[1]站级商品进销存统计(2026-06-06)'!$B:$D,3,0)</f>
        <v>#N/A</v>
      </c>
      <c r="P322" s="90" t="e">
        <f>VLOOKUP(C322,'[1]站级商品进销存统计(2026-06-06)'!$B:$F,5,0)</f>
        <v>#N/A</v>
      </c>
    </row>
    <row r="323" spans="1:16" ht="14.5">
      <c r="A323" s="20">
        <v>298</v>
      </c>
      <c r="B323" s="20" t="s">
        <v>1022</v>
      </c>
      <c r="C323" s="21" t="s">
        <v>1074</v>
      </c>
      <c r="D323" s="22" t="s">
        <v>1075</v>
      </c>
      <c r="E323" s="83">
        <v>19.5</v>
      </c>
      <c r="F323" s="83">
        <v>19.5</v>
      </c>
      <c r="G323" s="84">
        <v>20.0609591836735</v>
      </c>
      <c r="H323" s="85"/>
      <c r="I323" s="83"/>
      <c r="J323" s="83">
        <v>34.9</v>
      </c>
      <c r="K323" s="102"/>
      <c r="L323" s="88" t="s">
        <v>279</v>
      </c>
      <c r="M323" s="110"/>
      <c r="N323" s="20" t="s">
        <v>647</v>
      </c>
      <c r="O323" s="89">
        <f>VLOOKUP(C323,'[1]站级商品进销存统计(2026-06-06)'!$B:$D,3,0)</f>
        <v>686</v>
      </c>
      <c r="P323" s="90">
        <f>VLOOKUP(C323,'[1]站级商品进销存统计(2026-06-06)'!$B:$F,5,0)</f>
        <v>20.0609591836735</v>
      </c>
    </row>
    <row r="324" spans="1:16" ht="14.5">
      <c r="A324" s="20">
        <v>299</v>
      </c>
      <c r="B324" s="20" t="s">
        <v>1022</v>
      </c>
      <c r="C324" s="21" t="s">
        <v>279</v>
      </c>
      <c r="D324" s="22" t="s">
        <v>1076</v>
      </c>
      <c r="E324" s="30">
        <v>72.5</v>
      </c>
      <c r="F324" s="30">
        <v>72.5</v>
      </c>
      <c r="G324" s="30">
        <v>72.5</v>
      </c>
      <c r="H324" s="113"/>
      <c r="I324" s="30"/>
      <c r="J324" s="30">
        <v>108</v>
      </c>
      <c r="K324" s="102"/>
      <c r="L324" s="113"/>
      <c r="M324" s="110"/>
      <c r="N324" s="20" t="s">
        <v>647</v>
      </c>
      <c r="O324" s="89" t="e">
        <f>VLOOKUP(C324,'[1]站级商品进销存统计(2026-06-06)'!$B:$D,3,0)</f>
        <v>#N/A</v>
      </c>
      <c r="P324" s="90" t="e">
        <f>VLOOKUP(C324,'[1]站级商品进销存统计(2026-06-06)'!$B:$F,5,0)</f>
        <v>#N/A</v>
      </c>
    </row>
    <row r="325" spans="1:16" ht="20" customHeight="1">
      <c r="A325" s="20">
        <v>300</v>
      </c>
      <c r="B325" s="20" t="s">
        <v>1022</v>
      </c>
      <c r="C325" s="21" t="s">
        <v>279</v>
      </c>
      <c r="D325" s="22" t="s">
        <v>1077</v>
      </c>
      <c r="E325" s="30">
        <v>64</v>
      </c>
      <c r="F325" s="30">
        <v>64</v>
      </c>
      <c r="G325" s="30">
        <v>64</v>
      </c>
      <c r="H325" s="113"/>
      <c r="I325" s="30"/>
      <c r="J325" s="30">
        <v>99</v>
      </c>
      <c r="K325" s="102"/>
      <c r="L325" s="113"/>
      <c r="M325" s="110"/>
      <c r="N325" s="91" t="s">
        <v>647</v>
      </c>
      <c r="O325" s="89" t="e">
        <f>VLOOKUP(C325,'[1]站级商品进销存统计(2026-06-06)'!$B:$D,3,0)</f>
        <v>#N/A</v>
      </c>
      <c r="P325" s="90" t="e">
        <f>VLOOKUP(C325,'[1]站级商品进销存统计(2026-06-06)'!$B:$F,5,0)</f>
        <v>#N/A</v>
      </c>
    </row>
    <row r="326" spans="1:16" ht="20" customHeight="1">
      <c r="A326" s="20">
        <v>301</v>
      </c>
      <c r="B326" s="20" t="s">
        <v>1022</v>
      </c>
      <c r="C326" s="21" t="s">
        <v>1078</v>
      </c>
      <c r="D326" s="22" t="s">
        <v>1079</v>
      </c>
      <c r="E326" s="83">
        <v>9</v>
      </c>
      <c r="F326" s="83">
        <v>9</v>
      </c>
      <c r="G326" s="83">
        <v>9.3302557058047508</v>
      </c>
      <c r="H326" s="85"/>
      <c r="I326" s="83"/>
      <c r="J326" s="83">
        <v>17.899999999999999</v>
      </c>
      <c r="K326" s="102"/>
      <c r="L326" s="88" t="s">
        <v>279</v>
      </c>
      <c r="M326" s="110"/>
      <c r="N326" s="91" t="s">
        <v>647</v>
      </c>
      <c r="O326" s="89" t="e">
        <f>VLOOKUP(C326,'[1]站级商品进销存统计(2026-06-06)'!$B:$D,3,0)</f>
        <v>#N/A</v>
      </c>
      <c r="P326" s="90" t="e">
        <f>VLOOKUP(C326,'[1]站级商品进销存统计(2026-06-06)'!$B:$F,5,0)</f>
        <v>#N/A</v>
      </c>
    </row>
    <row r="327" spans="1:16" ht="20" customHeight="1">
      <c r="A327" s="20">
        <v>302</v>
      </c>
      <c r="B327" s="20" t="s">
        <v>1022</v>
      </c>
      <c r="C327" s="21" t="s">
        <v>1080</v>
      </c>
      <c r="D327" s="22" t="s">
        <v>1081</v>
      </c>
      <c r="E327" s="83">
        <v>19.5</v>
      </c>
      <c r="F327" s="83">
        <v>19.5</v>
      </c>
      <c r="G327" s="84">
        <v>20.130479166666699</v>
      </c>
      <c r="H327" s="85"/>
      <c r="I327" s="83"/>
      <c r="J327" s="83">
        <v>34.9</v>
      </c>
      <c r="K327" s="102"/>
      <c r="L327" s="88" t="s">
        <v>279</v>
      </c>
      <c r="M327" s="110"/>
      <c r="N327" s="91" t="s">
        <v>647</v>
      </c>
      <c r="O327" s="89">
        <f>VLOOKUP(C327,'[1]站级商品进销存统计(2026-06-06)'!$B:$D,3,0)</f>
        <v>120</v>
      </c>
      <c r="P327" s="90">
        <f>VLOOKUP(C327,'[1]站级商品进销存统计(2026-06-06)'!$B:$F,5,0)</f>
        <v>20.130479166666699</v>
      </c>
    </row>
    <row r="328" spans="1:16" s="78" customFormat="1" ht="16.5">
      <c r="A328" s="20">
        <v>303</v>
      </c>
      <c r="B328" s="20" t="s">
        <v>1022</v>
      </c>
      <c r="C328" s="21" t="s">
        <v>1082</v>
      </c>
      <c r="D328" s="22" t="s">
        <v>1083</v>
      </c>
      <c r="E328" s="83">
        <v>9.5</v>
      </c>
      <c r="F328" s="83">
        <v>9.5</v>
      </c>
      <c r="G328" s="84">
        <v>6.3456214988645003</v>
      </c>
      <c r="H328" s="85"/>
      <c r="I328" s="83"/>
      <c r="J328" s="83">
        <v>22.9</v>
      </c>
      <c r="K328" s="102"/>
      <c r="L328" s="88" t="s">
        <v>279</v>
      </c>
      <c r="M328" s="31"/>
      <c r="N328" s="91" t="s">
        <v>647</v>
      </c>
      <c r="O328" s="89">
        <f>VLOOKUP(C328,'[1]站级商品进销存统计(2026-06-06)'!$B:$D,3,0)</f>
        <v>1321</v>
      </c>
      <c r="P328" s="90">
        <f>VLOOKUP(C328,'[1]站级商品进销存统计(2026-06-06)'!$B:$F,5,0)</f>
        <v>6.3456214988645003</v>
      </c>
    </row>
    <row r="329" spans="1:16" s="78" customFormat="1" ht="16.5">
      <c r="A329" s="20">
        <v>304</v>
      </c>
      <c r="B329" s="20" t="s">
        <v>1022</v>
      </c>
      <c r="C329" s="21" t="s">
        <v>279</v>
      </c>
      <c r="D329" s="22" t="s">
        <v>1084</v>
      </c>
      <c r="E329" s="30">
        <v>108</v>
      </c>
      <c r="F329" s="30">
        <v>108</v>
      </c>
      <c r="G329" s="30">
        <v>108</v>
      </c>
      <c r="H329" s="113"/>
      <c r="I329" s="30"/>
      <c r="J329" s="30">
        <v>148</v>
      </c>
      <c r="K329" s="102"/>
      <c r="L329" s="113"/>
      <c r="M329" s="31"/>
      <c r="N329" s="91" t="s">
        <v>647</v>
      </c>
      <c r="O329" s="89" t="e">
        <f>VLOOKUP(C329,'[1]站级商品进销存统计(2026-06-06)'!$B:$D,3,0)</f>
        <v>#N/A</v>
      </c>
      <c r="P329" s="90" t="e">
        <f>VLOOKUP(C329,'[1]站级商品进销存统计(2026-06-06)'!$B:$F,5,0)</f>
        <v>#N/A</v>
      </c>
    </row>
    <row r="330" spans="1:16" s="78" customFormat="1" ht="16.5">
      <c r="A330" s="20">
        <v>305</v>
      </c>
      <c r="B330" s="20" t="s">
        <v>1022</v>
      </c>
      <c r="C330" s="21" t="s">
        <v>1085</v>
      </c>
      <c r="D330" s="22" t="s">
        <v>1086</v>
      </c>
      <c r="E330" s="83">
        <v>0.79</v>
      </c>
      <c r="F330" s="83">
        <v>0.75238095238095204</v>
      </c>
      <c r="G330" s="84">
        <v>0.784441251490962</v>
      </c>
      <c r="H330" s="85"/>
      <c r="I330" s="83"/>
      <c r="J330" s="83">
        <v>1</v>
      </c>
      <c r="K330" s="102"/>
      <c r="L330" s="88">
        <v>0.05</v>
      </c>
      <c r="M330" s="31"/>
      <c r="N330" s="91" t="s">
        <v>458</v>
      </c>
      <c r="O330" s="89">
        <f>VLOOKUP(C330,'[1]站级商品进销存统计(2026-06-06)'!$B:$D,3,0)</f>
        <v>10899</v>
      </c>
      <c r="P330" s="90">
        <f>VLOOKUP(C330,'[1]站级商品进销存统计(2026-06-06)'!$B:$F,5,0)</f>
        <v>0.784441251490962</v>
      </c>
    </row>
    <row r="331" spans="1:16" s="79" customFormat="1" ht="16.5">
      <c r="A331" s="20">
        <v>306</v>
      </c>
      <c r="B331" s="20" t="s">
        <v>1022</v>
      </c>
      <c r="C331" s="21" t="s">
        <v>1087</v>
      </c>
      <c r="D331" s="22" t="s">
        <v>1088</v>
      </c>
      <c r="E331" s="83">
        <v>0.79</v>
      </c>
      <c r="F331" s="83">
        <v>0.75238095238095204</v>
      </c>
      <c r="G331" s="84">
        <v>0.78514633720930205</v>
      </c>
      <c r="H331" s="85"/>
      <c r="I331" s="83"/>
      <c r="J331" s="83">
        <v>1</v>
      </c>
      <c r="K331" s="102"/>
      <c r="L331" s="88">
        <v>0.05</v>
      </c>
      <c r="M331" s="31"/>
      <c r="N331" s="91" t="s">
        <v>458</v>
      </c>
      <c r="O331" s="89">
        <f>VLOOKUP(C331,'[1]站级商品进销存统计(2026-06-06)'!$B:$D,3,0)</f>
        <v>8600</v>
      </c>
      <c r="P331" s="90">
        <f>VLOOKUP(C331,'[1]站级商品进销存统计(2026-06-06)'!$B:$F,5,0)</f>
        <v>0.78514633720930205</v>
      </c>
    </row>
    <row r="332" spans="1:16" s="79" customFormat="1" ht="16.5">
      <c r="A332" s="20">
        <v>307</v>
      </c>
      <c r="B332" s="20" t="s">
        <v>1022</v>
      </c>
      <c r="C332" s="21" t="s">
        <v>1089</v>
      </c>
      <c r="D332" s="22" t="s">
        <v>1090</v>
      </c>
      <c r="E332" s="83">
        <v>2.68</v>
      </c>
      <c r="F332" s="23">
        <v>2.68</v>
      </c>
      <c r="G332" s="84">
        <v>2.6858779220779199</v>
      </c>
      <c r="H332" s="85"/>
      <c r="I332" s="83"/>
      <c r="J332" s="23">
        <v>4.9000000000000004</v>
      </c>
      <c r="K332" s="102"/>
      <c r="L332" s="88"/>
      <c r="M332" s="96"/>
      <c r="N332" s="91" t="s">
        <v>647</v>
      </c>
      <c r="O332" s="89">
        <f>VLOOKUP(C332,'[1]站级商品进销存统计(2026-06-06)'!$B:$D,3,0)</f>
        <v>77</v>
      </c>
      <c r="P332" s="90">
        <f>VLOOKUP(C332,'[1]站级商品进销存统计(2026-06-06)'!$B:$F,5,0)</f>
        <v>2.6858779220779199</v>
      </c>
    </row>
    <row r="333" spans="1:16" s="79" customFormat="1" ht="16.5">
      <c r="A333" s="20">
        <v>308</v>
      </c>
      <c r="B333" s="20" t="s">
        <v>1022</v>
      </c>
      <c r="C333" s="21" t="s">
        <v>1091</v>
      </c>
      <c r="D333" s="22" t="s">
        <v>1092</v>
      </c>
      <c r="E333" s="83">
        <v>2.68</v>
      </c>
      <c r="F333" s="23">
        <v>2.68</v>
      </c>
      <c r="G333" s="84">
        <v>2.6824047619047602</v>
      </c>
      <c r="H333" s="85"/>
      <c r="I333" s="83"/>
      <c r="J333" s="23">
        <v>4.9000000000000004</v>
      </c>
      <c r="K333" s="102"/>
      <c r="L333" s="88"/>
      <c r="M333" s="96"/>
      <c r="N333" s="91" t="s">
        <v>647</v>
      </c>
      <c r="O333" s="89">
        <f>VLOOKUP(C333,'[1]站级商品进销存统计(2026-06-06)'!$B:$D,3,0)</f>
        <v>21</v>
      </c>
      <c r="P333" s="90">
        <f>VLOOKUP(C333,'[1]站级商品进销存统计(2026-06-06)'!$B:$F,5,0)</f>
        <v>2.6824047619047602</v>
      </c>
    </row>
    <row r="334" spans="1:16" s="79" customFormat="1" ht="16.5">
      <c r="A334" s="20">
        <v>309</v>
      </c>
      <c r="B334" s="20" t="s">
        <v>1022</v>
      </c>
      <c r="C334" s="21" t="s">
        <v>1093</v>
      </c>
      <c r="D334" s="22" t="s">
        <v>1094</v>
      </c>
      <c r="E334" s="83">
        <v>11.5</v>
      </c>
      <c r="F334" s="23">
        <v>11.5</v>
      </c>
      <c r="G334" s="83"/>
      <c r="H334" s="85"/>
      <c r="I334" s="83"/>
      <c r="J334" s="23">
        <v>16.899999999999999</v>
      </c>
      <c r="K334" s="102"/>
      <c r="L334" s="88"/>
      <c r="M334" s="96"/>
      <c r="N334" s="91" t="s">
        <v>647</v>
      </c>
      <c r="O334" s="89" t="e">
        <f>VLOOKUP(C334,'[1]站级商品进销存统计(2026-06-06)'!$B:$D,3,0)</f>
        <v>#N/A</v>
      </c>
      <c r="P334" s="90" t="e">
        <f>VLOOKUP(C334,'[1]站级商品进销存统计(2026-06-06)'!$B:$F,5,0)</f>
        <v>#N/A</v>
      </c>
    </row>
    <row r="335" spans="1:16" s="78" customFormat="1" ht="16.5">
      <c r="A335" s="20">
        <v>310</v>
      </c>
      <c r="B335" s="20" t="s">
        <v>1022</v>
      </c>
      <c r="C335" s="21" t="s">
        <v>1095</v>
      </c>
      <c r="D335" s="22" t="s">
        <v>1094</v>
      </c>
      <c r="E335" s="83">
        <v>7.5</v>
      </c>
      <c r="F335" s="23">
        <v>7.5</v>
      </c>
      <c r="G335" s="83"/>
      <c r="H335" s="85"/>
      <c r="I335" s="83"/>
      <c r="J335" s="23">
        <v>9.9</v>
      </c>
      <c r="K335" s="102"/>
      <c r="L335" s="88"/>
      <c r="M335" s="96"/>
      <c r="N335" s="91" t="s">
        <v>647</v>
      </c>
      <c r="O335" s="89" t="e">
        <f>VLOOKUP(C335,'[1]站级商品进销存统计(2026-06-06)'!$B:$D,3,0)</f>
        <v>#N/A</v>
      </c>
      <c r="P335" s="90" t="e">
        <f>VLOOKUP(C335,'[1]站级商品进销存统计(2026-06-06)'!$B:$F,5,0)</f>
        <v>#N/A</v>
      </c>
    </row>
    <row r="336" spans="1:16" s="78" customFormat="1" ht="16.5">
      <c r="A336" s="20">
        <v>311</v>
      </c>
      <c r="B336" s="20" t="s">
        <v>1022</v>
      </c>
      <c r="C336" s="21" t="s">
        <v>1096</v>
      </c>
      <c r="D336" s="22" t="s">
        <v>1097</v>
      </c>
      <c r="E336" s="83">
        <v>11.5</v>
      </c>
      <c r="F336" s="23">
        <v>11.5</v>
      </c>
      <c r="G336" s="83"/>
      <c r="H336" s="85"/>
      <c r="I336" s="83"/>
      <c r="J336" s="23">
        <v>16.899999999999999</v>
      </c>
      <c r="K336" s="102"/>
      <c r="L336" s="88"/>
      <c r="M336" s="96"/>
      <c r="N336" s="91" t="s">
        <v>647</v>
      </c>
      <c r="O336" s="89" t="e">
        <f>VLOOKUP(C336,'[1]站级商品进销存统计(2026-06-06)'!$B:$D,3,0)</f>
        <v>#N/A</v>
      </c>
      <c r="P336" s="90" t="e">
        <f>VLOOKUP(C336,'[1]站级商品进销存统计(2026-06-06)'!$B:$F,5,0)</f>
        <v>#N/A</v>
      </c>
    </row>
    <row r="337" spans="1:16" s="78" customFormat="1" ht="16.5">
      <c r="A337" s="20">
        <v>312</v>
      </c>
      <c r="B337" s="20" t="s">
        <v>1022</v>
      </c>
      <c r="C337" s="21" t="s">
        <v>1098</v>
      </c>
      <c r="D337" s="22" t="s">
        <v>1097</v>
      </c>
      <c r="E337" s="83">
        <v>7.5</v>
      </c>
      <c r="F337" s="23">
        <v>7.5</v>
      </c>
      <c r="G337" s="83"/>
      <c r="H337" s="85"/>
      <c r="I337" s="83"/>
      <c r="J337" s="23">
        <v>9.9</v>
      </c>
      <c r="K337" s="102"/>
      <c r="L337" s="88"/>
      <c r="M337" s="96"/>
      <c r="N337" s="91" t="s">
        <v>647</v>
      </c>
      <c r="O337" s="89" t="e">
        <f>VLOOKUP(C337,'[1]站级商品进销存统计(2026-06-06)'!$B:$D,3,0)</f>
        <v>#N/A</v>
      </c>
      <c r="P337" s="90" t="e">
        <f>VLOOKUP(C337,'[1]站级商品进销存统计(2026-06-06)'!$B:$F,5,0)</f>
        <v>#N/A</v>
      </c>
    </row>
    <row r="338" spans="1:16" s="78" customFormat="1" ht="16.5">
      <c r="A338" s="20">
        <v>313</v>
      </c>
      <c r="B338" s="20" t="s">
        <v>1022</v>
      </c>
      <c r="C338" s="21" t="s">
        <v>1099</v>
      </c>
      <c r="D338" s="22" t="s">
        <v>1100</v>
      </c>
      <c r="E338" s="83">
        <v>7.5</v>
      </c>
      <c r="F338" s="23">
        <v>7.5</v>
      </c>
      <c r="G338" s="83"/>
      <c r="H338" s="85"/>
      <c r="I338" s="83"/>
      <c r="J338" s="23">
        <v>9.9</v>
      </c>
      <c r="K338" s="102"/>
      <c r="L338" s="88"/>
      <c r="M338" s="96"/>
      <c r="N338" s="91" t="s">
        <v>647</v>
      </c>
      <c r="O338" s="89" t="e">
        <f>VLOOKUP(C338,'[1]站级商品进销存统计(2026-06-06)'!$B:$D,3,0)</f>
        <v>#N/A</v>
      </c>
      <c r="P338" s="90" t="e">
        <f>VLOOKUP(C338,'[1]站级商品进销存统计(2026-06-06)'!$B:$F,5,0)</f>
        <v>#N/A</v>
      </c>
    </row>
    <row r="339" spans="1:16" s="78" customFormat="1" ht="16.5">
      <c r="A339" s="20">
        <v>314</v>
      </c>
      <c r="B339" s="20" t="s">
        <v>1022</v>
      </c>
      <c r="C339" s="21" t="s">
        <v>1101</v>
      </c>
      <c r="D339" s="22" t="s">
        <v>1102</v>
      </c>
      <c r="E339" s="83">
        <v>31.5</v>
      </c>
      <c r="F339" s="23">
        <v>31.5</v>
      </c>
      <c r="G339" s="83"/>
      <c r="H339" s="85"/>
      <c r="I339" s="83"/>
      <c r="J339" s="23">
        <v>49.9</v>
      </c>
      <c r="K339" s="102"/>
      <c r="L339" s="88"/>
      <c r="M339" s="96"/>
      <c r="N339" s="91" t="s">
        <v>647</v>
      </c>
      <c r="O339" s="89" t="e">
        <f>VLOOKUP(C339,'[1]站级商品进销存统计(2026-06-06)'!$B:$D,3,0)</f>
        <v>#N/A</v>
      </c>
      <c r="P339" s="90" t="e">
        <f>VLOOKUP(C339,'[1]站级商品进销存统计(2026-06-06)'!$B:$F,5,0)</f>
        <v>#N/A</v>
      </c>
    </row>
    <row r="340" spans="1:16" s="78" customFormat="1" ht="16.5">
      <c r="A340" s="20">
        <v>315</v>
      </c>
      <c r="B340" s="20" t="s">
        <v>1022</v>
      </c>
      <c r="C340" s="21" t="s">
        <v>1103</v>
      </c>
      <c r="D340" s="22" t="s">
        <v>1104</v>
      </c>
      <c r="E340" s="83">
        <v>23.95</v>
      </c>
      <c r="F340" s="23">
        <v>23.95</v>
      </c>
      <c r="G340" s="83"/>
      <c r="H340" s="85"/>
      <c r="I340" s="83"/>
      <c r="J340" s="23">
        <v>39.9</v>
      </c>
      <c r="K340" s="102"/>
      <c r="L340" s="88"/>
      <c r="M340" s="96"/>
      <c r="N340" s="91" t="s">
        <v>647</v>
      </c>
      <c r="O340" s="89" t="e">
        <f>VLOOKUP(C340,'[1]站级商品进销存统计(2026-06-06)'!$B:$D,3,0)</f>
        <v>#N/A</v>
      </c>
      <c r="P340" s="90" t="e">
        <f>VLOOKUP(C340,'[1]站级商品进销存统计(2026-06-06)'!$B:$F,5,0)</f>
        <v>#N/A</v>
      </c>
    </row>
    <row r="341" spans="1:16" s="78" customFormat="1" ht="16.5">
      <c r="A341" s="20">
        <v>316</v>
      </c>
      <c r="B341" s="20" t="s">
        <v>1022</v>
      </c>
      <c r="C341" s="21" t="s">
        <v>1105</v>
      </c>
      <c r="D341" s="22" t="s">
        <v>1106</v>
      </c>
      <c r="E341" s="83">
        <v>31.5</v>
      </c>
      <c r="F341" s="23">
        <v>31.5</v>
      </c>
      <c r="G341" s="83"/>
      <c r="H341" s="85"/>
      <c r="I341" s="83"/>
      <c r="J341" s="23">
        <v>49.9</v>
      </c>
      <c r="K341" s="102"/>
      <c r="L341" s="88"/>
      <c r="M341" s="96"/>
      <c r="N341" s="91" t="s">
        <v>647</v>
      </c>
      <c r="O341" s="89" t="e">
        <f>VLOOKUP(C341,'[1]站级商品进销存统计(2026-06-06)'!$B:$D,3,0)</f>
        <v>#N/A</v>
      </c>
      <c r="P341" s="90" t="e">
        <f>VLOOKUP(C341,'[1]站级商品进销存统计(2026-06-06)'!$B:$F,5,0)</f>
        <v>#N/A</v>
      </c>
    </row>
    <row r="342" spans="1:16" s="78" customFormat="1" ht="16.5">
      <c r="A342" s="20">
        <v>317</v>
      </c>
      <c r="B342" s="20" t="s">
        <v>1022</v>
      </c>
      <c r="C342" s="21" t="s">
        <v>279</v>
      </c>
      <c r="D342" s="22" t="s">
        <v>1107</v>
      </c>
      <c r="E342" s="83">
        <v>20.399999999999999</v>
      </c>
      <c r="F342" s="23">
        <v>20.399999999999999</v>
      </c>
      <c r="G342" s="84">
        <v>20.399999999999999</v>
      </c>
      <c r="H342" s="85"/>
      <c r="I342" s="83"/>
      <c r="J342" s="83">
        <v>34</v>
      </c>
      <c r="K342" s="102"/>
      <c r="L342" s="88"/>
      <c r="M342" s="96"/>
      <c r="N342" s="91" t="s">
        <v>647</v>
      </c>
      <c r="O342" s="89" t="e">
        <f>VLOOKUP(C342,'[1]站级商品进销存统计(2026-06-06)'!$B:$D,3,0)</f>
        <v>#N/A</v>
      </c>
      <c r="P342" s="90" t="e">
        <f>VLOOKUP(C342,'[1]站级商品进销存统计(2026-06-06)'!$B:$F,5,0)</f>
        <v>#N/A</v>
      </c>
    </row>
    <row r="343" spans="1:16" s="78" customFormat="1" ht="16.5">
      <c r="A343" s="20">
        <v>318</v>
      </c>
      <c r="B343" s="20" t="s">
        <v>1022</v>
      </c>
      <c r="C343" s="21" t="s">
        <v>279</v>
      </c>
      <c r="D343" s="22" t="s">
        <v>1108</v>
      </c>
      <c r="E343" s="83">
        <v>25.2</v>
      </c>
      <c r="F343" s="23">
        <v>25.2</v>
      </c>
      <c r="G343" s="84">
        <v>25.2</v>
      </c>
      <c r="H343" s="85"/>
      <c r="I343" s="83"/>
      <c r="J343" s="83">
        <v>42</v>
      </c>
      <c r="K343" s="102"/>
      <c r="L343" s="88"/>
      <c r="M343" s="96"/>
      <c r="N343" s="91" t="s">
        <v>647</v>
      </c>
      <c r="O343" s="89" t="e">
        <f>VLOOKUP(C343,'[1]站级商品进销存统计(2026-06-06)'!$B:$D,3,0)</f>
        <v>#N/A</v>
      </c>
      <c r="P343" s="90" t="e">
        <f>VLOOKUP(C343,'[1]站级商品进销存统计(2026-06-06)'!$B:$F,5,0)</f>
        <v>#N/A</v>
      </c>
    </row>
    <row r="344" spans="1:16" s="78" customFormat="1" ht="16.5">
      <c r="A344" s="20">
        <v>319</v>
      </c>
      <c r="B344" s="20" t="s">
        <v>1022</v>
      </c>
      <c r="C344" s="21" t="s">
        <v>1109</v>
      </c>
      <c r="D344" s="22" t="s">
        <v>1110</v>
      </c>
      <c r="E344" s="83">
        <v>28.1</v>
      </c>
      <c r="F344" s="23">
        <v>28.1</v>
      </c>
      <c r="G344" s="84">
        <v>28.1</v>
      </c>
      <c r="H344" s="85"/>
      <c r="I344" s="83"/>
      <c r="J344" s="83">
        <v>49</v>
      </c>
      <c r="K344" s="102"/>
      <c r="L344" s="88"/>
      <c r="M344" s="96"/>
      <c r="N344" s="91" t="s">
        <v>647</v>
      </c>
      <c r="O344" s="89" t="e">
        <f>VLOOKUP(C344,'[1]站级商品进销存统计(2026-06-06)'!$B:$D,3,0)</f>
        <v>#N/A</v>
      </c>
      <c r="P344" s="90" t="e">
        <f>VLOOKUP(C344,'[1]站级商品进销存统计(2026-06-06)'!$B:$F,5,0)</f>
        <v>#N/A</v>
      </c>
    </row>
    <row r="345" spans="1:16" s="78" customFormat="1" ht="16.5">
      <c r="A345" s="20">
        <v>320</v>
      </c>
      <c r="B345" s="20" t="s">
        <v>1022</v>
      </c>
      <c r="C345" s="21" t="s">
        <v>1111</v>
      </c>
      <c r="D345" s="22" t="s">
        <v>1112</v>
      </c>
      <c r="E345" s="83">
        <v>23.3</v>
      </c>
      <c r="F345" s="23">
        <v>23.3</v>
      </c>
      <c r="G345" s="84">
        <v>23.3</v>
      </c>
      <c r="H345" s="85"/>
      <c r="I345" s="83"/>
      <c r="J345" s="83">
        <v>39</v>
      </c>
      <c r="K345" s="102"/>
      <c r="L345" s="88"/>
      <c r="M345" s="96"/>
      <c r="N345" s="91" t="s">
        <v>647</v>
      </c>
      <c r="O345" s="89" t="e">
        <f>VLOOKUP(C345,'[1]站级商品进销存统计(2026-06-06)'!$B:$D,3,0)</f>
        <v>#N/A</v>
      </c>
      <c r="P345" s="90" t="e">
        <f>VLOOKUP(C345,'[1]站级商品进销存统计(2026-06-06)'!$B:$F,5,0)</f>
        <v>#N/A</v>
      </c>
    </row>
    <row r="346" spans="1:16" s="78" customFormat="1" ht="16.5">
      <c r="A346" s="20">
        <v>321</v>
      </c>
      <c r="B346" s="20" t="s">
        <v>1022</v>
      </c>
      <c r="C346" s="21" t="s">
        <v>279</v>
      </c>
      <c r="D346" s="22" t="s">
        <v>1113</v>
      </c>
      <c r="E346" s="83">
        <v>16.5</v>
      </c>
      <c r="F346" s="23">
        <v>16.5</v>
      </c>
      <c r="G346" s="84">
        <v>16.5</v>
      </c>
      <c r="H346" s="85"/>
      <c r="I346" s="83"/>
      <c r="J346" s="83">
        <v>33</v>
      </c>
      <c r="K346" s="102"/>
      <c r="L346" s="88"/>
      <c r="M346" s="96"/>
      <c r="N346" s="91" t="s">
        <v>647</v>
      </c>
      <c r="O346" s="89" t="e">
        <f>VLOOKUP(C346,'[1]站级商品进销存统计(2026-06-06)'!$B:$D,3,0)</f>
        <v>#N/A</v>
      </c>
      <c r="P346" s="90" t="e">
        <f>VLOOKUP(C346,'[1]站级商品进销存统计(2026-06-06)'!$B:$F,5,0)</f>
        <v>#N/A</v>
      </c>
    </row>
    <row r="347" spans="1:16" s="78" customFormat="1" ht="16.5">
      <c r="A347" s="20">
        <v>322</v>
      </c>
      <c r="B347" s="20" t="s">
        <v>1022</v>
      </c>
      <c r="C347" s="21" t="s">
        <v>1114</v>
      </c>
      <c r="D347" s="22" t="s">
        <v>1115</v>
      </c>
      <c r="E347" s="83">
        <v>28.1</v>
      </c>
      <c r="F347" s="23">
        <v>28.1</v>
      </c>
      <c r="G347" s="84">
        <v>28.1</v>
      </c>
      <c r="H347" s="85"/>
      <c r="I347" s="83"/>
      <c r="J347" s="83">
        <v>50</v>
      </c>
      <c r="K347" s="102"/>
      <c r="L347" s="88"/>
      <c r="M347" s="96"/>
      <c r="N347" s="91" t="s">
        <v>647</v>
      </c>
      <c r="O347" s="89" t="e">
        <f>VLOOKUP(C347,'[1]站级商品进销存统计(2026-06-06)'!$B:$D,3,0)</f>
        <v>#N/A</v>
      </c>
      <c r="P347" s="90" t="e">
        <f>VLOOKUP(C347,'[1]站级商品进销存统计(2026-06-06)'!$B:$F,5,0)</f>
        <v>#N/A</v>
      </c>
    </row>
    <row r="348" spans="1:16" s="78" customFormat="1" ht="16.5">
      <c r="A348" s="20">
        <v>323</v>
      </c>
      <c r="B348" s="20" t="s">
        <v>1022</v>
      </c>
      <c r="C348" s="21" t="s">
        <v>1116</v>
      </c>
      <c r="D348" s="22" t="s">
        <v>1117</v>
      </c>
      <c r="E348" s="83">
        <v>25.2</v>
      </c>
      <c r="F348" s="23">
        <v>25.2</v>
      </c>
      <c r="G348" s="84">
        <v>25.2</v>
      </c>
      <c r="H348" s="85"/>
      <c r="I348" s="83"/>
      <c r="J348" s="83">
        <v>42</v>
      </c>
      <c r="K348" s="102"/>
      <c r="L348" s="88"/>
      <c r="M348" s="96"/>
      <c r="N348" s="91" t="s">
        <v>647</v>
      </c>
      <c r="O348" s="89" t="e">
        <f>VLOOKUP(C348,'[1]站级商品进销存统计(2026-06-06)'!$B:$D,3,0)</f>
        <v>#N/A</v>
      </c>
      <c r="P348" s="90" t="e">
        <f>VLOOKUP(C348,'[1]站级商品进销存统计(2026-06-06)'!$B:$F,5,0)</f>
        <v>#N/A</v>
      </c>
    </row>
    <row r="349" spans="1:16" s="78" customFormat="1" ht="16.5">
      <c r="A349" s="20">
        <v>324</v>
      </c>
      <c r="B349" s="20" t="s">
        <v>1022</v>
      </c>
      <c r="C349" s="21" t="s">
        <v>1118</v>
      </c>
      <c r="D349" s="22" t="s">
        <v>1119</v>
      </c>
      <c r="E349" s="83">
        <v>37.799999999999997</v>
      </c>
      <c r="F349" s="23">
        <v>37.799999999999997</v>
      </c>
      <c r="G349" s="84">
        <v>37.799999999999997</v>
      </c>
      <c r="H349" s="85"/>
      <c r="I349" s="83"/>
      <c r="J349" s="83">
        <v>62</v>
      </c>
      <c r="K349" s="102"/>
      <c r="L349" s="88"/>
      <c r="M349" s="96"/>
      <c r="N349" s="91" t="s">
        <v>647</v>
      </c>
      <c r="O349" s="89" t="e">
        <f>VLOOKUP(C349,'[1]站级商品进销存统计(2026-06-06)'!$B:$D,3,0)</f>
        <v>#N/A</v>
      </c>
      <c r="P349" s="90" t="e">
        <f>VLOOKUP(C349,'[1]站级商品进销存统计(2026-06-06)'!$B:$F,5,0)</f>
        <v>#N/A</v>
      </c>
    </row>
    <row r="350" spans="1:16" s="78" customFormat="1" ht="16.5">
      <c r="A350" s="20">
        <v>325</v>
      </c>
      <c r="B350" s="20" t="s">
        <v>1022</v>
      </c>
      <c r="C350" s="21" t="s">
        <v>1120</v>
      </c>
      <c r="D350" s="22" t="s">
        <v>1121</v>
      </c>
      <c r="E350" s="83">
        <v>30.1</v>
      </c>
      <c r="F350" s="23">
        <v>30.1</v>
      </c>
      <c r="G350" s="84">
        <v>30.1</v>
      </c>
      <c r="H350" s="85"/>
      <c r="I350" s="83"/>
      <c r="J350" s="83">
        <v>50</v>
      </c>
      <c r="K350" s="102"/>
      <c r="L350" s="88"/>
      <c r="M350" s="96"/>
      <c r="N350" s="91" t="s">
        <v>647</v>
      </c>
      <c r="O350" s="89" t="e">
        <f>VLOOKUP(C350,'[1]站级商品进销存统计(2026-06-06)'!$B:$D,3,0)</f>
        <v>#N/A</v>
      </c>
      <c r="P350" s="90" t="e">
        <f>VLOOKUP(C350,'[1]站级商品进销存统计(2026-06-06)'!$B:$F,5,0)</f>
        <v>#N/A</v>
      </c>
    </row>
    <row r="351" spans="1:16" s="78" customFormat="1" ht="16.5">
      <c r="A351" s="20">
        <v>326</v>
      </c>
      <c r="B351" s="20" t="s">
        <v>1022</v>
      </c>
      <c r="C351" s="21" t="s">
        <v>1122</v>
      </c>
      <c r="D351" s="22" t="s">
        <v>1123</v>
      </c>
      <c r="E351" s="83">
        <v>11.2</v>
      </c>
      <c r="F351" s="23">
        <v>11.2</v>
      </c>
      <c r="G351" s="84">
        <v>11.2</v>
      </c>
      <c r="H351" s="85"/>
      <c r="I351" s="83"/>
      <c r="J351" s="83">
        <v>20</v>
      </c>
      <c r="K351" s="102"/>
      <c r="L351" s="88"/>
      <c r="M351" s="96"/>
      <c r="N351" s="91" t="s">
        <v>647</v>
      </c>
      <c r="O351" s="89" t="e">
        <f>VLOOKUP(C351,'[1]站级商品进销存统计(2026-06-06)'!$B:$D,3,0)</f>
        <v>#N/A</v>
      </c>
      <c r="P351" s="90" t="e">
        <f>VLOOKUP(C351,'[1]站级商品进销存统计(2026-06-06)'!$B:$F,5,0)</f>
        <v>#N/A</v>
      </c>
    </row>
    <row r="352" spans="1:16" s="78" customFormat="1" ht="16.5">
      <c r="A352" s="20">
        <v>327</v>
      </c>
      <c r="B352" s="20" t="s">
        <v>1022</v>
      </c>
      <c r="C352" s="21" t="s">
        <v>1124</v>
      </c>
      <c r="D352" s="22" t="s">
        <v>1125</v>
      </c>
      <c r="E352" s="83">
        <v>21.3</v>
      </c>
      <c r="F352" s="23">
        <v>21.3</v>
      </c>
      <c r="G352" s="84">
        <v>21.3</v>
      </c>
      <c r="H352" s="85"/>
      <c r="I352" s="83"/>
      <c r="J352" s="83">
        <v>36</v>
      </c>
      <c r="K352" s="102"/>
      <c r="L352" s="88"/>
      <c r="M352" s="96"/>
      <c r="N352" s="91" t="s">
        <v>647</v>
      </c>
      <c r="O352" s="89" t="e">
        <f>VLOOKUP(C352,'[1]站级商品进销存统计(2026-06-06)'!$B:$D,3,0)</f>
        <v>#N/A</v>
      </c>
      <c r="P352" s="90" t="e">
        <f>VLOOKUP(C352,'[1]站级商品进销存统计(2026-06-06)'!$B:$F,5,0)</f>
        <v>#N/A</v>
      </c>
    </row>
    <row r="353" spans="1:16" s="78" customFormat="1" ht="16.5">
      <c r="A353" s="20">
        <v>328</v>
      </c>
      <c r="B353" s="20" t="s">
        <v>1022</v>
      </c>
      <c r="C353" s="21" t="s">
        <v>1126</v>
      </c>
      <c r="D353" s="22" t="s">
        <v>1127</v>
      </c>
      <c r="E353" s="83">
        <v>25.2</v>
      </c>
      <c r="F353" s="23">
        <v>25.2</v>
      </c>
      <c r="G353" s="84">
        <v>25.2</v>
      </c>
      <c r="H353" s="85"/>
      <c r="I353" s="83"/>
      <c r="J353" s="83">
        <v>45</v>
      </c>
      <c r="K353" s="102"/>
      <c r="L353" s="88"/>
      <c r="M353" s="96"/>
      <c r="N353" s="91" t="s">
        <v>647</v>
      </c>
      <c r="O353" s="89" t="e">
        <f>VLOOKUP(C353,'[1]站级商品进销存统计(2026-06-06)'!$B:$D,3,0)</f>
        <v>#N/A</v>
      </c>
      <c r="P353" s="90" t="e">
        <f>VLOOKUP(C353,'[1]站级商品进销存统计(2026-06-06)'!$B:$F,5,0)</f>
        <v>#N/A</v>
      </c>
    </row>
    <row r="354" spans="1:16" s="78" customFormat="1" ht="16.5">
      <c r="A354" s="20">
        <v>329</v>
      </c>
      <c r="B354" s="20" t="s">
        <v>1022</v>
      </c>
      <c r="C354" s="21" t="s">
        <v>1128</v>
      </c>
      <c r="D354" s="22" t="s">
        <v>1129</v>
      </c>
      <c r="E354" s="83">
        <v>16.5</v>
      </c>
      <c r="F354" s="23">
        <v>16.5</v>
      </c>
      <c r="G354" s="84">
        <v>16.5</v>
      </c>
      <c r="H354" s="85"/>
      <c r="I354" s="83"/>
      <c r="J354" s="83">
        <v>30</v>
      </c>
      <c r="K354" s="102"/>
      <c r="L354" s="88"/>
      <c r="M354" s="96"/>
      <c r="N354" s="91" t="s">
        <v>647</v>
      </c>
      <c r="O354" s="89" t="e">
        <f>VLOOKUP(C354,'[1]站级商品进销存统计(2026-06-06)'!$B:$D,3,0)</f>
        <v>#N/A</v>
      </c>
      <c r="P354" s="90" t="e">
        <f>VLOOKUP(C354,'[1]站级商品进销存统计(2026-06-06)'!$B:$F,5,0)</f>
        <v>#N/A</v>
      </c>
    </row>
    <row r="355" spans="1:16" s="78" customFormat="1" ht="16.5">
      <c r="A355" s="20">
        <v>330</v>
      </c>
      <c r="B355" s="20" t="s">
        <v>1022</v>
      </c>
      <c r="C355" s="21" t="s">
        <v>1130</v>
      </c>
      <c r="D355" s="22" t="s">
        <v>1131</v>
      </c>
      <c r="E355" s="83">
        <v>18.2</v>
      </c>
      <c r="F355" s="23">
        <v>18.2</v>
      </c>
      <c r="G355" s="84">
        <v>18.2</v>
      </c>
      <c r="H355" s="85"/>
      <c r="I355" s="83"/>
      <c r="J355" s="83">
        <v>34</v>
      </c>
      <c r="K355" s="102"/>
      <c r="L355" s="88"/>
      <c r="M355" s="96"/>
      <c r="N355" s="91" t="s">
        <v>647</v>
      </c>
      <c r="O355" s="89" t="e">
        <f>VLOOKUP(C355,'[1]站级商品进销存统计(2026-06-06)'!$B:$D,3,0)</f>
        <v>#N/A</v>
      </c>
      <c r="P355" s="90" t="e">
        <f>VLOOKUP(C355,'[1]站级商品进销存统计(2026-06-06)'!$B:$F,5,0)</f>
        <v>#N/A</v>
      </c>
    </row>
    <row r="356" spans="1:16" s="78" customFormat="1" ht="16.5">
      <c r="A356" s="20">
        <v>331</v>
      </c>
      <c r="B356" s="20" t="s">
        <v>1022</v>
      </c>
      <c r="C356" s="21" t="s">
        <v>1132</v>
      </c>
      <c r="D356" s="22" t="s">
        <v>1133</v>
      </c>
      <c r="E356" s="83">
        <v>26.2</v>
      </c>
      <c r="F356" s="23">
        <v>26.2</v>
      </c>
      <c r="G356" s="84">
        <v>26.2</v>
      </c>
      <c r="H356" s="85"/>
      <c r="I356" s="83"/>
      <c r="J356" s="83">
        <v>40</v>
      </c>
      <c r="K356" s="102"/>
      <c r="L356" s="88"/>
      <c r="M356" s="96"/>
      <c r="N356" s="91" t="s">
        <v>647</v>
      </c>
      <c r="O356" s="89" t="e">
        <f>VLOOKUP(C356,'[1]站级商品进销存统计(2026-06-06)'!$B:$D,3,0)</f>
        <v>#N/A</v>
      </c>
      <c r="P356" s="90" t="e">
        <f>VLOOKUP(C356,'[1]站级商品进销存统计(2026-06-06)'!$B:$F,5,0)</f>
        <v>#N/A</v>
      </c>
    </row>
    <row r="357" spans="1:16" s="78" customFormat="1" ht="16.5">
      <c r="A357" s="20">
        <v>332</v>
      </c>
      <c r="B357" s="20" t="s">
        <v>1022</v>
      </c>
      <c r="C357" s="21" t="s">
        <v>1134</v>
      </c>
      <c r="D357" s="22" t="s">
        <v>1135</v>
      </c>
      <c r="E357" s="83">
        <v>22.8</v>
      </c>
      <c r="F357" s="23">
        <v>22.8</v>
      </c>
      <c r="G357" s="84">
        <v>22.8</v>
      </c>
      <c r="H357" s="85"/>
      <c r="I357" s="83"/>
      <c r="J357" s="83">
        <v>38</v>
      </c>
      <c r="K357" s="102"/>
      <c r="L357" s="88"/>
      <c r="M357" s="96"/>
      <c r="N357" s="91" t="s">
        <v>647</v>
      </c>
      <c r="O357" s="89" t="e">
        <f>VLOOKUP(C357,'[1]站级商品进销存统计(2026-06-06)'!$B:$D,3,0)</f>
        <v>#N/A</v>
      </c>
      <c r="P357" s="90" t="e">
        <f>VLOOKUP(C357,'[1]站级商品进销存统计(2026-06-06)'!$B:$F,5,0)</f>
        <v>#N/A</v>
      </c>
    </row>
    <row r="358" spans="1:16" s="78" customFormat="1" ht="16.5">
      <c r="A358" s="20">
        <v>333</v>
      </c>
      <c r="B358" s="20" t="s">
        <v>1022</v>
      </c>
      <c r="C358" s="21" t="s">
        <v>279</v>
      </c>
      <c r="D358" s="22" t="s">
        <v>1136</v>
      </c>
      <c r="E358" s="83">
        <v>10.5</v>
      </c>
      <c r="F358" s="23">
        <v>10.5</v>
      </c>
      <c r="G358" s="84">
        <v>10.5</v>
      </c>
      <c r="H358" s="85"/>
      <c r="I358" s="83"/>
      <c r="J358" s="83">
        <v>20</v>
      </c>
      <c r="K358" s="102"/>
      <c r="L358" s="88"/>
      <c r="M358" s="96"/>
      <c r="N358" s="91" t="s">
        <v>647</v>
      </c>
      <c r="O358" s="89" t="e">
        <f>VLOOKUP(C358,'[1]站级商品进销存统计(2026-06-06)'!$B:$D,3,0)</f>
        <v>#N/A</v>
      </c>
      <c r="P358" s="90" t="e">
        <f>VLOOKUP(C358,'[1]站级商品进销存统计(2026-06-06)'!$B:$F,5,0)</f>
        <v>#N/A</v>
      </c>
    </row>
    <row r="359" spans="1:16" s="78" customFormat="1" ht="16.5">
      <c r="A359" s="20">
        <v>334</v>
      </c>
      <c r="B359" s="20" t="s">
        <v>1022</v>
      </c>
      <c r="C359" s="21" t="s">
        <v>1137</v>
      </c>
      <c r="D359" s="22" t="s">
        <v>1138</v>
      </c>
      <c r="E359" s="83">
        <v>193</v>
      </c>
      <c r="F359" s="23">
        <v>193</v>
      </c>
      <c r="G359" s="84">
        <v>193</v>
      </c>
      <c r="H359" s="85"/>
      <c r="I359" s="83"/>
      <c r="J359" s="83">
        <v>299</v>
      </c>
      <c r="K359" s="102"/>
      <c r="L359" s="88"/>
      <c r="M359" s="96"/>
      <c r="N359" s="91" t="s">
        <v>647</v>
      </c>
      <c r="O359" s="89" t="e">
        <f>VLOOKUP(C359,'[1]站级商品进销存统计(2026-06-06)'!$B:$D,3,0)</f>
        <v>#N/A</v>
      </c>
      <c r="P359" s="90" t="e">
        <f>VLOOKUP(C359,'[1]站级商品进销存统计(2026-06-06)'!$B:$F,5,0)</f>
        <v>#N/A</v>
      </c>
    </row>
    <row r="360" spans="1:16" s="78" customFormat="1" ht="16.5">
      <c r="A360" s="20">
        <v>335</v>
      </c>
      <c r="B360" s="20" t="s">
        <v>1022</v>
      </c>
      <c r="C360" s="21" t="s">
        <v>1139</v>
      </c>
      <c r="D360" s="22" t="s">
        <v>1140</v>
      </c>
      <c r="E360" s="83">
        <v>75</v>
      </c>
      <c r="F360" s="23">
        <v>75</v>
      </c>
      <c r="G360" s="84">
        <v>75</v>
      </c>
      <c r="H360" s="85"/>
      <c r="I360" s="83"/>
      <c r="J360" s="83">
        <v>99</v>
      </c>
      <c r="K360" s="102"/>
      <c r="L360" s="88"/>
      <c r="M360" s="96"/>
      <c r="N360" s="91" t="s">
        <v>647</v>
      </c>
      <c r="O360" s="89" t="e">
        <f>VLOOKUP(C360,'[1]站级商品进销存统计(2026-06-06)'!$B:$D,3,0)</f>
        <v>#N/A</v>
      </c>
      <c r="P360" s="90" t="e">
        <f>VLOOKUP(C360,'[1]站级商品进销存统计(2026-06-06)'!$B:$F,5,0)</f>
        <v>#N/A</v>
      </c>
    </row>
    <row r="361" spans="1:16" s="78" customFormat="1" ht="16.5">
      <c r="A361" s="20">
        <v>336</v>
      </c>
      <c r="B361" s="20" t="s">
        <v>1022</v>
      </c>
      <c r="C361" s="21" t="s">
        <v>1141</v>
      </c>
      <c r="D361" s="22" t="s">
        <v>1142</v>
      </c>
      <c r="E361" s="83">
        <v>128</v>
      </c>
      <c r="F361" s="23">
        <v>128</v>
      </c>
      <c r="G361" s="84">
        <v>128</v>
      </c>
      <c r="H361" s="85"/>
      <c r="I361" s="83"/>
      <c r="J361" s="83">
        <v>199</v>
      </c>
      <c r="K361" s="102"/>
      <c r="L361" s="88"/>
      <c r="M361" s="96"/>
      <c r="N361" s="91" t="s">
        <v>647</v>
      </c>
      <c r="O361" s="89" t="e">
        <f>VLOOKUP(C361,'[1]站级商品进销存统计(2026-06-06)'!$B:$D,3,0)</f>
        <v>#N/A</v>
      </c>
      <c r="P361" s="90" t="e">
        <f>VLOOKUP(C361,'[1]站级商品进销存统计(2026-06-06)'!$B:$F,5,0)</f>
        <v>#N/A</v>
      </c>
    </row>
    <row r="362" spans="1:16" s="78" customFormat="1" ht="16.5">
      <c r="A362" s="20">
        <v>337</v>
      </c>
      <c r="B362" s="20" t="s">
        <v>1143</v>
      </c>
      <c r="C362" s="21" t="s">
        <v>1144</v>
      </c>
      <c r="D362" s="22" t="s">
        <v>1145</v>
      </c>
      <c r="E362" s="23">
        <v>10.659000000000001</v>
      </c>
      <c r="F362" s="23">
        <f t="shared" ref="F362:F383" si="9">E362/(1+L362)</f>
        <v>9.69</v>
      </c>
      <c r="G362" s="97">
        <v>9.5024607532558996</v>
      </c>
      <c r="H362" s="30"/>
      <c r="I362" s="23"/>
      <c r="J362" s="23">
        <v>13</v>
      </c>
      <c r="K362" s="102"/>
      <c r="L362" s="95">
        <v>0.1</v>
      </c>
      <c r="M362" s="20"/>
      <c r="N362" s="91" t="s">
        <v>458</v>
      </c>
      <c r="O362" s="89">
        <f>VLOOKUP(C362,'[1]站级商品进销存统计(2026-06-06)'!$B:$D,3,0)</f>
        <v>2841</v>
      </c>
      <c r="P362" s="90">
        <f>VLOOKUP(C362,'[1]站级商品进销存统计(2026-06-06)'!$B:$F,5,0)</f>
        <v>9.5024607532558996</v>
      </c>
    </row>
    <row r="363" spans="1:16" s="78" customFormat="1" ht="16.5">
      <c r="A363" s="20">
        <v>338</v>
      </c>
      <c r="B363" s="20" t="s">
        <v>1143</v>
      </c>
      <c r="C363" s="21" t="s">
        <v>1146</v>
      </c>
      <c r="D363" s="22" t="s">
        <v>1147</v>
      </c>
      <c r="E363" s="23">
        <v>10.659000000000001</v>
      </c>
      <c r="F363" s="23">
        <f t="shared" si="9"/>
        <v>9.69</v>
      </c>
      <c r="G363" s="97">
        <v>8.6756200455580892</v>
      </c>
      <c r="H363" s="30"/>
      <c r="I363" s="23"/>
      <c r="J363" s="23">
        <v>13</v>
      </c>
      <c r="K363" s="102"/>
      <c r="L363" s="95">
        <v>0.1</v>
      </c>
      <c r="M363" s="20"/>
      <c r="N363" s="91" t="s">
        <v>458</v>
      </c>
      <c r="O363" s="89">
        <f>VLOOKUP(C363,'[1]站级商品进销存统计(2026-06-06)'!$B:$D,3,0)</f>
        <v>3951</v>
      </c>
      <c r="P363" s="90">
        <f>VLOOKUP(C363,'[1]站级商品进销存统计(2026-06-06)'!$B:$F,5,0)</f>
        <v>8.6756200455580892</v>
      </c>
    </row>
    <row r="364" spans="1:16" s="78" customFormat="1" ht="16.5">
      <c r="A364" s="20">
        <v>339</v>
      </c>
      <c r="B364" s="20" t="s">
        <v>1143</v>
      </c>
      <c r="C364" s="21" t="s">
        <v>1148</v>
      </c>
      <c r="D364" s="22" t="s">
        <v>1149</v>
      </c>
      <c r="E364" s="23">
        <v>9.2105999999999995</v>
      </c>
      <c r="F364" s="23">
        <f t="shared" si="9"/>
        <v>8.3732727272727292</v>
      </c>
      <c r="G364" s="97">
        <v>8.1406322069144803</v>
      </c>
      <c r="H364" s="30"/>
      <c r="I364" s="23"/>
      <c r="J364" s="23">
        <v>13</v>
      </c>
      <c r="K364" s="102"/>
      <c r="L364" s="95">
        <v>0.1</v>
      </c>
      <c r="M364" s="20"/>
      <c r="N364" s="91" t="s">
        <v>458</v>
      </c>
      <c r="O364" s="89">
        <f>VLOOKUP(C364,'[1]站级商品进销存统计(2026-06-06)'!$B:$D,3,0)</f>
        <v>3847</v>
      </c>
      <c r="P364" s="90">
        <f>VLOOKUP(C364,'[1]站级商品进销存统计(2026-06-06)'!$B:$F,5,0)</f>
        <v>8.1406322069144803</v>
      </c>
    </row>
    <row r="365" spans="1:16" s="78" customFormat="1" ht="16.5">
      <c r="A365" s="20">
        <v>340</v>
      </c>
      <c r="B365" s="20" t="s">
        <v>1143</v>
      </c>
      <c r="C365" s="21" t="s">
        <v>1150</v>
      </c>
      <c r="D365" s="22" t="s">
        <v>1151</v>
      </c>
      <c r="E365" s="23">
        <v>9.2105999999999995</v>
      </c>
      <c r="F365" s="23">
        <f t="shared" si="9"/>
        <v>8.3732727272727292</v>
      </c>
      <c r="G365" s="97">
        <v>8.1517799593377909</v>
      </c>
      <c r="H365" s="30"/>
      <c r="I365" s="23"/>
      <c r="J365" s="23">
        <v>13</v>
      </c>
      <c r="K365" s="102"/>
      <c r="L365" s="95">
        <v>0.1</v>
      </c>
      <c r="M365" s="20"/>
      <c r="N365" s="91" t="s">
        <v>458</v>
      </c>
      <c r="O365" s="89">
        <f>VLOOKUP(C365,'[1]站级商品进销存统计(2026-06-06)'!$B:$D,3,0)</f>
        <v>3443</v>
      </c>
      <c r="P365" s="90">
        <f>VLOOKUP(C365,'[1]站级商品进销存统计(2026-06-06)'!$B:$F,5,0)</f>
        <v>8.1517799593377909</v>
      </c>
    </row>
    <row r="366" spans="1:16" s="78" customFormat="1" ht="16.5">
      <c r="A366" s="20">
        <v>341</v>
      </c>
      <c r="B366" s="20" t="s">
        <v>1143</v>
      </c>
      <c r="C366" s="21" t="s">
        <v>1152</v>
      </c>
      <c r="D366" s="22" t="s">
        <v>1153</v>
      </c>
      <c r="E366" s="23">
        <v>3.6821999999999999</v>
      </c>
      <c r="F366" s="23">
        <f t="shared" si="9"/>
        <v>3.0684999999999998</v>
      </c>
      <c r="G366" s="97">
        <v>3.2518229594639099</v>
      </c>
      <c r="H366" s="30"/>
      <c r="I366" s="23"/>
      <c r="J366" s="23">
        <v>5</v>
      </c>
      <c r="K366" s="102"/>
      <c r="L366" s="95">
        <v>0.2</v>
      </c>
      <c r="M366" s="20"/>
      <c r="N366" s="91" t="s">
        <v>458</v>
      </c>
      <c r="O366" s="89">
        <f>VLOOKUP(C366,'[1]站级商品进销存统计(2026-06-06)'!$B:$D,3,0)</f>
        <v>9103</v>
      </c>
      <c r="P366" s="90">
        <f>VLOOKUP(C366,'[1]站级商品进销存统计(2026-06-06)'!$B:$F,5,0)</f>
        <v>3.2518229594639099</v>
      </c>
    </row>
    <row r="367" spans="1:16" s="78" customFormat="1" ht="16.5">
      <c r="A367" s="20">
        <v>342</v>
      </c>
      <c r="B367" s="20" t="s">
        <v>1143</v>
      </c>
      <c r="C367" s="21" t="s">
        <v>1154</v>
      </c>
      <c r="D367" s="22" t="s">
        <v>1155</v>
      </c>
      <c r="E367" s="23">
        <v>3.2027999999999999</v>
      </c>
      <c r="F367" s="23">
        <f t="shared" si="9"/>
        <v>2.9116363636363598</v>
      </c>
      <c r="G367" s="97">
        <v>2.7234401535605799</v>
      </c>
      <c r="H367" s="30"/>
      <c r="I367" s="23"/>
      <c r="J367" s="23">
        <v>4.5</v>
      </c>
      <c r="K367" s="102"/>
      <c r="L367" s="95">
        <v>0.1</v>
      </c>
      <c r="M367" s="20"/>
      <c r="N367" s="91" t="s">
        <v>458</v>
      </c>
      <c r="O367" s="89">
        <f>VLOOKUP(C367,'[1]站级商品进销存统计(2026-06-06)'!$B:$D,3,0)</f>
        <v>11852</v>
      </c>
      <c r="P367" s="90">
        <f>VLOOKUP(C367,'[1]站级商品进销存统计(2026-06-06)'!$B:$F,5,0)</f>
        <v>2.7234401535605799</v>
      </c>
    </row>
    <row r="368" spans="1:16" s="78" customFormat="1" ht="16.5">
      <c r="A368" s="20">
        <v>343</v>
      </c>
      <c r="B368" s="20" t="s">
        <v>1143</v>
      </c>
      <c r="C368" s="21" t="s">
        <v>1156</v>
      </c>
      <c r="D368" s="22" t="s">
        <v>1157</v>
      </c>
      <c r="E368" s="23">
        <v>9.9857999999999993</v>
      </c>
      <c r="F368" s="23">
        <f t="shared" si="9"/>
        <v>9.0779999999999994</v>
      </c>
      <c r="G368" s="97">
        <v>8.6515767965587003</v>
      </c>
      <c r="H368" s="30"/>
      <c r="I368" s="23"/>
      <c r="J368" s="23">
        <v>11.9</v>
      </c>
      <c r="K368" s="102"/>
      <c r="L368" s="95">
        <v>0.1</v>
      </c>
      <c r="M368" s="20"/>
      <c r="N368" s="91" t="s">
        <v>458</v>
      </c>
      <c r="O368" s="89">
        <f>VLOOKUP(C368,'[1]站级商品进销存统计(2026-06-06)'!$B:$D,3,0)</f>
        <v>3952</v>
      </c>
      <c r="P368" s="90">
        <f>VLOOKUP(C368,'[1]站级商品进销存统计(2026-06-06)'!$B:$F,5,0)</f>
        <v>8.6515767965587003</v>
      </c>
    </row>
    <row r="369" spans="1:16" s="78" customFormat="1" ht="16.5">
      <c r="A369" s="20">
        <v>344</v>
      </c>
      <c r="B369" s="20" t="s">
        <v>1143</v>
      </c>
      <c r="C369" s="21" t="s">
        <v>1158</v>
      </c>
      <c r="D369" s="22" t="s">
        <v>1159</v>
      </c>
      <c r="E369" s="23">
        <v>10.179600000000001</v>
      </c>
      <c r="F369" s="23">
        <f t="shared" si="9"/>
        <v>9.2541818181818201</v>
      </c>
      <c r="G369" s="97">
        <v>7.9595680199252801</v>
      </c>
      <c r="H369" s="30"/>
      <c r="I369" s="23"/>
      <c r="J369" s="23">
        <v>13</v>
      </c>
      <c r="K369" s="102"/>
      <c r="L369" s="95">
        <v>0.1</v>
      </c>
      <c r="M369" s="20"/>
      <c r="N369" s="91" t="s">
        <v>458</v>
      </c>
      <c r="O369" s="89">
        <f>VLOOKUP(C369,'[1]站级商品进销存统计(2026-06-06)'!$B:$D,3,0)</f>
        <v>4015</v>
      </c>
      <c r="P369" s="90">
        <f>VLOOKUP(C369,'[1]站级商品进销存统计(2026-06-06)'!$B:$F,5,0)</f>
        <v>7.9595680199252801</v>
      </c>
    </row>
    <row r="370" spans="1:16" s="78" customFormat="1" ht="16.5">
      <c r="A370" s="20">
        <v>345</v>
      </c>
      <c r="B370" s="20" t="s">
        <v>1143</v>
      </c>
      <c r="C370" s="21" t="s">
        <v>1160</v>
      </c>
      <c r="D370" s="22" t="s">
        <v>1161</v>
      </c>
      <c r="E370" s="23">
        <v>3.2027999999999999</v>
      </c>
      <c r="F370" s="23">
        <f t="shared" si="9"/>
        <v>2.4448854961832098</v>
      </c>
      <c r="G370" s="97">
        <v>2.8031688942891901</v>
      </c>
      <c r="H370" s="30"/>
      <c r="I370" s="23"/>
      <c r="J370" s="23">
        <v>4.5</v>
      </c>
      <c r="K370" s="102"/>
      <c r="L370" s="95">
        <v>0.31</v>
      </c>
      <c r="M370" s="20"/>
      <c r="N370" s="91" t="s">
        <v>458</v>
      </c>
      <c r="O370" s="89">
        <f>VLOOKUP(C370,'[1]站级商品进销存统计(2026-06-06)'!$B:$D,3,0)</f>
        <v>9053</v>
      </c>
      <c r="P370" s="90">
        <f>VLOOKUP(C370,'[1]站级商品进销存统计(2026-06-06)'!$B:$F,5,0)</f>
        <v>2.8031688942891901</v>
      </c>
    </row>
    <row r="371" spans="1:16" s="78" customFormat="1" ht="16.5">
      <c r="A371" s="20">
        <v>346</v>
      </c>
      <c r="B371" s="20" t="s">
        <v>1143</v>
      </c>
      <c r="C371" s="21" t="s">
        <v>1162</v>
      </c>
      <c r="D371" s="22" t="s">
        <v>1163</v>
      </c>
      <c r="E371" s="23">
        <v>9.2105999999999995</v>
      </c>
      <c r="F371" s="23">
        <f t="shared" si="9"/>
        <v>8.3732727272727292</v>
      </c>
      <c r="G371" s="97">
        <v>7.8314634114339299</v>
      </c>
      <c r="H371" s="30"/>
      <c r="I371" s="23"/>
      <c r="J371" s="23">
        <v>13</v>
      </c>
      <c r="K371" s="102"/>
      <c r="L371" s="95">
        <v>0.1</v>
      </c>
      <c r="M371" s="20"/>
      <c r="N371" s="91" t="s">
        <v>458</v>
      </c>
      <c r="O371" s="89">
        <f>VLOOKUP(C371,'[1]站级商品进销存统计(2026-06-06)'!$B:$D,3,0)</f>
        <v>5335</v>
      </c>
      <c r="P371" s="90">
        <f>VLOOKUP(C371,'[1]站级商品进销存统计(2026-06-06)'!$B:$F,5,0)</f>
        <v>7.8314634114339299</v>
      </c>
    </row>
    <row r="372" spans="1:16" s="78" customFormat="1" ht="16.5">
      <c r="A372" s="20">
        <v>347</v>
      </c>
      <c r="B372" s="20" t="s">
        <v>1143</v>
      </c>
      <c r="C372" s="21" t="s">
        <v>1164</v>
      </c>
      <c r="D372" s="22" t="s">
        <v>1165</v>
      </c>
      <c r="E372" s="23">
        <v>10.179600000000001</v>
      </c>
      <c r="F372" s="23">
        <f t="shared" si="9"/>
        <v>9.2541818181818201</v>
      </c>
      <c r="G372" s="97">
        <v>8.5869802614795905</v>
      </c>
      <c r="H372" s="30"/>
      <c r="I372" s="23"/>
      <c r="J372" s="23">
        <v>13</v>
      </c>
      <c r="K372" s="102"/>
      <c r="L372" s="95">
        <v>0.1</v>
      </c>
      <c r="M372" s="20"/>
      <c r="N372" s="91" t="s">
        <v>458</v>
      </c>
      <c r="O372" s="89">
        <f>VLOOKUP(C372,'[1]站级商品进销存统计(2026-06-06)'!$B:$D,3,0)</f>
        <v>3136</v>
      </c>
      <c r="P372" s="90">
        <f>VLOOKUP(C372,'[1]站级商品进销存统计(2026-06-06)'!$B:$F,5,0)</f>
        <v>8.5869802614795905</v>
      </c>
    </row>
    <row r="373" spans="1:16" s="78" customFormat="1" ht="16.5">
      <c r="A373" s="20">
        <v>348</v>
      </c>
      <c r="B373" s="20" t="s">
        <v>1143</v>
      </c>
      <c r="C373" s="21" t="s">
        <v>1166</v>
      </c>
      <c r="D373" s="22" t="s">
        <v>1167</v>
      </c>
      <c r="E373" s="23">
        <v>3.6821999999999999</v>
      </c>
      <c r="F373" s="23">
        <f t="shared" si="9"/>
        <v>3.3474545454545401</v>
      </c>
      <c r="G373" s="97">
        <v>3.3449221695821199</v>
      </c>
      <c r="H373" s="30"/>
      <c r="I373" s="23"/>
      <c r="J373" s="23">
        <v>5</v>
      </c>
      <c r="K373" s="102"/>
      <c r="L373" s="95">
        <v>0.1</v>
      </c>
      <c r="M373" s="20"/>
      <c r="N373" s="91" t="s">
        <v>458</v>
      </c>
      <c r="O373" s="89">
        <f>VLOOKUP(C373,'[1]站级商品进销存统计(2026-06-06)'!$B:$D,3,0)</f>
        <v>8232</v>
      </c>
      <c r="P373" s="90">
        <f>VLOOKUP(C373,'[1]站级商品进销存统计(2026-06-06)'!$B:$F,5,0)</f>
        <v>3.3449221695821199</v>
      </c>
    </row>
    <row r="374" spans="1:16" s="78" customFormat="1" ht="16.5">
      <c r="A374" s="20">
        <v>349</v>
      </c>
      <c r="B374" s="20" t="s">
        <v>1143</v>
      </c>
      <c r="C374" s="21" t="s">
        <v>1168</v>
      </c>
      <c r="D374" s="22" t="s">
        <v>1169</v>
      </c>
      <c r="E374" s="83">
        <v>4.59</v>
      </c>
      <c r="F374" s="23">
        <f t="shared" si="9"/>
        <v>4.1727272727272702</v>
      </c>
      <c r="G374" s="84">
        <v>4.62000291127542</v>
      </c>
      <c r="H374" s="85"/>
      <c r="I374" s="83"/>
      <c r="J374" s="83">
        <v>6.5</v>
      </c>
      <c r="K374" s="102"/>
      <c r="L374" s="88">
        <v>0.1</v>
      </c>
      <c r="M374" s="96"/>
      <c r="N374" s="91" t="s">
        <v>458</v>
      </c>
      <c r="O374" s="89">
        <f>VLOOKUP(C374,'[1]站级商品进销存统计(2026-06-06)'!$B:$D,3,0)</f>
        <v>2164</v>
      </c>
      <c r="P374" s="90">
        <f>VLOOKUP(C374,'[1]站级商品进销存统计(2026-06-06)'!$B:$F,5,0)</f>
        <v>4.62000291127542</v>
      </c>
    </row>
    <row r="375" spans="1:16" s="78" customFormat="1" ht="16.5">
      <c r="A375" s="20">
        <v>350</v>
      </c>
      <c r="B375" s="20" t="s">
        <v>1143</v>
      </c>
      <c r="C375" s="21" t="s">
        <v>1170</v>
      </c>
      <c r="D375" s="22" t="s">
        <v>1171</v>
      </c>
      <c r="E375" s="83">
        <v>5.96</v>
      </c>
      <c r="F375" s="23">
        <f t="shared" si="9"/>
        <v>5.4181818181818198</v>
      </c>
      <c r="G375" s="84">
        <v>5.9856693760262702</v>
      </c>
      <c r="H375" s="85"/>
      <c r="I375" s="83"/>
      <c r="J375" s="83">
        <v>8.5</v>
      </c>
      <c r="K375" s="102"/>
      <c r="L375" s="88">
        <v>0.1</v>
      </c>
      <c r="M375" s="96"/>
      <c r="N375" s="91" t="s">
        <v>458</v>
      </c>
      <c r="O375" s="89">
        <f>VLOOKUP(C375,'[1]站级商品进销存统计(2026-06-06)'!$B:$D,3,0)</f>
        <v>1218</v>
      </c>
      <c r="P375" s="90">
        <f>VLOOKUP(C375,'[1]站级商品进销存统计(2026-06-06)'!$B:$F,5,0)</f>
        <v>5.9856693760262702</v>
      </c>
    </row>
    <row r="376" spans="1:16" s="78" customFormat="1" ht="16.5">
      <c r="A376" s="20">
        <v>351</v>
      </c>
      <c r="B376" s="20" t="s">
        <v>1143</v>
      </c>
      <c r="C376" s="21" t="s">
        <v>1172</v>
      </c>
      <c r="D376" s="22" t="s">
        <v>1173</v>
      </c>
      <c r="E376" s="83">
        <v>6.12</v>
      </c>
      <c r="F376" s="23">
        <f t="shared" si="9"/>
        <v>5.5636363636363599</v>
      </c>
      <c r="G376" s="84">
        <v>6.1547120355411904</v>
      </c>
      <c r="H376" s="85"/>
      <c r="I376" s="83"/>
      <c r="J376" s="83">
        <v>7.9</v>
      </c>
      <c r="K376" s="102"/>
      <c r="L376" s="88">
        <v>0.1</v>
      </c>
      <c r="M376" s="96"/>
      <c r="N376" s="91" t="s">
        <v>458</v>
      </c>
      <c r="O376" s="89">
        <f>VLOOKUP(C376,'[1]站级商品进销存统计(2026-06-06)'!$B:$D,3,0)</f>
        <v>1238</v>
      </c>
      <c r="P376" s="90">
        <f>VLOOKUP(C376,'[1]站级商品进销存统计(2026-06-06)'!$B:$F,5,0)</f>
        <v>6.1547120355411904</v>
      </c>
    </row>
    <row r="377" spans="1:16" s="78" customFormat="1" ht="16.5">
      <c r="A377" s="20">
        <v>352</v>
      </c>
      <c r="B377" s="20" t="s">
        <v>1143</v>
      </c>
      <c r="C377" s="21" t="s">
        <v>1174</v>
      </c>
      <c r="D377" s="22" t="s">
        <v>1175</v>
      </c>
      <c r="E377" s="83">
        <v>6.12</v>
      </c>
      <c r="F377" s="23">
        <f t="shared" si="9"/>
        <v>5.5636363636363599</v>
      </c>
      <c r="G377" s="84">
        <v>6.1426970637583898</v>
      </c>
      <c r="H377" s="85"/>
      <c r="I377" s="83"/>
      <c r="J377" s="83">
        <v>7.9</v>
      </c>
      <c r="K377" s="102"/>
      <c r="L377" s="88">
        <v>0.1</v>
      </c>
      <c r="M377" s="96"/>
      <c r="N377" s="91" t="s">
        <v>458</v>
      </c>
      <c r="O377" s="89">
        <f>VLOOKUP(C377,'[1]站级商品进销存统计(2026-06-06)'!$B:$D,3,0)</f>
        <v>1192</v>
      </c>
      <c r="P377" s="90">
        <f>VLOOKUP(C377,'[1]站级商品进销存统计(2026-06-06)'!$B:$F,5,0)</f>
        <v>6.1426970637583898</v>
      </c>
    </row>
    <row r="378" spans="1:16" s="78" customFormat="1" ht="16.5">
      <c r="A378" s="20">
        <v>353</v>
      </c>
      <c r="B378" s="20" t="s">
        <v>1143</v>
      </c>
      <c r="C378" s="21" t="s">
        <v>1176</v>
      </c>
      <c r="D378" s="22" t="s">
        <v>1177</v>
      </c>
      <c r="E378" s="83">
        <v>6.93</v>
      </c>
      <c r="F378" s="23">
        <f t="shared" si="9"/>
        <v>6.3</v>
      </c>
      <c r="G378" s="84">
        <v>6.97790946319867</v>
      </c>
      <c r="H378" s="85"/>
      <c r="I378" s="83"/>
      <c r="J378" s="83">
        <v>9.8000000000000007</v>
      </c>
      <c r="K378" s="102"/>
      <c r="L378" s="88">
        <v>0.1</v>
      </c>
      <c r="M378" s="96"/>
      <c r="N378" s="91" t="s">
        <v>458</v>
      </c>
      <c r="O378" s="89">
        <f>VLOOKUP(C378,'[1]站级商品进销存统计(2026-06-06)'!$B:$D,3,0)</f>
        <v>1807</v>
      </c>
      <c r="P378" s="90">
        <f>VLOOKUP(C378,'[1]站级商品进销存统计(2026-06-06)'!$B:$F,5,0)</f>
        <v>6.97790946319867</v>
      </c>
    </row>
    <row r="379" spans="1:16" s="78" customFormat="1" ht="16.5">
      <c r="A379" s="20">
        <v>354</v>
      </c>
      <c r="B379" s="20" t="s">
        <v>1143</v>
      </c>
      <c r="C379" s="21" t="s">
        <v>1178</v>
      </c>
      <c r="D379" s="22" t="s">
        <v>1179</v>
      </c>
      <c r="E379" s="83">
        <v>11.82</v>
      </c>
      <c r="F379" s="23">
        <f t="shared" si="9"/>
        <v>10.7454545454545</v>
      </c>
      <c r="G379" s="84">
        <v>11.894353411764699</v>
      </c>
      <c r="H379" s="85"/>
      <c r="I379" s="83"/>
      <c r="J379" s="83">
        <v>16.5</v>
      </c>
      <c r="K379" s="102"/>
      <c r="L379" s="88">
        <v>0.1</v>
      </c>
      <c r="M379" s="96"/>
      <c r="N379" s="91" t="s">
        <v>458</v>
      </c>
      <c r="O379" s="89">
        <f>VLOOKUP(C379,'[1]站级商品进销存统计(2026-06-06)'!$B:$D,3,0)</f>
        <v>425</v>
      </c>
      <c r="P379" s="90">
        <f>VLOOKUP(C379,'[1]站级商品进销存统计(2026-06-06)'!$B:$F,5,0)</f>
        <v>11.894353411764699</v>
      </c>
    </row>
    <row r="380" spans="1:16" s="78" customFormat="1" ht="16.5">
      <c r="A380" s="20">
        <v>355</v>
      </c>
      <c r="B380" s="20" t="s">
        <v>1143</v>
      </c>
      <c r="C380" s="21" t="s">
        <v>1180</v>
      </c>
      <c r="D380" s="22" t="s">
        <v>1181</v>
      </c>
      <c r="E380" s="83">
        <v>3.94</v>
      </c>
      <c r="F380" s="23">
        <f t="shared" si="9"/>
        <v>3.5818181818181798</v>
      </c>
      <c r="G380" s="84">
        <v>3.9542311057108099</v>
      </c>
      <c r="H380" s="85"/>
      <c r="I380" s="83"/>
      <c r="J380" s="83">
        <v>5.6</v>
      </c>
      <c r="K380" s="102"/>
      <c r="L380" s="88">
        <v>0.1</v>
      </c>
      <c r="M380" s="96"/>
      <c r="N380" s="91" t="s">
        <v>458</v>
      </c>
      <c r="O380" s="89">
        <f>VLOOKUP(C380,'[1]站级商品进销存统计(2026-06-06)'!$B:$D,3,0)</f>
        <v>823</v>
      </c>
      <c r="P380" s="90">
        <f>VLOOKUP(C380,'[1]站级商品进销存统计(2026-06-06)'!$B:$F,5,0)</f>
        <v>3.9542311057108099</v>
      </c>
    </row>
    <row r="381" spans="1:16" s="78" customFormat="1" ht="16.5">
      <c r="A381" s="20">
        <v>356</v>
      </c>
      <c r="B381" s="20" t="s">
        <v>1143</v>
      </c>
      <c r="C381" s="21" t="s">
        <v>1182</v>
      </c>
      <c r="D381" s="22" t="s">
        <v>1183</v>
      </c>
      <c r="E381" s="83">
        <v>8.59</v>
      </c>
      <c r="F381" s="23">
        <f t="shared" si="9"/>
        <v>7.4695652173913096</v>
      </c>
      <c r="G381" s="84">
        <v>8.59</v>
      </c>
      <c r="H381" s="85"/>
      <c r="I381" s="83"/>
      <c r="J381" s="83">
        <v>11.9</v>
      </c>
      <c r="K381" s="102"/>
      <c r="L381" s="88">
        <v>0.15</v>
      </c>
      <c r="M381" s="96"/>
      <c r="N381" s="91"/>
      <c r="O381" s="89" t="e">
        <f>VLOOKUP(C381,'[1]站级商品进销存统计(2026-06-06)'!$B:$D,3,0)</f>
        <v>#N/A</v>
      </c>
      <c r="P381" s="90" t="e">
        <f>VLOOKUP(C381,'[1]站级商品进销存统计(2026-06-06)'!$B:$F,5,0)</f>
        <v>#N/A</v>
      </c>
    </row>
    <row r="382" spans="1:16" s="78" customFormat="1" ht="16.5">
      <c r="A382" s="20">
        <v>357</v>
      </c>
      <c r="B382" s="20" t="s">
        <v>1143</v>
      </c>
      <c r="C382" s="21" t="s">
        <v>1184</v>
      </c>
      <c r="D382" s="22" t="s">
        <v>1185</v>
      </c>
      <c r="E382" s="83">
        <v>8.59</v>
      </c>
      <c r="F382" s="23">
        <f t="shared" si="9"/>
        <v>7.4695652173913096</v>
      </c>
      <c r="G382" s="84">
        <v>8.59</v>
      </c>
      <c r="H382" s="85"/>
      <c r="I382" s="83"/>
      <c r="J382" s="83">
        <v>11.9</v>
      </c>
      <c r="K382" s="102"/>
      <c r="L382" s="88">
        <v>0.15</v>
      </c>
      <c r="M382" s="96"/>
      <c r="N382" s="91"/>
      <c r="O382" s="89" t="e">
        <f>VLOOKUP(C382,'[1]站级商品进销存统计(2026-06-06)'!$B:$D,3,0)</f>
        <v>#N/A</v>
      </c>
      <c r="P382" s="90" t="e">
        <f>VLOOKUP(C382,'[1]站级商品进销存统计(2026-06-06)'!$B:$F,5,0)</f>
        <v>#N/A</v>
      </c>
    </row>
    <row r="383" spans="1:16" s="78" customFormat="1" ht="16.5">
      <c r="A383" s="20">
        <v>358</v>
      </c>
      <c r="B383" s="20" t="s">
        <v>1143</v>
      </c>
      <c r="C383" s="21" t="s">
        <v>1186</v>
      </c>
      <c r="D383" s="22" t="s">
        <v>1187</v>
      </c>
      <c r="E383" s="83">
        <v>8.59</v>
      </c>
      <c r="F383" s="23">
        <f t="shared" si="9"/>
        <v>7.4695652173913096</v>
      </c>
      <c r="G383" s="84">
        <v>8.59</v>
      </c>
      <c r="H383" s="85"/>
      <c r="I383" s="83"/>
      <c r="J383" s="83">
        <v>11.9</v>
      </c>
      <c r="K383" s="102"/>
      <c r="L383" s="88">
        <v>0.15</v>
      </c>
      <c r="M383" s="96"/>
      <c r="N383" s="91"/>
      <c r="O383" s="89" t="e">
        <f>VLOOKUP(C383,'[1]站级商品进销存统计(2026-06-06)'!$B:$D,3,0)</f>
        <v>#N/A</v>
      </c>
      <c r="P383" s="90" t="e">
        <f>VLOOKUP(C383,'[1]站级商品进销存统计(2026-06-06)'!$B:$F,5,0)</f>
        <v>#N/A</v>
      </c>
    </row>
    <row r="384" spans="1:16" s="78" customFormat="1" ht="16.5">
      <c r="A384" s="20">
        <v>359</v>
      </c>
      <c r="B384" s="20" t="s">
        <v>311</v>
      </c>
      <c r="C384" s="340" t="s">
        <v>3829</v>
      </c>
      <c r="D384" s="22" t="s">
        <v>1188</v>
      </c>
      <c r="E384" s="23">
        <v>3.2</v>
      </c>
      <c r="F384" s="23">
        <v>3.2</v>
      </c>
      <c r="G384" s="97">
        <v>3.4491578797917599</v>
      </c>
      <c r="H384" s="23">
        <v>24</v>
      </c>
      <c r="I384" s="23">
        <v>89</v>
      </c>
      <c r="J384" s="23">
        <v>4.5</v>
      </c>
      <c r="K384" s="102">
        <f>(I384-H384*G384)/I384</f>
        <v>6.9890009943795003E-2</v>
      </c>
      <c r="L384" s="109" t="s">
        <v>279</v>
      </c>
      <c r="M384" s="109" t="s">
        <v>1189</v>
      </c>
      <c r="N384" s="91" t="s">
        <v>647</v>
      </c>
      <c r="O384" s="89">
        <f>VLOOKUP(C384,'[1]站级商品进销存统计(2026-06-06)'!$B:$D,3,0)</f>
        <v>2113</v>
      </c>
      <c r="P384" s="90">
        <f>VLOOKUP(C384,'[1]站级商品进销存统计(2026-06-06)'!$B:$F,5,0)</f>
        <v>3.4491578797917599</v>
      </c>
    </row>
    <row r="385" spans="1:16" s="78" customFormat="1" ht="16.5">
      <c r="A385" s="20">
        <v>360</v>
      </c>
      <c r="B385" s="20" t="s">
        <v>311</v>
      </c>
      <c r="C385" s="340" t="s">
        <v>3830</v>
      </c>
      <c r="D385" s="22" t="s">
        <v>312</v>
      </c>
      <c r="E385" s="23">
        <v>2.2400000000000002</v>
      </c>
      <c r="F385" s="23">
        <v>2.2400000000000002</v>
      </c>
      <c r="G385" s="97">
        <v>2.3154375863676799</v>
      </c>
      <c r="H385" s="23">
        <v>20</v>
      </c>
      <c r="I385" s="23">
        <v>50</v>
      </c>
      <c r="J385" s="23">
        <v>3</v>
      </c>
      <c r="K385" s="102">
        <f>(I385-H385*G385)/I385</f>
        <v>7.3824965452928104E-2</v>
      </c>
      <c r="L385" s="109" t="s">
        <v>279</v>
      </c>
      <c r="M385" s="109" t="s">
        <v>1190</v>
      </c>
      <c r="N385" s="91" t="s">
        <v>647</v>
      </c>
      <c r="O385" s="89">
        <f>VLOOKUP(C385,'[1]站级商品进销存统计(2026-06-06)'!$B:$D,3,0)</f>
        <v>94364</v>
      </c>
      <c r="P385" s="90">
        <f>VLOOKUP(C385,'[1]站级商品进销存统计(2026-06-06)'!$B:$F,5,0)</f>
        <v>2.3154375863676799</v>
      </c>
    </row>
    <row r="386" spans="1:16" s="78" customFormat="1" ht="16.5">
      <c r="A386" s="20">
        <v>361</v>
      </c>
      <c r="B386" s="20" t="s">
        <v>1191</v>
      </c>
      <c r="C386" s="21" t="s">
        <v>1192</v>
      </c>
      <c r="D386" s="22" t="s">
        <v>1193</v>
      </c>
      <c r="E386" s="83">
        <v>61.58</v>
      </c>
      <c r="F386" s="83">
        <v>57.018518518518498</v>
      </c>
      <c r="G386" s="84">
        <v>57.369135365853701</v>
      </c>
      <c r="H386" s="85"/>
      <c r="I386" s="83"/>
      <c r="J386" s="83">
        <v>109</v>
      </c>
      <c r="K386" s="102"/>
      <c r="L386" s="88">
        <v>0.08</v>
      </c>
      <c r="M386" s="31"/>
      <c r="N386" s="91" t="s">
        <v>647</v>
      </c>
      <c r="O386" s="89">
        <f>VLOOKUP(C386,'[1]站级商品进销存统计(2026-06-06)'!$B:$D,3,0)</f>
        <v>82</v>
      </c>
      <c r="P386" s="90">
        <f>VLOOKUP(C386,'[1]站级商品进销存统计(2026-06-06)'!$B:$F,5,0)</f>
        <v>57.369135365853701</v>
      </c>
    </row>
    <row r="387" spans="1:16" s="78" customFormat="1" ht="16.5">
      <c r="A387" s="20">
        <v>362</v>
      </c>
      <c r="B387" s="20" t="s">
        <v>1191</v>
      </c>
      <c r="C387" s="21" t="s">
        <v>1194</v>
      </c>
      <c r="D387" s="22" t="s">
        <v>1195</v>
      </c>
      <c r="E387" s="83">
        <v>26.78</v>
      </c>
      <c r="F387" s="83">
        <v>24.345454545454501</v>
      </c>
      <c r="G387" s="84">
        <v>26.4155971153846</v>
      </c>
      <c r="H387" s="85"/>
      <c r="I387" s="83"/>
      <c r="J387" s="83">
        <v>45</v>
      </c>
      <c r="K387" s="102"/>
      <c r="L387" s="88">
        <v>0.1</v>
      </c>
      <c r="M387" s="31"/>
      <c r="N387" s="91" t="s">
        <v>647</v>
      </c>
      <c r="O387" s="89">
        <f>VLOOKUP(C387,'[1]站级商品进销存统计(2026-06-06)'!$B:$D,3,0)</f>
        <v>728</v>
      </c>
      <c r="P387" s="90">
        <f>VLOOKUP(C387,'[1]站级商品进销存统计(2026-06-06)'!$B:$F,5,0)</f>
        <v>26.4155971153846</v>
      </c>
    </row>
    <row r="388" spans="1:16" s="78" customFormat="1" ht="16.5">
      <c r="A388" s="20">
        <v>363</v>
      </c>
      <c r="B388" s="20" t="s">
        <v>1191</v>
      </c>
      <c r="C388" s="21" t="s">
        <v>1196</v>
      </c>
      <c r="D388" s="22" t="s">
        <v>1197</v>
      </c>
      <c r="E388" s="83">
        <v>16</v>
      </c>
      <c r="F388" s="23">
        <f>E388/(1+L388)</f>
        <v>15.6862745098039</v>
      </c>
      <c r="G388" s="83"/>
      <c r="H388" s="85"/>
      <c r="I388" s="83"/>
      <c r="J388" s="83">
        <v>29.9</v>
      </c>
      <c r="K388" s="102"/>
      <c r="L388" s="88">
        <v>0.02</v>
      </c>
      <c r="M388" s="96"/>
      <c r="N388" s="91"/>
      <c r="O388" s="89" t="e">
        <f>VLOOKUP(C388,'[1]站级商品进销存统计(2026-06-06)'!$B:$D,3,0)</f>
        <v>#N/A</v>
      </c>
      <c r="P388" s="90" t="e">
        <f>VLOOKUP(C388,'[1]站级商品进销存统计(2026-06-06)'!$B:$F,5,0)</f>
        <v>#N/A</v>
      </c>
    </row>
    <row r="389" spans="1:16" s="78" customFormat="1" ht="16.5">
      <c r="A389" s="20">
        <v>364</v>
      </c>
      <c r="B389" s="20" t="s">
        <v>354</v>
      </c>
      <c r="C389" s="21" t="s">
        <v>1198</v>
      </c>
      <c r="D389" s="22" t="s">
        <v>1199</v>
      </c>
      <c r="E389" s="83">
        <v>22.44</v>
      </c>
      <c r="F389" s="83">
        <v>19.685774390850298</v>
      </c>
      <c r="G389" s="84">
        <v>18.914650173611101</v>
      </c>
      <c r="H389" s="85"/>
      <c r="I389" s="83"/>
      <c r="J389" s="83">
        <v>33.9</v>
      </c>
      <c r="K389" s="102"/>
      <c r="L389" s="88">
        <v>0.2</v>
      </c>
      <c r="M389" s="31"/>
      <c r="N389" s="91"/>
      <c r="O389" s="89">
        <f>VLOOKUP(C389,'[1]站级商品进销存统计(2026-06-06)'!$B:$D,3,0)</f>
        <v>576</v>
      </c>
      <c r="P389" s="90">
        <f>VLOOKUP(C389,'[1]站级商品进销存统计(2026-06-06)'!$B:$F,5,0)</f>
        <v>18.914650173611101</v>
      </c>
    </row>
    <row r="390" spans="1:16" s="78" customFormat="1" ht="16.5">
      <c r="A390" s="20">
        <v>365</v>
      </c>
      <c r="B390" s="20" t="s">
        <v>354</v>
      </c>
      <c r="C390" s="21" t="s">
        <v>1200</v>
      </c>
      <c r="D390" s="22" t="s">
        <v>1201</v>
      </c>
      <c r="E390" s="83">
        <v>19.940000000000001</v>
      </c>
      <c r="F390" s="83">
        <v>17.225276375217099</v>
      </c>
      <c r="G390" s="84">
        <v>16.3649776497696</v>
      </c>
      <c r="H390" s="85"/>
      <c r="I390" s="83"/>
      <c r="J390" s="83">
        <v>29.9</v>
      </c>
      <c r="K390" s="102"/>
      <c r="L390" s="88">
        <v>0.2</v>
      </c>
      <c r="M390" s="31"/>
      <c r="N390" s="91"/>
      <c r="O390" s="89">
        <f>VLOOKUP(C390,'[1]站级商品进销存统计(2026-06-06)'!$B:$D,3,0)</f>
        <v>434</v>
      </c>
      <c r="P390" s="90">
        <f>VLOOKUP(C390,'[1]站级商品进销存统计(2026-06-06)'!$B:$F,5,0)</f>
        <v>16.3649776497696</v>
      </c>
    </row>
    <row r="391" spans="1:16" s="78" customFormat="1" ht="16.5">
      <c r="A391" s="20">
        <v>366</v>
      </c>
      <c r="B391" s="20" t="s">
        <v>354</v>
      </c>
      <c r="C391" s="21" t="s">
        <v>1202</v>
      </c>
      <c r="D391" s="22" t="s">
        <v>1203</v>
      </c>
      <c r="E391" s="83">
        <v>14.89</v>
      </c>
      <c r="F391" s="83">
        <v>13.2932331781141</v>
      </c>
      <c r="G391" s="84">
        <v>13.467424223602499</v>
      </c>
      <c r="H391" s="85"/>
      <c r="I391" s="83"/>
      <c r="J391" s="83">
        <v>23.9</v>
      </c>
      <c r="K391" s="102"/>
      <c r="L391" s="88">
        <v>0.2</v>
      </c>
      <c r="M391" s="31"/>
      <c r="N391" s="91"/>
      <c r="O391" s="89">
        <f>VLOOKUP(C391,'[1]站级商品进销存统计(2026-06-06)'!$B:$D,3,0)</f>
        <v>161</v>
      </c>
      <c r="P391" s="90">
        <f>VLOOKUP(C391,'[1]站级商品进销存统计(2026-06-06)'!$B:$F,5,0)</f>
        <v>13.467424223602499</v>
      </c>
    </row>
    <row r="392" spans="1:16" s="78" customFormat="1" ht="16.5">
      <c r="A392" s="20">
        <v>367</v>
      </c>
      <c r="B392" s="20" t="s">
        <v>354</v>
      </c>
      <c r="C392" s="21" t="s">
        <v>1204</v>
      </c>
      <c r="D392" s="22" t="s">
        <v>1205</v>
      </c>
      <c r="E392" s="83">
        <v>5.0999999999999996</v>
      </c>
      <c r="F392" s="83">
        <v>4.39261949967928</v>
      </c>
      <c r="G392" s="84">
        <v>4.4341378734622099</v>
      </c>
      <c r="H392" s="85"/>
      <c r="I392" s="83"/>
      <c r="J392" s="83">
        <v>9.9</v>
      </c>
      <c r="K392" s="102"/>
      <c r="L392" s="88">
        <v>0.25</v>
      </c>
      <c r="M392" s="31"/>
      <c r="N392" s="91"/>
      <c r="O392" s="89">
        <f>VLOOKUP(C392,'[1]站级商品进销存统计(2026-06-06)'!$B:$D,3,0)</f>
        <v>2276</v>
      </c>
      <c r="P392" s="90">
        <f>VLOOKUP(C392,'[1]站级商品进销存统计(2026-06-06)'!$B:$F,5,0)</f>
        <v>4.4341378734622099</v>
      </c>
    </row>
    <row r="393" spans="1:16" s="78" customFormat="1" ht="16.5">
      <c r="A393" s="20">
        <v>368</v>
      </c>
      <c r="B393" s="20" t="s">
        <v>1206</v>
      </c>
      <c r="C393" s="21" t="s">
        <v>1207</v>
      </c>
      <c r="D393" s="22" t="s">
        <v>1208</v>
      </c>
      <c r="E393" s="83"/>
      <c r="F393" s="83">
        <v>43.455754310344801</v>
      </c>
      <c r="G393" s="84">
        <v>49.675595774647903</v>
      </c>
      <c r="H393" s="85"/>
      <c r="I393" s="83"/>
      <c r="J393" s="83">
        <v>72</v>
      </c>
      <c r="K393" s="102"/>
      <c r="L393" s="88" t="s">
        <v>279</v>
      </c>
      <c r="M393" s="31"/>
      <c r="N393" s="91"/>
      <c r="O393" s="89">
        <f>VLOOKUP(C393,'[1]站级商品进销存统计(2026-06-06)'!$B:$D,3,0)</f>
        <v>355</v>
      </c>
      <c r="P393" s="90">
        <f>VLOOKUP(C393,'[1]站级商品进销存统计(2026-06-06)'!$B:$F,5,0)</f>
        <v>49.675595774647903</v>
      </c>
    </row>
    <row r="394" spans="1:16" s="78" customFormat="1" ht="16.5">
      <c r="A394" s="20">
        <v>369</v>
      </c>
      <c r="B394" s="20" t="s">
        <v>1206</v>
      </c>
      <c r="C394" s="21" t="s">
        <v>1209</v>
      </c>
      <c r="D394" s="22" t="s">
        <v>1210</v>
      </c>
      <c r="E394" s="83">
        <v>203</v>
      </c>
      <c r="F394" s="83">
        <v>174.28041237113399</v>
      </c>
      <c r="G394" s="84">
        <v>198.11451612903201</v>
      </c>
      <c r="H394" s="85"/>
      <c r="I394" s="83"/>
      <c r="J394" s="83">
        <v>276</v>
      </c>
      <c r="K394" s="102"/>
      <c r="L394" s="88" t="s">
        <v>279</v>
      </c>
      <c r="M394" s="31"/>
      <c r="N394" s="91"/>
      <c r="O394" s="89">
        <f>VLOOKUP(C394,'[1]站级商品进销存统计(2026-06-06)'!$B:$D,3,0)</f>
        <v>31</v>
      </c>
      <c r="P394" s="90">
        <f>VLOOKUP(C394,'[1]站级商品进销存统计(2026-06-06)'!$B:$F,5,0)</f>
        <v>198.11451612903201</v>
      </c>
    </row>
    <row r="395" spans="1:16" s="78" customFormat="1" ht="16.5">
      <c r="A395" s="20">
        <v>370</v>
      </c>
      <c r="B395" s="20" t="s">
        <v>1206</v>
      </c>
      <c r="C395" s="21" t="s">
        <v>1211</v>
      </c>
      <c r="D395" s="22" t="s">
        <v>1212</v>
      </c>
      <c r="E395" s="83">
        <v>47</v>
      </c>
      <c r="F395" s="83">
        <v>41.529863760217999</v>
      </c>
      <c r="G395" s="84">
        <v>47.004821874999998</v>
      </c>
      <c r="H395" s="85"/>
      <c r="I395" s="83"/>
      <c r="J395" s="83">
        <v>73</v>
      </c>
      <c r="K395" s="102"/>
      <c r="L395" s="88" t="s">
        <v>279</v>
      </c>
      <c r="M395" s="31"/>
      <c r="N395" s="91"/>
      <c r="O395" s="89">
        <f>VLOOKUP(C395,'[1]站级商品进销存统计(2026-06-06)'!$B:$D,3,0)</f>
        <v>64</v>
      </c>
      <c r="P395" s="90">
        <f>VLOOKUP(C395,'[1]站级商品进销存统计(2026-06-06)'!$B:$F,5,0)</f>
        <v>47.004821874999998</v>
      </c>
    </row>
    <row r="396" spans="1:16" s="78" customFormat="1" ht="16.5">
      <c r="A396" s="20">
        <v>371</v>
      </c>
      <c r="B396" s="20" t="s">
        <v>1206</v>
      </c>
      <c r="C396" s="21" t="s">
        <v>1213</v>
      </c>
      <c r="D396" s="22" t="s">
        <v>1214</v>
      </c>
      <c r="E396" s="83">
        <v>190</v>
      </c>
      <c r="F396" s="83">
        <v>170.25888438133899</v>
      </c>
      <c r="G396" s="84">
        <v>193.82328598726099</v>
      </c>
      <c r="H396" s="85"/>
      <c r="I396" s="83"/>
      <c r="J396" s="83">
        <v>276</v>
      </c>
      <c r="K396" s="102"/>
      <c r="L396" s="88" t="s">
        <v>279</v>
      </c>
      <c r="M396" s="31"/>
      <c r="N396" s="91"/>
      <c r="O396" s="89">
        <f>VLOOKUP(C396,'[1]站级商品进销存统计(2026-06-06)'!$B:$D,3,0)</f>
        <v>157</v>
      </c>
      <c r="P396" s="90">
        <f>VLOOKUP(C396,'[1]站级商品进销存统计(2026-06-06)'!$B:$F,5,0)</f>
        <v>193.82328598726099</v>
      </c>
    </row>
    <row r="397" spans="1:16" s="78" customFormat="1" ht="16.5">
      <c r="A397" s="20">
        <v>372</v>
      </c>
      <c r="B397" s="20" t="s">
        <v>1206</v>
      </c>
      <c r="C397" s="21" t="s">
        <v>1215</v>
      </c>
      <c r="D397" s="22" t="s">
        <v>1216</v>
      </c>
      <c r="E397" s="83">
        <v>44</v>
      </c>
      <c r="F397" s="83">
        <v>41.309260020555001</v>
      </c>
      <c r="G397" s="84">
        <v>46.540777685950403</v>
      </c>
      <c r="H397" s="85"/>
      <c r="I397" s="83"/>
      <c r="J397" s="83">
        <v>73</v>
      </c>
      <c r="K397" s="102"/>
      <c r="L397" s="88" t="s">
        <v>279</v>
      </c>
      <c r="M397" s="31"/>
      <c r="N397" s="91"/>
      <c r="O397" s="89">
        <f>VLOOKUP(C397,'[1]站级商品进销存统计(2026-06-06)'!$B:$D,3,0)</f>
        <v>121</v>
      </c>
      <c r="P397" s="90">
        <f>VLOOKUP(C397,'[1]站级商品进销存统计(2026-06-06)'!$B:$F,5,0)</f>
        <v>46.540777685950403</v>
      </c>
    </row>
    <row r="398" spans="1:16" s="78" customFormat="1" ht="16.5">
      <c r="A398" s="20">
        <v>373</v>
      </c>
      <c r="B398" s="20" t="s">
        <v>1206</v>
      </c>
      <c r="C398" s="21" t="s">
        <v>1217</v>
      </c>
      <c r="D398" s="22" t="s">
        <v>1218</v>
      </c>
      <c r="E398" s="83">
        <v>197</v>
      </c>
      <c r="F398" s="83">
        <v>176.666460176991</v>
      </c>
      <c r="G398" s="84">
        <v>198.80615581395301</v>
      </c>
      <c r="H398" s="85"/>
      <c r="I398" s="83"/>
      <c r="J398" s="83">
        <v>278</v>
      </c>
      <c r="K398" s="102"/>
      <c r="L398" s="88" t="s">
        <v>279</v>
      </c>
      <c r="M398" s="31"/>
      <c r="N398" s="91"/>
      <c r="O398" s="89">
        <f>VLOOKUP(C398,'[1]站级商品进销存统计(2026-06-06)'!$B:$D,3,0)</f>
        <v>129</v>
      </c>
      <c r="P398" s="90">
        <f>VLOOKUP(C398,'[1]站级商品进销存统计(2026-06-06)'!$B:$F,5,0)</f>
        <v>198.80615581395301</v>
      </c>
    </row>
    <row r="399" spans="1:16" s="78" customFormat="1" ht="16.5">
      <c r="A399" s="20">
        <v>374</v>
      </c>
      <c r="B399" s="20" t="s">
        <v>1206</v>
      </c>
      <c r="C399" s="21" t="s">
        <v>1219</v>
      </c>
      <c r="D399" s="22" t="s">
        <v>1220</v>
      </c>
      <c r="E399" s="83">
        <v>48</v>
      </c>
      <c r="F399" s="83">
        <v>42.0717552334944</v>
      </c>
      <c r="G399" s="84">
        <v>46.955266666666702</v>
      </c>
      <c r="H399" s="85"/>
      <c r="I399" s="83"/>
      <c r="J399" s="83">
        <v>75</v>
      </c>
      <c r="K399" s="102"/>
      <c r="L399" s="88" t="s">
        <v>279</v>
      </c>
      <c r="M399" s="31"/>
      <c r="N399" s="91"/>
      <c r="O399" s="89">
        <f>VLOOKUP(C399,'[1]站级商品进销存统计(2026-06-06)'!$B:$D,3,0)</f>
        <v>78</v>
      </c>
      <c r="P399" s="90">
        <f>VLOOKUP(C399,'[1]站级商品进销存统计(2026-06-06)'!$B:$F,5,0)</f>
        <v>46.955266666666702</v>
      </c>
    </row>
    <row r="400" spans="1:16" s="78" customFormat="1" ht="16.5">
      <c r="A400" s="20">
        <v>375</v>
      </c>
      <c r="B400" s="20" t="s">
        <v>1206</v>
      </c>
      <c r="C400" s="21" t="s">
        <v>1221</v>
      </c>
      <c r="D400" s="22" t="s">
        <v>1222</v>
      </c>
      <c r="E400" s="83">
        <v>48</v>
      </c>
      <c r="F400" s="83">
        <v>41.926300699300697</v>
      </c>
      <c r="G400" s="84">
        <v>47.6380903061224</v>
      </c>
      <c r="H400" s="85"/>
      <c r="I400" s="83"/>
      <c r="J400" s="83">
        <v>72</v>
      </c>
      <c r="K400" s="102"/>
      <c r="L400" s="88" t="s">
        <v>279</v>
      </c>
      <c r="M400" s="31"/>
      <c r="N400" s="91"/>
      <c r="O400" s="89">
        <f>VLOOKUP(C400,'[1]站级商品进销存统计(2026-06-06)'!$B:$D,3,0)</f>
        <v>784</v>
      </c>
      <c r="P400" s="90">
        <f>VLOOKUP(C400,'[1]站级商品进销存统计(2026-06-06)'!$B:$F,5,0)</f>
        <v>47.6380903061224</v>
      </c>
    </row>
    <row r="401" spans="1:16" s="78" customFormat="1" ht="16.5">
      <c r="A401" s="20">
        <v>376</v>
      </c>
      <c r="B401" s="20" t="s">
        <v>1206</v>
      </c>
      <c r="C401" s="21" t="s">
        <v>1223</v>
      </c>
      <c r="D401" s="22" t="s">
        <v>1224</v>
      </c>
      <c r="E401" s="83">
        <v>216</v>
      </c>
      <c r="F401" s="83">
        <v>190.30857558139499</v>
      </c>
      <c r="G401" s="84">
        <v>220.42623521126799</v>
      </c>
      <c r="H401" s="85"/>
      <c r="I401" s="83"/>
      <c r="J401" s="83">
        <v>320</v>
      </c>
      <c r="K401" s="102"/>
      <c r="L401" s="88" t="s">
        <v>279</v>
      </c>
      <c r="M401" s="31"/>
      <c r="N401" s="91"/>
      <c r="O401" s="89">
        <f>VLOOKUP(C401,'[1]站级商品进销存统计(2026-06-06)'!$B:$D,3,0)</f>
        <v>639</v>
      </c>
      <c r="P401" s="90">
        <f>VLOOKUP(C401,'[1]站级商品进销存统计(2026-06-06)'!$B:$F,5,0)</f>
        <v>220.42623521126799</v>
      </c>
    </row>
    <row r="402" spans="1:16" s="78" customFormat="1" ht="16.5">
      <c r="A402" s="20">
        <v>377</v>
      </c>
      <c r="B402" s="20" t="s">
        <v>1206</v>
      </c>
      <c r="C402" s="21" t="s">
        <v>1225</v>
      </c>
      <c r="D402" s="22" t="s">
        <v>1226</v>
      </c>
      <c r="E402" s="83">
        <v>50</v>
      </c>
      <c r="F402" s="83">
        <v>44.909677777777802</v>
      </c>
      <c r="G402" s="84">
        <v>52.074595328415903</v>
      </c>
      <c r="H402" s="85"/>
      <c r="I402" s="83"/>
      <c r="J402" s="83">
        <v>86</v>
      </c>
      <c r="K402" s="102"/>
      <c r="L402" s="88" t="s">
        <v>279</v>
      </c>
      <c r="M402" s="31"/>
      <c r="N402" s="91"/>
      <c r="O402" s="89">
        <f>VLOOKUP(C402,'[1]站级商品进销存统计(2026-06-06)'!$B:$D,3,0)</f>
        <v>2847</v>
      </c>
      <c r="P402" s="90">
        <f>VLOOKUP(C402,'[1]站级商品进销存统计(2026-06-06)'!$B:$F,5,0)</f>
        <v>52.074595328415903</v>
      </c>
    </row>
    <row r="403" spans="1:16" s="78" customFormat="1" ht="16.5">
      <c r="A403" s="20">
        <v>378</v>
      </c>
      <c r="B403" s="20" t="s">
        <v>1206</v>
      </c>
      <c r="C403" s="21" t="s">
        <v>1227</v>
      </c>
      <c r="D403" s="22" t="s">
        <v>1228</v>
      </c>
      <c r="E403" s="83"/>
      <c r="F403" s="83">
        <v>199.844109090909</v>
      </c>
      <c r="G403" s="84">
        <v>238.76098442906601</v>
      </c>
      <c r="H403" s="85"/>
      <c r="I403" s="83"/>
      <c r="J403" s="83">
        <v>320</v>
      </c>
      <c r="K403" s="102"/>
      <c r="L403" s="88" t="s">
        <v>279</v>
      </c>
      <c r="M403" s="31"/>
      <c r="N403" s="91"/>
      <c r="O403" s="89">
        <f>VLOOKUP(C403,'[1]站级商品进销存统计(2026-06-06)'!$B:$D,3,0)</f>
        <v>578</v>
      </c>
      <c r="P403" s="90">
        <f>VLOOKUP(C403,'[1]站级商品进销存统计(2026-06-06)'!$B:$F,5,0)</f>
        <v>238.76098442906601</v>
      </c>
    </row>
    <row r="404" spans="1:16" s="78" customFormat="1" ht="16.5">
      <c r="A404" s="20">
        <v>379</v>
      </c>
      <c r="B404" s="20" t="s">
        <v>1206</v>
      </c>
      <c r="C404" s="21" t="s">
        <v>1229</v>
      </c>
      <c r="D404" s="22" t="s">
        <v>1230</v>
      </c>
      <c r="E404" s="83">
        <v>211</v>
      </c>
      <c r="F404" s="83">
        <v>185.63906882591101</v>
      </c>
      <c r="G404" s="84">
        <v>217.44685261627899</v>
      </c>
      <c r="H404" s="85"/>
      <c r="I404" s="83"/>
      <c r="J404" s="83">
        <v>320</v>
      </c>
      <c r="K404" s="102"/>
      <c r="L404" s="88" t="s">
        <v>279</v>
      </c>
      <c r="M404" s="31"/>
      <c r="N404" s="91"/>
      <c r="O404" s="89">
        <f>VLOOKUP(C404,'[1]站级商品进销存统计(2026-06-06)'!$B:$D,3,0)</f>
        <v>2408</v>
      </c>
      <c r="P404" s="90">
        <f>VLOOKUP(C404,'[1]站级商品进销存统计(2026-06-06)'!$B:$F,5,0)</f>
        <v>217.44685261627899</v>
      </c>
    </row>
    <row r="405" spans="1:16" s="78" customFormat="1" ht="16.5">
      <c r="A405" s="20">
        <v>380</v>
      </c>
      <c r="B405" s="20" t="s">
        <v>1206</v>
      </c>
      <c r="C405" s="21" t="s">
        <v>1231</v>
      </c>
      <c r="D405" s="22" t="s">
        <v>1232</v>
      </c>
      <c r="E405" s="83">
        <v>50</v>
      </c>
      <c r="F405" s="83">
        <v>46.207933667903099</v>
      </c>
      <c r="G405" s="84">
        <v>52.322983198814001</v>
      </c>
      <c r="H405" s="85"/>
      <c r="I405" s="83"/>
      <c r="J405" s="83">
        <v>86</v>
      </c>
      <c r="K405" s="102"/>
      <c r="L405" s="88" t="s">
        <v>279</v>
      </c>
      <c r="M405" s="31"/>
      <c r="N405" s="91"/>
      <c r="O405" s="89">
        <f>VLOOKUP(C405,'[1]站级商品进销存统计(2026-06-06)'!$B:$D,3,0)</f>
        <v>6071</v>
      </c>
      <c r="P405" s="90">
        <f>VLOOKUP(C405,'[1]站级商品进销存统计(2026-06-06)'!$B:$F,5,0)</f>
        <v>52.322983198814001</v>
      </c>
    </row>
    <row r="406" spans="1:16" s="78" customFormat="1" ht="16.5">
      <c r="A406" s="20">
        <v>381</v>
      </c>
      <c r="B406" s="20" t="s">
        <v>1206</v>
      </c>
      <c r="C406" s="21" t="s">
        <v>1233</v>
      </c>
      <c r="D406" s="22" t="s">
        <v>1234</v>
      </c>
      <c r="E406" s="83">
        <v>210</v>
      </c>
      <c r="F406" s="83">
        <v>185.74765775401099</v>
      </c>
      <c r="G406" s="84">
        <v>219.159172687861</v>
      </c>
      <c r="H406" s="85"/>
      <c r="I406" s="83"/>
      <c r="J406" s="83">
        <v>316</v>
      </c>
      <c r="K406" s="102"/>
      <c r="L406" s="88" t="s">
        <v>279</v>
      </c>
      <c r="M406" s="31"/>
      <c r="N406" s="91"/>
      <c r="O406" s="89">
        <f>VLOOKUP(C406,'[1]站级商品进销存统计(2026-06-06)'!$B:$D,3,0)</f>
        <v>1384</v>
      </c>
      <c r="P406" s="90">
        <f>VLOOKUP(C406,'[1]站级商品进销存统计(2026-06-06)'!$B:$F,5,0)</f>
        <v>219.159172687861</v>
      </c>
    </row>
    <row r="407" spans="1:16" s="78" customFormat="1" ht="16.5">
      <c r="A407" s="20">
        <v>382</v>
      </c>
      <c r="B407" s="20" t="s">
        <v>1206</v>
      </c>
      <c r="C407" s="21" t="s">
        <v>1235</v>
      </c>
      <c r="D407" s="22" t="s">
        <v>1236</v>
      </c>
      <c r="E407" s="83">
        <v>50</v>
      </c>
      <c r="F407" s="83">
        <v>46.343411764705898</v>
      </c>
      <c r="G407" s="84">
        <v>51.545115929991098</v>
      </c>
      <c r="H407" s="85"/>
      <c r="I407" s="83"/>
      <c r="J407" s="83">
        <v>87</v>
      </c>
      <c r="K407" s="102"/>
      <c r="L407" s="88" t="s">
        <v>279</v>
      </c>
      <c r="M407" s="31"/>
      <c r="N407" s="91"/>
      <c r="O407" s="89">
        <f>VLOOKUP(C407,'[1]站级商品进销存统计(2026-06-06)'!$B:$D,3,0)</f>
        <v>3371</v>
      </c>
      <c r="P407" s="90">
        <f>VLOOKUP(C407,'[1]站级商品进销存统计(2026-06-06)'!$B:$F,5,0)</f>
        <v>51.545115929991098</v>
      </c>
    </row>
    <row r="408" spans="1:16" s="78" customFormat="1" ht="16.5">
      <c r="A408" s="20">
        <v>383</v>
      </c>
      <c r="B408" s="20" t="s">
        <v>1206</v>
      </c>
      <c r="C408" s="21" t="s">
        <v>1237</v>
      </c>
      <c r="D408" s="22" t="s">
        <v>1238</v>
      </c>
      <c r="E408" s="83"/>
      <c r="F408" s="83">
        <v>229.85590529247901</v>
      </c>
      <c r="G408" s="84">
        <v>251.565468617021</v>
      </c>
      <c r="H408" s="85"/>
      <c r="I408" s="83"/>
      <c r="J408" s="83">
        <v>410</v>
      </c>
      <c r="K408" s="102"/>
      <c r="L408" s="88" t="s">
        <v>279</v>
      </c>
      <c r="M408" s="31"/>
      <c r="N408" s="91"/>
      <c r="O408" s="89">
        <f>VLOOKUP(C408,'[1]站级商品进销存统计(2026-06-06)'!$B:$D,3,0)</f>
        <v>188</v>
      </c>
      <c r="P408" s="90">
        <f>VLOOKUP(C408,'[1]站级商品进销存统计(2026-06-06)'!$B:$F,5,0)</f>
        <v>251.565468617021</v>
      </c>
    </row>
    <row r="409" spans="1:16" s="78" customFormat="1" ht="16.5">
      <c r="A409" s="20">
        <v>384</v>
      </c>
      <c r="B409" s="20" t="s">
        <v>1206</v>
      </c>
      <c r="C409" s="21" t="s">
        <v>1239</v>
      </c>
      <c r="D409" s="22" t="s">
        <v>1240</v>
      </c>
      <c r="E409" s="83"/>
      <c r="F409" s="83">
        <v>61.214705882352902</v>
      </c>
      <c r="G409" s="84">
        <v>68.363385714285698</v>
      </c>
      <c r="H409" s="85"/>
      <c r="I409" s="83"/>
      <c r="J409" s="83">
        <v>115</v>
      </c>
      <c r="K409" s="102"/>
      <c r="L409" s="88" t="s">
        <v>279</v>
      </c>
      <c r="M409" s="31"/>
      <c r="N409" s="91"/>
      <c r="O409" s="89">
        <f>VLOOKUP(C409,'[1]站级商品进销存统计(2026-06-06)'!$B:$D,3,0)</f>
        <v>21</v>
      </c>
      <c r="P409" s="90">
        <f>VLOOKUP(C409,'[1]站级商品进销存统计(2026-06-06)'!$B:$F,5,0)</f>
        <v>68.363385714285698</v>
      </c>
    </row>
    <row r="410" spans="1:16" s="78" customFormat="1" ht="16.5">
      <c r="A410" s="20">
        <v>385</v>
      </c>
      <c r="B410" s="20" t="s">
        <v>1206</v>
      </c>
      <c r="C410" s="21" t="s">
        <v>1241</v>
      </c>
      <c r="D410" s="22" t="s">
        <v>1242</v>
      </c>
      <c r="E410" s="83">
        <v>234</v>
      </c>
      <c r="F410" s="83">
        <v>212.224370860927</v>
      </c>
      <c r="G410" s="84">
        <v>238.374257824143</v>
      </c>
      <c r="H410" s="85"/>
      <c r="I410" s="83"/>
      <c r="J410" s="83">
        <v>410</v>
      </c>
      <c r="K410" s="102"/>
      <c r="L410" s="88" t="s">
        <v>279</v>
      </c>
      <c r="M410" s="31"/>
      <c r="N410" s="91"/>
      <c r="O410" s="89">
        <f>VLOOKUP(C410,'[1]站级商品进销存统计(2026-06-06)'!$B:$D,3,0)</f>
        <v>671</v>
      </c>
      <c r="P410" s="90">
        <f>VLOOKUP(C410,'[1]站级商品进销存统计(2026-06-06)'!$B:$F,5,0)</f>
        <v>238.374257824143</v>
      </c>
    </row>
    <row r="411" spans="1:16" s="78" customFormat="1" ht="16.5">
      <c r="A411" s="20">
        <v>386</v>
      </c>
      <c r="B411" s="20" t="s">
        <v>1206</v>
      </c>
      <c r="C411" s="21" t="s">
        <v>1243</v>
      </c>
      <c r="D411" s="22" t="s">
        <v>1244</v>
      </c>
      <c r="E411" s="83">
        <v>56</v>
      </c>
      <c r="F411" s="83">
        <v>52.234660633484197</v>
      </c>
      <c r="G411" s="84">
        <v>56.175593863319399</v>
      </c>
      <c r="H411" s="85"/>
      <c r="I411" s="83"/>
      <c r="J411" s="83">
        <v>88</v>
      </c>
      <c r="K411" s="102"/>
      <c r="L411" s="88" t="s">
        <v>279</v>
      </c>
      <c r="M411" s="31"/>
      <c r="N411" s="91"/>
      <c r="O411" s="89">
        <f>VLOOKUP(C411,'[1]站级商品进销存统计(2026-06-06)'!$B:$D,3,0)</f>
        <v>1434</v>
      </c>
      <c r="P411" s="90">
        <f>VLOOKUP(C411,'[1]站级商品进销存统计(2026-06-06)'!$B:$F,5,0)</f>
        <v>56.175593863319399</v>
      </c>
    </row>
    <row r="412" spans="1:16" s="78" customFormat="1" ht="16.5">
      <c r="A412" s="20">
        <v>387</v>
      </c>
      <c r="B412" s="20" t="s">
        <v>1206</v>
      </c>
      <c r="C412" s="21" t="s">
        <v>1245</v>
      </c>
      <c r="D412" s="22" t="s">
        <v>1246</v>
      </c>
      <c r="E412" s="83"/>
      <c r="F412" s="83">
        <v>59.117016129032301</v>
      </c>
      <c r="G412" s="84">
        <v>68.735241176470595</v>
      </c>
      <c r="H412" s="85"/>
      <c r="I412" s="83"/>
      <c r="J412" s="83">
        <v>115</v>
      </c>
      <c r="K412" s="102"/>
      <c r="L412" s="88" t="s">
        <v>279</v>
      </c>
      <c r="M412" s="31"/>
      <c r="N412" s="91"/>
      <c r="O412" s="89">
        <f>VLOOKUP(C412,'[1]站级商品进销存统计(2026-06-06)'!$B:$D,3,0)</f>
        <v>51</v>
      </c>
      <c r="P412" s="90">
        <f>VLOOKUP(C412,'[1]站级商品进销存统计(2026-06-06)'!$B:$F,5,0)</f>
        <v>68.735241176470595</v>
      </c>
    </row>
    <row r="413" spans="1:16" s="78" customFormat="1" ht="16.5">
      <c r="A413" s="20">
        <v>388</v>
      </c>
      <c r="B413" s="20" t="s">
        <v>1206</v>
      </c>
      <c r="C413" s="21" t="s">
        <v>1247</v>
      </c>
      <c r="D413" s="22" t="s">
        <v>1248</v>
      </c>
      <c r="E413" s="83">
        <v>241</v>
      </c>
      <c r="F413" s="83">
        <v>225.62611510791399</v>
      </c>
      <c r="G413" s="84">
        <v>248.274188328912</v>
      </c>
      <c r="H413" s="85"/>
      <c r="I413" s="83"/>
      <c r="J413" s="83">
        <v>411</v>
      </c>
      <c r="K413" s="102"/>
      <c r="L413" s="88" t="s">
        <v>279</v>
      </c>
      <c r="M413" s="31"/>
      <c r="N413" s="91"/>
      <c r="O413" s="89">
        <f>VLOOKUP(C413,'[1]站级商品进销存统计(2026-06-06)'!$B:$D,3,0)</f>
        <v>377</v>
      </c>
      <c r="P413" s="90">
        <f>VLOOKUP(C413,'[1]站级商品进销存统计(2026-06-06)'!$B:$F,5,0)</f>
        <v>248.274188328912</v>
      </c>
    </row>
    <row r="414" spans="1:16" s="78" customFormat="1" ht="16.5">
      <c r="A414" s="20">
        <v>389</v>
      </c>
      <c r="B414" s="20" t="s">
        <v>1206</v>
      </c>
      <c r="C414" s="21" t="s">
        <v>1249</v>
      </c>
      <c r="D414" s="22" t="s">
        <v>1250</v>
      </c>
      <c r="E414" s="83">
        <v>57</v>
      </c>
      <c r="F414" s="83">
        <v>54.91873659118</v>
      </c>
      <c r="G414" s="84">
        <v>57.2981121970289</v>
      </c>
      <c r="H414" s="85"/>
      <c r="I414" s="83"/>
      <c r="J414" s="83">
        <v>115</v>
      </c>
      <c r="K414" s="102"/>
      <c r="L414" s="88" t="s">
        <v>279</v>
      </c>
      <c r="M414" s="31"/>
      <c r="N414" s="91"/>
      <c r="O414" s="89">
        <f>VLOOKUP(C414,'[1]站级商品进销存统计(2026-06-06)'!$B:$D,3,0)</f>
        <v>1279</v>
      </c>
      <c r="P414" s="90">
        <f>VLOOKUP(C414,'[1]站级商品进销存统计(2026-06-06)'!$B:$F,5,0)</f>
        <v>57.2981121970289</v>
      </c>
    </row>
    <row r="415" spans="1:16" s="78" customFormat="1" ht="16.5">
      <c r="A415" s="20">
        <v>390</v>
      </c>
      <c r="B415" s="20" t="s">
        <v>1206</v>
      </c>
      <c r="C415" s="21" t="s">
        <v>1251</v>
      </c>
      <c r="D415" s="22" t="s">
        <v>1252</v>
      </c>
      <c r="E415" s="83"/>
      <c r="F415" s="83">
        <v>224.99442786069699</v>
      </c>
      <c r="G415" s="84">
        <v>259.79137874999998</v>
      </c>
      <c r="H415" s="85"/>
      <c r="I415" s="83"/>
      <c r="J415" s="83">
        <v>488</v>
      </c>
      <c r="K415" s="102"/>
      <c r="L415" s="88" t="s">
        <v>279</v>
      </c>
      <c r="M415" s="31"/>
      <c r="N415" s="91"/>
      <c r="O415" s="89">
        <f>VLOOKUP(C415,'[1]站级商品进销存统计(2026-06-06)'!$B:$D,3,0)</f>
        <v>160</v>
      </c>
      <c r="P415" s="90">
        <f>VLOOKUP(C415,'[1]站级商品进销存统计(2026-06-06)'!$B:$F,5,0)</f>
        <v>259.79137874999998</v>
      </c>
    </row>
    <row r="416" spans="1:16" s="78" customFormat="1" ht="16.5">
      <c r="A416" s="20">
        <v>391</v>
      </c>
      <c r="B416" s="20" t="s">
        <v>1206</v>
      </c>
      <c r="C416" s="21" t="s">
        <v>1253</v>
      </c>
      <c r="D416" s="22" t="s">
        <v>1254</v>
      </c>
      <c r="E416" s="83">
        <v>247</v>
      </c>
      <c r="F416" s="83">
        <v>220.63437500000001</v>
      </c>
      <c r="G416" s="84">
        <v>249.272428472222</v>
      </c>
      <c r="H416" s="85"/>
      <c r="I416" s="83"/>
      <c r="J416" s="83">
        <v>420</v>
      </c>
      <c r="K416" s="102"/>
      <c r="L416" s="88" t="s">
        <v>279</v>
      </c>
      <c r="M416" s="31"/>
      <c r="N416" s="91"/>
      <c r="O416" s="89">
        <f>VLOOKUP(C416,'[1]站级商品进销存统计(2026-06-06)'!$B:$D,3,0)</f>
        <v>144</v>
      </c>
      <c r="P416" s="90">
        <f>VLOOKUP(C416,'[1]站级商品进销存统计(2026-06-06)'!$B:$F,5,0)</f>
        <v>249.272428472222</v>
      </c>
    </row>
    <row r="417" spans="1:16" s="78" customFormat="1" ht="16.5">
      <c r="A417" s="20">
        <v>392</v>
      </c>
      <c r="B417" s="20" t="s">
        <v>1206</v>
      </c>
      <c r="C417" s="21" t="s">
        <v>1255</v>
      </c>
      <c r="D417" s="22" t="s">
        <v>1256</v>
      </c>
      <c r="E417" s="83"/>
      <c r="F417" s="83">
        <v>41.249384615384599</v>
      </c>
      <c r="G417" s="84">
        <v>46.316744230769203</v>
      </c>
      <c r="H417" s="85"/>
      <c r="I417" s="83"/>
      <c r="J417" s="83">
        <v>73</v>
      </c>
      <c r="K417" s="102"/>
      <c r="L417" s="88" t="s">
        <v>279</v>
      </c>
      <c r="M417" s="31"/>
      <c r="N417" s="91"/>
      <c r="O417" s="89">
        <f>VLOOKUP(C417,'[1]站级商品进销存统计(2026-06-06)'!$B:$D,3,0)</f>
        <v>52</v>
      </c>
      <c r="P417" s="90">
        <f>VLOOKUP(C417,'[1]站级商品进销存统计(2026-06-06)'!$B:$F,5,0)</f>
        <v>46.316744230769203</v>
      </c>
    </row>
    <row r="418" spans="1:16" s="78" customFormat="1" ht="16.5">
      <c r="A418" s="20">
        <v>393</v>
      </c>
      <c r="B418" s="20" t="s">
        <v>1206</v>
      </c>
      <c r="C418" s="21" t="s">
        <v>1257</v>
      </c>
      <c r="D418" s="22" t="s">
        <v>1258</v>
      </c>
      <c r="E418" s="83"/>
      <c r="F418" s="83">
        <v>40.1246300715991</v>
      </c>
      <c r="G418" s="84">
        <v>45.200963565891499</v>
      </c>
      <c r="H418" s="85"/>
      <c r="I418" s="83"/>
      <c r="J418" s="83">
        <v>73</v>
      </c>
      <c r="K418" s="102"/>
      <c r="L418" s="88" t="s">
        <v>279</v>
      </c>
      <c r="M418" s="31"/>
      <c r="N418" s="91"/>
      <c r="O418" s="89">
        <f>VLOOKUP(C418,'[1]站级商品进销存统计(2026-06-06)'!$B:$D,3,0)</f>
        <v>129</v>
      </c>
      <c r="P418" s="90">
        <f>VLOOKUP(C418,'[1]站级商品进销存统计(2026-06-06)'!$B:$F,5,0)</f>
        <v>45.200963565891499</v>
      </c>
    </row>
    <row r="419" spans="1:16" s="78" customFormat="1" ht="16.5">
      <c r="A419" s="20">
        <v>394</v>
      </c>
      <c r="B419" s="20" t="s">
        <v>1206</v>
      </c>
      <c r="C419" s="21" t="s">
        <v>1259</v>
      </c>
      <c r="D419" s="22" t="s">
        <v>1260</v>
      </c>
      <c r="E419" s="83"/>
      <c r="F419" s="83">
        <v>44.560159362549797</v>
      </c>
      <c r="G419" s="84">
        <v>51.502751562500002</v>
      </c>
      <c r="H419" s="85"/>
      <c r="I419" s="83"/>
      <c r="J419" s="83">
        <v>73</v>
      </c>
      <c r="K419" s="102"/>
      <c r="L419" s="88" t="s">
        <v>279</v>
      </c>
      <c r="M419" s="31"/>
      <c r="N419" s="91"/>
      <c r="O419" s="89">
        <f>VLOOKUP(C419,'[1]站级商品进销存统计(2026-06-06)'!$B:$D,3,0)</f>
        <v>192</v>
      </c>
      <c r="P419" s="90">
        <f>VLOOKUP(C419,'[1]站级商品进销存统计(2026-06-06)'!$B:$F,5,0)</f>
        <v>51.502751562500002</v>
      </c>
    </row>
    <row r="420" spans="1:16" s="78" customFormat="1" ht="16.5">
      <c r="A420" s="20">
        <v>395</v>
      </c>
      <c r="B420" s="20" t="s">
        <v>1206</v>
      </c>
      <c r="C420" s="21" t="s">
        <v>1261</v>
      </c>
      <c r="D420" s="22" t="s">
        <v>1262</v>
      </c>
      <c r="E420" s="83"/>
      <c r="F420" s="83">
        <v>169.85116580310901</v>
      </c>
      <c r="G420" s="84">
        <v>201.45220285714299</v>
      </c>
      <c r="H420" s="85"/>
      <c r="I420" s="83"/>
      <c r="J420" s="83">
        <v>276</v>
      </c>
      <c r="K420" s="102"/>
      <c r="L420" s="88" t="s">
        <v>279</v>
      </c>
      <c r="M420" s="31"/>
      <c r="N420" s="91"/>
      <c r="O420" s="89">
        <f>VLOOKUP(C420,'[1]站级商品进销存统计(2026-06-06)'!$B:$D,3,0)</f>
        <v>35</v>
      </c>
      <c r="P420" s="90">
        <f>VLOOKUP(C420,'[1]站级商品进销存统计(2026-06-06)'!$B:$F,5,0)</f>
        <v>201.45220285714299</v>
      </c>
    </row>
    <row r="421" spans="1:16" s="78" customFormat="1" ht="16.5">
      <c r="A421" s="20">
        <v>396</v>
      </c>
      <c r="B421" s="20" t="s">
        <v>1206</v>
      </c>
      <c r="C421" s="21" t="s">
        <v>1263</v>
      </c>
      <c r="D421" s="22" t="s">
        <v>1264</v>
      </c>
      <c r="E421" s="83"/>
      <c r="F421" s="83">
        <v>195.81957692307699</v>
      </c>
      <c r="G421" s="84">
        <v>222.79057399999999</v>
      </c>
      <c r="H421" s="85"/>
      <c r="I421" s="83"/>
      <c r="J421" s="83">
        <v>320</v>
      </c>
      <c r="K421" s="102"/>
      <c r="L421" s="88" t="s">
        <v>279</v>
      </c>
      <c r="M421" s="31"/>
      <c r="N421" s="91"/>
      <c r="O421" s="89">
        <f>VLOOKUP(C421,'[1]站级商品进销存统计(2026-06-06)'!$B:$D,3,0)</f>
        <v>100</v>
      </c>
      <c r="P421" s="90">
        <f>VLOOKUP(C421,'[1]站级商品进销存统计(2026-06-06)'!$B:$F,5,0)</f>
        <v>222.79057399999999</v>
      </c>
    </row>
    <row r="422" spans="1:16" s="78" customFormat="1" ht="16.5">
      <c r="A422" s="20">
        <v>397</v>
      </c>
      <c r="B422" s="20" t="s">
        <v>1206</v>
      </c>
      <c r="C422" s="21" t="s">
        <v>1265</v>
      </c>
      <c r="D422" s="22" t="s">
        <v>1266</v>
      </c>
      <c r="E422" s="83"/>
      <c r="F422" s="83">
        <v>39.823808411214998</v>
      </c>
      <c r="G422" s="84">
        <v>45.002040740740703</v>
      </c>
      <c r="H422" s="85"/>
      <c r="I422" s="83"/>
      <c r="J422" s="83">
        <v>98</v>
      </c>
      <c r="K422" s="102"/>
      <c r="L422" s="88" t="s">
        <v>279</v>
      </c>
      <c r="M422" s="31"/>
      <c r="N422" s="91"/>
      <c r="O422" s="89">
        <f>VLOOKUP(C422,'[1]站级商品进销存统计(2026-06-06)'!$B:$D,3,0)</f>
        <v>54</v>
      </c>
      <c r="P422" s="90">
        <f>VLOOKUP(C422,'[1]站级商品进销存统计(2026-06-06)'!$B:$F,5,0)</f>
        <v>45.002040740740703</v>
      </c>
    </row>
    <row r="423" spans="1:16" s="78" customFormat="1" ht="16.5">
      <c r="A423" s="20">
        <v>398</v>
      </c>
      <c r="B423" s="20" t="s">
        <v>1206</v>
      </c>
      <c r="C423" s="21" t="s">
        <v>1267</v>
      </c>
      <c r="D423" s="22" t="s">
        <v>1268</v>
      </c>
      <c r="E423" s="83"/>
      <c r="F423" s="83">
        <v>169.91204545454499</v>
      </c>
      <c r="G423" s="84">
        <v>192.00044310344799</v>
      </c>
      <c r="H423" s="85"/>
      <c r="I423" s="83"/>
      <c r="J423" s="83">
        <v>318</v>
      </c>
      <c r="K423" s="102"/>
      <c r="L423" s="88" t="s">
        <v>279</v>
      </c>
      <c r="M423" s="31"/>
      <c r="N423" s="91"/>
      <c r="O423" s="89">
        <f>VLOOKUP(C423,'[1]站级商品进销存统计(2026-06-06)'!$B:$D,3,0)</f>
        <v>58</v>
      </c>
      <c r="P423" s="90">
        <f>VLOOKUP(C423,'[1]站级商品进销存统计(2026-06-06)'!$B:$F,5,0)</f>
        <v>192.00044310344799</v>
      </c>
    </row>
    <row r="424" spans="1:16" s="78" customFormat="1" ht="16.5">
      <c r="A424" s="20">
        <v>399</v>
      </c>
      <c r="B424" s="20" t="s">
        <v>1206</v>
      </c>
      <c r="C424" s="21" t="s">
        <v>1269</v>
      </c>
      <c r="D424" s="22" t="s">
        <v>1270</v>
      </c>
      <c r="E424" s="83"/>
      <c r="F424" s="83">
        <v>132.749816513761</v>
      </c>
      <c r="G424" s="84">
        <v>156.947522580645</v>
      </c>
      <c r="H424" s="85"/>
      <c r="I424" s="83"/>
      <c r="J424" s="83">
        <v>318</v>
      </c>
      <c r="K424" s="102"/>
      <c r="L424" s="88" t="s">
        <v>279</v>
      </c>
      <c r="M424" s="31"/>
      <c r="N424" s="91"/>
      <c r="O424" s="89">
        <f>VLOOKUP(C424,'[1]站级商品进销存统计(2026-06-06)'!$B:$D,3,0)</f>
        <v>31</v>
      </c>
      <c r="P424" s="90">
        <f>VLOOKUP(C424,'[1]站级商品进销存统计(2026-06-06)'!$B:$F,5,0)</f>
        <v>156.947522580645</v>
      </c>
    </row>
    <row r="425" spans="1:16" s="78" customFormat="1" ht="16.5">
      <c r="A425" s="20">
        <v>400</v>
      </c>
      <c r="B425" s="20" t="s">
        <v>1206</v>
      </c>
      <c r="C425" s="21" t="s">
        <v>1271</v>
      </c>
      <c r="D425" s="22" t="s">
        <v>1272</v>
      </c>
      <c r="E425" s="83"/>
      <c r="F425" s="83">
        <v>36.309868913857699</v>
      </c>
      <c r="G425" s="84">
        <v>41.029368041237099</v>
      </c>
      <c r="H425" s="85"/>
      <c r="I425" s="83"/>
      <c r="J425" s="83">
        <v>88</v>
      </c>
      <c r="K425" s="102"/>
      <c r="L425" s="88" t="s">
        <v>279</v>
      </c>
      <c r="M425" s="31"/>
      <c r="N425" s="91"/>
      <c r="O425" s="89">
        <f>VLOOKUP(C425,'[1]站级商品进销存统计(2026-06-06)'!$B:$D,3,0)</f>
        <v>97</v>
      </c>
      <c r="P425" s="90">
        <f>VLOOKUP(C425,'[1]站级商品进销存统计(2026-06-06)'!$B:$F,5,0)</f>
        <v>41.029368041237099</v>
      </c>
    </row>
    <row r="426" spans="1:16" s="78" customFormat="1" ht="16.5">
      <c r="A426" s="20">
        <v>401</v>
      </c>
      <c r="B426" s="20" t="s">
        <v>1206</v>
      </c>
      <c r="C426" s="21" t="s">
        <v>1273</v>
      </c>
      <c r="D426" s="22" t="s">
        <v>1274</v>
      </c>
      <c r="E426" s="83"/>
      <c r="F426" s="83">
        <v>161.84397111913401</v>
      </c>
      <c r="G426" s="84">
        <v>184.15582439024399</v>
      </c>
      <c r="H426" s="85"/>
      <c r="I426" s="83"/>
      <c r="J426" s="83">
        <v>318</v>
      </c>
      <c r="K426" s="102"/>
      <c r="L426" s="88" t="s">
        <v>279</v>
      </c>
      <c r="M426" s="31"/>
      <c r="N426" s="91"/>
      <c r="O426" s="89">
        <f>VLOOKUP(C426,'[1]站级商品进销存统计(2026-06-06)'!$B:$D,3,0)</f>
        <v>41</v>
      </c>
      <c r="P426" s="90">
        <f>VLOOKUP(C426,'[1]站级商品进销存统计(2026-06-06)'!$B:$F,5,0)</f>
        <v>184.15582439024399</v>
      </c>
    </row>
    <row r="427" spans="1:16" s="78" customFormat="1" ht="16.5">
      <c r="A427" s="20">
        <v>402</v>
      </c>
      <c r="B427" s="20" t="s">
        <v>1206</v>
      </c>
      <c r="C427" s="21" t="s">
        <v>1275</v>
      </c>
      <c r="D427" s="22" t="s">
        <v>1276</v>
      </c>
      <c r="E427" s="83"/>
      <c r="F427" s="83">
        <v>217.82329758713101</v>
      </c>
      <c r="G427" s="84">
        <v>246.10202200000001</v>
      </c>
      <c r="H427" s="85"/>
      <c r="I427" s="83"/>
      <c r="J427" s="83">
        <v>458</v>
      </c>
      <c r="K427" s="102"/>
      <c r="L427" s="88" t="s">
        <v>279</v>
      </c>
      <c r="M427" s="31"/>
      <c r="N427" s="91"/>
      <c r="O427" s="89">
        <f>VLOOKUP(C427,'[1]站级商品进销存统计(2026-06-06)'!$B:$D,3,0)</f>
        <v>50</v>
      </c>
      <c r="P427" s="90">
        <f>VLOOKUP(C427,'[1]站级商品进销存统计(2026-06-06)'!$B:$F,5,0)</f>
        <v>246.10202200000001</v>
      </c>
    </row>
    <row r="428" spans="1:16" s="78" customFormat="1" ht="16.5">
      <c r="A428" s="20">
        <v>403</v>
      </c>
      <c r="B428" s="20" t="s">
        <v>1206</v>
      </c>
      <c r="C428" s="21" t="s">
        <v>1277</v>
      </c>
      <c r="D428" s="22" t="s">
        <v>1278</v>
      </c>
      <c r="E428" s="83"/>
      <c r="F428" s="83">
        <v>165.424375</v>
      </c>
      <c r="G428" s="84">
        <v>186.84926666666701</v>
      </c>
      <c r="H428" s="85"/>
      <c r="I428" s="83"/>
      <c r="J428" s="83">
        <v>458</v>
      </c>
      <c r="K428" s="102"/>
      <c r="L428" s="88" t="s">
        <v>279</v>
      </c>
      <c r="M428" s="31"/>
      <c r="N428" s="91"/>
      <c r="O428" s="89">
        <f>VLOOKUP(C428,'[1]站级商品进销存统计(2026-06-06)'!$B:$D,3,0)</f>
        <v>30</v>
      </c>
      <c r="P428" s="90">
        <f>VLOOKUP(C428,'[1]站级商品进销存统计(2026-06-06)'!$B:$F,5,0)</f>
        <v>186.84926666666701</v>
      </c>
    </row>
    <row r="429" spans="1:16" s="78" customFormat="1" ht="16.5">
      <c r="A429" s="20">
        <v>404</v>
      </c>
      <c r="B429" s="20" t="s">
        <v>1206</v>
      </c>
      <c r="C429" s="21" t="s">
        <v>1279</v>
      </c>
      <c r="D429" s="22" t="s">
        <v>1280</v>
      </c>
      <c r="E429" s="83"/>
      <c r="F429" s="83">
        <v>162.31422625400199</v>
      </c>
      <c r="G429" s="84">
        <v>182.36882627551</v>
      </c>
      <c r="H429" s="85"/>
      <c r="I429" s="83"/>
      <c r="J429" s="83">
        <v>458</v>
      </c>
      <c r="K429" s="102"/>
      <c r="L429" s="88" t="s">
        <v>279</v>
      </c>
      <c r="M429" s="31"/>
      <c r="N429" s="91"/>
      <c r="O429" s="89">
        <f>VLOOKUP(C429,'[1]站级商品进销存统计(2026-06-06)'!$B:$D,3,0)</f>
        <v>392</v>
      </c>
      <c r="P429" s="90">
        <f>VLOOKUP(C429,'[1]站级商品进销存统计(2026-06-06)'!$B:$F,5,0)</f>
        <v>182.36882627551</v>
      </c>
    </row>
    <row r="430" spans="1:16" s="78" customFormat="1" ht="16.5">
      <c r="A430" s="20">
        <v>405</v>
      </c>
      <c r="B430" s="20" t="s">
        <v>1206</v>
      </c>
      <c r="C430" s="21" t="s">
        <v>1281</v>
      </c>
      <c r="D430" s="22" t="s">
        <v>1282</v>
      </c>
      <c r="E430" s="83"/>
      <c r="F430" s="83">
        <v>171.364369369369</v>
      </c>
      <c r="G430" s="84">
        <v>193.36107999999999</v>
      </c>
      <c r="H430" s="85"/>
      <c r="I430" s="83"/>
      <c r="J430" s="83">
        <v>458</v>
      </c>
      <c r="K430" s="102"/>
      <c r="L430" s="88" t="s">
        <v>279</v>
      </c>
      <c r="M430" s="31"/>
      <c r="N430" s="91"/>
      <c r="O430" s="89">
        <f>VLOOKUP(C430,'[1]站级商品进销存统计(2026-06-06)'!$B:$D,3,0)</f>
        <v>50</v>
      </c>
      <c r="P430" s="90">
        <f>VLOOKUP(C430,'[1]站级商品进销存统计(2026-06-06)'!$B:$F,5,0)</f>
        <v>193.36107999999999</v>
      </c>
    </row>
    <row r="431" spans="1:16" s="78" customFormat="1" ht="16.5">
      <c r="A431" s="20">
        <v>406</v>
      </c>
      <c r="B431" s="20" t="s">
        <v>1206</v>
      </c>
      <c r="C431" s="21" t="s">
        <v>1283</v>
      </c>
      <c r="D431" s="22" t="s">
        <v>1284</v>
      </c>
      <c r="E431" s="83">
        <v>212</v>
      </c>
      <c r="F431" s="83">
        <v>186.26</v>
      </c>
      <c r="G431" s="84">
        <v>210.17656568627399</v>
      </c>
      <c r="H431" s="85"/>
      <c r="I431" s="83"/>
      <c r="J431" s="83">
        <v>458</v>
      </c>
      <c r="K431" s="102"/>
      <c r="L431" s="88" t="s">
        <v>279</v>
      </c>
      <c r="M431" s="31"/>
      <c r="N431" s="91"/>
      <c r="O431" s="89">
        <f>VLOOKUP(C431,'[1]站级商品进销存统计(2026-06-06)'!$B:$D,3,0)</f>
        <v>102</v>
      </c>
      <c r="P431" s="90">
        <f>VLOOKUP(C431,'[1]站级商品进销存统计(2026-06-06)'!$B:$F,5,0)</f>
        <v>210.17656568627399</v>
      </c>
    </row>
    <row r="432" spans="1:16" s="78" customFormat="1" ht="16.5">
      <c r="A432" s="20">
        <v>407</v>
      </c>
      <c r="B432" s="20" t="s">
        <v>1206</v>
      </c>
      <c r="C432" s="21" t="s">
        <v>1285</v>
      </c>
      <c r="D432" s="22" t="s">
        <v>1286</v>
      </c>
      <c r="E432" s="83"/>
      <c r="F432" s="83">
        <v>50.443159420289902</v>
      </c>
      <c r="G432" s="84">
        <v>57.002407826087001</v>
      </c>
      <c r="H432" s="85"/>
      <c r="I432" s="83"/>
      <c r="J432" s="83">
        <v>128</v>
      </c>
      <c r="K432" s="102"/>
      <c r="L432" s="88" t="s">
        <v>279</v>
      </c>
      <c r="M432" s="31"/>
      <c r="N432" s="91"/>
      <c r="O432" s="89">
        <f>VLOOKUP(C432,'[1]站级商品进销存统计(2026-06-06)'!$B:$D,3,0)</f>
        <v>115</v>
      </c>
      <c r="P432" s="90">
        <f>VLOOKUP(C432,'[1]站级商品进销存统计(2026-06-06)'!$B:$F,5,0)</f>
        <v>57.002407826087001</v>
      </c>
    </row>
    <row r="433" spans="1:16" s="78" customFormat="1" ht="16.5">
      <c r="A433" s="20">
        <v>408</v>
      </c>
      <c r="B433" s="20" t="s">
        <v>1206</v>
      </c>
      <c r="C433" s="21" t="s">
        <v>1287</v>
      </c>
      <c r="D433" s="22" t="s">
        <v>1288</v>
      </c>
      <c r="E433" s="83"/>
      <c r="F433" s="83">
        <v>217.81546134663299</v>
      </c>
      <c r="G433" s="84">
        <v>246.101793209877</v>
      </c>
      <c r="H433" s="85"/>
      <c r="I433" s="83"/>
      <c r="J433" s="83">
        <v>458</v>
      </c>
      <c r="K433" s="102"/>
      <c r="L433" s="88" t="s">
        <v>279</v>
      </c>
      <c r="M433" s="31"/>
      <c r="N433" s="91"/>
      <c r="O433" s="89">
        <f>VLOOKUP(C433,'[1]站级商品进销存统计(2026-06-06)'!$B:$D,3,0)</f>
        <v>162</v>
      </c>
      <c r="P433" s="90">
        <f>VLOOKUP(C433,'[1]站级商品进销存统计(2026-06-06)'!$B:$F,5,0)</f>
        <v>246.101793209877</v>
      </c>
    </row>
    <row r="434" spans="1:16" s="78" customFormat="1" ht="16.5">
      <c r="A434" s="20">
        <v>409</v>
      </c>
      <c r="B434" s="20" t="s">
        <v>1206</v>
      </c>
      <c r="C434" s="21" t="s">
        <v>1289</v>
      </c>
      <c r="D434" s="22" t="s">
        <v>1290</v>
      </c>
      <c r="E434" s="83"/>
      <c r="F434" s="83">
        <v>286.01863905325399</v>
      </c>
      <c r="G434" s="84">
        <v>323.20260000000002</v>
      </c>
      <c r="H434" s="85"/>
      <c r="I434" s="83"/>
      <c r="J434" s="83">
        <v>558</v>
      </c>
      <c r="K434" s="102"/>
      <c r="L434" s="88" t="s">
        <v>279</v>
      </c>
      <c r="M434" s="31"/>
      <c r="N434" s="91"/>
      <c r="O434" s="89">
        <f>VLOOKUP(C434,'[1]站级商品进销存统计(2026-06-06)'!$B:$D,3,0)</f>
        <v>35</v>
      </c>
      <c r="P434" s="90">
        <f>VLOOKUP(C434,'[1]站级商品进销存统计(2026-06-06)'!$B:$F,5,0)</f>
        <v>323.20260000000002</v>
      </c>
    </row>
    <row r="435" spans="1:16" s="78" customFormat="1" ht="16.5">
      <c r="A435" s="20">
        <v>410</v>
      </c>
      <c r="B435" s="20" t="s">
        <v>1206</v>
      </c>
      <c r="C435" s="21" t="s">
        <v>1291</v>
      </c>
      <c r="D435" s="22" t="s">
        <v>1292</v>
      </c>
      <c r="E435" s="83"/>
      <c r="F435" s="83">
        <v>229.669655172414</v>
      </c>
      <c r="G435" s="84">
        <v>259.23363235294102</v>
      </c>
      <c r="H435" s="85"/>
      <c r="I435" s="83"/>
      <c r="J435" s="83">
        <v>558</v>
      </c>
      <c r="K435" s="102"/>
      <c r="L435" s="88" t="s">
        <v>279</v>
      </c>
      <c r="M435" s="31"/>
      <c r="N435" s="91"/>
      <c r="O435" s="89">
        <f>VLOOKUP(C435,'[1]站级商品进销存统计(2026-06-06)'!$B:$D,3,0)</f>
        <v>34</v>
      </c>
      <c r="P435" s="90">
        <f>VLOOKUP(C435,'[1]站级商品进销存统计(2026-06-06)'!$B:$F,5,0)</f>
        <v>259.23363235294102</v>
      </c>
    </row>
    <row r="436" spans="1:16" s="78" customFormat="1" ht="16.5">
      <c r="A436" s="20">
        <v>411</v>
      </c>
      <c r="B436" s="20" t="s">
        <v>1206</v>
      </c>
      <c r="C436" s="21" t="s">
        <v>1293</v>
      </c>
      <c r="D436" s="22" t="s">
        <v>1294</v>
      </c>
      <c r="E436" s="83"/>
      <c r="F436" s="83">
        <v>235.03072340425501</v>
      </c>
      <c r="G436" s="84">
        <v>264.35084718309901</v>
      </c>
      <c r="H436" s="85"/>
      <c r="I436" s="83"/>
      <c r="J436" s="83">
        <v>558</v>
      </c>
      <c r="K436" s="102"/>
      <c r="L436" s="88" t="s">
        <v>279</v>
      </c>
      <c r="M436" s="31"/>
      <c r="N436" s="91"/>
      <c r="O436" s="89">
        <f>VLOOKUP(C436,'[1]站级商品进销存统计(2026-06-06)'!$B:$D,3,0)</f>
        <v>142</v>
      </c>
      <c r="P436" s="90">
        <f>VLOOKUP(C436,'[1]站级商品进销存统计(2026-06-06)'!$B:$F,5,0)</f>
        <v>264.35084718309901</v>
      </c>
    </row>
    <row r="437" spans="1:16" s="78" customFormat="1" ht="16.5">
      <c r="A437" s="20">
        <v>412</v>
      </c>
      <c r="B437" s="20" t="s">
        <v>1206</v>
      </c>
      <c r="C437" s="21" t="s">
        <v>1295</v>
      </c>
      <c r="D437" s="22" t="s">
        <v>1296</v>
      </c>
      <c r="E437" s="83"/>
      <c r="F437" s="83">
        <v>68.142587412587403</v>
      </c>
      <c r="G437" s="84">
        <v>77.001125892857104</v>
      </c>
      <c r="H437" s="85"/>
      <c r="I437" s="83"/>
      <c r="J437" s="83">
        <v>158</v>
      </c>
      <c r="K437" s="102"/>
      <c r="L437" s="88" t="s">
        <v>279</v>
      </c>
      <c r="M437" s="31"/>
      <c r="N437" s="91"/>
      <c r="O437" s="89">
        <f>VLOOKUP(C437,'[1]站级商品进销存统计(2026-06-06)'!$B:$D,3,0)</f>
        <v>112</v>
      </c>
      <c r="P437" s="90">
        <f>VLOOKUP(C437,'[1]站级商品进销存统计(2026-06-06)'!$B:$F,5,0)</f>
        <v>77.001125892857104</v>
      </c>
    </row>
    <row r="438" spans="1:16" s="78" customFormat="1" ht="16.5">
      <c r="A438" s="20">
        <v>413</v>
      </c>
      <c r="B438" s="20" t="s">
        <v>1206</v>
      </c>
      <c r="C438" s="21" t="s">
        <v>1297</v>
      </c>
      <c r="D438" s="22" t="s">
        <v>1298</v>
      </c>
      <c r="E438" s="83"/>
      <c r="F438" s="83">
        <v>189.645096153846</v>
      </c>
      <c r="G438" s="84">
        <v>214.299090425532</v>
      </c>
      <c r="H438" s="85"/>
      <c r="I438" s="83"/>
      <c r="J438" s="83">
        <v>558</v>
      </c>
      <c r="K438" s="102"/>
      <c r="L438" s="88" t="s">
        <v>279</v>
      </c>
      <c r="M438" s="31"/>
      <c r="N438" s="91"/>
      <c r="O438" s="89">
        <f>VLOOKUP(C438,'[1]站级商品进销存统计(2026-06-06)'!$B:$D,3,0)</f>
        <v>94</v>
      </c>
      <c r="P438" s="90">
        <f>VLOOKUP(C438,'[1]站级商品进销存统计(2026-06-06)'!$B:$F,5,0)</f>
        <v>214.299090425532</v>
      </c>
    </row>
    <row r="439" spans="1:16" s="78" customFormat="1" ht="16.5">
      <c r="A439" s="20">
        <v>414</v>
      </c>
      <c r="B439" s="20" t="s">
        <v>1206</v>
      </c>
      <c r="C439" s="21" t="s">
        <v>1299</v>
      </c>
      <c r="D439" s="22" t="s">
        <v>1300</v>
      </c>
      <c r="E439" s="83"/>
      <c r="F439" s="83">
        <v>233.756857142857</v>
      </c>
      <c r="G439" s="84">
        <v>265.11028260869602</v>
      </c>
      <c r="H439" s="85"/>
      <c r="I439" s="83"/>
      <c r="J439" s="83">
        <v>558</v>
      </c>
      <c r="K439" s="102"/>
      <c r="L439" s="88" t="s">
        <v>279</v>
      </c>
      <c r="M439" s="31"/>
      <c r="N439" s="91"/>
      <c r="O439" s="89">
        <f>VLOOKUP(C439,'[1]站级商品进销存统计(2026-06-06)'!$B:$D,3,0)</f>
        <v>23</v>
      </c>
      <c r="P439" s="90">
        <f>VLOOKUP(C439,'[1]站级商品进销存统计(2026-06-06)'!$B:$F,5,0)</f>
        <v>265.11028260869602</v>
      </c>
    </row>
    <row r="440" spans="1:16" s="78" customFormat="1" ht="16.5">
      <c r="A440" s="20">
        <v>415</v>
      </c>
      <c r="B440" s="20" t="s">
        <v>1206</v>
      </c>
      <c r="C440" s="21" t="s">
        <v>1301</v>
      </c>
      <c r="D440" s="22" t="s">
        <v>1302</v>
      </c>
      <c r="E440" s="83"/>
      <c r="F440" s="83">
        <v>58.761217391304299</v>
      </c>
      <c r="G440" s="84">
        <v>66.4009925373134</v>
      </c>
      <c r="H440" s="85"/>
      <c r="I440" s="83"/>
      <c r="J440" s="83">
        <v>168</v>
      </c>
      <c r="K440" s="102"/>
      <c r="L440" s="88" t="s">
        <v>279</v>
      </c>
      <c r="M440" s="31"/>
      <c r="N440" s="91"/>
      <c r="O440" s="89">
        <f>VLOOKUP(C440,'[1]站级商品进销存统计(2026-06-06)'!$B:$D,3,0)</f>
        <v>67</v>
      </c>
      <c r="P440" s="90">
        <f>VLOOKUP(C440,'[1]站级商品进销存统计(2026-06-06)'!$B:$F,5,0)</f>
        <v>66.4009925373134</v>
      </c>
    </row>
    <row r="441" spans="1:16" s="78" customFormat="1" ht="16.5">
      <c r="A441" s="20">
        <v>416</v>
      </c>
      <c r="B441" s="20" t="s">
        <v>1206</v>
      </c>
      <c r="C441" s="21" t="s">
        <v>1303</v>
      </c>
      <c r="D441" s="22" t="s">
        <v>1304</v>
      </c>
      <c r="E441" s="83"/>
      <c r="F441" s="83">
        <v>246.01307947019899</v>
      </c>
      <c r="G441" s="84">
        <v>279.59692727272699</v>
      </c>
      <c r="H441" s="85"/>
      <c r="I441" s="83"/>
      <c r="J441" s="83">
        <v>558</v>
      </c>
      <c r="K441" s="102"/>
      <c r="L441" s="88" t="s">
        <v>279</v>
      </c>
      <c r="M441" s="31"/>
      <c r="N441" s="91"/>
      <c r="O441" s="89">
        <f>VLOOKUP(C441,'[1]站级商品进销存统计(2026-06-06)'!$B:$D,3,0)</f>
        <v>121</v>
      </c>
      <c r="P441" s="90">
        <f>VLOOKUP(C441,'[1]站级商品进销存统计(2026-06-06)'!$B:$F,5,0)</f>
        <v>279.59692727272699</v>
      </c>
    </row>
    <row r="442" spans="1:16" s="78" customFormat="1" ht="16.5">
      <c r="A442" s="20">
        <v>417</v>
      </c>
      <c r="B442" s="20" t="s">
        <v>1206</v>
      </c>
      <c r="C442" s="21" t="s">
        <v>1305</v>
      </c>
      <c r="D442" s="22" t="s">
        <v>1306</v>
      </c>
      <c r="E442" s="83">
        <v>218</v>
      </c>
      <c r="F442" s="83">
        <v>193.61773913043501</v>
      </c>
      <c r="G442" s="84">
        <v>220.991538666667</v>
      </c>
      <c r="H442" s="85"/>
      <c r="I442" s="83"/>
      <c r="J442" s="83">
        <v>313</v>
      </c>
      <c r="K442" s="102"/>
      <c r="L442" s="88" t="s">
        <v>279</v>
      </c>
      <c r="M442" s="31"/>
      <c r="N442" s="91"/>
      <c r="O442" s="89">
        <f>VLOOKUP(C442,'[1]站级商品进销存统计(2026-06-06)'!$B:$D,3,0)</f>
        <v>75</v>
      </c>
      <c r="P442" s="90">
        <f>VLOOKUP(C442,'[1]站级商品进销存统计(2026-06-06)'!$B:$F,5,0)</f>
        <v>220.991538666667</v>
      </c>
    </row>
    <row r="443" spans="1:16" s="78" customFormat="1" ht="16.5">
      <c r="A443" s="20">
        <v>418</v>
      </c>
      <c r="B443" s="20" t="s">
        <v>1206</v>
      </c>
      <c r="C443" s="21" t="s">
        <v>1307</v>
      </c>
      <c r="D443" s="22" t="s">
        <v>1308</v>
      </c>
      <c r="E443" s="83">
        <v>50</v>
      </c>
      <c r="F443" s="83">
        <v>48.105117370892003</v>
      </c>
      <c r="G443" s="84">
        <v>53.956678181818198</v>
      </c>
      <c r="H443" s="85"/>
      <c r="I443" s="83"/>
      <c r="J443" s="83">
        <v>87</v>
      </c>
      <c r="K443" s="102"/>
      <c r="L443" s="88" t="s">
        <v>279</v>
      </c>
      <c r="M443" s="31"/>
      <c r="N443" s="91"/>
      <c r="O443" s="89">
        <f>VLOOKUP(C443,'[1]站级商品进销存统计(2026-06-06)'!$B:$D,3,0)</f>
        <v>55</v>
      </c>
      <c r="P443" s="90">
        <f>VLOOKUP(C443,'[1]站级商品进销存统计(2026-06-06)'!$B:$F,5,0)</f>
        <v>53.956678181818198</v>
      </c>
    </row>
    <row r="444" spans="1:16" s="78" customFormat="1" ht="16.5">
      <c r="A444" s="20">
        <v>419</v>
      </c>
      <c r="B444" s="20" t="s">
        <v>1206</v>
      </c>
      <c r="C444" s="21" t="s">
        <v>1309</v>
      </c>
      <c r="D444" s="22" t="s">
        <v>1310</v>
      </c>
      <c r="E444" s="83">
        <v>253</v>
      </c>
      <c r="F444" s="83">
        <v>253.06226804123699</v>
      </c>
      <c r="G444" s="84">
        <v>258.99852232142899</v>
      </c>
      <c r="H444" s="85"/>
      <c r="I444" s="83"/>
      <c r="J444" s="83">
        <v>432</v>
      </c>
      <c r="K444" s="102"/>
      <c r="L444" s="88" t="s">
        <v>279</v>
      </c>
      <c r="M444" s="31"/>
      <c r="N444" s="91"/>
      <c r="O444" s="89">
        <f>VLOOKUP(C444,'[1]站级商品进销存统计(2026-06-06)'!$B:$D,3,0)</f>
        <v>112</v>
      </c>
      <c r="P444" s="90">
        <f>VLOOKUP(C444,'[1]站级商品进销存统计(2026-06-06)'!$B:$F,5,0)</f>
        <v>258.99852232142899</v>
      </c>
    </row>
    <row r="445" spans="1:16" s="78" customFormat="1" ht="16.5">
      <c r="A445" s="20">
        <v>420</v>
      </c>
      <c r="B445" s="20" t="s">
        <v>1206</v>
      </c>
      <c r="C445" s="21" t="s">
        <v>1311</v>
      </c>
      <c r="D445" s="22" t="s">
        <v>1312</v>
      </c>
      <c r="E445" s="83">
        <v>59</v>
      </c>
      <c r="F445" s="83">
        <v>64.845938461538495</v>
      </c>
      <c r="G445" s="84">
        <v>73.134730000000005</v>
      </c>
      <c r="H445" s="85"/>
      <c r="I445" s="83"/>
      <c r="J445" s="83">
        <v>122</v>
      </c>
      <c r="K445" s="102"/>
      <c r="L445" s="88" t="s">
        <v>279</v>
      </c>
      <c r="M445" s="31"/>
      <c r="N445" s="91"/>
      <c r="O445" s="89">
        <f>VLOOKUP(C445,'[1]站级商品进销存统计(2026-06-06)'!$B:$D,3,0)</f>
        <v>120</v>
      </c>
      <c r="P445" s="90">
        <f>VLOOKUP(C445,'[1]站级商品进销存统计(2026-06-06)'!$B:$F,5,0)</f>
        <v>73.134730000000005</v>
      </c>
    </row>
    <row r="446" spans="1:16" s="78" customFormat="1" ht="16.5">
      <c r="A446" s="20">
        <v>421</v>
      </c>
      <c r="B446" s="20" t="s">
        <v>1206</v>
      </c>
      <c r="C446" s="21" t="s">
        <v>1313</v>
      </c>
      <c r="D446" s="22" t="s">
        <v>1314</v>
      </c>
      <c r="E446" s="83">
        <v>240</v>
      </c>
      <c r="F446" s="83">
        <v>235.055856573705</v>
      </c>
      <c r="G446" s="84">
        <v>274.24675586854499</v>
      </c>
      <c r="H446" s="85"/>
      <c r="I446" s="83"/>
      <c r="J446" s="83">
        <v>411</v>
      </c>
      <c r="K446" s="102"/>
      <c r="L446" s="88" t="s">
        <v>279</v>
      </c>
      <c r="M446" s="31"/>
      <c r="N446" s="91"/>
      <c r="O446" s="89">
        <f>VLOOKUP(C446,'[1]站级商品进销存统计(2026-06-06)'!$B:$D,3,0)</f>
        <v>213</v>
      </c>
      <c r="P446" s="90">
        <f>VLOOKUP(C446,'[1]站级商品进销存统计(2026-06-06)'!$B:$F,5,0)</f>
        <v>274.24675586854499</v>
      </c>
    </row>
    <row r="447" spans="1:16" s="78" customFormat="1" ht="16.5">
      <c r="A447" s="20">
        <v>422</v>
      </c>
      <c r="B447" s="20" t="s">
        <v>1206</v>
      </c>
      <c r="C447" s="21" t="s">
        <v>1315</v>
      </c>
      <c r="D447" s="22" t="s">
        <v>1316</v>
      </c>
      <c r="E447" s="83">
        <v>57</v>
      </c>
      <c r="F447" s="83">
        <v>60.679142857142899</v>
      </c>
      <c r="G447" s="84">
        <v>70.877224528301895</v>
      </c>
      <c r="H447" s="85"/>
      <c r="I447" s="83"/>
      <c r="J447" s="83">
        <v>115</v>
      </c>
      <c r="K447" s="102"/>
      <c r="L447" s="88" t="s">
        <v>279</v>
      </c>
      <c r="M447" s="31"/>
      <c r="N447" s="91"/>
      <c r="O447" s="89">
        <f>VLOOKUP(C447,'[1]站级商品进销存统计(2026-06-06)'!$B:$D,3,0)</f>
        <v>159</v>
      </c>
      <c r="P447" s="90">
        <f>VLOOKUP(C447,'[1]站级商品进销存统计(2026-06-06)'!$B:$F,5,0)</f>
        <v>70.877224528301895</v>
      </c>
    </row>
    <row r="448" spans="1:16" s="78" customFormat="1" ht="16.5">
      <c r="A448" s="20">
        <v>423</v>
      </c>
      <c r="B448" s="20" t="s">
        <v>1206</v>
      </c>
      <c r="C448" s="21" t="s">
        <v>1317</v>
      </c>
      <c r="D448" s="22" t="s">
        <v>1318</v>
      </c>
      <c r="E448" s="83">
        <v>244</v>
      </c>
      <c r="F448" s="83">
        <v>235.39541254125399</v>
      </c>
      <c r="G448" s="84">
        <v>260.02924862069</v>
      </c>
      <c r="H448" s="85"/>
      <c r="I448" s="83"/>
      <c r="J448" s="83">
        <v>411</v>
      </c>
      <c r="K448" s="102"/>
      <c r="L448" s="88" t="s">
        <v>279</v>
      </c>
      <c r="M448" s="31"/>
      <c r="N448" s="91"/>
      <c r="O448" s="89">
        <f>VLOOKUP(C448,'[1]站级商品进销存统计(2026-06-06)'!$B:$D,3,0)</f>
        <v>290</v>
      </c>
      <c r="P448" s="90">
        <f>VLOOKUP(C448,'[1]站级商品进销存统计(2026-06-06)'!$B:$F,5,0)</f>
        <v>260.02924862069</v>
      </c>
    </row>
    <row r="449" spans="1:16" s="78" customFormat="1" ht="16.5">
      <c r="A449" s="20">
        <v>424</v>
      </c>
      <c r="B449" s="20" t="s">
        <v>1206</v>
      </c>
      <c r="C449" s="21" t="s">
        <v>1319</v>
      </c>
      <c r="D449" s="22" t="s">
        <v>1320</v>
      </c>
      <c r="E449" s="83">
        <v>58</v>
      </c>
      <c r="F449" s="83">
        <v>60.348550295857997</v>
      </c>
      <c r="G449" s="84">
        <v>66.091585380116996</v>
      </c>
      <c r="H449" s="85"/>
      <c r="I449" s="83"/>
      <c r="J449" s="83">
        <v>115</v>
      </c>
      <c r="K449" s="102"/>
      <c r="L449" s="88" t="s">
        <v>279</v>
      </c>
      <c r="M449" s="31"/>
      <c r="N449" s="91"/>
      <c r="O449" s="89">
        <f>VLOOKUP(C449,'[1]站级商品进销存统计(2026-06-06)'!$B:$D,3,0)</f>
        <v>171</v>
      </c>
      <c r="P449" s="90">
        <f>VLOOKUP(C449,'[1]站级商品进销存统计(2026-06-06)'!$B:$F,5,0)</f>
        <v>66.091585380116996</v>
      </c>
    </row>
    <row r="450" spans="1:16" s="78" customFormat="1" ht="16.5">
      <c r="A450" s="20">
        <v>425</v>
      </c>
      <c r="B450" s="20" t="s">
        <v>1206</v>
      </c>
      <c r="C450" s="21" t="s">
        <v>1321</v>
      </c>
      <c r="D450" s="22" t="s">
        <v>1322</v>
      </c>
      <c r="E450" s="83">
        <v>59</v>
      </c>
      <c r="F450" s="83">
        <v>68.980429447852799</v>
      </c>
      <c r="G450" s="84">
        <v>77.970039788732393</v>
      </c>
      <c r="H450" s="85"/>
      <c r="I450" s="83"/>
      <c r="J450" s="83">
        <v>118</v>
      </c>
      <c r="K450" s="102"/>
      <c r="L450" s="88" t="s">
        <v>279</v>
      </c>
      <c r="M450" s="31"/>
      <c r="N450" s="91"/>
      <c r="O450" s="89">
        <f>VLOOKUP(C450,'[1]站级商品进销存统计(2026-06-06)'!$B:$D,3,0)</f>
        <v>284</v>
      </c>
      <c r="P450" s="90">
        <f>VLOOKUP(C450,'[1]站级商品进销存统计(2026-06-06)'!$B:$F,5,0)</f>
        <v>77.970039788732393</v>
      </c>
    </row>
    <row r="451" spans="1:16" s="78" customFormat="1" ht="18" customHeight="1">
      <c r="A451" s="20">
        <v>426</v>
      </c>
      <c r="B451" s="20" t="s">
        <v>1206</v>
      </c>
      <c r="C451" s="21" t="s">
        <v>1323</v>
      </c>
      <c r="D451" s="22" t="s">
        <v>1324</v>
      </c>
      <c r="E451" s="83"/>
      <c r="F451" s="83">
        <v>65.125161290322595</v>
      </c>
      <c r="G451" s="84">
        <v>73.591814999999997</v>
      </c>
      <c r="H451" s="85"/>
      <c r="I451" s="83"/>
      <c r="J451" s="83">
        <v>115</v>
      </c>
      <c r="K451" s="102"/>
      <c r="L451" s="88" t="s">
        <v>279</v>
      </c>
      <c r="M451" s="31"/>
      <c r="N451" s="91"/>
      <c r="O451" s="89">
        <f>VLOOKUP(C451,'[1]站级商品进销存统计(2026-06-06)'!$B:$D,3,0)</f>
        <v>20</v>
      </c>
      <c r="P451" s="90">
        <f>VLOOKUP(C451,'[1]站级商品进销存统计(2026-06-06)'!$B:$F,5,0)</f>
        <v>73.591814999999997</v>
      </c>
    </row>
    <row r="452" spans="1:16" s="78" customFormat="1" ht="18" customHeight="1">
      <c r="A452" s="20">
        <v>427</v>
      </c>
      <c r="B452" s="20" t="s">
        <v>1206</v>
      </c>
      <c r="C452" s="21" t="s">
        <v>1325</v>
      </c>
      <c r="D452" s="22" t="s">
        <v>1326</v>
      </c>
      <c r="E452" s="83"/>
      <c r="F452" s="83">
        <v>30.1603707742639</v>
      </c>
      <c r="G452" s="84">
        <v>33.972803601694899</v>
      </c>
      <c r="H452" s="85"/>
      <c r="I452" s="83"/>
      <c r="J452" s="83">
        <v>65</v>
      </c>
      <c r="K452" s="102"/>
      <c r="L452" s="88" t="s">
        <v>279</v>
      </c>
      <c r="M452" s="31"/>
      <c r="N452" s="91"/>
      <c r="O452" s="89">
        <f>VLOOKUP(C452,'[1]站级商品进销存统计(2026-06-06)'!$B:$D,3,0)</f>
        <v>472</v>
      </c>
      <c r="P452" s="90">
        <f>VLOOKUP(C452,'[1]站级商品进销存统计(2026-06-06)'!$B:$F,5,0)</f>
        <v>33.972803601694899</v>
      </c>
    </row>
    <row r="453" spans="1:16" s="78" customFormat="1" ht="18" customHeight="1">
      <c r="A453" s="20">
        <v>428</v>
      </c>
      <c r="B453" s="20" t="s">
        <v>1206</v>
      </c>
      <c r="C453" s="21" t="s">
        <v>1327</v>
      </c>
      <c r="D453" s="22" t="s">
        <v>1328</v>
      </c>
      <c r="E453" s="83"/>
      <c r="F453" s="83">
        <v>28.980981500513899</v>
      </c>
      <c r="G453" s="84">
        <v>30.962353415637899</v>
      </c>
      <c r="H453" s="85"/>
      <c r="I453" s="83"/>
      <c r="J453" s="83">
        <v>65</v>
      </c>
      <c r="K453" s="102"/>
      <c r="L453" s="88" t="s">
        <v>279</v>
      </c>
      <c r="M453" s="31"/>
      <c r="N453" s="91"/>
      <c r="O453" s="89">
        <f>VLOOKUP(C453,'[1]站级商品进销存统计(2026-06-06)'!$B:$D,3,0)</f>
        <v>2430</v>
      </c>
      <c r="P453" s="90">
        <f>VLOOKUP(C453,'[1]站级商品进销存统计(2026-06-06)'!$B:$F,5,0)</f>
        <v>30.962353415637899</v>
      </c>
    </row>
    <row r="454" spans="1:16" s="78" customFormat="1" ht="18" customHeight="1">
      <c r="A454" s="20">
        <v>429</v>
      </c>
      <c r="B454" s="20" t="s">
        <v>1329</v>
      </c>
      <c r="C454" s="21" t="s">
        <v>279</v>
      </c>
      <c r="D454" s="51" t="s">
        <v>1330</v>
      </c>
      <c r="E454" s="30" t="s">
        <v>279</v>
      </c>
      <c r="F454" s="30" t="s">
        <v>279</v>
      </c>
      <c r="G454" s="30" t="s">
        <v>279</v>
      </c>
      <c r="H454" s="113"/>
      <c r="I454" s="30"/>
      <c r="J454" s="30" t="s">
        <v>279</v>
      </c>
      <c r="K454" s="102"/>
      <c r="L454" s="113"/>
      <c r="M454" s="31"/>
      <c r="N454" s="91" t="s">
        <v>513</v>
      </c>
      <c r="O454" s="89" t="e">
        <f>VLOOKUP(C454,'[1]站级商品进销存统计(2026-06-06)'!$B:$D,3,0)</f>
        <v>#N/A</v>
      </c>
      <c r="P454" s="90" t="e">
        <f>VLOOKUP(C454,'[1]站级商品进销存统计(2026-06-06)'!$B:$F,5,0)</f>
        <v>#N/A</v>
      </c>
    </row>
    <row r="455" spans="1:16" s="78" customFormat="1" ht="18" customHeight="1">
      <c r="A455" s="20">
        <v>430</v>
      </c>
      <c r="B455" s="20" t="s">
        <v>1331</v>
      </c>
      <c r="C455" s="21" t="s">
        <v>1332</v>
      </c>
      <c r="D455" s="22" t="s">
        <v>1333</v>
      </c>
      <c r="E455" s="83">
        <v>5.9</v>
      </c>
      <c r="F455" s="83">
        <f>E455/(1+L455)</f>
        <v>5.3636363636363598</v>
      </c>
      <c r="G455" s="84">
        <v>5.5782504854368904</v>
      </c>
      <c r="H455" s="85"/>
      <c r="I455" s="83"/>
      <c r="J455" s="83">
        <v>7.6</v>
      </c>
      <c r="K455" s="102"/>
      <c r="L455" s="88">
        <v>0.1</v>
      </c>
      <c r="M455" s="31"/>
      <c r="N455" s="91" t="s">
        <v>513</v>
      </c>
      <c r="O455" s="89">
        <f>VLOOKUP(C455,'[1]站级商品进销存统计(2026-06-06)'!$B:$D,3,0)</f>
        <v>103</v>
      </c>
      <c r="P455" s="90">
        <f>VLOOKUP(C455,'[1]站级商品进销存统计(2026-06-06)'!$B:$F,5,0)</f>
        <v>5.5782504854368904</v>
      </c>
    </row>
    <row r="456" spans="1:16" s="78" customFormat="1" ht="18" customHeight="1">
      <c r="A456" s="20">
        <v>431</v>
      </c>
      <c r="B456" s="20" t="s">
        <v>1331</v>
      </c>
      <c r="C456" s="21" t="s">
        <v>1334</v>
      </c>
      <c r="D456" s="22" t="s">
        <v>1335</v>
      </c>
      <c r="E456" s="83">
        <v>4.45</v>
      </c>
      <c r="F456" s="83">
        <f>E456/(1+L456)</f>
        <v>4.0454545454545396</v>
      </c>
      <c r="G456" s="84">
        <v>4.3122149253731301</v>
      </c>
      <c r="H456" s="85"/>
      <c r="I456" s="83"/>
      <c r="J456" s="83">
        <v>5.8</v>
      </c>
      <c r="K456" s="102"/>
      <c r="L456" s="88">
        <v>0.1</v>
      </c>
      <c r="M456" s="31"/>
      <c r="N456" s="91" t="s">
        <v>513</v>
      </c>
      <c r="O456" s="89">
        <f>VLOOKUP(C456,'[1]站级商品进销存统计(2026-06-06)'!$B:$D,3,0)</f>
        <v>134</v>
      </c>
      <c r="P456" s="90">
        <f>VLOOKUP(C456,'[1]站级商品进销存统计(2026-06-06)'!$B:$F,5,0)</f>
        <v>4.3122149253731301</v>
      </c>
    </row>
    <row r="457" spans="1:16" s="78" customFormat="1" ht="18" customHeight="1">
      <c r="A457" s="20">
        <v>432</v>
      </c>
      <c r="B457" s="20" t="s">
        <v>1331</v>
      </c>
      <c r="C457" s="21" t="s">
        <v>1336</v>
      </c>
      <c r="D457" s="22" t="s">
        <v>1337</v>
      </c>
      <c r="E457" s="83">
        <v>3.95</v>
      </c>
      <c r="F457" s="83">
        <f>E457/(1+L457)</f>
        <v>3.2916666666666701</v>
      </c>
      <c r="G457" s="83">
        <v>3.95</v>
      </c>
      <c r="H457" s="85"/>
      <c r="I457" s="83"/>
      <c r="J457" s="83">
        <v>6</v>
      </c>
      <c r="K457" s="102"/>
      <c r="L457" s="88">
        <v>0.2</v>
      </c>
      <c r="M457" s="31"/>
      <c r="N457" s="91" t="s">
        <v>458</v>
      </c>
      <c r="O457" s="89" t="e">
        <f>VLOOKUP(C457,'[1]站级商品进销存统计(2026-06-06)'!$B:$D,3,0)</f>
        <v>#N/A</v>
      </c>
      <c r="P457" s="90" t="e">
        <f>VLOOKUP(C457,'[1]站级商品进销存统计(2026-06-06)'!$B:$F,5,0)</f>
        <v>#N/A</v>
      </c>
    </row>
    <row r="458" spans="1:16" s="78" customFormat="1" ht="18" customHeight="1">
      <c r="A458" s="20">
        <v>433</v>
      </c>
      <c r="B458" s="20" t="s">
        <v>1331</v>
      </c>
      <c r="C458" s="21" t="s">
        <v>1338</v>
      </c>
      <c r="D458" s="22" t="s">
        <v>1339</v>
      </c>
      <c r="E458" s="83">
        <v>3.95</v>
      </c>
      <c r="F458" s="83">
        <f>E458/(1+L458)</f>
        <v>3.2916666666666701</v>
      </c>
      <c r="G458" s="83">
        <v>3.95</v>
      </c>
      <c r="H458" s="85"/>
      <c r="I458" s="83"/>
      <c r="J458" s="83">
        <v>6</v>
      </c>
      <c r="K458" s="102"/>
      <c r="L458" s="88">
        <v>0.2</v>
      </c>
      <c r="M458" s="31"/>
      <c r="N458" s="91" t="s">
        <v>458</v>
      </c>
      <c r="O458" s="89" t="e">
        <f>VLOOKUP(C458,'[1]站级商品进销存统计(2026-06-06)'!$B:$D,3,0)</f>
        <v>#N/A</v>
      </c>
      <c r="P458" s="90" t="e">
        <f>VLOOKUP(C458,'[1]站级商品进销存统计(2026-06-06)'!$B:$F,5,0)</f>
        <v>#N/A</v>
      </c>
    </row>
    <row r="459" spans="1:16" s="78" customFormat="1" ht="18" customHeight="1">
      <c r="A459" s="20">
        <v>434</v>
      </c>
      <c r="B459" s="20" t="s">
        <v>1331</v>
      </c>
      <c r="C459" s="21" t="s">
        <v>1340</v>
      </c>
      <c r="D459" s="22" t="s">
        <v>1341</v>
      </c>
      <c r="E459" s="83">
        <v>3.95</v>
      </c>
      <c r="F459" s="83">
        <f>E459/(1+L459)</f>
        <v>3.2916666666666701</v>
      </c>
      <c r="G459" s="83">
        <v>3.95</v>
      </c>
      <c r="H459" s="85"/>
      <c r="I459" s="83"/>
      <c r="J459" s="83">
        <v>6</v>
      </c>
      <c r="K459" s="102"/>
      <c r="L459" s="88">
        <v>0.2</v>
      </c>
      <c r="M459" s="31"/>
      <c r="N459" s="91" t="s">
        <v>458</v>
      </c>
      <c r="O459" s="89" t="e">
        <f>VLOOKUP(C459,'[1]站级商品进销存统计(2026-06-06)'!$B:$D,3,0)</f>
        <v>#N/A</v>
      </c>
      <c r="P459" s="90" t="e">
        <f>VLOOKUP(C459,'[1]站级商品进销存统计(2026-06-06)'!$B:$F,5,0)</f>
        <v>#N/A</v>
      </c>
    </row>
    <row r="460" spans="1:16" s="78" customFormat="1" ht="18" customHeight="1">
      <c r="A460" s="20">
        <v>435</v>
      </c>
      <c r="B460" s="20" t="s">
        <v>1331</v>
      </c>
      <c r="C460" s="21" t="s">
        <v>1342</v>
      </c>
      <c r="D460" s="22" t="s">
        <v>1343</v>
      </c>
      <c r="E460" s="83">
        <v>16</v>
      </c>
      <c r="F460" s="83">
        <v>16</v>
      </c>
      <c r="G460" s="84">
        <v>15.650293795620399</v>
      </c>
      <c r="H460" s="85"/>
      <c r="I460" s="83"/>
      <c r="J460" s="83">
        <v>24.9</v>
      </c>
      <c r="K460" s="102"/>
      <c r="L460" s="88" t="s">
        <v>279</v>
      </c>
      <c r="M460" s="31"/>
      <c r="N460" s="91" t="s">
        <v>647</v>
      </c>
      <c r="O460" s="89">
        <f>VLOOKUP(C460,'[1]站级商品进销存统计(2026-06-06)'!$B:$D,3,0)</f>
        <v>274</v>
      </c>
      <c r="P460" s="90">
        <f>VLOOKUP(C460,'[1]站级商品进销存统计(2026-06-06)'!$B:$F,5,0)</f>
        <v>15.650293795620399</v>
      </c>
    </row>
    <row r="461" spans="1:16" s="78" customFormat="1" ht="18" customHeight="1">
      <c r="A461" s="20">
        <v>436</v>
      </c>
      <c r="B461" s="20" t="s">
        <v>1331</v>
      </c>
      <c r="C461" s="21" t="s">
        <v>1344</v>
      </c>
      <c r="D461" s="22" t="s">
        <v>1345</v>
      </c>
      <c r="E461" s="83">
        <v>9.5</v>
      </c>
      <c r="F461" s="83">
        <v>9.5</v>
      </c>
      <c r="G461" s="84">
        <v>9.5459543956043902</v>
      </c>
      <c r="H461" s="85"/>
      <c r="I461" s="83"/>
      <c r="J461" s="83">
        <v>16</v>
      </c>
      <c r="K461" s="102"/>
      <c r="L461" s="88" t="s">
        <v>279</v>
      </c>
      <c r="M461" s="31"/>
      <c r="N461" s="91" t="s">
        <v>647</v>
      </c>
      <c r="O461" s="89">
        <f>VLOOKUP(C461,'[1]站级商品进销存统计(2026-06-06)'!$B:$D,3,0)</f>
        <v>1638</v>
      </c>
      <c r="P461" s="90">
        <f>VLOOKUP(C461,'[1]站级商品进销存统计(2026-06-06)'!$B:$F,5,0)</f>
        <v>9.5459543956043902</v>
      </c>
    </row>
    <row r="462" spans="1:16" s="78" customFormat="1" ht="18" customHeight="1">
      <c r="A462" s="20">
        <v>437</v>
      </c>
      <c r="B462" s="20" t="s">
        <v>1331</v>
      </c>
      <c r="C462" s="21" t="s">
        <v>1346</v>
      </c>
      <c r="D462" s="22" t="s">
        <v>1347</v>
      </c>
      <c r="E462" s="83">
        <v>12</v>
      </c>
      <c r="F462" s="83">
        <v>12</v>
      </c>
      <c r="G462" s="84">
        <v>12.071960846343501</v>
      </c>
      <c r="H462" s="85"/>
      <c r="I462" s="83"/>
      <c r="J462" s="83">
        <v>20</v>
      </c>
      <c r="K462" s="102"/>
      <c r="L462" s="88" t="s">
        <v>279</v>
      </c>
      <c r="M462" s="31"/>
      <c r="N462" s="91" t="s">
        <v>647</v>
      </c>
      <c r="O462" s="89">
        <f>VLOOKUP(C462,'[1]站级商品进销存统计(2026-06-06)'!$B:$D,3,0)</f>
        <v>2434</v>
      </c>
      <c r="P462" s="90">
        <f>VLOOKUP(C462,'[1]站级商品进销存统计(2026-06-06)'!$B:$F,5,0)</f>
        <v>12.071960846343501</v>
      </c>
    </row>
    <row r="463" spans="1:16" s="78" customFormat="1" ht="18" customHeight="1">
      <c r="A463" s="20">
        <v>438</v>
      </c>
      <c r="B463" s="20" t="s">
        <v>1331</v>
      </c>
      <c r="C463" s="21" t="s">
        <v>1348</v>
      </c>
      <c r="D463" s="22" t="s">
        <v>1349</v>
      </c>
      <c r="E463" s="83">
        <v>16</v>
      </c>
      <c r="F463" s="83">
        <v>16</v>
      </c>
      <c r="G463" s="84">
        <v>15.687573287671199</v>
      </c>
      <c r="H463" s="85"/>
      <c r="I463" s="83"/>
      <c r="J463" s="83">
        <v>24.9</v>
      </c>
      <c r="K463" s="102"/>
      <c r="L463" s="88" t="s">
        <v>279</v>
      </c>
      <c r="M463" s="31"/>
      <c r="N463" s="91" t="s">
        <v>647</v>
      </c>
      <c r="O463" s="89">
        <f>VLOOKUP(C463,'[1]站级商品进销存统计(2026-06-06)'!$B:$D,3,0)</f>
        <v>292</v>
      </c>
      <c r="P463" s="90">
        <f>VLOOKUP(C463,'[1]站级商品进销存统计(2026-06-06)'!$B:$F,5,0)</f>
        <v>15.687573287671199</v>
      </c>
    </row>
    <row r="464" spans="1:16" s="78" customFormat="1" ht="18" customHeight="1">
      <c r="A464" s="20">
        <v>439</v>
      </c>
      <c r="B464" s="20" t="s">
        <v>1331</v>
      </c>
      <c r="C464" s="21" t="s">
        <v>1350</v>
      </c>
      <c r="D464" s="22" t="s">
        <v>1351</v>
      </c>
      <c r="E464" s="83">
        <v>12</v>
      </c>
      <c r="F464" s="83">
        <v>12</v>
      </c>
      <c r="G464" s="84">
        <v>12.042283792207799</v>
      </c>
      <c r="H464" s="85"/>
      <c r="I464" s="83"/>
      <c r="J464" s="83">
        <v>20</v>
      </c>
      <c r="K464" s="102"/>
      <c r="L464" s="88" t="s">
        <v>279</v>
      </c>
      <c r="M464" s="31"/>
      <c r="N464" s="91" t="s">
        <v>647</v>
      </c>
      <c r="O464" s="89">
        <f>VLOOKUP(C464,'[1]站级商品进销存统计(2026-06-06)'!$B:$D,3,0)</f>
        <v>1925</v>
      </c>
      <c r="P464" s="90">
        <f>VLOOKUP(C464,'[1]站级商品进销存统计(2026-06-06)'!$B:$F,5,0)</f>
        <v>12.042283792207799</v>
      </c>
    </row>
    <row r="465" spans="1:16" s="78" customFormat="1" ht="18" customHeight="1">
      <c r="A465" s="20">
        <v>440</v>
      </c>
      <c r="B465" s="20" t="s">
        <v>1331</v>
      </c>
      <c r="C465" s="21" t="s">
        <v>279</v>
      </c>
      <c r="D465" s="22" t="s">
        <v>1352</v>
      </c>
      <c r="E465" s="23">
        <v>28</v>
      </c>
      <c r="F465" s="23">
        <v>18</v>
      </c>
      <c r="G465" s="23">
        <v>27</v>
      </c>
      <c r="H465" s="94">
        <v>1</v>
      </c>
      <c r="I465" s="23">
        <v>29.9</v>
      </c>
      <c r="J465" s="23">
        <v>44.9</v>
      </c>
      <c r="K465" s="102">
        <f>(I465-H465*G465)/I465</f>
        <v>9.6989966555183896E-2</v>
      </c>
      <c r="L465" s="109" t="s">
        <v>279</v>
      </c>
      <c r="M465" s="31" t="s">
        <v>1353</v>
      </c>
      <c r="N465" s="101" t="s">
        <v>647</v>
      </c>
      <c r="O465" s="89" t="e">
        <f>VLOOKUP(C465,'[1]站级商品进销存统计(2026-06-06)'!$B:$D,3,0)</f>
        <v>#N/A</v>
      </c>
      <c r="P465" s="90" t="e">
        <f>VLOOKUP(C465,'[1]站级商品进销存统计(2026-06-06)'!$B:$F,5,0)</f>
        <v>#N/A</v>
      </c>
    </row>
    <row r="466" spans="1:16" s="78" customFormat="1" ht="18" customHeight="1">
      <c r="A466" s="20">
        <v>441</v>
      </c>
      <c r="B466" s="20" t="s">
        <v>1331</v>
      </c>
      <c r="C466" s="21" t="s">
        <v>1354</v>
      </c>
      <c r="D466" s="22" t="s">
        <v>1355</v>
      </c>
      <c r="E466" s="83">
        <v>3.15</v>
      </c>
      <c r="F466" s="23">
        <f t="shared" ref="F466:F514" si="10">E466/(1+L466)</f>
        <v>2.8125</v>
      </c>
      <c r="G466" s="84">
        <v>3.1998020954998299</v>
      </c>
      <c r="H466" s="85"/>
      <c r="I466" s="83"/>
      <c r="J466" s="83">
        <v>5</v>
      </c>
      <c r="K466" s="102"/>
      <c r="L466" s="88">
        <v>0.12</v>
      </c>
      <c r="M466" s="96"/>
      <c r="N466" s="91"/>
      <c r="O466" s="89">
        <f>VLOOKUP(C466,'[1]站级商品进销存统计(2026-06-06)'!$B:$D,3,0)</f>
        <v>2911</v>
      </c>
      <c r="P466" s="90">
        <f>VLOOKUP(C466,'[1]站级商品进销存统计(2026-06-06)'!$B:$F,5,0)</f>
        <v>3.1998020954998299</v>
      </c>
    </row>
    <row r="467" spans="1:16" s="78" customFormat="1" ht="18" customHeight="1">
      <c r="A467" s="20">
        <v>442</v>
      </c>
      <c r="B467" s="20" t="s">
        <v>1331</v>
      </c>
      <c r="C467" s="21" t="s">
        <v>1356</v>
      </c>
      <c r="D467" s="22" t="s">
        <v>1357</v>
      </c>
      <c r="E467" s="83">
        <v>3.15</v>
      </c>
      <c r="F467" s="23">
        <f t="shared" si="10"/>
        <v>2.8125</v>
      </c>
      <c r="G467" s="84">
        <v>3.20068791381278</v>
      </c>
      <c r="H467" s="85"/>
      <c r="I467" s="83"/>
      <c r="J467" s="83">
        <v>5</v>
      </c>
      <c r="K467" s="102"/>
      <c r="L467" s="88">
        <v>0.12</v>
      </c>
      <c r="M467" s="96"/>
      <c r="N467" s="91"/>
      <c r="O467" s="89">
        <f>VLOOKUP(C467,'[1]站级商品进销存统计(2026-06-06)'!$B:$D,3,0)</f>
        <v>7008</v>
      </c>
      <c r="P467" s="90">
        <f>VLOOKUP(C467,'[1]站级商品进销存统计(2026-06-06)'!$B:$F,5,0)</f>
        <v>3.20068791381278</v>
      </c>
    </row>
    <row r="468" spans="1:16" s="78" customFormat="1" ht="18" customHeight="1">
      <c r="A468" s="20">
        <v>443</v>
      </c>
      <c r="B468" s="20" t="s">
        <v>1331</v>
      </c>
      <c r="C468" s="21" t="s">
        <v>1358</v>
      </c>
      <c r="D468" s="22" t="s">
        <v>1359</v>
      </c>
      <c r="E468" s="83">
        <v>3.15</v>
      </c>
      <c r="F468" s="23">
        <f t="shared" si="10"/>
        <v>2.8125</v>
      </c>
      <c r="G468" s="84">
        <v>3.1958993998499601</v>
      </c>
      <c r="H468" s="85"/>
      <c r="I468" s="83"/>
      <c r="J468" s="83">
        <v>5</v>
      </c>
      <c r="K468" s="102"/>
      <c r="L468" s="88">
        <v>0.12</v>
      </c>
      <c r="M468" s="96"/>
      <c r="N468" s="91"/>
      <c r="O468" s="89">
        <f>VLOOKUP(C468,'[1]站级商品进销存统计(2026-06-06)'!$B:$D,3,0)</f>
        <v>2666</v>
      </c>
      <c r="P468" s="90">
        <f>VLOOKUP(C468,'[1]站级商品进销存统计(2026-06-06)'!$B:$F,5,0)</f>
        <v>3.1958993998499601</v>
      </c>
    </row>
    <row r="469" spans="1:16" s="78" customFormat="1" ht="18" customHeight="1">
      <c r="A469" s="20">
        <v>444</v>
      </c>
      <c r="B469" s="20" t="s">
        <v>1331</v>
      </c>
      <c r="C469" s="21" t="s">
        <v>1360</v>
      </c>
      <c r="D469" s="22" t="s">
        <v>1361</v>
      </c>
      <c r="E469" s="83">
        <v>3.5</v>
      </c>
      <c r="F469" s="23">
        <f t="shared" si="10"/>
        <v>3.125</v>
      </c>
      <c r="G469" s="84">
        <v>3.5645680063880798</v>
      </c>
      <c r="H469" s="85"/>
      <c r="I469" s="83"/>
      <c r="J469" s="83">
        <v>5</v>
      </c>
      <c r="K469" s="102"/>
      <c r="L469" s="88">
        <v>0.12</v>
      </c>
      <c r="M469" s="96"/>
      <c r="N469" s="91"/>
      <c r="O469" s="89">
        <f>VLOOKUP(C469,'[1]站级商品进销存统计(2026-06-06)'!$B:$D,3,0)</f>
        <v>3757</v>
      </c>
      <c r="P469" s="90">
        <f>VLOOKUP(C469,'[1]站级商品进销存统计(2026-06-06)'!$B:$F,5,0)</f>
        <v>3.5645680063880798</v>
      </c>
    </row>
    <row r="470" spans="1:16" s="78" customFormat="1" ht="18" customHeight="1">
      <c r="A470" s="20">
        <v>445</v>
      </c>
      <c r="B470" s="20" t="s">
        <v>1331</v>
      </c>
      <c r="C470" s="21" t="s">
        <v>1362</v>
      </c>
      <c r="D470" s="22" t="s">
        <v>1363</v>
      </c>
      <c r="E470" s="83">
        <v>3.5</v>
      </c>
      <c r="F470" s="23">
        <f t="shared" si="10"/>
        <v>3.125</v>
      </c>
      <c r="G470" s="84">
        <v>3.5645930019439001</v>
      </c>
      <c r="H470" s="85"/>
      <c r="I470" s="83"/>
      <c r="J470" s="83">
        <v>5</v>
      </c>
      <c r="K470" s="102"/>
      <c r="L470" s="88">
        <v>0.12</v>
      </c>
      <c r="M470" s="96"/>
      <c r="N470" s="91"/>
      <c r="O470" s="89">
        <f>VLOOKUP(C470,'[1]站级商品进销存统计(2026-06-06)'!$B:$D,3,0)</f>
        <v>3601</v>
      </c>
      <c r="P470" s="90">
        <f>VLOOKUP(C470,'[1]站级商品进销存统计(2026-06-06)'!$B:$F,5,0)</f>
        <v>3.5645930019439001</v>
      </c>
    </row>
    <row r="471" spans="1:16" s="78" customFormat="1" ht="18" customHeight="1">
      <c r="A471" s="20">
        <v>446</v>
      </c>
      <c r="B471" s="20" t="s">
        <v>1331</v>
      </c>
      <c r="C471" s="21" t="s">
        <v>1364</v>
      </c>
      <c r="D471" s="22" t="s">
        <v>1365</v>
      </c>
      <c r="E471" s="83">
        <v>3.5</v>
      </c>
      <c r="F471" s="23">
        <f t="shared" si="10"/>
        <v>3.125</v>
      </c>
      <c r="G471" s="84">
        <v>3.56563883299799</v>
      </c>
      <c r="H471" s="85"/>
      <c r="I471" s="83"/>
      <c r="J471" s="83">
        <v>5</v>
      </c>
      <c r="K471" s="102"/>
      <c r="L471" s="88">
        <v>0.12</v>
      </c>
      <c r="M471" s="96"/>
      <c r="N471" s="91"/>
      <c r="O471" s="89">
        <f>VLOOKUP(C471,'[1]站级商品进销存统计(2026-06-06)'!$B:$D,3,0)</f>
        <v>3976</v>
      </c>
      <c r="P471" s="90">
        <f>VLOOKUP(C471,'[1]站级商品进销存统计(2026-06-06)'!$B:$F,5,0)</f>
        <v>3.56563883299799</v>
      </c>
    </row>
    <row r="472" spans="1:16" s="78" customFormat="1" ht="18" customHeight="1">
      <c r="A472" s="20">
        <v>447</v>
      </c>
      <c r="B472" s="20" t="s">
        <v>1331</v>
      </c>
      <c r="C472" s="21" t="s">
        <v>1366</v>
      </c>
      <c r="D472" s="22" t="s">
        <v>1367</v>
      </c>
      <c r="E472" s="83">
        <v>3.5</v>
      </c>
      <c r="F472" s="23">
        <f t="shared" si="10"/>
        <v>3.125</v>
      </c>
      <c r="G472" s="84">
        <v>3.56854</v>
      </c>
      <c r="H472" s="85"/>
      <c r="I472" s="83"/>
      <c r="J472" s="83">
        <v>5</v>
      </c>
      <c r="K472" s="102"/>
      <c r="L472" s="88">
        <v>0.12</v>
      </c>
      <c r="M472" s="96"/>
      <c r="N472" s="91"/>
      <c r="O472" s="89">
        <f>VLOOKUP(C472,'[1]站级商品进销存统计(2026-06-06)'!$B:$D,3,0)</f>
        <v>2920</v>
      </c>
      <c r="P472" s="90">
        <f>VLOOKUP(C472,'[1]站级商品进销存统计(2026-06-06)'!$B:$F,5,0)</f>
        <v>3.56854</v>
      </c>
    </row>
    <row r="473" spans="1:16" s="78" customFormat="1" ht="18" customHeight="1">
      <c r="A473" s="20">
        <v>448</v>
      </c>
      <c r="B473" s="20" t="s">
        <v>1368</v>
      </c>
      <c r="C473" s="21" t="s">
        <v>1369</v>
      </c>
      <c r="D473" s="22" t="s">
        <v>1370</v>
      </c>
      <c r="E473" s="23">
        <v>13.2804</v>
      </c>
      <c r="F473" s="23">
        <f t="shared" si="10"/>
        <v>12.073090909090901</v>
      </c>
      <c r="G473" s="97">
        <v>12.4069020090732</v>
      </c>
      <c r="H473" s="30"/>
      <c r="I473" s="23"/>
      <c r="J473" s="23">
        <v>15.4</v>
      </c>
      <c r="K473" s="102"/>
      <c r="L473" s="95">
        <v>0.1</v>
      </c>
      <c r="M473" s="20"/>
      <c r="N473" s="91" t="s">
        <v>458</v>
      </c>
      <c r="O473" s="89">
        <f>VLOOKUP(C473,'[1]站级商品进销存统计(2026-06-06)'!$B:$D,3,0)</f>
        <v>1543</v>
      </c>
      <c r="P473" s="90">
        <f>VLOOKUP(C473,'[1]站级商品进销存统计(2026-06-06)'!$B:$F,5,0)</f>
        <v>12.4069020090732</v>
      </c>
    </row>
    <row r="474" spans="1:16" s="78" customFormat="1" ht="18" customHeight="1">
      <c r="A474" s="20">
        <v>449</v>
      </c>
      <c r="B474" s="20" t="s">
        <v>1368</v>
      </c>
      <c r="C474" s="21" t="s">
        <v>1371</v>
      </c>
      <c r="D474" s="22" t="s">
        <v>1372</v>
      </c>
      <c r="E474" s="23">
        <v>13.2804</v>
      </c>
      <c r="F474" s="23">
        <f t="shared" si="10"/>
        <v>12.073090909090901</v>
      </c>
      <c r="G474" s="97">
        <v>12.4341328703704</v>
      </c>
      <c r="H474" s="30"/>
      <c r="I474" s="23"/>
      <c r="J474" s="23">
        <v>15.4</v>
      </c>
      <c r="K474" s="102"/>
      <c r="L474" s="95">
        <v>0.1</v>
      </c>
      <c r="M474" s="20"/>
      <c r="N474" s="91" t="s">
        <v>458</v>
      </c>
      <c r="O474" s="89">
        <f>VLOOKUP(C474,'[1]站级商品进销存统计(2026-06-06)'!$B:$D,3,0)</f>
        <v>1512</v>
      </c>
      <c r="P474" s="90">
        <f>VLOOKUP(C474,'[1]站级商品进销存统计(2026-06-06)'!$B:$F,5,0)</f>
        <v>12.4341328703704</v>
      </c>
    </row>
    <row r="475" spans="1:16" ht="18" customHeight="1">
      <c r="A475" s="20">
        <v>450</v>
      </c>
      <c r="B475" s="20" t="s">
        <v>1368</v>
      </c>
      <c r="C475" s="21" t="s">
        <v>1373</v>
      </c>
      <c r="D475" s="22" t="s">
        <v>1374</v>
      </c>
      <c r="E475" s="23">
        <v>3.6821999999999999</v>
      </c>
      <c r="F475" s="23">
        <f t="shared" si="10"/>
        <v>3.0684999999999998</v>
      </c>
      <c r="G475" s="97">
        <v>2.95755892351275</v>
      </c>
      <c r="H475" s="30"/>
      <c r="I475" s="23"/>
      <c r="J475" s="23">
        <v>5</v>
      </c>
      <c r="K475" s="102"/>
      <c r="L475" s="95">
        <v>0.2</v>
      </c>
      <c r="M475" s="20"/>
      <c r="N475" s="91" t="s">
        <v>458</v>
      </c>
      <c r="O475" s="89">
        <f>VLOOKUP(C475,'[1]站级商品进销存统计(2026-06-06)'!$B:$D,3,0)</f>
        <v>2824</v>
      </c>
      <c r="P475" s="90">
        <f>VLOOKUP(C475,'[1]站级商品进销存统计(2026-06-06)'!$B:$F,5,0)</f>
        <v>2.95755892351275</v>
      </c>
    </row>
    <row r="476" spans="1:16" ht="18" customHeight="1">
      <c r="A476" s="20">
        <v>451</v>
      </c>
      <c r="B476" s="20" t="s">
        <v>1368</v>
      </c>
      <c r="C476" s="21" t="s">
        <v>1375</v>
      </c>
      <c r="D476" s="22" t="s">
        <v>1376</v>
      </c>
      <c r="E476" s="23">
        <v>3.6821999999999999</v>
      </c>
      <c r="F476" s="23">
        <f t="shared" si="10"/>
        <v>3.0684999999999998</v>
      </c>
      <c r="G476" s="97">
        <v>3.0783254545454501</v>
      </c>
      <c r="H476" s="30"/>
      <c r="I476" s="23"/>
      <c r="J476" s="23">
        <v>5</v>
      </c>
      <c r="K476" s="102"/>
      <c r="L476" s="95">
        <v>0.2</v>
      </c>
      <c r="M476" s="20"/>
      <c r="N476" s="91" t="s">
        <v>458</v>
      </c>
      <c r="O476" s="89">
        <f>VLOOKUP(C476,'[1]站级商品进销存统计(2026-06-06)'!$B:$D,3,0)</f>
        <v>2585</v>
      </c>
      <c r="P476" s="90">
        <f>VLOOKUP(C476,'[1]站级商品进销存统计(2026-06-06)'!$B:$F,5,0)</f>
        <v>3.0783254545454501</v>
      </c>
    </row>
    <row r="477" spans="1:16" ht="18" customHeight="1">
      <c r="A477" s="20">
        <v>452</v>
      </c>
      <c r="B477" s="20" t="s">
        <v>1368</v>
      </c>
      <c r="C477" s="21" t="s">
        <v>1377</v>
      </c>
      <c r="D477" s="22" t="s">
        <v>1378</v>
      </c>
      <c r="E477" s="23">
        <v>3.2027999999999999</v>
      </c>
      <c r="F477" s="23">
        <f t="shared" si="10"/>
        <v>2.9116363636363598</v>
      </c>
      <c r="G477" s="97">
        <v>2.7597897223863002</v>
      </c>
      <c r="H477" s="30"/>
      <c r="I477" s="23"/>
      <c r="J477" s="23">
        <v>4.5</v>
      </c>
      <c r="K477" s="102"/>
      <c r="L477" s="95">
        <v>0.1</v>
      </c>
      <c r="M477" s="20"/>
      <c r="N477" s="91" t="s">
        <v>458</v>
      </c>
      <c r="O477" s="89">
        <f>VLOOKUP(C477,'[1]站级商品进销存统计(2026-06-06)'!$B:$D,3,0)</f>
        <v>3386</v>
      </c>
      <c r="P477" s="90">
        <f>VLOOKUP(C477,'[1]站级商品进销存统计(2026-06-06)'!$B:$F,5,0)</f>
        <v>2.7597897223863002</v>
      </c>
    </row>
    <row r="478" spans="1:16" ht="18" customHeight="1">
      <c r="A478" s="20">
        <v>453</v>
      </c>
      <c r="B478" s="20" t="s">
        <v>1368</v>
      </c>
      <c r="C478" s="21" t="s">
        <v>1379</v>
      </c>
      <c r="D478" s="22" t="s">
        <v>1380</v>
      </c>
      <c r="E478" s="23">
        <v>3.2027999999999999</v>
      </c>
      <c r="F478" s="23">
        <f t="shared" si="10"/>
        <v>2.9116363636363598</v>
      </c>
      <c r="G478" s="97">
        <v>2.7683588480222099</v>
      </c>
      <c r="H478" s="30"/>
      <c r="I478" s="23"/>
      <c r="J478" s="23">
        <v>4.5</v>
      </c>
      <c r="K478" s="102"/>
      <c r="L478" s="95">
        <v>0.1</v>
      </c>
      <c r="M478" s="20"/>
      <c r="N478" s="91" t="s">
        <v>458</v>
      </c>
      <c r="O478" s="89">
        <f>VLOOKUP(C478,'[1]站级商品进销存统计(2026-06-06)'!$B:$D,3,0)</f>
        <v>4323</v>
      </c>
      <c r="P478" s="90">
        <f>VLOOKUP(C478,'[1]站级商品进销存统计(2026-06-06)'!$B:$F,5,0)</f>
        <v>2.7683588480222099</v>
      </c>
    </row>
    <row r="479" spans="1:16" ht="18" customHeight="1">
      <c r="A479" s="20">
        <v>454</v>
      </c>
      <c r="B479" s="20" t="s">
        <v>1368</v>
      </c>
      <c r="C479" s="21" t="s">
        <v>1381</v>
      </c>
      <c r="D479" s="22" t="s">
        <v>1382</v>
      </c>
      <c r="E479" s="23">
        <v>3.2027999999999999</v>
      </c>
      <c r="F479" s="23">
        <f t="shared" si="10"/>
        <v>2.9116363636363598</v>
      </c>
      <c r="G479" s="97">
        <v>2.64794866156788</v>
      </c>
      <c r="H479" s="30"/>
      <c r="I479" s="23"/>
      <c r="J479" s="23">
        <v>4.5</v>
      </c>
      <c r="K479" s="102"/>
      <c r="L479" s="95">
        <v>0.1</v>
      </c>
      <c r="M479" s="20"/>
      <c r="N479" s="91" t="s">
        <v>458</v>
      </c>
      <c r="O479" s="89">
        <f>VLOOKUP(C479,'[1]站级商品进销存统计(2026-06-06)'!$B:$D,3,0)</f>
        <v>1046</v>
      </c>
      <c r="P479" s="90">
        <f>VLOOKUP(C479,'[1]站级商品进销存统计(2026-06-06)'!$B:$F,5,0)</f>
        <v>2.64794866156788</v>
      </c>
    </row>
    <row r="480" spans="1:16" ht="18" customHeight="1">
      <c r="A480" s="20">
        <v>455</v>
      </c>
      <c r="B480" s="20" t="s">
        <v>1368</v>
      </c>
      <c r="C480" s="21" t="s">
        <v>1383</v>
      </c>
      <c r="D480" s="22" t="s">
        <v>1384</v>
      </c>
      <c r="E480" s="23">
        <v>3.2027999999999999</v>
      </c>
      <c r="F480" s="23">
        <f t="shared" si="10"/>
        <v>2.9116363636363598</v>
      </c>
      <c r="G480" s="97">
        <v>2.9100715751158202</v>
      </c>
      <c r="H480" s="30"/>
      <c r="I480" s="23"/>
      <c r="J480" s="23">
        <v>4.5</v>
      </c>
      <c r="K480" s="102"/>
      <c r="L480" s="95">
        <v>0.1</v>
      </c>
      <c r="M480" s="20"/>
      <c r="N480" s="91" t="s">
        <v>458</v>
      </c>
      <c r="O480" s="89">
        <f>VLOOKUP(C480,'[1]站级商品进销存统计(2026-06-06)'!$B:$D,3,0)</f>
        <v>6044</v>
      </c>
      <c r="P480" s="90">
        <f>VLOOKUP(C480,'[1]站级商品进销存统计(2026-06-06)'!$B:$F,5,0)</f>
        <v>2.9100715751158202</v>
      </c>
    </row>
    <row r="481" spans="1:16" ht="18" customHeight="1">
      <c r="A481" s="20">
        <v>456</v>
      </c>
      <c r="B481" s="20" t="s">
        <v>1368</v>
      </c>
      <c r="C481" s="21" t="s">
        <v>1385</v>
      </c>
      <c r="D481" s="22" t="s">
        <v>1386</v>
      </c>
      <c r="E481" s="23">
        <v>3.2027999999999999</v>
      </c>
      <c r="F481" s="23">
        <f t="shared" si="10"/>
        <v>2.9116363636363598</v>
      </c>
      <c r="G481" s="97">
        <v>2.79832775405636</v>
      </c>
      <c r="H481" s="30"/>
      <c r="I481" s="23"/>
      <c r="J481" s="23">
        <v>4.5</v>
      </c>
      <c r="K481" s="102"/>
      <c r="L481" s="95">
        <v>0.1</v>
      </c>
      <c r="M481" s="20"/>
      <c r="N481" s="91" t="s">
        <v>458</v>
      </c>
      <c r="O481" s="89">
        <f>VLOOKUP(C481,'[1]站级商品进销存统计(2026-06-06)'!$B:$D,3,0)</f>
        <v>2342</v>
      </c>
      <c r="P481" s="90">
        <f>VLOOKUP(C481,'[1]站级商品进销存统计(2026-06-06)'!$B:$F,5,0)</f>
        <v>2.79832775405636</v>
      </c>
    </row>
    <row r="482" spans="1:16" ht="18" customHeight="1">
      <c r="A482" s="20">
        <v>457</v>
      </c>
      <c r="B482" s="20" t="s">
        <v>1368</v>
      </c>
      <c r="C482" s="21" t="s">
        <v>1387</v>
      </c>
      <c r="D482" s="22" t="s">
        <v>1388</v>
      </c>
      <c r="E482" s="83">
        <v>6.74</v>
      </c>
      <c r="F482" s="23">
        <f t="shared" si="10"/>
        <v>6.1272727272727296</v>
      </c>
      <c r="G482" s="84">
        <v>6.8652742268041198</v>
      </c>
      <c r="H482" s="85"/>
      <c r="I482" s="83"/>
      <c r="J482" s="83">
        <v>9.5</v>
      </c>
      <c r="K482" s="102"/>
      <c r="L482" s="88">
        <v>0.1</v>
      </c>
      <c r="M482" s="31"/>
      <c r="N482" s="91" t="s">
        <v>458</v>
      </c>
      <c r="O482" s="89">
        <f>VLOOKUP(C482,'[1]站级商品进销存统计(2026-06-06)'!$B:$D,3,0)</f>
        <v>873</v>
      </c>
      <c r="P482" s="90">
        <f>VLOOKUP(C482,'[1]站级商品进销存统计(2026-06-06)'!$B:$F,5,0)</f>
        <v>6.8652742268041198</v>
      </c>
    </row>
    <row r="483" spans="1:16" ht="18" customHeight="1">
      <c r="A483" s="20">
        <v>458</v>
      </c>
      <c r="B483" s="20" t="s">
        <v>1368</v>
      </c>
      <c r="C483" s="21" t="s">
        <v>1389</v>
      </c>
      <c r="D483" s="22" t="s">
        <v>1390</v>
      </c>
      <c r="E483" s="83">
        <v>9.8699999999999992</v>
      </c>
      <c r="F483" s="23">
        <f t="shared" si="10"/>
        <v>8.9727272727272709</v>
      </c>
      <c r="G483" s="84">
        <v>10.0420139798489</v>
      </c>
      <c r="H483" s="85"/>
      <c r="I483" s="83"/>
      <c r="J483" s="83">
        <v>13.8</v>
      </c>
      <c r="K483" s="102"/>
      <c r="L483" s="88">
        <v>0.1</v>
      </c>
      <c r="M483" s="31"/>
      <c r="N483" s="91" t="s">
        <v>458</v>
      </c>
      <c r="O483" s="89">
        <f>VLOOKUP(C483,'[1]站级商品进销存统计(2026-06-06)'!$B:$D,3,0)</f>
        <v>1588</v>
      </c>
      <c r="P483" s="90">
        <f>VLOOKUP(C483,'[1]站级商品进销存统计(2026-06-06)'!$B:$F,5,0)</f>
        <v>10.0420139798489</v>
      </c>
    </row>
    <row r="484" spans="1:16" ht="18" customHeight="1">
      <c r="A484" s="20">
        <v>459</v>
      </c>
      <c r="B484" s="20" t="s">
        <v>1368</v>
      </c>
      <c r="C484" s="21" t="s">
        <v>1391</v>
      </c>
      <c r="D484" s="22" t="s">
        <v>1392</v>
      </c>
      <c r="E484" s="83">
        <v>6.79</v>
      </c>
      <c r="F484" s="23">
        <f t="shared" si="10"/>
        <v>6.1727272727272702</v>
      </c>
      <c r="G484" s="84">
        <v>6.9115953522149596</v>
      </c>
      <c r="H484" s="85"/>
      <c r="I484" s="83"/>
      <c r="J484" s="83">
        <v>10</v>
      </c>
      <c r="K484" s="102"/>
      <c r="L484" s="88">
        <v>0.1</v>
      </c>
      <c r="M484" s="31"/>
      <c r="N484" s="91" t="s">
        <v>458</v>
      </c>
      <c r="O484" s="89">
        <f>VLOOKUP(C484,'[1]站级商品进销存统计(2026-06-06)'!$B:$D,3,0)</f>
        <v>1377</v>
      </c>
      <c r="P484" s="90">
        <f>VLOOKUP(C484,'[1]站级商品进销存统计(2026-06-06)'!$B:$F,5,0)</f>
        <v>6.9115953522149596</v>
      </c>
    </row>
    <row r="485" spans="1:16" ht="18" customHeight="1">
      <c r="A485" s="20">
        <v>460</v>
      </c>
      <c r="B485" s="20" t="s">
        <v>1368</v>
      </c>
      <c r="C485" s="21" t="s">
        <v>1393</v>
      </c>
      <c r="D485" s="22" t="s">
        <v>1394</v>
      </c>
      <c r="E485" s="83">
        <v>6.79</v>
      </c>
      <c r="F485" s="23">
        <f t="shared" si="10"/>
        <v>6.1727272727272702</v>
      </c>
      <c r="G485" s="84">
        <v>6.9565962039045504</v>
      </c>
      <c r="H485" s="85"/>
      <c r="I485" s="83"/>
      <c r="J485" s="83">
        <v>10</v>
      </c>
      <c r="K485" s="102"/>
      <c r="L485" s="88">
        <v>0.1</v>
      </c>
      <c r="M485" s="31"/>
      <c r="N485" s="91" t="s">
        <v>458</v>
      </c>
      <c r="O485" s="89">
        <f>VLOOKUP(C485,'[1]站级商品进销存统计(2026-06-06)'!$B:$D,3,0)</f>
        <v>2766</v>
      </c>
      <c r="P485" s="90">
        <f>VLOOKUP(C485,'[1]站级商品进销存统计(2026-06-06)'!$B:$F,5,0)</f>
        <v>6.9565962039045504</v>
      </c>
    </row>
    <row r="486" spans="1:16" ht="18" customHeight="1">
      <c r="A486" s="20">
        <v>461</v>
      </c>
      <c r="B486" s="20" t="s">
        <v>1368</v>
      </c>
      <c r="C486" s="21" t="s">
        <v>1395</v>
      </c>
      <c r="D486" s="22" t="s">
        <v>1396</v>
      </c>
      <c r="E486" s="83">
        <v>7.05</v>
      </c>
      <c r="F486" s="23">
        <f t="shared" si="10"/>
        <v>6.4090909090909101</v>
      </c>
      <c r="G486" s="84">
        <v>7.1039205711519804</v>
      </c>
      <c r="H486" s="85"/>
      <c r="I486" s="83"/>
      <c r="J486" s="83">
        <v>9.5</v>
      </c>
      <c r="K486" s="102"/>
      <c r="L486" s="88">
        <v>0.1</v>
      </c>
      <c r="M486" s="31"/>
      <c r="N486" s="91" t="s">
        <v>458</v>
      </c>
      <c r="O486" s="89">
        <f>VLOOKUP(C486,'[1]站级商品进销存统计(2026-06-06)'!$B:$D,3,0)</f>
        <v>2066</v>
      </c>
      <c r="P486" s="90">
        <f>VLOOKUP(C486,'[1]站级商品进销存统计(2026-06-06)'!$B:$F,5,0)</f>
        <v>7.1039205711519804</v>
      </c>
    </row>
    <row r="487" spans="1:16" ht="18" customHeight="1">
      <c r="A487" s="20">
        <v>462</v>
      </c>
      <c r="B487" s="20" t="s">
        <v>1368</v>
      </c>
      <c r="C487" s="21" t="s">
        <v>1397</v>
      </c>
      <c r="D487" s="22" t="s">
        <v>1398</v>
      </c>
      <c r="E487" s="83">
        <v>18</v>
      </c>
      <c r="F487" s="83">
        <f t="shared" si="10"/>
        <v>18</v>
      </c>
      <c r="G487" s="84">
        <v>16.6618239631336</v>
      </c>
      <c r="H487" s="85"/>
      <c r="I487" s="83"/>
      <c r="J487" s="83">
        <v>24.5</v>
      </c>
      <c r="K487" s="102"/>
      <c r="L487" s="88"/>
      <c r="M487" s="31"/>
      <c r="N487" s="91" t="s">
        <v>513</v>
      </c>
      <c r="O487" s="89">
        <f>VLOOKUP(C487,'[1]站级商品进销存统计(2026-06-06)'!$B:$D,3,0)</f>
        <v>217</v>
      </c>
      <c r="P487" s="90">
        <f>VLOOKUP(C487,'[1]站级商品进销存统计(2026-06-06)'!$B:$F,5,0)</f>
        <v>16.6618239631336</v>
      </c>
    </row>
    <row r="488" spans="1:16" ht="18" customHeight="1">
      <c r="A488" s="20">
        <v>463</v>
      </c>
      <c r="B488" s="20" t="s">
        <v>1368</v>
      </c>
      <c r="C488" s="21" t="s">
        <v>1399</v>
      </c>
      <c r="D488" s="22" t="s">
        <v>1400</v>
      </c>
      <c r="E488" s="83">
        <v>18</v>
      </c>
      <c r="F488" s="83">
        <f t="shared" si="10"/>
        <v>18</v>
      </c>
      <c r="G488" s="84">
        <v>16.655956115107902</v>
      </c>
      <c r="H488" s="85"/>
      <c r="I488" s="83"/>
      <c r="J488" s="83">
        <v>24.5</v>
      </c>
      <c r="K488" s="102"/>
      <c r="L488" s="88"/>
      <c r="M488" s="31"/>
      <c r="N488" s="91" t="s">
        <v>513</v>
      </c>
      <c r="O488" s="89">
        <f>VLOOKUP(C488,'[1]站级商品进销存统计(2026-06-06)'!$B:$D,3,0)</f>
        <v>139</v>
      </c>
      <c r="P488" s="90">
        <f>VLOOKUP(C488,'[1]站级商品进销存统计(2026-06-06)'!$B:$F,5,0)</f>
        <v>16.655956115107902</v>
      </c>
    </row>
    <row r="489" spans="1:16" ht="18" customHeight="1">
      <c r="A489" s="20">
        <v>464</v>
      </c>
      <c r="B489" s="20" t="s">
        <v>1368</v>
      </c>
      <c r="C489" s="21" t="s">
        <v>1401</v>
      </c>
      <c r="D489" s="22" t="s">
        <v>1402</v>
      </c>
      <c r="E489" s="83">
        <v>18</v>
      </c>
      <c r="F489" s="83">
        <f t="shared" si="10"/>
        <v>18</v>
      </c>
      <c r="G489" s="84">
        <v>16.6978737588652</v>
      </c>
      <c r="H489" s="85"/>
      <c r="I489" s="83"/>
      <c r="J489" s="83">
        <v>24.5</v>
      </c>
      <c r="K489" s="102"/>
      <c r="L489" s="88"/>
      <c r="M489" s="31"/>
      <c r="N489" s="91" t="s">
        <v>513</v>
      </c>
      <c r="O489" s="89">
        <f>VLOOKUP(C489,'[1]站级商品进销存统计(2026-06-06)'!$B:$D,3,0)</f>
        <v>141</v>
      </c>
      <c r="P489" s="90">
        <f>VLOOKUP(C489,'[1]站级商品进销存统计(2026-06-06)'!$B:$F,5,0)</f>
        <v>16.6978737588652</v>
      </c>
    </row>
    <row r="490" spans="1:16" ht="18" customHeight="1">
      <c r="A490" s="20">
        <v>465</v>
      </c>
      <c r="B490" s="20" t="s">
        <v>1368</v>
      </c>
      <c r="C490" s="21" t="s">
        <v>1403</v>
      </c>
      <c r="D490" s="22" t="s">
        <v>1404</v>
      </c>
      <c r="E490" s="83">
        <v>6.74</v>
      </c>
      <c r="F490" s="83">
        <f t="shared" si="10"/>
        <v>6.1272727272727296</v>
      </c>
      <c r="G490" s="84">
        <v>6.9107622370266499</v>
      </c>
      <c r="H490" s="85"/>
      <c r="I490" s="83"/>
      <c r="J490" s="83">
        <v>9.5</v>
      </c>
      <c r="K490" s="102"/>
      <c r="L490" s="88">
        <v>0.1</v>
      </c>
      <c r="M490" s="31"/>
      <c r="N490" s="91"/>
      <c r="O490" s="89">
        <f>VLOOKUP(C490,'[1]站级商品进销存统计(2026-06-06)'!$B:$D,3,0)</f>
        <v>2852</v>
      </c>
      <c r="P490" s="90">
        <f>VLOOKUP(C490,'[1]站级商品进销存统计(2026-06-06)'!$B:$F,5,0)</f>
        <v>6.9107622370266499</v>
      </c>
    </row>
    <row r="491" spans="1:16" ht="18" customHeight="1">
      <c r="A491" s="20">
        <v>466</v>
      </c>
      <c r="B491" s="20" t="s">
        <v>1368</v>
      </c>
      <c r="C491" s="21" t="s">
        <v>1405</v>
      </c>
      <c r="D491" s="22" t="s">
        <v>1406</v>
      </c>
      <c r="E491" s="83">
        <v>3.41</v>
      </c>
      <c r="F491" s="83">
        <f t="shared" si="10"/>
        <v>3.1</v>
      </c>
      <c r="G491" s="84">
        <v>3.5028166700466401</v>
      </c>
      <c r="H491" s="85"/>
      <c r="I491" s="83"/>
      <c r="J491" s="83">
        <v>5.7</v>
      </c>
      <c r="K491" s="102"/>
      <c r="L491" s="88">
        <v>0.1</v>
      </c>
      <c r="M491" s="31"/>
      <c r="N491" s="91"/>
      <c r="O491" s="89">
        <f>VLOOKUP(C491,'[1]站级商品进销存统计(2026-06-06)'!$B:$D,3,0)</f>
        <v>4931</v>
      </c>
      <c r="P491" s="90">
        <f>VLOOKUP(C491,'[1]站级商品进销存统计(2026-06-06)'!$B:$F,5,0)</f>
        <v>3.5028166700466401</v>
      </c>
    </row>
    <row r="492" spans="1:16" ht="18" customHeight="1">
      <c r="A492" s="20">
        <v>467</v>
      </c>
      <c r="B492" s="20" t="s">
        <v>1368</v>
      </c>
      <c r="C492" s="21" t="s">
        <v>1407</v>
      </c>
      <c r="D492" s="22" t="s">
        <v>1408</v>
      </c>
      <c r="E492" s="83">
        <v>10.199999999999999</v>
      </c>
      <c r="F492" s="83">
        <f t="shared" si="10"/>
        <v>9.2727272727272698</v>
      </c>
      <c r="G492" s="84">
        <v>10.443880203361701</v>
      </c>
      <c r="H492" s="85"/>
      <c r="I492" s="83"/>
      <c r="J492" s="83">
        <v>13.8</v>
      </c>
      <c r="K492" s="102"/>
      <c r="L492" s="88">
        <v>0.1</v>
      </c>
      <c r="M492" s="31"/>
      <c r="N492" s="91"/>
      <c r="O492" s="89">
        <f>VLOOKUP(C492,'[1]站级商品进销存统计(2026-06-06)'!$B:$D,3,0)</f>
        <v>4819</v>
      </c>
      <c r="P492" s="90">
        <f>VLOOKUP(C492,'[1]站级商品进销存统计(2026-06-06)'!$B:$F,5,0)</f>
        <v>10.443880203361701</v>
      </c>
    </row>
    <row r="493" spans="1:16" ht="18" customHeight="1">
      <c r="A493" s="20">
        <v>468</v>
      </c>
      <c r="B493" s="20" t="s">
        <v>1368</v>
      </c>
      <c r="C493" s="21" t="s">
        <v>1409</v>
      </c>
      <c r="D493" s="22" t="s">
        <v>1410</v>
      </c>
      <c r="E493" s="83">
        <v>10.199999999999999</v>
      </c>
      <c r="F493" s="83">
        <f t="shared" si="10"/>
        <v>9.2727272727272698</v>
      </c>
      <c r="G493" s="84">
        <v>10.437198769008001</v>
      </c>
      <c r="H493" s="85"/>
      <c r="I493" s="83"/>
      <c r="J493" s="83">
        <v>13.8</v>
      </c>
      <c r="K493" s="102"/>
      <c r="L493" s="88">
        <v>0.1</v>
      </c>
      <c r="M493" s="31"/>
      <c r="N493" s="91"/>
      <c r="O493" s="89">
        <f>VLOOKUP(C493,'[1]站级商品进销存统计(2026-06-06)'!$B:$D,3,0)</f>
        <v>5524</v>
      </c>
      <c r="P493" s="90">
        <f>VLOOKUP(C493,'[1]站级商品进销存统计(2026-06-06)'!$B:$F,5,0)</f>
        <v>10.437198769008001</v>
      </c>
    </row>
    <row r="494" spans="1:16" ht="18" customHeight="1">
      <c r="A494" s="20">
        <v>469</v>
      </c>
      <c r="B494" s="20" t="s">
        <v>1368</v>
      </c>
      <c r="C494" s="21" t="s">
        <v>1411</v>
      </c>
      <c r="D494" s="22" t="s">
        <v>1412</v>
      </c>
      <c r="E494" s="83">
        <v>10.199999999999999</v>
      </c>
      <c r="F494" s="83">
        <f t="shared" si="10"/>
        <v>9.2727272727272698</v>
      </c>
      <c r="G494" s="84">
        <v>10.4557490537634</v>
      </c>
      <c r="H494" s="85"/>
      <c r="I494" s="83"/>
      <c r="J494" s="83">
        <v>13.8</v>
      </c>
      <c r="K494" s="102"/>
      <c r="L494" s="88">
        <v>0.1</v>
      </c>
      <c r="M494" s="31"/>
      <c r="N494" s="91"/>
      <c r="O494" s="89">
        <f>VLOOKUP(C494,'[1]站级商品进销存统计(2026-06-06)'!$B:$D,3,0)</f>
        <v>4650</v>
      </c>
      <c r="P494" s="90">
        <f>VLOOKUP(C494,'[1]站级商品进销存统计(2026-06-06)'!$B:$F,5,0)</f>
        <v>10.4557490537634</v>
      </c>
    </row>
    <row r="495" spans="1:16" ht="18" customHeight="1">
      <c r="A495" s="20">
        <v>470</v>
      </c>
      <c r="B495" s="20" t="s">
        <v>1368</v>
      </c>
      <c r="C495" s="21" t="s">
        <v>1413</v>
      </c>
      <c r="D495" s="22" t="s">
        <v>1414</v>
      </c>
      <c r="E495" s="23">
        <v>3.8759999999999999</v>
      </c>
      <c r="F495" s="23">
        <f t="shared" si="10"/>
        <v>3.5236363636363599</v>
      </c>
      <c r="G495" s="97">
        <v>2.9507931399631699</v>
      </c>
      <c r="H495" s="30"/>
      <c r="I495" s="23"/>
      <c r="J495" s="23">
        <v>5</v>
      </c>
      <c r="K495" s="102"/>
      <c r="L495" s="95">
        <v>0.1</v>
      </c>
      <c r="M495" s="20"/>
      <c r="N495" s="91" t="s">
        <v>458</v>
      </c>
      <c r="O495" s="89">
        <f>VLOOKUP(C495,'[1]站级商品进销存统计(2026-06-06)'!$B:$D,3,0)</f>
        <v>2172</v>
      </c>
      <c r="P495" s="90">
        <f>VLOOKUP(C495,'[1]站级商品进销存统计(2026-06-06)'!$B:$F,5,0)</f>
        <v>2.9507931399631699</v>
      </c>
    </row>
    <row r="496" spans="1:16" ht="18" customHeight="1">
      <c r="A496" s="20">
        <v>471</v>
      </c>
      <c r="B496" s="20" t="s">
        <v>1368</v>
      </c>
      <c r="C496" s="21" t="s">
        <v>1415</v>
      </c>
      <c r="D496" s="22" t="s">
        <v>1416</v>
      </c>
      <c r="E496" s="23">
        <v>3.8759999999999999</v>
      </c>
      <c r="F496" s="23">
        <f t="shared" si="10"/>
        <v>3.5236363636363599</v>
      </c>
      <c r="G496" s="97">
        <v>3.7044342450765901</v>
      </c>
      <c r="H496" s="30"/>
      <c r="I496" s="23"/>
      <c r="J496" s="23">
        <v>5</v>
      </c>
      <c r="K496" s="102"/>
      <c r="L496" s="95">
        <v>0.1</v>
      </c>
      <c r="M496" s="20"/>
      <c r="N496" s="91" t="s">
        <v>458</v>
      </c>
      <c r="O496" s="89">
        <f>VLOOKUP(C496,'[1]站级商品进销存统计(2026-06-06)'!$B:$D,3,0)</f>
        <v>2742</v>
      </c>
      <c r="P496" s="90">
        <f>VLOOKUP(C496,'[1]站级商品进销存统计(2026-06-06)'!$B:$F,5,0)</f>
        <v>3.7044342450765901</v>
      </c>
    </row>
    <row r="497" spans="1:16" ht="18" customHeight="1">
      <c r="A497" s="20">
        <v>472</v>
      </c>
      <c r="B497" s="20" t="s">
        <v>1368</v>
      </c>
      <c r="C497" s="21" t="s">
        <v>1417</v>
      </c>
      <c r="D497" s="22" t="s">
        <v>1418</v>
      </c>
      <c r="E497" s="23">
        <v>3.8759999999999999</v>
      </c>
      <c r="F497" s="23">
        <f t="shared" si="10"/>
        <v>3.5236363636363599</v>
      </c>
      <c r="G497" s="97">
        <v>3.7036759384893698</v>
      </c>
      <c r="H497" s="30"/>
      <c r="I497" s="23"/>
      <c r="J497" s="23">
        <v>5</v>
      </c>
      <c r="K497" s="102"/>
      <c r="L497" s="95">
        <v>0.1</v>
      </c>
      <c r="M497" s="20"/>
      <c r="N497" s="91" t="s">
        <v>458</v>
      </c>
      <c r="O497" s="89">
        <f>VLOOKUP(C497,'[1]站级商品进销存统计(2026-06-06)'!$B:$D,3,0)</f>
        <v>2211</v>
      </c>
      <c r="P497" s="90">
        <f>VLOOKUP(C497,'[1]站级商品进销存统计(2026-06-06)'!$B:$F,5,0)</f>
        <v>3.7036759384893698</v>
      </c>
    </row>
    <row r="498" spans="1:16" ht="18" customHeight="1">
      <c r="A498" s="20">
        <v>473</v>
      </c>
      <c r="B498" s="20" t="s">
        <v>1368</v>
      </c>
      <c r="C498" s="21" t="s">
        <v>1419</v>
      </c>
      <c r="D498" s="22" t="s">
        <v>1420</v>
      </c>
      <c r="E498" s="23">
        <v>7.6092000000000004</v>
      </c>
      <c r="F498" s="23">
        <f t="shared" si="10"/>
        <v>6.9174545454545404</v>
      </c>
      <c r="G498" s="97">
        <v>7.4266146478873196</v>
      </c>
      <c r="H498" s="30"/>
      <c r="I498" s="23"/>
      <c r="J498" s="23">
        <v>11</v>
      </c>
      <c r="K498" s="102"/>
      <c r="L498" s="95">
        <v>0.1</v>
      </c>
      <c r="M498" s="20"/>
      <c r="N498" s="91" t="s">
        <v>458</v>
      </c>
      <c r="O498" s="89">
        <f>VLOOKUP(C498,'[1]站级商品进销存统计(2026-06-06)'!$B:$D,3,0)</f>
        <v>7100</v>
      </c>
      <c r="P498" s="90">
        <f>VLOOKUP(C498,'[1]站级商品进销存统计(2026-06-06)'!$B:$F,5,0)</f>
        <v>7.4266146478873196</v>
      </c>
    </row>
    <row r="499" spans="1:16" ht="18" customHeight="1">
      <c r="A499" s="20">
        <v>474</v>
      </c>
      <c r="B499" s="20" t="s">
        <v>1368</v>
      </c>
      <c r="C499" s="21" t="s">
        <v>1421</v>
      </c>
      <c r="D499" s="22" t="s">
        <v>1422</v>
      </c>
      <c r="E499" s="23">
        <v>7.6092000000000004</v>
      </c>
      <c r="F499" s="23">
        <f t="shared" si="10"/>
        <v>6.9174545454545404</v>
      </c>
      <c r="G499" s="97">
        <v>7.3115981963927803</v>
      </c>
      <c r="H499" s="30"/>
      <c r="I499" s="23"/>
      <c r="J499" s="23">
        <v>11</v>
      </c>
      <c r="K499" s="102"/>
      <c r="L499" s="95">
        <v>0.1</v>
      </c>
      <c r="M499" s="20"/>
      <c r="N499" s="91" t="s">
        <v>458</v>
      </c>
      <c r="O499" s="89">
        <f>VLOOKUP(C499,'[1]站级商品进销存统计(2026-06-06)'!$B:$D,3,0)</f>
        <v>7485</v>
      </c>
      <c r="P499" s="90">
        <f>VLOOKUP(C499,'[1]站级商品进销存统计(2026-06-06)'!$B:$F,5,0)</f>
        <v>7.3115981963927803</v>
      </c>
    </row>
    <row r="500" spans="1:16" ht="18" customHeight="1">
      <c r="A500" s="20">
        <v>475</v>
      </c>
      <c r="B500" s="20" t="s">
        <v>1368</v>
      </c>
      <c r="C500" s="21" t="s">
        <v>1423</v>
      </c>
      <c r="D500" s="22" t="s">
        <v>1424</v>
      </c>
      <c r="E500" s="23">
        <v>7.6092000000000004</v>
      </c>
      <c r="F500" s="23">
        <f t="shared" si="10"/>
        <v>6.9174545454545404</v>
      </c>
      <c r="G500" s="97">
        <v>7.24983793390395</v>
      </c>
      <c r="H500" s="30"/>
      <c r="I500" s="23"/>
      <c r="J500" s="23">
        <v>11</v>
      </c>
      <c r="K500" s="102"/>
      <c r="L500" s="95">
        <v>0.1</v>
      </c>
      <c r="M500" s="20"/>
      <c r="N500" s="91" t="s">
        <v>458</v>
      </c>
      <c r="O500" s="89">
        <f>VLOOKUP(C500,'[1]站级商品进销存统计(2026-06-06)'!$B:$D,3,0)</f>
        <v>8412</v>
      </c>
      <c r="P500" s="90">
        <f>VLOOKUP(C500,'[1]站级商品进销存统计(2026-06-06)'!$B:$F,5,0)</f>
        <v>7.24983793390395</v>
      </c>
    </row>
    <row r="501" spans="1:16" ht="18" customHeight="1">
      <c r="A501" s="20">
        <v>476</v>
      </c>
      <c r="B501" s="20" t="s">
        <v>1368</v>
      </c>
      <c r="C501" s="21" t="s">
        <v>1425</v>
      </c>
      <c r="D501" s="22" t="s">
        <v>1426</v>
      </c>
      <c r="E501" s="23">
        <v>9.18</v>
      </c>
      <c r="F501" s="23">
        <f t="shared" si="10"/>
        <v>8.3454545454545404</v>
      </c>
      <c r="G501" s="97">
        <v>9.0483221955768691</v>
      </c>
      <c r="H501" s="30"/>
      <c r="I501" s="23"/>
      <c r="J501" s="23">
        <v>12.9</v>
      </c>
      <c r="K501" s="102"/>
      <c r="L501" s="95">
        <v>0.1</v>
      </c>
      <c r="M501" s="20"/>
      <c r="N501" s="91" t="s">
        <v>458</v>
      </c>
      <c r="O501" s="89">
        <f>VLOOKUP(C501,'[1]站级商品进销存统计(2026-06-06)'!$B:$D,3,0)</f>
        <v>3753</v>
      </c>
      <c r="P501" s="90">
        <f>VLOOKUP(C501,'[1]站级商品进销存统计(2026-06-06)'!$B:$F,5,0)</f>
        <v>9.0483221955768691</v>
      </c>
    </row>
    <row r="502" spans="1:16" ht="18" customHeight="1">
      <c r="A502" s="20">
        <v>477</v>
      </c>
      <c r="B502" s="20" t="s">
        <v>1368</v>
      </c>
      <c r="C502" s="21" t="s">
        <v>1427</v>
      </c>
      <c r="D502" s="22" t="s">
        <v>1428</v>
      </c>
      <c r="E502" s="23">
        <v>9.18</v>
      </c>
      <c r="F502" s="23">
        <f t="shared" si="10"/>
        <v>8.3454545454545404</v>
      </c>
      <c r="G502" s="97">
        <v>7.4952180844360399</v>
      </c>
      <c r="H502" s="30"/>
      <c r="I502" s="23"/>
      <c r="J502" s="23">
        <v>12.9</v>
      </c>
      <c r="K502" s="102"/>
      <c r="L502" s="95">
        <v>0.1</v>
      </c>
      <c r="M502" s="20"/>
      <c r="N502" s="91" t="s">
        <v>458</v>
      </c>
      <c r="O502" s="89">
        <f>VLOOKUP(C502,'[1]站级商品进销存统计(2026-06-06)'!$B:$D,3,0)</f>
        <v>1587</v>
      </c>
      <c r="P502" s="90">
        <f>VLOOKUP(C502,'[1]站级商品进销存统计(2026-06-06)'!$B:$F,5,0)</f>
        <v>7.4952180844360399</v>
      </c>
    </row>
    <row r="503" spans="1:16" ht="18" customHeight="1">
      <c r="A503" s="20">
        <v>478</v>
      </c>
      <c r="B503" s="20" t="s">
        <v>1368</v>
      </c>
      <c r="C503" s="21" t="s">
        <v>1429</v>
      </c>
      <c r="D503" s="22" t="s">
        <v>1430</v>
      </c>
      <c r="E503" s="23">
        <v>9.18</v>
      </c>
      <c r="F503" s="23">
        <f t="shared" si="10"/>
        <v>8.3454545454545404</v>
      </c>
      <c r="G503" s="97">
        <v>8.1863518891687708</v>
      </c>
      <c r="H503" s="30"/>
      <c r="I503" s="23"/>
      <c r="J503" s="23">
        <v>12.9</v>
      </c>
      <c r="K503" s="102"/>
      <c r="L503" s="95">
        <v>0.1</v>
      </c>
      <c r="M503" s="20"/>
      <c r="N503" s="91" t="s">
        <v>458</v>
      </c>
      <c r="O503" s="89">
        <f>VLOOKUP(C503,'[1]站级商品进销存统计(2026-06-06)'!$B:$D,3,0)</f>
        <v>2779</v>
      </c>
      <c r="P503" s="90">
        <f>VLOOKUP(C503,'[1]站级商品进销存统计(2026-06-06)'!$B:$F,5,0)</f>
        <v>8.1863518891687708</v>
      </c>
    </row>
    <row r="504" spans="1:16" ht="18" customHeight="1">
      <c r="A504" s="20">
        <v>479</v>
      </c>
      <c r="B504" s="20" t="s">
        <v>1368</v>
      </c>
      <c r="C504" s="21" t="s">
        <v>1431</v>
      </c>
      <c r="D504" s="22" t="s">
        <v>1432</v>
      </c>
      <c r="E504" s="23">
        <v>9.18</v>
      </c>
      <c r="F504" s="23">
        <f t="shared" si="10"/>
        <v>7.9826086956521696</v>
      </c>
      <c r="G504" s="97">
        <v>8.2794010555946507</v>
      </c>
      <c r="H504" s="30"/>
      <c r="I504" s="23"/>
      <c r="J504" s="23">
        <v>12.9</v>
      </c>
      <c r="K504" s="102"/>
      <c r="L504" s="95">
        <v>0.15</v>
      </c>
      <c r="M504" s="20"/>
      <c r="N504" s="91" t="s">
        <v>458</v>
      </c>
      <c r="O504" s="89">
        <f>VLOOKUP(C504,'[1]站级商品进销存统计(2026-06-06)'!$B:$D,3,0)</f>
        <v>4263</v>
      </c>
      <c r="P504" s="90">
        <f>VLOOKUP(C504,'[1]站级商品进销存统计(2026-06-06)'!$B:$F,5,0)</f>
        <v>8.2794010555946507</v>
      </c>
    </row>
    <row r="505" spans="1:16" ht="18" customHeight="1">
      <c r="A505" s="20">
        <v>480</v>
      </c>
      <c r="B505" s="20" t="s">
        <v>1368</v>
      </c>
      <c r="C505" s="21" t="s">
        <v>1433</v>
      </c>
      <c r="D505" s="22" t="s">
        <v>1434</v>
      </c>
      <c r="E505" s="23">
        <v>9.7103999999999999</v>
      </c>
      <c r="F505" s="23">
        <f t="shared" si="10"/>
        <v>8.8276363636363602</v>
      </c>
      <c r="G505" s="97">
        <v>9.3615873228346391</v>
      </c>
      <c r="H505" s="30"/>
      <c r="I505" s="23"/>
      <c r="J505" s="23">
        <v>14.9</v>
      </c>
      <c r="K505" s="102"/>
      <c r="L505" s="95">
        <v>0.1</v>
      </c>
      <c r="M505" s="20"/>
      <c r="N505" s="91" t="s">
        <v>458</v>
      </c>
      <c r="O505" s="89">
        <f>VLOOKUP(C505,'[1]站级商品进销存统计(2026-06-06)'!$B:$D,3,0)</f>
        <v>1270</v>
      </c>
      <c r="P505" s="90">
        <f>VLOOKUP(C505,'[1]站级商品进销存统计(2026-06-06)'!$B:$F,5,0)</f>
        <v>9.3615873228346391</v>
      </c>
    </row>
    <row r="506" spans="1:16" ht="18" customHeight="1">
      <c r="A506" s="20">
        <v>481</v>
      </c>
      <c r="B506" s="20" t="s">
        <v>1368</v>
      </c>
      <c r="C506" s="21" t="s">
        <v>1435</v>
      </c>
      <c r="D506" s="22" t="s">
        <v>1436</v>
      </c>
      <c r="E506" s="23">
        <v>9.7103999999999999</v>
      </c>
      <c r="F506" s="23">
        <f t="shared" si="10"/>
        <v>8.8276363636363602</v>
      </c>
      <c r="G506" s="97">
        <v>9.6611626865671596</v>
      </c>
      <c r="H506" s="30"/>
      <c r="I506" s="23"/>
      <c r="J506" s="23">
        <v>14.9</v>
      </c>
      <c r="K506" s="102"/>
      <c r="L506" s="95">
        <v>0.1</v>
      </c>
      <c r="M506" s="20"/>
      <c r="N506" s="91" t="s">
        <v>458</v>
      </c>
      <c r="O506" s="89">
        <f>VLOOKUP(C506,'[1]站级商品进销存统计(2026-06-06)'!$B:$D,3,0)</f>
        <v>1273</v>
      </c>
      <c r="P506" s="90">
        <f>VLOOKUP(C506,'[1]站级商品进销存统计(2026-06-06)'!$B:$F,5,0)</f>
        <v>9.6611626865671596</v>
      </c>
    </row>
    <row r="507" spans="1:16" ht="18" customHeight="1">
      <c r="A507" s="20">
        <v>482</v>
      </c>
      <c r="B507" s="20" t="s">
        <v>1368</v>
      </c>
      <c r="C507" s="21" t="s">
        <v>1437</v>
      </c>
      <c r="D507" s="22" t="s">
        <v>1438</v>
      </c>
      <c r="E507" s="23">
        <v>9.7103999999999999</v>
      </c>
      <c r="F507" s="23">
        <f t="shared" si="10"/>
        <v>8.8276363636363602</v>
      </c>
      <c r="G507" s="97">
        <v>9.3777577167019004</v>
      </c>
      <c r="H507" s="30"/>
      <c r="I507" s="23"/>
      <c r="J507" s="23">
        <v>14.9</v>
      </c>
      <c r="K507" s="102"/>
      <c r="L507" s="95">
        <v>0.1</v>
      </c>
      <c r="M507" s="20"/>
      <c r="N507" s="91" t="s">
        <v>458</v>
      </c>
      <c r="O507" s="89">
        <f>VLOOKUP(C507,'[1]站级商品进销存统计(2026-06-06)'!$B:$D,3,0)</f>
        <v>1419</v>
      </c>
      <c r="P507" s="90">
        <f>VLOOKUP(C507,'[1]站级商品进销存统计(2026-06-06)'!$B:$F,5,0)</f>
        <v>9.3777577167019004</v>
      </c>
    </row>
    <row r="508" spans="1:16" ht="18" customHeight="1">
      <c r="A508" s="20">
        <v>483</v>
      </c>
      <c r="B508" s="20" t="s">
        <v>1368</v>
      </c>
      <c r="C508" s="21" t="s">
        <v>1439</v>
      </c>
      <c r="D508" s="22" t="s">
        <v>1440</v>
      </c>
      <c r="E508" s="23">
        <v>7.6092000000000004</v>
      </c>
      <c r="F508" s="23">
        <f t="shared" si="10"/>
        <v>6.9174545454545404</v>
      </c>
      <c r="G508" s="97">
        <v>6.2517744593202904</v>
      </c>
      <c r="H508" s="30"/>
      <c r="I508" s="23"/>
      <c r="J508" s="23">
        <v>11</v>
      </c>
      <c r="K508" s="102"/>
      <c r="L508" s="95">
        <v>0.1</v>
      </c>
      <c r="M508" s="20"/>
      <c r="N508" s="91" t="s">
        <v>458</v>
      </c>
      <c r="O508" s="89">
        <f>VLOOKUP(C508,'[1]站级商品进销存统计(2026-06-06)'!$B:$D,3,0)</f>
        <v>971</v>
      </c>
      <c r="P508" s="90">
        <f>VLOOKUP(C508,'[1]站级商品进销存统计(2026-06-06)'!$B:$F,5,0)</f>
        <v>6.2517744593202904</v>
      </c>
    </row>
    <row r="509" spans="1:16" ht="18" customHeight="1">
      <c r="A509" s="20">
        <v>484</v>
      </c>
      <c r="B509" s="20" t="s">
        <v>1368</v>
      </c>
      <c r="C509" s="21" t="s">
        <v>1441</v>
      </c>
      <c r="D509" s="22" t="s">
        <v>1442</v>
      </c>
      <c r="E509" s="23">
        <v>9.18</v>
      </c>
      <c r="F509" s="23">
        <f t="shared" si="10"/>
        <v>8.3454545454545404</v>
      </c>
      <c r="G509" s="97">
        <v>8.3716539500734193</v>
      </c>
      <c r="H509" s="30"/>
      <c r="I509" s="23"/>
      <c r="J509" s="23">
        <v>12.9</v>
      </c>
      <c r="K509" s="102"/>
      <c r="L509" s="95">
        <v>0.1</v>
      </c>
      <c r="M509" s="20"/>
      <c r="N509" s="91" t="s">
        <v>458</v>
      </c>
      <c r="O509" s="89">
        <f>VLOOKUP(C509,'[1]站级商品进销存统计(2026-06-06)'!$B:$D,3,0)</f>
        <v>3405</v>
      </c>
      <c r="P509" s="90">
        <f>VLOOKUP(C509,'[1]站级商品进销存统计(2026-06-06)'!$B:$F,5,0)</f>
        <v>8.3716539500734193</v>
      </c>
    </row>
    <row r="510" spans="1:16" ht="18" customHeight="1">
      <c r="A510" s="20">
        <v>485</v>
      </c>
      <c r="B510" s="20" t="s">
        <v>1368</v>
      </c>
      <c r="C510" s="21" t="s">
        <v>1443</v>
      </c>
      <c r="D510" s="22" t="s">
        <v>1444</v>
      </c>
      <c r="E510" s="83">
        <v>6.2</v>
      </c>
      <c r="F510" s="23">
        <f t="shared" si="10"/>
        <v>5.6363636363636402</v>
      </c>
      <c r="G510" s="84">
        <v>6.1215005714285704</v>
      </c>
      <c r="H510" s="85"/>
      <c r="I510" s="83"/>
      <c r="J510" s="83">
        <v>9.9</v>
      </c>
      <c r="K510" s="102"/>
      <c r="L510" s="88">
        <v>0.1</v>
      </c>
      <c r="M510" s="31"/>
      <c r="N510" s="91" t="s">
        <v>458</v>
      </c>
      <c r="O510" s="89">
        <f>VLOOKUP(C510,'[1]站级商品进销存统计(2026-06-06)'!$B:$D,3,0)</f>
        <v>525</v>
      </c>
      <c r="P510" s="90">
        <f>VLOOKUP(C510,'[1]站级商品进销存统计(2026-06-06)'!$B:$F,5,0)</f>
        <v>6.1215005714285704</v>
      </c>
    </row>
    <row r="511" spans="1:16" ht="18" customHeight="1">
      <c r="A511" s="20">
        <v>486</v>
      </c>
      <c r="B511" s="20" t="s">
        <v>1368</v>
      </c>
      <c r="C511" s="21" t="s">
        <v>1445</v>
      </c>
      <c r="D511" s="22" t="s">
        <v>1446</v>
      </c>
      <c r="E511" s="83">
        <v>6.2</v>
      </c>
      <c r="F511" s="23">
        <f t="shared" si="10"/>
        <v>5.6363636363636402</v>
      </c>
      <c r="G511" s="84">
        <v>6.1098971590909104</v>
      </c>
      <c r="H511" s="85"/>
      <c r="I511" s="83"/>
      <c r="J511" s="83">
        <v>9.9</v>
      </c>
      <c r="K511" s="102"/>
      <c r="L511" s="88">
        <v>0.1</v>
      </c>
      <c r="M511" s="31"/>
      <c r="N511" s="91" t="s">
        <v>458</v>
      </c>
      <c r="O511" s="89">
        <f>VLOOKUP(C511,'[1]站级商品进销存统计(2026-06-06)'!$B:$D,3,0)</f>
        <v>528</v>
      </c>
      <c r="P511" s="90">
        <f>VLOOKUP(C511,'[1]站级商品进销存统计(2026-06-06)'!$B:$F,5,0)</f>
        <v>6.1098971590909104</v>
      </c>
    </row>
    <row r="512" spans="1:16" ht="18" customHeight="1">
      <c r="A512" s="20">
        <v>487</v>
      </c>
      <c r="B512" s="20" t="s">
        <v>1368</v>
      </c>
      <c r="C512" s="21" t="s">
        <v>1447</v>
      </c>
      <c r="D512" s="22" t="s">
        <v>1448</v>
      </c>
      <c r="E512" s="23">
        <v>9.18</v>
      </c>
      <c r="F512" s="23">
        <f t="shared" si="10"/>
        <v>8.1238938053097307</v>
      </c>
      <c r="G512" s="97">
        <v>8.1575906166769094</v>
      </c>
      <c r="H512" s="30"/>
      <c r="I512" s="23"/>
      <c r="J512" s="23">
        <v>12.9</v>
      </c>
      <c r="K512" s="102"/>
      <c r="L512" s="95">
        <v>0.13</v>
      </c>
      <c r="M512" s="20"/>
      <c r="N512" s="91" t="s">
        <v>458</v>
      </c>
      <c r="O512" s="89">
        <f>VLOOKUP(C512,'[1]站级商品进销存统计(2026-06-06)'!$B:$D,3,0)</f>
        <v>4881</v>
      </c>
      <c r="P512" s="90">
        <f>VLOOKUP(C512,'[1]站级商品进销存统计(2026-06-06)'!$B:$F,5,0)</f>
        <v>8.1575906166769094</v>
      </c>
    </row>
    <row r="513" spans="1:16" ht="18" customHeight="1">
      <c r="A513" s="20">
        <v>488</v>
      </c>
      <c r="B513" s="20" t="s">
        <v>1368</v>
      </c>
      <c r="C513" s="21" t="s">
        <v>1449</v>
      </c>
      <c r="D513" s="22" t="s">
        <v>1450</v>
      </c>
      <c r="E513" s="83">
        <v>9.09</v>
      </c>
      <c r="F513" s="23">
        <f t="shared" si="10"/>
        <v>7.9043478260869602</v>
      </c>
      <c r="G513" s="84">
        <v>9.09</v>
      </c>
      <c r="H513" s="85"/>
      <c r="I513" s="83"/>
      <c r="J513" s="83">
        <v>12</v>
      </c>
      <c r="K513" s="102"/>
      <c r="L513" s="88">
        <v>0.15</v>
      </c>
      <c r="M513" s="96"/>
      <c r="N513" s="91"/>
      <c r="O513" s="89" t="e">
        <f>VLOOKUP(C513,'[1]站级商品进销存统计(2026-06-06)'!$B:$D,3,0)</f>
        <v>#N/A</v>
      </c>
      <c r="P513" s="90" t="e">
        <f>VLOOKUP(C513,'[1]站级商品进销存统计(2026-06-06)'!$B:$F,5,0)</f>
        <v>#N/A</v>
      </c>
    </row>
    <row r="514" spans="1:16" ht="18" customHeight="1">
      <c r="A514" s="20">
        <v>489</v>
      </c>
      <c r="B514" s="20" t="s">
        <v>1451</v>
      </c>
      <c r="C514" s="21" t="s">
        <v>1452</v>
      </c>
      <c r="D514" s="22" t="s">
        <v>1453</v>
      </c>
      <c r="E514" s="83">
        <v>28.46</v>
      </c>
      <c r="F514" s="23">
        <f t="shared" si="10"/>
        <v>25.8727272727273</v>
      </c>
      <c r="G514" s="84">
        <v>28.4961298714144</v>
      </c>
      <c r="H514" s="85"/>
      <c r="I514" s="83"/>
      <c r="J514" s="83">
        <v>45</v>
      </c>
      <c r="K514" s="102"/>
      <c r="L514" s="88">
        <v>0.1</v>
      </c>
      <c r="M514" s="96"/>
      <c r="N514" s="91" t="s">
        <v>647</v>
      </c>
      <c r="O514" s="89">
        <f>VLOOKUP(C514,'[1]站级商品进销存统计(2026-06-06)'!$B:$D,3,0)</f>
        <v>1011</v>
      </c>
      <c r="P514" s="90">
        <f>VLOOKUP(C514,'[1]站级商品进销存统计(2026-06-06)'!$B:$F,5,0)</f>
        <v>28.4961298714144</v>
      </c>
    </row>
  </sheetData>
  <mergeCells count="42">
    <mergeCell ref="A1:B1"/>
    <mergeCell ref="A2:N2"/>
    <mergeCell ref="A3:N3"/>
    <mergeCell ref="A5:A6"/>
    <mergeCell ref="A7:A8"/>
    <mergeCell ref="B5:B6"/>
    <mergeCell ref="B7:B8"/>
    <mergeCell ref="I5:I6"/>
    <mergeCell ref="I7:I8"/>
    <mergeCell ref="K5:K6"/>
    <mergeCell ref="K7:K8"/>
    <mergeCell ref="M5:M6"/>
    <mergeCell ref="M7:M8"/>
    <mergeCell ref="N5:N6"/>
    <mergeCell ref="N7:N8"/>
    <mergeCell ref="A9:A12"/>
    <mergeCell ref="A13:A16"/>
    <mergeCell ref="A17:A20"/>
    <mergeCell ref="A21:A22"/>
    <mergeCell ref="A23:A32"/>
    <mergeCell ref="B9:B12"/>
    <mergeCell ref="B13:B16"/>
    <mergeCell ref="B17:B20"/>
    <mergeCell ref="B21:B22"/>
    <mergeCell ref="B23:B32"/>
    <mergeCell ref="I9:I12"/>
    <mergeCell ref="I13:I16"/>
    <mergeCell ref="I17:I20"/>
    <mergeCell ref="I21:I22"/>
    <mergeCell ref="I23:I32"/>
    <mergeCell ref="M21:M22"/>
    <mergeCell ref="M23:M32"/>
    <mergeCell ref="K9:K12"/>
    <mergeCell ref="K13:K16"/>
    <mergeCell ref="K17:K20"/>
    <mergeCell ref="K21:K22"/>
    <mergeCell ref="K23:K32"/>
    <mergeCell ref="N9:N12"/>
    <mergeCell ref="N13:N16"/>
    <mergeCell ref="M9:M12"/>
    <mergeCell ref="M13:M16"/>
    <mergeCell ref="M17:M20"/>
  </mergeCells>
  <phoneticPr fontId="100" type="noConversion"/>
  <conditionalFormatting sqref="C5:C266 C270:C511">
    <cfRule type="duplicateValues" dxfId="13" priority="60"/>
  </conditionalFormatting>
  <conditionalFormatting sqref="C267">
    <cfRule type="duplicateValues" dxfId="12" priority="3"/>
  </conditionalFormatting>
  <conditionalFormatting sqref="C268">
    <cfRule type="duplicateValues" dxfId="11" priority="2"/>
  </conditionalFormatting>
  <conditionalFormatting sqref="C269">
    <cfRule type="duplicateValues" dxfId="10" priority="1"/>
  </conditionalFormatting>
  <conditionalFormatting sqref="C512">
    <cfRule type="duplicateValues" dxfId="9" priority="6"/>
  </conditionalFormatting>
  <conditionalFormatting sqref="C513">
    <cfRule type="duplicateValues" dxfId="8" priority="5"/>
  </conditionalFormatting>
  <conditionalFormatting sqref="C514">
    <cfRule type="duplicateValues" dxfId="7" priority="4"/>
  </conditionalFormatting>
  <conditionalFormatting sqref="C515:C1048576">
    <cfRule type="duplicateValues" dxfId="6" priority="58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theme="2"/>
  </sheetPr>
  <dimension ref="A1:O197"/>
  <sheetViews>
    <sheetView workbookViewId="0">
      <pane ySplit="3" topLeftCell="A90" activePane="bottomLeft" state="frozen"/>
      <selection pane="bottomLeft" activeCell="D100" sqref="D100"/>
    </sheetView>
  </sheetViews>
  <sheetFormatPr defaultColWidth="8.7265625" defaultRowHeight="14"/>
  <cols>
    <col min="1" max="1" width="5.08984375" customWidth="1"/>
    <col min="2" max="2" width="12.08984375" customWidth="1"/>
    <col min="3" max="3" width="10.36328125" customWidth="1"/>
    <col min="4" max="4" width="40.90625" customWidth="1"/>
    <col min="5" max="6" width="11.90625" style="11" customWidth="1"/>
    <col min="7" max="7" width="12.453125" style="11" customWidth="1"/>
    <col min="8" max="8" width="8.08984375" style="54" customWidth="1"/>
    <col min="9" max="10" width="10" customWidth="1"/>
    <col min="11" max="11" width="10.90625" customWidth="1"/>
    <col min="12" max="12" width="24.26953125" customWidth="1"/>
  </cols>
  <sheetData>
    <row r="1" spans="1:15">
      <c r="A1" s="451" t="s">
        <v>1454</v>
      </c>
      <c r="B1" s="451"/>
    </row>
    <row r="2" spans="1:15" ht="21" customHeight="1">
      <c r="A2" s="506" t="s">
        <v>1455</v>
      </c>
      <c r="B2" s="506"/>
      <c r="C2" s="506"/>
      <c r="D2" s="506"/>
      <c r="E2" s="506"/>
      <c r="F2" s="506"/>
      <c r="G2" s="506"/>
      <c r="H2" s="507"/>
      <c r="I2" s="506"/>
      <c r="J2" s="506"/>
      <c r="K2" s="506"/>
      <c r="L2" s="506"/>
    </row>
    <row r="3" spans="1:15" ht="32" customHeight="1">
      <c r="A3" s="55" t="s">
        <v>104</v>
      </c>
      <c r="B3" s="55" t="s">
        <v>1456</v>
      </c>
      <c r="C3" s="56" t="s">
        <v>220</v>
      </c>
      <c r="D3" s="55" t="s">
        <v>221</v>
      </c>
      <c r="E3" s="57" t="s">
        <v>430</v>
      </c>
      <c r="F3" s="57" t="s">
        <v>432</v>
      </c>
      <c r="G3" s="57" t="s">
        <v>1457</v>
      </c>
      <c r="H3" s="58" t="s">
        <v>350</v>
      </c>
      <c r="I3" s="57" t="s">
        <v>108</v>
      </c>
      <c r="J3" s="57" t="s">
        <v>1458</v>
      </c>
      <c r="K3" s="57" t="s">
        <v>349</v>
      </c>
      <c r="L3" s="59" t="s">
        <v>5</v>
      </c>
    </row>
    <row r="4" spans="1:15" ht="16" customHeight="1">
      <c r="A4" s="60">
        <v>1</v>
      </c>
      <c r="B4" s="61" t="s">
        <v>743</v>
      </c>
      <c r="C4" s="62" t="s">
        <v>1459</v>
      </c>
      <c r="D4" s="63" t="s">
        <v>1460</v>
      </c>
      <c r="E4" s="64">
        <v>7.14</v>
      </c>
      <c r="F4" s="65">
        <v>7.2050114226375896</v>
      </c>
      <c r="G4" s="64">
        <v>10</v>
      </c>
      <c r="H4" s="66">
        <v>0.13</v>
      </c>
      <c r="I4" s="67">
        <v>1</v>
      </c>
      <c r="J4" s="65">
        <v>9.9</v>
      </c>
      <c r="K4" s="68">
        <f t="shared" ref="K4:K67" si="0">1-((F4*I4)/J4)</f>
        <v>0.27222106842044502</v>
      </c>
      <c r="L4" s="508" t="s">
        <v>1461</v>
      </c>
    </row>
    <row r="5" spans="1:15" ht="16" customHeight="1">
      <c r="A5" s="60">
        <v>2</v>
      </c>
      <c r="B5" s="61" t="s">
        <v>743</v>
      </c>
      <c r="C5" s="62" t="s">
        <v>822</v>
      </c>
      <c r="D5" s="63" t="s">
        <v>823</v>
      </c>
      <c r="E5" s="64">
        <v>9.59</v>
      </c>
      <c r="F5" s="65">
        <v>9.1581086826347295</v>
      </c>
      <c r="G5" s="64">
        <v>14</v>
      </c>
      <c r="H5" s="66">
        <v>0.13</v>
      </c>
      <c r="I5" s="67">
        <v>1</v>
      </c>
      <c r="J5" s="65">
        <v>9.9</v>
      </c>
      <c r="K5" s="68">
        <f t="shared" si="0"/>
        <v>7.4938516905582994E-2</v>
      </c>
      <c r="L5" s="509"/>
    </row>
    <row r="6" spans="1:15" ht="16" customHeight="1">
      <c r="A6" s="60">
        <v>3</v>
      </c>
      <c r="B6" s="61" t="s">
        <v>1022</v>
      </c>
      <c r="C6" s="61" t="s">
        <v>1462</v>
      </c>
      <c r="D6" s="69" t="s">
        <v>1463</v>
      </c>
      <c r="E6" s="65">
        <v>6.16</v>
      </c>
      <c r="F6" s="65">
        <v>6.1639494701429802</v>
      </c>
      <c r="G6" s="65">
        <v>12.8</v>
      </c>
      <c r="H6" s="66">
        <v>0.13</v>
      </c>
      <c r="I6" s="67">
        <v>1</v>
      </c>
      <c r="J6" s="65">
        <v>9.9</v>
      </c>
      <c r="K6" s="68">
        <f t="shared" si="0"/>
        <v>0.37737884139969902</v>
      </c>
      <c r="L6" s="509"/>
    </row>
    <row r="7" spans="1:15" ht="16" customHeight="1">
      <c r="A7" s="60">
        <v>4</v>
      </c>
      <c r="B7" s="61" t="s">
        <v>1022</v>
      </c>
      <c r="C7" s="61" t="s">
        <v>1035</v>
      </c>
      <c r="D7" s="69" t="s">
        <v>1036</v>
      </c>
      <c r="E7" s="65">
        <v>6.21</v>
      </c>
      <c r="F7" s="65">
        <v>6.2156394341290904</v>
      </c>
      <c r="G7" s="65">
        <v>13.9</v>
      </c>
      <c r="H7" s="66">
        <v>0.13</v>
      </c>
      <c r="I7" s="67">
        <v>1</v>
      </c>
      <c r="J7" s="65">
        <v>9.9</v>
      </c>
      <c r="K7" s="68">
        <f t="shared" si="0"/>
        <v>0.37215763291625298</v>
      </c>
      <c r="L7" s="509"/>
    </row>
    <row r="8" spans="1:15" ht="16" customHeight="1">
      <c r="A8" s="60">
        <v>5</v>
      </c>
      <c r="B8" s="61" t="s">
        <v>1022</v>
      </c>
      <c r="C8" s="61" t="s">
        <v>1464</v>
      </c>
      <c r="D8" s="69" t="s">
        <v>1465</v>
      </c>
      <c r="E8" s="65">
        <v>6.21</v>
      </c>
      <c r="F8" s="65">
        <v>6.2150383310719102</v>
      </c>
      <c r="G8" s="65">
        <v>13.9</v>
      </c>
      <c r="H8" s="66">
        <v>0.13</v>
      </c>
      <c r="I8" s="67">
        <v>1</v>
      </c>
      <c r="J8" s="65">
        <v>9.9</v>
      </c>
      <c r="K8" s="68">
        <f t="shared" si="0"/>
        <v>0.37221835039677698</v>
      </c>
      <c r="L8" s="509"/>
      <c r="M8" s="53"/>
      <c r="N8" s="53"/>
      <c r="O8" s="53"/>
    </row>
    <row r="9" spans="1:15" s="53" customFormat="1" ht="16" customHeight="1">
      <c r="A9" s="60">
        <v>6</v>
      </c>
      <c r="B9" s="61" t="s">
        <v>1022</v>
      </c>
      <c r="C9" s="61" t="s">
        <v>800</v>
      </c>
      <c r="D9" s="69" t="s">
        <v>801</v>
      </c>
      <c r="E9" s="65">
        <v>6.64</v>
      </c>
      <c r="F9" s="65">
        <v>6.0833943954104104</v>
      </c>
      <c r="G9" s="65">
        <v>10</v>
      </c>
      <c r="H9" s="66">
        <v>0.13</v>
      </c>
      <c r="I9" s="67">
        <v>1</v>
      </c>
      <c r="J9" s="65">
        <v>9.9</v>
      </c>
      <c r="K9" s="68">
        <f t="shared" si="0"/>
        <v>0.38551571763531201</v>
      </c>
      <c r="L9" s="509"/>
    </row>
    <row r="10" spans="1:15" s="53" customFormat="1" ht="16" customHeight="1">
      <c r="A10" s="60">
        <v>7</v>
      </c>
      <c r="B10" s="61" t="s">
        <v>1022</v>
      </c>
      <c r="C10" s="61" t="s">
        <v>796</v>
      </c>
      <c r="D10" s="69" t="s">
        <v>797</v>
      </c>
      <c r="E10" s="65">
        <v>6.64</v>
      </c>
      <c r="F10" s="65">
        <v>5.9929771279373396</v>
      </c>
      <c r="G10" s="65">
        <v>10</v>
      </c>
      <c r="H10" s="66">
        <v>0.13</v>
      </c>
      <c r="I10" s="67">
        <v>1</v>
      </c>
      <c r="J10" s="65">
        <v>9.9</v>
      </c>
      <c r="K10" s="68">
        <f t="shared" si="0"/>
        <v>0.39464877495582401</v>
      </c>
      <c r="L10" s="509"/>
    </row>
    <row r="11" spans="1:15" s="53" customFormat="1" ht="16" customHeight="1">
      <c r="A11" s="60">
        <v>8</v>
      </c>
      <c r="B11" s="61" t="s">
        <v>1022</v>
      </c>
      <c r="C11" s="61" t="s">
        <v>798</v>
      </c>
      <c r="D11" s="69" t="s">
        <v>799</v>
      </c>
      <c r="E11" s="65">
        <v>6.64</v>
      </c>
      <c r="F11" s="65">
        <v>6.0622421618562496</v>
      </c>
      <c r="G11" s="65">
        <v>10</v>
      </c>
      <c r="H11" s="66">
        <v>0.13</v>
      </c>
      <c r="I11" s="67">
        <v>1</v>
      </c>
      <c r="J11" s="65">
        <v>9.9</v>
      </c>
      <c r="K11" s="68">
        <f t="shared" si="0"/>
        <v>0.38765230688320701</v>
      </c>
      <c r="L11" s="509"/>
    </row>
    <row r="12" spans="1:15" s="53" customFormat="1" ht="16" customHeight="1">
      <c r="A12" s="60">
        <v>9</v>
      </c>
      <c r="B12" s="61" t="s">
        <v>1022</v>
      </c>
      <c r="C12" s="61" t="s">
        <v>794</v>
      </c>
      <c r="D12" s="69" t="s">
        <v>795</v>
      </c>
      <c r="E12" s="65">
        <v>6.64</v>
      </c>
      <c r="F12" s="65">
        <v>5.9689610914927798</v>
      </c>
      <c r="G12" s="65">
        <v>10</v>
      </c>
      <c r="H12" s="66">
        <v>0.13</v>
      </c>
      <c r="I12" s="67">
        <v>1</v>
      </c>
      <c r="J12" s="65">
        <v>9.9</v>
      </c>
      <c r="K12" s="68">
        <f t="shared" si="0"/>
        <v>0.397074637222952</v>
      </c>
      <c r="L12" s="509"/>
    </row>
    <row r="13" spans="1:15" s="53" customFormat="1" ht="16" customHeight="1">
      <c r="A13" s="60">
        <v>10</v>
      </c>
      <c r="B13" s="61" t="s">
        <v>1143</v>
      </c>
      <c r="C13" s="61" t="s">
        <v>1466</v>
      </c>
      <c r="D13" s="69" t="s">
        <v>1467</v>
      </c>
      <c r="E13" s="65">
        <v>8.59</v>
      </c>
      <c r="F13" s="65">
        <v>8.7506522483939992</v>
      </c>
      <c r="G13" s="65">
        <v>11.9</v>
      </c>
      <c r="H13" s="66">
        <v>0.13</v>
      </c>
      <c r="I13" s="67">
        <v>1</v>
      </c>
      <c r="J13" s="65">
        <v>9.9</v>
      </c>
      <c r="K13" s="68">
        <f t="shared" si="0"/>
        <v>0.116095732485455</v>
      </c>
      <c r="L13" s="509"/>
    </row>
    <row r="14" spans="1:15" s="53" customFormat="1" ht="16" customHeight="1">
      <c r="A14" s="60">
        <v>11</v>
      </c>
      <c r="B14" s="61" t="s">
        <v>1143</v>
      </c>
      <c r="C14" s="61" t="s">
        <v>1468</v>
      </c>
      <c r="D14" s="336" t="s">
        <v>3821</v>
      </c>
      <c r="E14" s="65">
        <v>8.59</v>
      </c>
      <c r="F14" s="65">
        <v>8.7697253101736994</v>
      </c>
      <c r="G14" s="65">
        <v>11.9</v>
      </c>
      <c r="H14" s="66">
        <v>0.13</v>
      </c>
      <c r="I14" s="67">
        <v>1</v>
      </c>
      <c r="J14" s="65">
        <v>9.9</v>
      </c>
      <c r="K14" s="68">
        <f t="shared" si="0"/>
        <v>0.11416916058851501</v>
      </c>
      <c r="L14" s="509"/>
    </row>
    <row r="15" spans="1:15" s="53" customFormat="1" ht="16" customHeight="1">
      <c r="A15" s="60">
        <v>12</v>
      </c>
      <c r="B15" s="61" t="s">
        <v>1143</v>
      </c>
      <c r="C15" s="61" t="s">
        <v>1150</v>
      </c>
      <c r="D15" s="69" t="s">
        <v>1151</v>
      </c>
      <c r="E15" s="65">
        <v>9.2100000000000009</v>
      </c>
      <c r="F15" s="65">
        <v>8.2867322880371699</v>
      </c>
      <c r="G15" s="65">
        <v>13</v>
      </c>
      <c r="H15" s="66">
        <v>0.13</v>
      </c>
      <c r="I15" s="67">
        <v>1</v>
      </c>
      <c r="J15" s="65">
        <v>9.9</v>
      </c>
      <c r="K15" s="68">
        <f t="shared" si="0"/>
        <v>0.1629563345417</v>
      </c>
      <c r="L15" s="509"/>
    </row>
    <row r="16" spans="1:15" s="53" customFormat="1" ht="16" customHeight="1">
      <c r="A16" s="60">
        <v>13</v>
      </c>
      <c r="B16" s="61" t="s">
        <v>1143</v>
      </c>
      <c r="C16" s="61" t="s">
        <v>1158</v>
      </c>
      <c r="D16" s="69" t="s">
        <v>1159</v>
      </c>
      <c r="E16" s="65">
        <v>10.18</v>
      </c>
      <c r="F16" s="65">
        <v>9.0655886212198897</v>
      </c>
      <c r="G16" s="65">
        <v>13</v>
      </c>
      <c r="H16" s="66">
        <v>0.13</v>
      </c>
      <c r="I16" s="67">
        <v>1</v>
      </c>
      <c r="J16" s="65">
        <v>9.9</v>
      </c>
      <c r="K16" s="68">
        <f t="shared" si="0"/>
        <v>8.4283977654556599E-2</v>
      </c>
      <c r="L16" s="509"/>
    </row>
    <row r="17" spans="1:12" s="53" customFormat="1" ht="16" customHeight="1">
      <c r="A17" s="60">
        <v>14</v>
      </c>
      <c r="B17" s="61" t="s">
        <v>1143</v>
      </c>
      <c r="C17" s="61" t="s">
        <v>1156</v>
      </c>
      <c r="D17" s="69" t="s">
        <v>1157</v>
      </c>
      <c r="E17" s="65">
        <v>9.99</v>
      </c>
      <c r="F17" s="65">
        <v>9.0193460756634707</v>
      </c>
      <c r="G17" s="65">
        <v>11.9</v>
      </c>
      <c r="H17" s="66">
        <v>0.13</v>
      </c>
      <c r="I17" s="67">
        <v>1</v>
      </c>
      <c r="J17" s="65">
        <v>9.9</v>
      </c>
      <c r="K17" s="68">
        <f t="shared" si="0"/>
        <v>8.8954941852174702E-2</v>
      </c>
      <c r="L17" s="509"/>
    </row>
    <row r="18" spans="1:12" s="53" customFormat="1" ht="16" customHeight="1">
      <c r="A18" s="60">
        <v>15</v>
      </c>
      <c r="B18" s="61" t="s">
        <v>1143</v>
      </c>
      <c r="C18" s="61" t="s">
        <v>1144</v>
      </c>
      <c r="D18" s="69" t="s">
        <v>1145</v>
      </c>
      <c r="E18" s="65">
        <v>10.66</v>
      </c>
      <c r="F18" s="65">
        <v>9.7692189422557991</v>
      </c>
      <c r="G18" s="65">
        <v>13</v>
      </c>
      <c r="H18" s="66">
        <v>0.13</v>
      </c>
      <c r="I18" s="67">
        <v>1</v>
      </c>
      <c r="J18" s="65">
        <v>9.9</v>
      </c>
      <c r="K18" s="68">
        <f t="shared" si="0"/>
        <v>1.32102078529496E-2</v>
      </c>
      <c r="L18" s="509"/>
    </row>
    <row r="19" spans="1:12" s="53" customFormat="1" ht="16" customHeight="1">
      <c r="A19" s="60">
        <v>16</v>
      </c>
      <c r="B19" s="61" t="s">
        <v>1143</v>
      </c>
      <c r="C19" s="61" t="s">
        <v>1146</v>
      </c>
      <c r="D19" s="69" t="s">
        <v>1147</v>
      </c>
      <c r="E19" s="65">
        <v>10.66</v>
      </c>
      <c r="F19" s="65">
        <v>9.7107785836664799</v>
      </c>
      <c r="G19" s="65">
        <v>13</v>
      </c>
      <c r="H19" s="66">
        <v>0.13</v>
      </c>
      <c r="I19" s="67">
        <v>1</v>
      </c>
      <c r="J19" s="65">
        <v>9.9</v>
      </c>
      <c r="K19" s="68">
        <f t="shared" si="0"/>
        <v>1.9113274377123301E-2</v>
      </c>
      <c r="L19" s="509"/>
    </row>
    <row r="20" spans="1:12" s="53" customFormat="1" ht="16" customHeight="1">
      <c r="A20" s="60">
        <v>17</v>
      </c>
      <c r="B20" s="61" t="s">
        <v>1143</v>
      </c>
      <c r="C20" s="61" t="s">
        <v>1148</v>
      </c>
      <c r="D20" s="336" t="s">
        <v>3844</v>
      </c>
      <c r="E20" s="65">
        <v>9.2100000000000009</v>
      </c>
      <c r="F20" s="65">
        <v>8.4544180364282493</v>
      </c>
      <c r="G20" s="65">
        <v>13</v>
      </c>
      <c r="H20" s="66">
        <v>0.13</v>
      </c>
      <c r="I20" s="67">
        <v>1</v>
      </c>
      <c r="J20" s="65">
        <v>9.9</v>
      </c>
      <c r="K20" s="68">
        <f t="shared" si="0"/>
        <v>0.14601838015876301</v>
      </c>
      <c r="L20" s="509"/>
    </row>
    <row r="21" spans="1:12" s="53" customFormat="1" ht="16" customHeight="1">
      <c r="A21" s="60">
        <v>18</v>
      </c>
      <c r="B21" s="61" t="s">
        <v>1143</v>
      </c>
      <c r="C21" s="61" t="s">
        <v>1162</v>
      </c>
      <c r="D21" s="69" t="s">
        <v>1163</v>
      </c>
      <c r="E21" s="65">
        <v>9.2100000000000009</v>
      </c>
      <c r="F21" s="65">
        <v>8.3968507132459997</v>
      </c>
      <c r="G21" s="65">
        <v>13</v>
      </c>
      <c r="H21" s="66">
        <v>0.13</v>
      </c>
      <c r="I21" s="67">
        <v>1</v>
      </c>
      <c r="J21" s="65">
        <v>9.9</v>
      </c>
      <c r="K21" s="68">
        <f t="shared" si="0"/>
        <v>0.15183326128828301</v>
      </c>
      <c r="L21" s="509"/>
    </row>
    <row r="22" spans="1:12" s="53" customFormat="1" ht="16" customHeight="1">
      <c r="A22" s="60">
        <v>19</v>
      </c>
      <c r="B22" s="61" t="s">
        <v>1368</v>
      </c>
      <c r="C22" s="61" t="s">
        <v>1469</v>
      </c>
      <c r="D22" s="69" t="s">
        <v>1470</v>
      </c>
      <c r="E22" s="65">
        <v>8.34</v>
      </c>
      <c r="F22" s="65">
        <v>8.4529363924050607</v>
      </c>
      <c r="G22" s="65">
        <v>11</v>
      </c>
      <c r="H22" s="66">
        <v>0.13</v>
      </c>
      <c r="I22" s="67">
        <v>1</v>
      </c>
      <c r="J22" s="65">
        <v>9.9</v>
      </c>
      <c r="K22" s="68">
        <f t="shared" si="0"/>
        <v>0.14616804117120599</v>
      </c>
      <c r="L22" s="509"/>
    </row>
    <row r="23" spans="1:12" s="53" customFormat="1" ht="16" customHeight="1">
      <c r="A23" s="60">
        <v>20</v>
      </c>
      <c r="B23" s="61" t="s">
        <v>1368</v>
      </c>
      <c r="C23" s="61" t="s">
        <v>1471</v>
      </c>
      <c r="D23" s="69" t="s">
        <v>1472</v>
      </c>
      <c r="E23" s="65">
        <v>9.18</v>
      </c>
      <c r="F23" s="65">
        <v>9.18</v>
      </c>
      <c r="G23" s="65">
        <v>12.9</v>
      </c>
      <c r="H23" s="66">
        <v>0.13</v>
      </c>
      <c r="I23" s="67">
        <v>1</v>
      </c>
      <c r="J23" s="65">
        <v>9.9</v>
      </c>
      <c r="K23" s="68">
        <f t="shared" si="0"/>
        <v>7.2727272727272793E-2</v>
      </c>
      <c r="L23" s="509"/>
    </row>
    <row r="24" spans="1:12" s="53" customFormat="1" ht="16" customHeight="1">
      <c r="A24" s="60">
        <v>21</v>
      </c>
      <c r="B24" s="61" t="s">
        <v>1368</v>
      </c>
      <c r="C24" s="61" t="s">
        <v>1473</v>
      </c>
      <c r="D24" s="69" t="s">
        <v>1474</v>
      </c>
      <c r="E24" s="65">
        <v>8.5500000000000007</v>
      </c>
      <c r="F24" s="65">
        <v>8.3934415465268692</v>
      </c>
      <c r="G24" s="65">
        <v>11.9</v>
      </c>
      <c r="H24" s="66">
        <v>0.13</v>
      </c>
      <c r="I24" s="67">
        <v>1</v>
      </c>
      <c r="J24" s="65">
        <v>9.9</v>
      </c>
      <c r="K24" s="68">
        <f t="shared" si="0"/>
        <v>0.15217762156294301</v>
      </c>
      <c r="L24" s="509"/>
    </row>
    <row r="25" spans="1:12" s="53" customFormat="1" ht="16" customHeight="1">
      <c r="A25" s="60">
        <v>22</v>
      </c>
      <c r="B25" s="61" t="s">
        <v>1368</v>
      </c>
      <c r="C25" s="61" t="s">
        <v>1475</v>
      </c>
      <c r="D25" s="69" t="s">
        <v>1476</v>
      </c>
      <c r="E25" s="65">
        <v>8.5500000000000007</v>
      </c>
      <c r="F25" s="65">
        <v>8.4527677514792892</v>
      </c>
      <c r="G25" s="65">
        <v>11.9</v>
      </c>
      <c r="H25" s="66">
        <v>0.13</v>
      </c>
      <c r="I25" s="67">
        <v>1</v>
      </c>
      <c r="J25" s="65">
        <v>9.9</v>
      </c>
      <c r="K25" s="68">
        <f t="shared" si="0"/>
        <v>0.146185075608153</v>
      </c>
      <c r="L25" s="509"/>
    </row>
    <row r="26" spans="1:12" s="53" customFormat="1" ht="16" customHeight="1">
      <c r="A26" s="60">
        <v>23</v>
      </c>
      <c r="B26" s="61" t="s">
        <v>1368</v>
      </c>
      <c r="C26" s="61" t="s">
        <v>1477</v>
      </c>
      <c r="D26" s="69" t="s">
        <v>1478</v>
      </c>
      <c r="E26" s="65">
        <v>8.5500000000000007</v>
      </c>
      <c r="F26" s="65">
        <v>8.4131572104018897</v>
      </c>
      <c r="G26" s="65">
        <v>11.9</v>
      </c>
      <c r="H26" s="66">
        <v>0.13</v>
      </c>
      <c r="I26" s="67">
        <v>1</v>
      </c>
      <c r="J26" s="65">
        <v>9.9</v>
      </c>
      <c r="K26" s="68">
        <f t="shared" si="0"/>
        <v>0.15018614036344499</v>
      </c>
      <c r="L26" s="509"/>
    </row>
    <row r="27" spans="1:12" s="53" customFormat="1" ht="16" customHeight="1">
      <c r="A27" s="60">
        <v>24</v>
      </c>
      <c r="B27" s="61" t="s">
        <v>1368</v>
      </c>
      <c r="C27" s="61" t="s">
        <v>1419</v>
      </c>
      <c r="D27" s="69" t="s">
        <v>1479</v>
      </c>
      <c r="E27" s="65">
        <v>7.61</v>
      </c>
      <c r="F27" s="65">
        <v>7.1708341368584696</v>
      </c>
      <c r="G27" s="65">
        <v>11</v>
      </c>
      <c r="H27" s="66">
        <v>0.13</v>
      </c>
      <c r="I27" s="67">
        <v>1</v>
      </c>
      <c r="J27" s="65">
        <v>9.9</v>
      </c>
      <c r="K27" s="68">
        <f t="shared" si="0"/>
        <v>0.27567331950924601</v>
      </c>
      <c r="L27" s="509"/>
    </row>
    <row r="28" spans="1:12" s="53" customFormat="1" ht="16" customHeight="1">
      <c r="A28" s="60">
        <v>25</v>
      </c>
      <c r="B28" s="61" t="s">
        <v>1368</v>
      </c>
      <c r="C28" s="61" t="s">
        <v>1421</v>
      </c>
      <c r="D28" s="69" t="s">
        <v>1480</v>
      </c>
      <c r="E28" s="65">
        <v>7.61</v>
      </c>
      <c r="F28" s="65">
        <v>7.1861148229876202</v>
      </c>
      <c r="G28" s="65">
        <v>11</v>
      </c>
      <c r="H28" s="66">
        <v>0.13</v>
      </c>
      <c r="I28" s="67">
        <v>1</v>
      </c>
      <c r="J28" s="65">
        <v>9.9</v>
      </c>
      <c r="K28" s="68">
        <f t="shared" si="0"/>
        <v>0.27412981585983598</v>
      </c>
      <c r="L28" s="509"/>
    </row>
    <row r="29" spans="1:12" s="53" customFormat="1" ht="16" customHeight="1">
      <c r="A29" s="60">
        <v>26</v>
      </c>
      <c r="B29" s="61" t="s">
        <v>1368</v>
      </c>
      <c r="C29" s="61" t="s">
        <v>1423</v>
      </c>
      <c r="D29" s="69" t="s">
        <v>1481</v>
      </c>
      <c r="E29" s="65">
        <v>7.61</v>
      </c>
      <c r="F29" s="65">
        <v>7.1733659184084901</v>
      </c>
      <c r="G29" s="65">
        <v>11</v>
      </c>
      <c r="H29" s="66">
        <v>0.13</v>
      </c>
      <c r="I29" s="67">
        <v>1</v>
      </c>
      <c r="J29" s="65">
        <v>9.9</v>
      </c>
      <c r="K29" s="68">
        <f t="shared" si="0"/>
        <v>0.27541758399914201</v>
      </c>
      <c r="L29" s="509"/>
    </row>
    <row r="30" spans="1:12" s="53" customFormat="1" ht="16" customHeight="1">
      <c r="A30" s="60">
        <v>27</v>
      </c>
      <c r="B30" s="61" t="s">
        <v>1368</v>
      </c>
      <c r="C30" s="61" t="s">
        <v>1482</v>
      </c>
      <c r="D30" s="69" t="s">
        <v>1483</v>
      </c>
      <c r="E30" s="65">
        <v>9.18</v>
      </c>
      <c r="F30" s="65">
        <v>8.6223383910508105</v>
      </c>
      <c r="G30" s="65">
        <v>12.9</v>
      </c>
      <c r="H30" s="66">
        <v>0.13</v>
      </c>
      <c r="I30" s="67">
        <v>1</v>
      </c>
      <c r="J30" s="65">
        <v>9.9</v>
      </c>
      <c r="K30" s="68">
        <f t="shared" si="0"/>
        <v>0.12905672817668601</v>
      </c>
      <c r="L30" s="509"/>
    </row>
    <row r="31" spans="1:12" s="53" customFormat="1" ht="16" customHeight="1">
      <c r="A31" s="60">
        <v>28</v>
      </c>
      <c r="B31" s="61" t="s">
        <v>1368</v>
      </c>
      <c r="C31" s="61" t="s">
        <v>1441</v>
      </c>
      <c r="D31" s="69" t="s">
        <v>1484</v>
      </c>
      <c r="E31" s="65">
        <v>9.18</v>
      </c>
      <c r="F31" s="65">
        <v>8.5872166084787995</v>
      </c>
      <c r="G31" s="65">
        <v>12.9</v>
      </c>
      <c r="H31" s="66">
        <v>0.13</v>
      </c>
      <c r="I31" s="67">
        <v>1</v>
      </c>
      <c r="J31" s="65">
        <v>9.9</v>
      </c>
      <c r="K31" s="68">
        <f t="shared" si="0"/>
        <v>0.132604382981939</v>
      </c>
      <c r="L31" s="509"/>
    </row>
    <row r="32" spans="1:12" s="53" customFormat="1" ht="16" customHeight="1">
      <c r="A32" s="60">
        <v>29</v>
      </c>
      <c r="B32" s="61" t="s">
        <v>1368</v>
      </c>
      <c r="C32" s="61" t="s">
        <v>1431</v>
      </c>
      <c r="D32" s="69" t="s">
        <v>1485</v>
      </c>
      <c r="E32" s="65">
        <v>9.18</v>
      </c>
      <c r="F32" s="65">
        <v>9.18</v>
      </c>
      <c r="G32" s="65">
        <v>12.9</v>
      </c>
      <c r="H32" s="66">
        <v>0.13</v>
      </c>
      <c r="I32" s="67">
        <v>1</v>
      </c>
      <c r="J32" s="65">
        <v>9.9</v>
      </c>
      <c r="K32" s="68">
        <f t="shared" si="0"/>
        <v>7.2727272727272793E-2</v>
      </c>
      <c r="L32" s="509"/>
    </row>
    <row r="33" spans="1:12" s="53" customFormat="1" ht="16" customHeight="1">
      <c r="A33" s="60">
        <v>30</v>
      </c>
      <c r="B33" s="61" t="s">
        <v>1368</v>
      </c>
      <c r="C33" s="61" t="s">
        <v>1447</v>
      </c>
      <c r="D33" s="69" t="s">
        <v>1486</v>
      </c>
      <c r="E33" s="65">
        <v>9.18</v>
      </c>
      <c r="F33" s="65">
        <v>8.5432321887213796</v>
      </c>
      <c r="G33" s="65">
        <v>12.9</v>
      </c>
      <c r="H33" s="66">
        <v>0.13</v>
      </c>
      <c r="I33" s="67">
        <v>1</v>
      </c>
      <c r="J33" s="65">
        <v>9.9</v>
      </c>
      <c r="K33" s="68">
        <f t="shared" si="0"/>
        <v>0.13704725366450701</v>
      </c>
      <c r="L33" s="509"/>
    </row>
    <row r="34" spans="1:12" s="53" customFormat="1" ht="16" customHeight="1">
      <c r="A34" s="60">
        <v>31</v>
      </c>
      <c r="B34" s="61" t="s">
        <v>1368</v>
      </c>
      <c r="C34" s="61" t="s">
        <v>1487</v>
      </c>
      <c r="D34" s="69" t="s">
        <v>1488</v>
      </c>
      <c r="E34" s="65">
        <v>9.18</v>
      </c>
      <c r="F34" s="65">
        <v>8.5004742536422206</v>
      </c>
      <c r="G34" s="65">
        <v>12.9</v>
      </c>
      <c r="H34" s="66">
        <v>0.13</v>
      </c>
      <c r="I34" s="67">
        <v>1</v>
      </c>
      <c r="J34" s="65">
        <v>9.9</v>
      </c>
      <c r="K34" s="68">
        <f t="shared" si="0"/>
        <v>0.141366237005836</v>
      </c>
      <c r="L34" s="509"/>
    </row>
    <row r="35" spans="1:12" s="53" customFormat="1" ht="16" customHeight="1">
      <c r="A35" s="60">
        <v>32</v>
      </c>
      <c r="B35" s="61" t="s">
        <v>1368</v>
      </c>
      <c r="C35" s="61" t="s">
        <v>1425</v>
      </c>
      <c r="D35" s="69" t="s">
        <v>1426</v>
      </c>
      <c r="E35" s="65">
        <v>9.18</v>
      </c>
      <c r="F35" s="65">
        <v>8.7715418328584995</v>
      </c>
      <c r="G35" s="65">
        <v>12.9</v>
      </c>
      <c r="H35" s="66">
        <v>0.13</v>
      </c>
      <c r="I35" s="67">
        <v>1</v>
      </c>
      <c r="J35" s="65">
        <v>9.9</v>
      </c>
      <c r="K35" s="68">
        <f t="shared" si="0"/>
        <v>0.113985673448636</v>
      </c>
      <c r="L35" s="509"/>
    </row>
    <row r="36" spans="1:12" s="53" customFormat="1" ht="16" customHeight="1">
      <c r="A36" s="60">
        <v>33</v>
      </c>
      <c r="B36" s="61" t="s">
        <v>1368</v>
      </c>
      <c r="C36" s="61" t="s">
        <v>1429</v>
      </c>
      <c r="D36" s="69" t="s">
        <v>1430</v>
      </c>
      <c r="E36" s="65">
        <v>9.18</v>
      </c>
      <c r="F36" s="65">
        <v>8.8293317283950596</v>
      </c>
      <c r="G36" s="65">
        <v>12.9</v>
      </c>
      <c r="H36" s="66">
        <v>0.13</v>
      </c>
      <c r="I36" s="67">
        <v>1</v>
      </c>
      <c r="J36" s="65">
        <v>9.9</v>
      </c>
      <c r="K36" s="68">
        <f t="shared" si="0"/>
        <v>0.10814831026312501</v>
      </c>
      <c r="L36" s="509"/>
    </row>
    <row r="37" spans="1:12" s="53" customFormat="1" ht="16" customHeight="1">
      <c r="A37" s="60">
        <v>34</v>
      </c>
      <c r="B37" s="61" t="s">
        <v>1368</v>
      </c>
      <c r="C37" s="61" t="s">
        <v>1427</v>
      </c>
      <c r="D37" s="69" t="s">
        <v>1489</v>
      </c>
      <c r="E37" s="65">
        <v>9.18</v>
      </c>
      <c r="F37" s="65">
        <v>8.5863435917114295</v>
      </c>
      <c r="G37" s="65">
        <v>12.9</v>
      </c>
      <c r="H37" s="66">
        <v>0.13</v>
      </c>
      <c r="I37" s="67">
        <v>1</v>
      </c>
      <c r="J37" s="65">
        <v>9.9</v>
      </c>
      <c r="K37" s="68">
        <f t="shared" si="0"/>
        <v>0.13269256649379499</v>
      </c>
      <c r="L37" s="509"/>
    </row>
    <row r="38" spans="1:12" s="53" customFormat="1" ht="16" customHeight="1">
      <c r="A38" s="60">
        <v>35</v>
      </c>
      <c r="B38" s="61" t="s">
        <v>1368</v>
      </c>
      <c r="C38" s="61" t="s">
        <v>1490</v>
      </c>
      <c r="D38" s="69" t="s">
        <v>1491</v>
      </c>
      <c r="E38" s="65">
        <v>7.61</v>
      </c>
      <c r="F38" s="65">
        <v>7.0910416129032301</v>
      </c>
      <c r="G38" s="65">
        <v>11.9</v>
      </c>
      <c r="H38" s="66">
        <v>0.13</v>
      </c>
      <c r="I38" s="67">
        <v>1</v>
      </c>
      <c r="J38" s="65">
        <v>9.9</v>
      </c>
      <c r="K38" s="68">
        <f t="shared" si="0"/>
        <v>0.28373317041381502</v>
      </c>
      <c r="L38" s="509"/>
    </row>
    <row r="39" spans="1:12" s="53" customFormat="1" ht="16" customHeight="1">
      <c r="A39" s="60">
        <v>36</v>
      </c>
      <c r="B39" s="61" t="s">
        <v>1368</v>
      </c>
      <c r="C39" s="61" t="s">
        <v>1492</v>
      </c>
      <c r="D39" s="69" t="s">
        <v>1493</v>
      </c>
      <c r="E39" s="65">
        <v>7.61</v>
      </c>
      <c r="F39" s="65">
        <v>7.1063212918660303</v>
      </c>
      <c r="G39" s="65">
        <v>11.9</v>
      </c>
      <c r="H39" s="66">
        <v>0.13</v>
      </c>
      <c r="I39" s="67">
        <v>1</v>
      </c>
      <c r="J39" s="65">
        <v>9.9</v>
      </c>
      <c r="K39" s="68">
        <f t="shared" si="0"/>
        <v>0.28218976849838101</v>
      </c>
      <c r="L39" s="509"/>
    </row>
    <row r="40" spans="1:12" s="53" customFormat="1" ht="16" customHeight="1">
      <c r="A40" s="60">
        <v>37</v>
      </c>
      <c r="B40" s="61" t="s">
        <v>1368</v>
      </c>
      <c r="C40" s="61" t="s">
        <v>1494</v>
      </c>
      <c r="D40" s="69" t="s">
        <v>1495</v>
      </c>
      <c r="E40" s="65">
        <v>8.5500000000000007</v>
      </c>
      <c r="F40" s="65">
        <v>8.0780146907216501</v>
      </c>
      <c r="G40" s="65">
        <v>11.9</v>
      </c>
      <c r="H40" s="66">
        <v>0.13</v>
      </c>
      <c r="I40" s="67">
        <v>1</v>
      </c>
      <c r="J40" s="65">
        <v>9.9</v>
      </c>
      <c r="K40" s="68">
        <f t="shared" si="0"/>
        <v>0.18403892012912601</v>
      </c>
      <c r="L40" s="509"/>
    </row>
    <row r="41" spans="1:12" s="53" customFormat="1" ht="16" customHeight="1">
      <c r="A41" s="60">
        <v>38</v>
      </c>
      <c r="B41" s="61" t="s">
        <v>1368</v>
      </c>
      <c r="C41" s="61" t="s">
        <v>1496</v>
      </c>
      <c r="D41" s="69" t="s">
        <v>1497</v>
      </c>
      <c r="E41" s="65">
        <v>8.5500000000000007</v>
      </c>
      <c r="F41" s="65">
        <v>8.0956041142857096</v>
      </c>
      <c r="G41" s="65">
        <v>11.9</v>
      </c>
      <c r="H41" s="66">
        <v>0.13</v>
      </c>
      <c r="I41" s="67">
        <v>1</v>
      </c>
      <c r="J41" s="65">
        <v>9.9</v>
      </c>
      <c r="K41" s="68">
        <f t="shared" si="0"/>
        <v>0.182262210678211</v>
      </c>
      <c r="L41" s="509"/>
    </row>
    <row r="42" spans="1:12" s="53" customFormat="1" ht="16" customHeight="1">
      <c r="A42" s="60">
        <v>39</v>
      </c>
      <c r="B42" s="61" t="s">
        <v>1143</v>
      </c>
      <c r="C42" s="332" t="s">
        <v>1498</v>
      </c>
      <c r="D42" s="69" t="s">
        <v>1499</v>
      </c>
      <c r="E42" s="65">
        <v>9</v>
      </c>
      <c r="F42" s="65">
        <v>9</v>
      </c>
      <c r="G42" s="65">
        <v>12.5</v>
      </c>
      <c r="H42" s="66"/>
      <c r="I42" s="67">
        <v>1</v>
      </c>
      <c r="J42" s="65">
        <v>9.9</v>
      </c>
      <c r="K42" s="68">
        <f t="shared" si="0"/>
        <v>9.0909090909090898E-2</v>
      </c>
      <c r="L42" s="509"/>
    </row>
    <row r="43" spans="1:12" s="53" customFormat="1" ht="16" customHeight="1">
      <c r="A43" s="60">
        <v>40</v>
      </c>
      <c r="B43" s="61" t="s">
        <v>1143</v>
      </c>
      <c r="C43" s="332" t="s">
        <v>1500</v>
      </c>
      <c r="D43" s="69" t="s">
        <v>1501</v>
      </c>
      <c r="E43" s="65">
        <v>8.1199999999999992</v>
      </c>
      <c r="F43" s="65">
        <v>8.1199999999999992</v>
      </c>
      <c r="G43" s="65">
        <v>11.8</v>
      </c>
      <c r="H43" s="66"/>
      <c r="I43" s="67">
        <v>1</v>
      </c>
      <c r="J43" s="65">
        <v>9.9</v>
      </c>
      <c r="K43" s="68">
        <f t="shared" si="0"/>
        <v>0.17979797979798001</v>
      </c>
      <c r="L43" s="509"/>
    </row>
    <row r="44" spans="1:12" s="53" customFormat="1" ht="16" customHeight="1">
      <c r="A44" s="60">
        <v>41</v>
      </c>
      <c r="B44" s="61" t="s">
        <v>743</v>
      </c>
      <c r="C44" s="332" t="s">
        <v>1502</v>
      </c>
      <c r="D44" s="69" t="s">
        <v>1503</v>
      </c>
      <c r="E44" s="65">
        <v>8.1199999999999992</v>
      </c>
      <c r="F44" s="65">
        <v>8.1199999999999992</v>
      </c>
      <c r="G44" s="65">
        <v>11.8</v>
      </c>
      <c r="H44" s="66"/>
      <c r="I44" s="67">
        <v>1</v>
      </c>
      <c r="J44" s="65">
        <v>9.9</v>
      </c>
      <c r="K44" s="68">
        <f t="shared" si="0"/>
        <v>0.17979797979798001</v>
      </c>
      <c r="L44" s="509"/>
    </row>
    <row r="45" spans="1:12" s="53" customFormat="1" ht="16" customHeight="1">
      <c r="A45" s="60">
        <v>42</v>
      </c>
      <c r="B45" s="61" t="s">
        <v>1022</v>
      </c>
      <c r="C45" s="332" t="s">
        <v>1504</v>
      </c>
      <c r="D45" s="69" t="s">
        <v>1505</v>
      </c>
      <c r="E45" s="65">
        <v>8.1199999999999992</v>
      </c>
      <c r="F45" s="65">
        <v>8.1199999999999992</v>
      </c>
      <c r="G45" s="65">
        <v>11.8</v>
      </c>
      <c r="H45" s="66"/>
      <c r="I45" s="67">
        <v>1</v>
      </c>
      <c r="J45" s="65">
        <v>9.9</v>
      </c>
      <c r="K45" s="68">
        <f t="shared" si="0"/>
        <v>0.17979797979798001</v>
      </c>
      <c r="L45" s="509"/>
    </row>
    <row r="46" spans="1:12" s="53" customFormat="1" ht="16" customHeight="1">
      <c r="A46" s="60">
        <v>43</v>
      </c>
      <c r="B46" s="61" t="s">
        <v>1022</v>
      </c>
      <c r="C46" s="332" t="s">
        <v>1506</v>
      </c>
      <c r="D46" s="69" t="s">
        <v>1507</v>
      </c>
      <c r="E46" s="65">
        <v>8.1199999999999992</v>
      </c>
      <c r="F46" s="65">
        <v>8.1199999999999992</v>
      </c>
      <c r="G46" s="65">
        <v>11.8</v>
      </c>
      <c r="H46" s="66"/>
      <c r="I46" s="67">
        <v>1</v>
      </c>
      <c r="J46" s="65">
        <v>9.9</v>
      </c>
      <c r="K46" s="68">
        <f t="shared" si="0"/>
        <v>0.17979797979798001</v>
      </c>
      <c r="L46" s="509"/>
    </row>
    <row r="47" spans="1:12" s="53" customFormat="1" ht="16" customHeight="1">
      <c r="A47" s="60">
        <v>44</v>
      </c>
      <c r="B47" s="61" t="s">
        <v>1022</v>
      </c>
      <c r="C47" s="332" t="s">
        <v>1508</v>
      </c>
      <c r="D47" s="69" t="s">
        <v>1509</v>
      </c>
      <c r="E47" s="65">
        <v>8.1199999999999992</v>
      </c>
      <c r="F47" s="65">
        <v>8.1199999999999992</v>
      </c>
      <c r="G47" s="65">
        <v>11.8</v>
      </c>
      <c r="H47" s="66"/>
      <c r="I47" s="67">
        <v>1</v>
      </c>
      <c r="J47" s="65">
        <v>9.9</v>
      </c>
      <c r="K47" s="68">
        <f t="shared" si="0"/>
        <v>0.17979797979798001</v>
      </c>
      <c r="L47" s="509"/>
    </row>
    <row r="48" spans="1:12" s="53" customFormat="1" ht="16" customHeight="1">
      <c r="A48" s="60">
        <v>45</v>
      </c>
      <c r="B48" s="61" t="s">
        <v>1022</v>
      </c>
      <c r="C48" s="332" t="s">
        <v>1510</v>
      </c>
      <c r="D48" s="69" t="s">
        <v>1511</v>
      </c>
      <c r="E48" s="65">
        <v>8.1199999999999992</v>
      </c>
      <c r="F48" s="65">
        <v>8.1199999999999992</v>
      </c>
      <c r="G48" s="65">
        <v>11.8</v>
      </c>
      <c r="H48" s="66"/>
      <c r="I48" s="67">
        <v>1</v>
      </c>
      <c r="J48" s="65">
        <v>9.9</v>
      </c>
      <c r="K48" s="68">
        <f t="shared" si="0"/>
        <v>0.17979797979798001</v>
      </c>
      <c r="L48" s="509"/>
    </row>
    <row r="49" spans="1:12" s="53" customFormat="1" ht="16" customHeight="1">
      <c r="A49" s="60">
        <v>46</v>
      </c>
      <c r="B49" s="61" t="s">
        <v>1143</v>
      </c>
      <c r="C49" s="332" t="s">
        <v>1512</v>
      </c>
      <c r="D49" s="69" t="s">
        <v>1513</v>
      </c>
      <c r="E49" s="65">
        <v>8.1199999999999992</v>
      </c>
      <c r="F49" s="65">
        <v>8.1199999999999992</v>
      </c>
      <c r="G49" s="65">
        <v>11.8</v>
      </c>
      <c r="H49" s="66"/>
      <c r="I49" s="67">
        <v>1</v>
      </c>
      <c r="J49" s="65">
        <v>9.9</v>
      </c>
      <c r="K49" s="68">
        <f t="shared" si="0"/>
        <v>0.17979797979798001</v>
      </c>
      <c r="L49" s="509"/>
    </row>
    <row r="50" spans="1:12" s="53" customFormat="1" ht="16" customHeight="1">
      <c r="A50" s="60">
        <v>47</v>
      </c>
      <c r="B50" s="61" t="s">
        <v>1022</v>
      </c>
      <c r="C50" s="332" t="s">
        <v>1514</v>
      </c>
      <c r="D50" s="69" t="s">
        <v>1515</v>
      </c>
      <c r="E50" s="65">
        <v>9</v>
      </c>
      <c r="F50" s="65">
        <v>9</v>
      </c>
      <c r="G50" s="65">
        <v>12.9</v>
      </c>
      <c r="H50" s="66"/>
      <c r="I50" s="67">
        <v>1</v>
      </c>
      <c r="J50" s="65">
        <v>9.9</v>
      </c>
      <c r="K50" s="68">
        <f t="shared" si="0"/>
        <v>9.0909090909090898E-2</v>
      </c>
      <c r="L50" s="509"/>
    </row>
    <row r="51" spans="1:12" s="53" customFormat="1" ht="16" customHeight="1">
      <c r="A51" s="60">
        <v>48</v>
      </c>
      <c r="B51" s="61" t="s">
        <v>1022</v>
      </c>
      <c r="C51" s="332" t="s">
        <v>1516</v>
      </c>
      <c r="D51" s="69" t="s">
        <v>1517</v>
      </c>
      <c r="E51" s="65">
        <v>9</v>
      </c>
      <c r="F51" s="65">
        <v>9</v>
      </c>
      <c r="G51" s="65">
        <v>12.9</v>
      </c>
      <c r="H51" s="66"/>
      <c r="I51" s="67">
        <v>1</v>
      </c>
      <c r="J51" s="65">
        <v>9.9</v>
      </c>
      <c r="K51" s="68">
        <f t="shared" si="0"/>
        <v>9.0909090909090898E-2</v>
      </c>
      <c r="L51" s="509"/>
    </row>
    <row r="52" spans="1:12" s="53" customFormat="1" ht="16" customHeight="1">
      <c r="A52" s="60">
        <v>49</v>
      </c>
      <c r="B52" s="61" t="s">
        <v>1022</v>
      </c>
      <c r="C52" s="332" t="s">
        <v>1518</v>
      </c>
      <c r="D52" s="69" t="s">
        <v>1519</v>
      </c>
      <c r="E52" s="65">
        <v>8.5</v>
      </c>
      <c r="F52" s="65">
        <v>8.5</v>
      </c>
      <c r="G52" s="65">
        <v>9.9</v>
      </c>
      <c r="H52" s="66"/>
      <c r="I52" s="67">
        <v>1</v>
      </c>
      <c r="J52" s="65">
        <v>9.9</v>
      </c>
      <c r="K52" s="68">
        <f t="shared" si="0"/>
        <v>0.14141414141414099</v>
      </c>
      <c r="L52" s="509"/>
    </row>
    <row r="53" spans="1:12" s="53" customFormat="1" ht="16" customHeight="1">
      <c r="A53" s="60">
        <v>50</v>
      </c>
      <c r="B53" s="61" t="s">
        <v>1022</v>
      </c>
      <c r="C53" s="332" t="s">
        <v>1520</v>
      </c>
      <c r="D53" s="69" t="s">
        <v>1521</v>
      </c>
      <c r="E53" s="65">
        <v>8.5</v>
      </c>
      <c r="F53" s="65">
        <v>8.5</v>
      </c>
      <c r="G53" s="65">
        <v>9.9</v>
      </c>
      <c r="H53" s="66"/>
      <c r="I53" s="67">
        <v>1</v>
      </c>
      <c r="J53" s="65">
        <v>9.9</v>
      </c>
      <c r="K53" s="68">
        <f t="shared" si="0"/>
        <v>0.14141414141414099</v>
      </c>
      <c r="L53" s="509"/>
    </row>
    <row r="54" spans="1:12" s="53" customFormat="1" ht="16" customHeight="1">
      <c r="A54" s="60">
        <v>51</v>
      </c>
      <c r="B54" s="61" t="s">
        <v>1022</v>
      </c>
      <c r="C54" s="332" t="s">
        <v>1522</v>
      </c>
      <c r="D54" s="69" t="s">
        <v>1523</v>
      </c>
      <c r="E54" s="65">
        <v>8.5</v>
      </c>
      <c r="F54" s="65">
        <v>8.5</v>
      </c>
      <c r="G54" s="65">
        <v>9.9</v>
      </c>
      <c r="H54" s="66"/>
      <c r="I54" s="67">
        <v>1</v>
      </c>
      <c r="J54" s="65">
        <v>9.9</v>
      </c>
      <c r="K54" s="68">
        <f t="shared" si="0"/>
        <v>0.14141414141414099</v>
      </c>
      <c r="L54" s="509"/>
    </row>
    <row r="55" spans="1:12" s="53" customFormat="1" ht="16" customHeight="1">
      <c r="A55" s="60">
        <v>52</v>
      </c>
      <c r="B55" s="61" t="s">
        <v>743</v>
      </c>
      <c r="C55" s="332" t="s">
        <v>1524</v>
      </c>
      <c r="D55" s="69" t="s">
        <v>1525</v>
      </c>
      <c r="E55" s="65">
        <v>8.1999999999999993</v>
      </c>
      <c r="F55" s="65">
        <v>8.1999999999999993</v>
      </c>
      <c r="G55" s="65">
        <v>9.9</v>
      </c>
      <c r="H55" s="66"/>
      <c r="I55" s="67">
        <v>1</v>
      </c>
      <c r="J55" s="65">
        <v>9.9</v>
      </c>
      <c r="K55" s="68">
        <f t="shared" si="0"/>
        <v>0.17171717171717199</v>
      </c>
      <c r="L55" s="509"/>
    </row>
    <row r="56" spans="1:12" s="53" customFormat="1" ht="16" customHeight="1">
      <c r="A56" s="60">
        <v>53</v>
      </c>
      <c r="B56" s="61" t="s">
        <v>743</v>
      </c>
      <c r="C56" s="332" t="s">
        <v>1526</v>
      </c>
      <c r="D56" s="69" t="s">
        <v>1527</v>
      </c>
      <c r="E56" s="65">
        <v>8.1999999999999993</v>
      </c>
      <c r="F56" s="65">
        <v>8.1999999999999993</v>
      </c>
      <c r="G56" s="65">
        <v>9.9</v>
      </c>
      <c r="H56" s="66"/>
      <c r="I56" s="67">
        <v>1</v>
      </c>
      <c r="J56" s="65">
        <v>9.9</v>
      </c>
      <c r="K56" s="68">
        <f t="shared" si="0"/>
        <v>0.17171717171717199</v>
      </c>
      <c r="L56" s="509"/>
    </row>
    <row r="57" spans="1:12" s="53" customFormat="1" ht="16" customHeight="1">
      <c r="A57" s="60">
        <v>54</v>
      </c>
      <c r="B57" s="61" t="s">
        <v>743</v>
      </c>
      <c r="C57" s="332" t="s">
        <v>1528</v>
      </c>
      <c r="D57" s="69" t="s">
        <v>1529</v>
      </c>
      <c r="E57" s="65">
        <v>8.8000000000000007</v>
      </c>
      <c r="F57" s="65">
        <v>8.8000000000000007</v>
      </c>
      <c r="G57" s="65">
        <v>9.9</v>
      </c>
      <c r="H57" s="66"/>
      <c r="I57" s="67">
        <v>1</v>
      </c>
      <c r="J57" s="65">
        <v>9.9</v>
      </c>
      <c r="K57" s="68">
        <f t="shared" si="0"/>
        <v>0.11111111111111099</v>
      </c>
      <c r="L57" s="509"/>
    </row>
    <row r="58" spans="1:12" s="53" customFormat="1" ht="16" customHeight="1">
      <c r="A58" s="60">
        <v>55</v>
      </c>
      <c r="B58" s="61" t="s">
        <v>743</v>
      </c>
      <c r="C58" s="332" t="s">
        <v>1530</v>
      </c>
      <c r="D58" s="69" t="s">
        <v>1531</v>
      </c>
      <c r="E58" s="65">
        <v>8.8000000000000007</v>
      </c>
      <c r="F58" s="65">
        <v>8.8000000000000007</v>
      </c>
      <c r="G58" s="65">
        <v>9.9</v>
      </c>
      <c r="H58" s="66"/>
      <c r="I58" s="67">
        <v>1</v>
      </c>
      <c r="J58" s="65">
        <v>9.9</v>
      </c>
      <c r="K58" s="68">
        <f t="shared" si="0"/>
        <v>0.11111111111111099</v>
      </c>
      <c r="L58" s="509"/>
    </row>
    <row r="59" spans="1:12" s="53" customFormat="1" ht="16" customHeight="1">
      <c r="A59" s="60">
        <v>56</v>
      </c>
      <c r="B59" s="61" t="s">
        <v>743</v>
      </c>
      <c r="C59" s="332" t="s">
        <v>1532</v>
      </c>
      <c r="D59" s="69" t="s">
        <v>1533</v>
      </c>
      <c r="E59" s="65">
        <v>8.8000000000000007</v>
      </c>
      <c r="F59" s="65">
        <v>8.8000000000000007</v>
      </c>
      <c r="G59" s="65">
        <v>9.9</v>
      </c>
      <c r="H59" s="66"/>
      <c r="I59" s="67">
        <v>1</v>
      </c>
      <c r="J59" s="65">
        <v>9.9</v>
      </c>
      <c r="K59" s="68">
        <f t="shared" si="0"/>
        <v>0.11111111111111099</v>
      </c>
      <c r="L59" s="509"/>
    </row>
    <row r="60" spans="1:12" s="53" customFormat="1" ht="16" customHeight="1">
      <c r="A60" s="60">
        <v>57</v>
      </c>
      <c r="B60" s="61" t="s">
        <v>743</v>
      </c>
      <c r="C60" s="332" t="s">
        <v>1534</v>
      </c>
      <c r="D60" s="336" t="s">
        <v>3845</v>
      </c>
      <c r="E60" s="65">
        <v>8.8000000000000007</v>
      </c>
      <c r="F60" s="65">
        <v>8.8000000000000007</v>
      </c>
      <c r="G60" s="65">
        <v>9.9</v>
      </c>
      <c r="H60" s="66"/>
      <c r="I60" s="67">
        <v>1</v>
      </c>
      <c r="J60" s="65">
        <v>9.9</v>
      </c>
      <c r="K60" s="68">
        <f t="shared" si="0"/>
        <v>0.11111111111111099</v>
      </c>
      <c r="L60" s="509"/>
    </row>
    <row r="61" spans="1:12" s="53" customFormat="1" ht="16" customHeight="1">
      <c r="A61" s="60">
        <v>58</v>
      </c>
      <c r="B61" s="61" t="s">
        <v>743</v>
      </c>
      <c r="C61" s="332" t="s">
        <v>1535</v>
      </c>
      <c r="D61" s="69" t="s">
        <v>1536</v>
      </c>
      <c r="E61" s="65">
        <v>8.8000000000000007</v>
      </c>
      <c r="F61" s="65">
        <v>8.8000000000000007</v>
      </c>
      <c r="G61" s="65">
        <v>9.9</v>
      </c>
      <c r="H61" s="66"/>
      <c r="I61" s="67">
        <v>1</v>
      </c>
      <c r="J61" s="65">
        <v>9.9</v>
      </c>
      <c r="K61" s="68">
        <f t="shared" si="0"/>
        <v>0.11111111111111099</v>
      </c>
      <c r="L61" s="509"/>
    </row>
    <row r="62" spans="1:12" s="53" customFormat="1" ht="16" customHeight="1">
      <c r="A62" s="60">
        <v>59</v>
      </c>
      <c r="B62" s="61" t="s">
        <v>743</v>
      </c>
      <c r="C62" s="332" t="s">
        <v>1537</v>
      </c>
      <c r="D62" s="69" t="s">
        <v>1538</v>
      </c>
      <c r="E62" s="65">
        <v>8.8000000000000007</v>
      </c>
      <c r="F62" s="65">
        <v>8.8000000000000007</v>
      </c>
      <c r="G62" s="65">
        <v>9.9</v>
      </c>
      <c r="H62" s="66"/>
      <c r="I62" s="67">
        <v>1</v>
      </c>
      <c r="J62" s="65">
        <v>9.9</v>
      </c>
      <c r="K62" s="68">
        <f t="shared" si="0"/>
        <v>0.11111111111111099</v>
      </c>
      <c r="L62" s="509"/>
    </row>
    <row r="63" spans="1:12" s="53" customFormat="1" ht="16" customHeight="1">
      <c r="A63" s="60">
        <v>60</v>
      </c>
      <c r="B63" s="61" t="s">
        <v>743</v>
      </c>
      <c r="C63" s="332" t="s">
        <v>1539</v>
      </c>
      <c r="D63" s="69" t="s">
        <v>1540</v>
      </c>
      <c r="E63" s="65">
        <v>7.4</v>
      </c>
      <c r="F63" s="65">
        <v>7.4</v>
      </c>
      <c r="G63" s="65">
        <v>12.8</v>
      </c>
      <c r="H63" s="66"/>
      <c r="I63" s="67">
        <v>1</v>
      </c>
      <c r="J63" s="65">
        <v>9.9</v>
      </c>
      <c r="K63" s="68">
        <f t="shared" si="0"/>
        <v>0.25252525252525199</v>
      </c>
      <c r="L63" s="509"/>
    </row>
    <row r="64" spans="1:12" s="53" customFormat="1" ht="16" customHeight="1">
      <c r="A64" s="60">
        <v>61</v>
      </c>
      <c r="B64" s="61" t="s">
        <v>743</v>
      </c>
      <c r="C64" s="332" t="s">
        <v>1541</v>
      </c>
      <c r="D64" s="69" t="s">
        <v>1542</v>
      </c>
      <c r="E64" s="65">
        <v>7.4</v>
      </c>
      <c r="F64" s="65">
        <v>7.4</v>
      </c>
      <c r="G64" s="65">
        <v>11.9</v>
      </c>
      <c r="H64" s="66"/>
      <c r="I64" s="67">
        <v>1</v>
      </c>
      <c r="J64" s="65">
        <v>9.9</v>
      </c>
      <c r="K64" s="68">
        <f t="shared" si="0"/>
        <v>0.25252525252525199</v>
      </c>
      <c r="L64" s="509"/>
    </row>
    <row r="65" spans="1:15" s="53" customFormat="1" ht="16" customHeight="1">
      <c r="A65" s="60">
        <v>62</v>
      </c>
      <c r="B65" s="61" t="s">
        <v>1368</v>
      </c>
      <c r="C65" s="332" t="s">
        <v>1411</v>
      </c>
      <c r="D65" s="69" t="s">
        <v>1412</v>
      </c>
      <c r="E65" s="65">
        <v>10.199999999999999</v>
      </c>
      <c r="F65" s="65">
        <f>E65/(1+H65)</f>
        <v>9.2727272727272698</v>
      </c>
      <c r="G65" s="65">
        <v>13.8</v>
      </c>
      <c r="H65" s="66">
        <v>0.1</v>
      </c>
      <c r="I65" s="67">
        <v>1</v>
      </c>
      <c r="J65" s="65">
        <v>9.9</v>
      </c>
      <c r="K65" s="68">
        <f t="shared" si="0"/>
        <v>6.3360881542699907E-2</v>
      </c>
      <c r="L65" s="509"/>
    </row>
    <row r="66" spans="1:15" s="53" customFormat="1" ht="16" customHeight="1">
      <c r="A66" s="60">
        <v>63</v>
      </c>
      <c r="B66" s="61" t="s">
        <v>1368</v>
      </c>
      <c r="C66" s="332" t="s">
        <v>1409</v>
      </c>
      <c r="D66" s="69" t="s">
        <v>1410</v>
      </c>
      <c r="E66" s="65">
        <v>10.199999999999999</v>
      </c>
      <c r="F66" s="65">
        <f>E66/(1+H66)</f>
        <v>9.2727272727272698</v>
      </c>
      <c r="G66" s="65">
        <v>13.8</v>
      </c>
      <c r="H66" s="66">
        <v>0.1</v>
      </c>
      <c r="I66" s="67">
        <v>1</v>
      </c>
      <c r="J66" s="65">
        <v>9.9</v>
      </c>
      <c r="K66" s="68">
        <f t="shared" si="0"/>
        <v>6.3360881542699907E-2</v>
      </c>
      <c r="L66" s="509"/>
    </row>
    <row r="67" spans="1:15" s="53" customFormat="1" ht="16" customHeight="1">
      <c r="A67" s="60">
        <v>64</v>
      </c>
      <c r="B67" s="61" t="s">
        <v>1368</v>
      </c>
      <c r="C67" s="332" t="s">
        <v>1407</v>
      </c>
      <c r="D67" s="69" t="s">
        <v>1408</v>
      </c>
      <c r="E67" s="65">
        <v>10.199999999999999</v>
      </c>
      <c r="F67" s="65">
        <f>E67/(1+H67)</f>
        <v>9.2727272727272698</v>
      </c>
      <c r="G67" s="65">
        <v>13.8</v>
      </c>
      <c r="H67" s="66">
        <v>0.1</v>
      </c>
      <c r="I67" s="67">
        <v>1</v>
      </c>
      <c r="J67" s="65">
        <v>9.9</v>
      </c>
      <c r="K67" s="68">
        <f t="shared" si="0"/>
        <v>6.3360881542699907E-2</v>
      </c>
      <c r="L67" s="509"/>
    </row>
    <row r="68" spans="1:15" s="53" customFormat="1" ht="16" customHeight="1">
      <c r="A68" s="60">
        <v>65</v>
      </c>
      <c r="B68" s="61" t="s">
        <v>1022</v>
      </c>
      <c r="C68" s="61" t="s">
        <v>1082</v>
      </c>
      <c r="D68" s="69" t="s">
        <v>1543</v>
      </c>
      <c r="E68" s="65">
        <v>11.5</v>
      </c>
      <c r="F68" s="65">
        <v>6.5388187183033697</v>
      </c>
      <c r="G68" s="65">
        <v>22.9</v>
      </c>
      <c r="H68" s="66"/>
      <c r="I68" s="67">
        <v>1</v>
      </c>
      <c r="J68" s="65">
        <v>9.9</v>
      </c>
      <c r="K68" s="68">
        <f t="shared" ref="K68:K131" si="1">1-((F68*I68)/J68)</f>
        <v>0.33951326077743699</v>
      </c>
      <c r="L68" s="509"/>
      <c r="M68"/>
      <c r="N68"/>
      <c r="O68"/>
    </row>
    <row r="69" spans="1:15" s="53" customFormat="1" ht="16" customHeight="1">
      <c r="A69" s="60">
        <v>66</v>
      </c>
      <c r="B69" s="61" t="s">
        <v>1022</v>
      </c>
      <c r="C69" s="61" t="s">
        <v>1059</v>
      </c>
      <c r="D69" s="69" t="s">
        <v>1544</v>
      </c>
      <c r="E69" s="65">
        <v>9</v>
      </c>
      <c r="F69" s="65">
        <v>6.0609061669829201</v>
      </c>
      <c r="G69" s="65">
        <v>14.9</v>
      </c>
      <c r="H69" s="66"/>
      <c r="I69" s="67">
        <v>1</v>
      </c>
      <c r="J69" s="65">
        <v>9.9</v>
      </c>
      <c r="K69" s="68">
        <f t="shared" si="1"/>
        <v>0.38778725586031099</v>
      </c>
      <c r="L69" s="509"/>
      <c r="M69"/>
      <c r="N69"/>
      <c r="O69"/>
    </row>
    <row r="70" spans="1:15" s="53" customFormat="1" ht="16" customHeight="1">
      <c r="A70" s="60">
        <v>67</v>
      </c>
      <c r="B70" s="61" t="s">
        <v>743</v>
      </c>
      <c r="C70" s="61" t="s">
        <v>812</v>
      </c>
      <c r="D70" s="336" t="s">
        <v>3846</v>
      </c>
      <c r="E70" s="65">
        <v>9</v>
      </c>
      <c r="F70" s="65">
        <v>9.0212327485380097</v>
      </c>
      <c r="G70" s="65">
        <v>17.899999999999999</v>
      </c>
      <c r="H70" s="66"/>
      <c r="I70" s="67">
        <v>1</v>
      </c>
      <c r="J70" s="65">
        <v>9.9</v>
      </c>
      <c r="K70" s="68">
        <f t="shared" si="1"/>
        <v>8.8764368834544499E-2</v>
      </c>
      <c r="L70" s="509"/>
      <c r="M70"/>
      <c r="N70"/>
      <c r="O70"/>
    </row>
    <row r="71" spans="1:15" s="53" customFormat="1" ht="16" customHeight="1">
      <c r="A71" s="60">
        <v>68</v>
      </c>
      <c r="B71" s="61" t="s">
        <v>1022</v>
      </c>
      <c r="C71" s="332" t="s">
        <v>1545</v>
      </c>
      <c r="D71" s="69" t="s">
        <v>1546</v>
      </c>
      <c r="E71" s="65">
        <v>9.31</v>
      </c>
      <c r="F71" s="65">
        <v>9.31</v>
      </c>
      <c r="G71" s="65">
        <v>12.8</v>
      </c>
      <c r="H71" s="66">
        <v>0.1</v>
      </c>
      <c r="I71" s="67">
        <v>1</v>
      </c>
      <c r="J71" s="65">
        <v>9.9</v>
      </c>
      <c r="K71" s="68">
        <f t="shared" si="1"/>
        <v>5.9595959595959501E-2</v>
      </c>
      <c r="L71" s="509"/>
      <c r="M71"/>
      <c r="N71"/>
      <c r="O71"/>
    </row>
    <row r="72" spans="1:15" s="53" customFormat="1" ht="16" customHeight="1">
      <c r="A72" s="60">
        <v>69</v>
      </c>
      <c r="B72" s="61" t="s">
        <v>1022</v>
      </c>
      <c r="C72" s="332" t="s">
        <v>1547</v>
      </c>
      <c r="D72" s="69" t="s">
        <v>1548</v>
      </c>
      <c r="E72" s="65">
        <v>9.31</v>
      </c>
      <c r="F72" s="65">
        <v>9.31</v>
      </c>
      <c r="G72" s="65">
        <v>12.8</v>
      </c>
      <c r="H72" s="66">
        <v>0.1</v>
      </c>
      <c r="I72" s="67">
        <v>1</v>
      </c>
      <c r="J72" s="65">
        <v>9.9</v>
      </c>
      <c r="K72" s="68">
        <f t="shared" si="1"/>
        <v>5.9595959595959501E-2</v>
      </c>
      <c r="L72" s="509"/>
      <c r="M72"/>
      <c r="N72"/>
      <c r="O72"/>
    </row>
    <row r="73" spans="1:15" s="53" customFormat="1" ht="16" customHeight="1">
      <c r="A73" s="60">
        <v>70</v>
      </c>
      <c r="B73" s="61" t="s">
        <v>1022</v>
      </c>
      <c r="C73" s="332" t="s">
        <v>1549</v>
      </c>
      <c r="D73" s="69" t="s">
        <v>1550</v>
      </c>
      <c r="E73" s="65">
        <v>6.25</v>
      </c>
      <c r="F73" s="65">
        <v>6.25</v>
      </c>
      <c r="G73" s="65">
        <v>9.9</v>
      </c>
      <c r="H73" s="66"/>
      <c r="I73" s="67">
        <v>1</v>
      </c>
      <c r="J73" s="65">
        <v>9.9</v>
      </c>
      <c r="K73" s="68">
        <f t="shared" si="1"/>
        <v>0.36868686868686901</v>
      </c>
      <c r="L73" s="509"/>
      <c r="M73"/>
      <c r="N73"/>
      <c r="O73"/>
    </row>
    <row r="74" spans="1:15" s="53" customFormat="1" ht="16" customHeight="1">
      <c r="A74" s="60">
        <v>71</v>
      </c>
      <c r="B74" s="61" t="s">
        <v>743</v>
      </c>
      <c r="C74" s="332" t="s">
        <v>1551</v>
      </c>
      <c r="D74" s="69" t="s">
        <v>1552</v>
      </c>
      <c r="E74" s="65">
        <v>9.06</v>
      </c>
      <c r="F74" s="65">
        <v>9.06</v>
      </c>
      <c r="G74" s="65">
        <v>12.9</v>
      </c>
      <c r="H74" s="66">
        <v>0.03</v>
      </c>
      <c r="I74" s="67">
        <v>1</v>
      </c>
      <c r="J74" s="65">
        <v>9.9</v>
      </c>
      <c r="K74" s="68">
        <f t="shared" si="1"/>
        <v>8.4848484848484798E-2</v>
      </c>
      <c r="L74" s="509"/>
      <c r="M74"/>
      <c r="N74"/>
      <c r="O74"/>
    </row>
    <row r="75" spans="1:15" s="53" customFormat="1" ht="16" customHeight="1">
      <c r="A75" s="60">
        <v>72</v>
      </c>
      <c r="B75" s="61" t="s">
        <v>1143</v>
      </c>
      <c r="C75" s="332" t="s">
        <v>1553</v>
      </c>
      <c r="D75" s="336" t="s">
        <v>3847</v>
      </c>
      <c r="E75" s="65">
        <v>3.9</v>
      </c>
      <c r="F75" s="65">
        <v>3.9</v>
      </c>
      <c r="G75" s="65">
        <v>5.8</v>
      </c>
      <c r="H75" s="66"/>
      <c r="I75" s="67">
        <v>2</v>
      </c>
      <c r="J75" s="65">
        <v>9.9</v>
      </c>
      <c r="K75" s="68">
        <f t="shared" si="1"/>
        <v>0.21212121212121199</v>
      </c>
      <c r="L75" s="509"/>
    </row>
    <row r="76" spans="1:15" s="53" customFormat="1" ht="16" customHeight="1">
      <c r="A76" s="60">
        <v>73</v>
      </c>
      <c r="B76" s="61" t="s">
        <v>743</v>
      </c>
      <c r="C76" s="61" t="s">
        <v>1554</v>
      </c>
      <c r="D76" s="69" t="s">
        <v>1555</v>
      </c>
      <c r="E76" s="65">
        <v>4.55</v>
      </c>
      <c r="F76" s="65">
        <v>4.3665196304179599</v>
      </c>
      <c r="G76" s="65">
        <v>7.9</v>
      </c>
      <c r="H76" s="70"/>
      <c r="I76" s="67">
        <v>2</v>
      </c>
      <c r="J76" s="65">
        <v>9.9</v>
      </c>
      <c r="K76" s="68">
        <f t="shared" si="1"/>
        <v>0.117874822137786</v>
      </c>
      <c r="L76" s="509"/>
      <c r="M76"/>
      <c r="N76"/>
      <c r="O76"/>
    </row>
    <row r="77" spans="1:15" s="53" customFormat="1" ht="16" customHeight="1">
      <c r="A77" s="60">
        <v>74</v>
      </c>
      <c r="B77" s="61" t="s">
        <v>743</v>
      </c>
      <c r="C77" s="61" t="s">
        <v>1556</v>
      </c>
      <c r="D77" s="69" t="s">
        <v>1557</v>
      </c>
      <c r="E77" s="65">
        <v>4.55</v>
      </c>
      <c r="F77" s="65">
        <v>4.3787403747870499</v>
      </c>
      <c r="G77" s="65">
        <v>7.9</v>
      </c>
      <c r="H77" s="70"/>
      <c r="I77" s="67">
        <v>2</v>
      </c>
      <c r="J77" s="65">
        <v>9.9</v>
      </c>
      <c r="K77" s="68">
        <f t="shared" si="1"/>
        <v>0.115405984891505</v>
      </c>
      <c r="L77" s="509"/>
    </row>
    <row r="78" spans="1:15" s="53" customFormat="1" ht="16" customHeight="1">
      <c r="A78" s="60">
        <v>75</v>
      </c>
      <c r="B78" s="61" t="s">
        <v>743</v>
      </c>
      <c r="C78" s="62" t="s">
        <v>1558</v>
      </c>
      <c r="D78" s="71" t="s">
        <v>1559</v>
      </c>
      <c r="E78" s="64">
        <v>4.55</v>
      </c>
      <c r="F78" s="65">
        <v>4.3783230256628398</v>
      </c>
      <c r="G78" s="64">
        <v>7.9</v>
      </c>
      <c r="H78" s="66"/>
      <c r="I78" s="67">
        <v>2</v>
      </c>
      <c r="J78" s="65">
        <v>9.9</v>
      </c>
      <c r="K78" s="68">
        <f t="shared" si="1"/>
        <v>0.115490297845891</v>
      </c>
      <c r="L78" s="509"/>
    </row>
    <row r="79" spans="1:15" s="53" customFormat="1" ht="16" customHeight="1">
      <c r="A79" s="60">
        <v>76</v>
      </c>
      <c r="B79" s="61" t="s">
        <v>743</v>
      </c>
      <c r="C79" s="61" t="s">
        <v>1560</v>
      </c>
      <c r="D79" s="72" t="s">
        <v>1561</v>
      </c>
      <c r="E79" s="65">
        <v>5.31</v>
      </c>
      <c r="F79" s="65">
        <v>4.8424991807857003</v>
      </c>
      <c r="G79" s="65">
        <v>7.5</v>
      </c>
      <c r="H79" s="66">
        <v>0.13</v>
      </c>
      <c r="I79" s="67">
        <v>2</v>
      </c>
      <c r="J79" s="65">
        <v>9.9</v>
      </c>
      <c r="K79" s="68">
        <f t="shared" si="1"/>
        <v>2.17173372150101E-2</v>
      </c>
      <c r="L79" s="509"/>
    </row>
    <row r="80" spans="1:15" s="53" customFormat="1" ht="16" customHeight="1">
      <c r="A80" s="60">
        <v>77</v>
      </c>
      <c r="B80" s="61" t="s">
        <v>743</v>
      </c>
      <c r="C80" s="61" t="s">
        <v>1562</v>
      </c>
      <c r="D80" s="72" t="s">
        <v>1563</v>
      </c>
      <c r="E80" s="65">
        <v>5.31</v>
      </c>
      <c r="F80" s="65">
        <v>4.8511185938501002</v>
      </c>
      <c r="G80" s="65">
        <v>7.5</v>
      </c>
      <c r="H80" s="66">
        <v>0.13</v>
      </c>
      <c r="I80" s="67">
        <v>2</v>
      </c>
      <c r="J80" s="65">
        <v>9.9</v>
      </c>
      <c r="K80" s="68">
        <f t="shared" si="1"/>
        <v>1.9976041646444401E-2</v>
      </c>
      <c r="L80" s="509"/>
    </row>
    <row r="81" spans="1:12" s="53" customFormat="1" ht="16" customHeight="1">
      <c r="A81" s="60">
        <v>78</v>
      </c>
      <c r="B81" s="61" t="s">
        <v>743</v>
      </c>
      <c r="C81" s="61" t="s">
        <v>1564</v>
      </c>
      <c r="D81" s="72" t="s">
        <v>1565</v>
      </c>
      <c r="E81" s="65">
        <v>5.31</v>
      </c>
      <c r="F81" s="65">
        <v>4.82466288363171</v>
      </c>
      <c r="G81" s="65">
        <v>7.5</v>
      </c>
      <c r="H81" s="66">
        <v>0.13</v>
      </c>
      <c r="I81" s="67">
        <v>2</v>
      </c>
      <c r="J81" s="65">
        <v>9.9</v>
      </c>
      <c r="K81" s="68">
        <f t="shared" si="1"/>
        <v>2.5320629569351501E-2</v>
      </c>
      <c r="L81" s="509"/>
    </row>
    <row r="82" spans="1:12" s="53" customFormat="1" ht="16" customHeight="1">
      <c r="A82" s="60">
        <v>79</v>
      </c>
      <c r="B82" s="61" t="s">
        <v>743</v>
      </c>
      <c r="C82" s="61" t="s">
        <v>1566</v>
      </c>
      <c r="D82" s="72" t="s">
        <v>1567</v>
      </c>
      <c r="E82" s="65">
        <v>4.93</v>
      </c>
      <c r="F82" s="65">
        <v>4.6874382802269796</v>
      </c>
      <c r="G82" s="65">
        <v>7</v>
      </c>
      <c r="H82" s="70">
        <v>0.13</v>
      </c>
      <c r="I82" s="67">
        <v>2</v>
      </c>
      <c r="J82" s="65">
        <v>9.9</v>
      </c>
      <c r="K82" s="68">
        <f t="shared" si="1"/>
        <v>5.3042771671317303E-2</v>
      </c>
      <c r="L82" s="509"/>
    </row>
    <row r="83" spans="1:12" s="53" customFormat="1" ht="16" customHeight="1">
      <c r="A83" s="60">
        <v>80</v>
      </c>
      <c r="B83" s="61" t="s">
        <v>743</v>
      </c>
      <c r="C83" s="73" t="s">
        <v>1568</v>
      </c>
      <c r="D83" s="74" t="s">
        <v>1569</v>
      </c>
      <c r="E83" s="65">
        <v>4.93</v>
      </c>
      <c r="F83" s="65">
        <v>4.7804020939734402</v>
      </c>
      <c r="G83" s="65">
        <v>7</v>
      </c>
      <c r="H83" s="70">
        <v>0.13</v>
      </c>
      <c r="I83" s="67">
        <v>2</v>
      </c>
      <c r="J83" s="65">
        <v>9.9</v>
      </c>
      <c r="K83" s="68">
        <f t="shared" si="1"/>
        <v>3.4262203237688901E-2</v>
      </c>
      <c r="L83" s="509"/>
    </row>
    <row r="84" spans="1:12" s="53" customFormat="1" ht="16" customHeight="1">
      <c r="A84" s="60">
        <v>81</v>
      </c>
      <c r="B84" s="61" t="s">
        <v>743</v>
      </c>
      <c r="C84" s="61" t="s">
        <v>790</v>
      </c>
      <c r="D84" s="69" t="s">
        <v>791</v>
      </c>
      <c r="E84" s="65">
        <v>5.31</v>
      </c>
      <c r="F84" s="65">
        <v>4.9045783114992698</v>
      </c>
      <c r="G84" s="65">
        <v>7.5</v>
      </c>
      <c r="H84" s="66">
        <v>0.13</v>
      </c>
      <c r="I84" s="67">
        <v>2</v>
      </c>
      <c r="J84" s="65">
        <v>9.9</v>
      </c>
      <c r="K84" s="68">
        <f t="shared" si="1"/>
        <v>9.1760986870161893E-3</v>
      </c>
      <c r="L84" s="509"/>
    </row>
    <row r="85" spans="1:12" s="53" customFormat="1" ht="16" customHeight="1">
      <c r="A85" s="60">
        <v>82</v>
      </c>
      <c r="B85" s="61" t="s">
        <v>743</v>
      </c>
      <c r="C85" s="61" t="s">
        <v>752</v>
      </c>
      <c r="D85" s="69" t="s">
        <v>753</v>
      </c>
      <c r="E85" s="65">
        <v>3.92</v>
      </c>
      <c r="F85" s="65">
        <v>3.6718617154811701</v>
      </c>
      <c r="G85" s="65">
        <v>5.9</v>
      </c>
      <c r="H85" s="66">
        <v>0.13</v>
      </c>
      <c r="I85" s="67">
        <v>2</v>
      </c>
      <c r="J85" s="65">
        <v>9.9</v>
      </c>
      <c r="K85" s="68">
        <f t="shared" si="1"/>
        <v>0.25820975444824801</v>
      </c>
      <c r="L85" s="509"/>
    </row>
    <row r="86" spans="1:12" s="53" customFormat="1" ht="16" customHeight="1">
      <c r="A86" s="60">
        <v>83</v>
      </c>
      <c r="B86" s="61" t="s">
        <v>743</v>
      </c>
      <c r="C86" s="61" t="s">
        <v>754</v>
      </c>
      <c r="D86" s="69" t="s">
        <v>755</v>
      </c>
      <c r="E86" s="65">
        <v>3.92</v>
      </c>
      <c r="F86" s="65">
        <v>3.7484321064996098</v>
      </c>
      <c r="G86" s="65">
        <v>5.9</v>
      </c>
      <c r="H86" s="66">
        <v>0.13</v>
      </c>
      <c r="I86" s="67">
        <v>2</v>
      </c>
      <c r="J86" s="65">
        <v>9.9</v>
      </c>
      <c r="K86" s="68">
        <f t="shared" si="1"/>
        <v>0.24274098858593701</v>
      </c>
      <c r="L86" s="509"/>
    </row>
    <row r="87" spans="1:12" s="53" customFormat="1" ht="16" customHeight="1">
      <c r="A87" s="60">
        <v>84</v>
      </c>
      <c r="B87" s="61" t="s">
        <v>743</v>
      </c>
      <c r="C87" s="61" t="s">
        <v>746</v>
      </c>
      <c r="D87" s="69" t="s">
        <v>747</v>
      </c>
      <c r="E87" s="65">
        <v>4.32</v>
      </c>
      <c r="F87" s="65">
        <v>3.85718766839378</v>
      </c>
      <c r="G87" s="65">
        <v>6.5</v>
      </c>
      <c r="H87" s="66">
        <v>0.13</v>
      </c>
      <c r="I87" s="67">
        <v>2</v>
      </c>
      <c r="J87" s="65">
        <v>9.9</v>
      </c>
      <c r="K87" s="68">
        <f t="shared" si="1"/>
        <v>0.22077016800125701</v>
      </c>
      <c r="L87" s="509"/>
    </row>
    <row r="88" spans="1:12" s="53" customFormat="1" ht="16" customHeight="1">
      <c r="A88" s="60">
        <v>85</v>
      </c>
      <c r="B88" s="61" t="s">
        <v>743</v>
      </c>
      <c r="C88" s="61" t="s">
        <v>744</v>
      </c>
      <c r="D88" s="72" t="s">
        <v>745</v>
      </c>
      <c r="E88" s="65">
        <v>4.32</v>
      </c>
      <c r="F88" s="65">
        <v>4.1746352409638599</v>
      </c>
      <c r="G88" s="65">
        <v>6.5</v>
      </c>
      <c r="H88" s="66">
        <v>0.13</v>
      </c>
      <c r="I88" s="67">
        <v>2</v>
      </c>
      <c r="J88" s="65">
        <v>9.9</v>
      </c>
      <c r="K88" s="68">
        <f t="shared" si="1"/>
        <v>0.15663934525982601</v>
      </c>
      <c r="L88" s="509"/>
    </row>
    <row r="89" spans="1:12" s="53" customFormat="1" ht="16" customHeight="1">
      <c r="A89" s="60">
        <v>86</v>
      </c>
      <c r="B89" s="61" t="s">
        <v>743</v>
      </c>
      <c r="C89" s="61" t="s">
        <v>1570</v>
      </c>
      <c r="D89" s="69" t="s">
        <v>1571</v>
      </c>
      <c r="E89" s="65">
        <v>4.7699999999999996</v>
      </c>
      <c r="F89" s="65">
        <v>4.5614576867816101</v>
      </c>
      <c r="G89" s="65">
        <v>6.9</v>
      </c>
      <c r="H89" s="66">
        <v>0.13</v>
      </c>
      <c r="I89" s="67">
        <v>2</v>
      </c>
      <c r="J89" s="65">
        <v>9.9</v>
      </c>
      <c r="K89" s="68">
        <f t="shared" si="1"/>
        <v>7.8493396609775695E-2</v>
      </c>
      <c r="L89" s="509"/>
    </row>
    <row r="90" spans="1:12" s="53" customFormat="1" ht="16" customHeight="1">
      <c r="A90" s="60">
        <v>87</v>
      </c>
      <c r="B90" s="61" t="s">
        <v>743</v>
      </c>
      <c r="C90" s="61" t="s">
        <v>1572</v>
      </c>
      <c r="D90" s="69" t="s">
        <v>1573</v>
      </c>
      <c r="E90" s="65">
        <v>4.7699999999999996</v>
      </c>
      <c r="F90" s="65">
        <v>4.6764622457282297</v>
      </c>
      <c r="G90" s="65">
        <v>6.9</v>
      </c>
      <c r="H90" s="66">
        <v>0.13</v>
      </c>
      <c r="I90" s="67">
        <v>2</v>
      </c>
      <c r="J90" s="65">
        <v>9.9</v>
      </c>
      <c r="K90" s="68">
        <f t="shared" si="1"/>
        <v>5.5260152378135398E-2</v>
      </c>
      <c r="L90" s="509"/>
    </row>
    <row r="91" spans="1:12" s="53" customFormat="1" ht="16" customHeight="1">
      <c r="A91" s="60">
        <v>88</v>
      </c>
      <c r="B91" s="61" t="s">
        <v>1022</v>
      </c>
      <c r="C91" s="61" t="s">
        <v>1574</v>
      </c>
      <c r="D91" s="69" t="s">
        <v>1575</v>
      </c>
      <c r="E91" s="65">
        <v>3.13</v>
      </c>
      <c r="F91" s="65">
        <v>3.13045515026382</v>
      </c>
      <c r="G91" s="65">
        <v>7</v>
      </c>
      <c r="H91" s="66">
        <v>0.13</v>
      </c>
      <c r="I91" s="67">
        <v>2</v>
      </c>
      <c r="J91" s="65">
        <v>9.9</v>
      </c>
      <c r="K91" s="68">
        <f t="shared" si="1"/>
        <v>0.36758481812852101</v>
      </c>
      <c r="L91" s="509"/>
    </row>
    <row r="92" spans="1:12" s="53" customFormat="1" ht="16" customHeight="1">
      <c r="A92" s="60">
        <v>89</v>
      </c>
      <c r="B92" s="61" t="s">
        <v>1022</v>
      </c>
      <c r="C92" s="61" t="s">
        <v>772</v>
      </c>
      <c r="D92" s="69" t="s">
        <v>773</v>
      </c>
      <c r="E92" s="65">
        <v>3.68</v>
      </c>
      <c r="F92" s="65">
        <v>3.3004564968152899</v>
      </c>
      <c r="G92" s="65">
        <v>5</v>
      </c>
      <c r="H92" s="66">
        <v>0.13</v>
      </c>
      <c r="I92" s="67">
        <v>2</v>
      </c>
      <c r="J92" s="65">
        <v>9.9</v>
      </c>
      <c r="K92" s="68">
        <f t="shared" si="1"/>
        <v>0.33324111175448701</v>
      </c>
      <c r="L92" s="509"/>
    </row>
    <row r="93" spans="1:12" s="53" customFormat="1" ht="16" customHeight="1">
      <c r="A93" s="60">
        <v>90</v>
      </c>
      <c r="B93" s="61" t="s">
        <v>1022</v>
      </c>
      <c r="C93" s="61" t="s">
        <v>770</v>
      </c>
      <c r="D93" s="69" t="s">
        <v>771</v>
      </c>
      <c r="E93" s="65">
        <v>3.68</v>
      </c>
      <c r="F93" s="65">
        <v>3.35358641732283</v>
      </c>
      <c r="G93" s="65">
        <v>5</v>
      </c>
      <c r="H93" s="66">
        <v>0.13</v>
      </c>
      <c r="I93" s="67">
        <v>2</v>
      </c>
      <c r="J93" s="65">
        <v>9.9</v>
      </c>
      <c r="K93" s="68">
        <f t="shared" si="1"/>
        <v>0.32250779448023598</v>
      </c>
      <c r="L93" s="509"/>
    </row>
    <row r="94" spans="1:12" s="53" customFormat="1" ht="16" customHeight="1">
      <c r="A94" s="60">
        <v>91</v>
      </c>
      <c r="B94" s="61" t="s">
        <v>1022</v>
      </c>
      <c r="C94" s="61" t="s">
        <v>764</v>
      </c>
      <c r="D94" s="69" t="s">
        <v>765</v>
      </c>
      <c r="E94" s="65">
        <v>3.68</v>
      </c>
      <c r="F94" s="65">
        <v>3.2981173758865201</v>
      </c>
      <c r="G94" s="65">
        <v>5</v>
      </c>
      <c r="H94" s="66">
        <v>0.13</v>
      </c>
      <c r="I94" s="67">
        <v>2</v>
      </c>
      <c r="J94" s="65">
        <v>9.9</v>
      </c>
      <c r="K94" s="68">
        <f t="shared" si="1"/>
        <v>0.33371366143706699</v>
      </c>
      <c r="L94" s="509"/>
    </row>
    <row r="95" spans="1:12" s="53" customFormat="1" ht="16" customHeight="1">
      <c r="A95" s="60">
        <v>92</v>
      </c>
      <c r="B95" s="61" t="s">
        <v>1022</v>
      </c>
      <c r="C95" s="61" t="s">
        <v>768</v>
      </c>
      <c r="D95" s="69" t="s">
        <v>769</v>
      </c>
      <c r="E95" s="65">
        <v>3.68</v>
      </c>
      <c r="F95" s="65">
        <v>3.4014726910299</v>
      </c>
      <c r="G95" s="65">
        <v>5</v>
      </c>
      <c r="H95" s="66">
        <v>0.13</v>
      </c>
      <c r="I95" s="67">
        <v>2</v>
      </c>
      <c r="J95" s="65">
        <v>9.9</v>
      </c>
      <c r="K95" s="68">
        <f t="shared" si="1"/>
        <v>0.31283379979193898</v>
      </c>
      <c r="L95" s="509"/>
    </row>
    <row r="96" spans="1:12" s="53" customFormat="1" ht="16" customHeight="1">
      <c r="A96" s="60">
        <v>93</v>
      </c>
      <c r="B96" s="61" t="s">
        <v>1022</v>
      </c>
      <c r="C96" s="61" t="s">
        <v>766</v>
      </c>
      <c r="D96" s="69" t="s">
        <v>767</v>
      </c>
      <c r="E96" s="65">
        <v>3.68</v>
      </c>
      <c r="F96" s="65">
        <v>3.5950751256281399</v>
      </c>
      <c r="G96" s="65">
        <v>5</v>
      </c>
      <c r="H96" s="66">
        <v>0.13</v>
      </c>
      <c r="I96" s="67">
        <v>2</v>
      </c>
      <c r="J96" s="65">
        <v>9.9</v>
      </c>
      <c r="K96" s="68">
        <f t="shared" si="1"/>
        <v>0.27372219684280003</v>
      </c>
      <c r="L96" s="509"/>
    </row>
    <row r="97" spans="1:15" s="53" customFormat="1" ht="16" customHeight="1">
      <c r="A97" s="60">
        <v>94</v>
      </c>
      <c r="B97" s="61" t="s">
        <v>1022</v>
      </c>
      <c r="C97" s="61" t="s">
        <v>802</v>
      </c>
      <c r="D97" s="69" t="s">
        <v>803</v>
      </c>
      <c r="E97" s="65">
        <v>4.75</v>
      </c>
      <c r="F97" s="65">
        <v>4.4177508336289497</v>
      </c>
      <c r="G97" s="65">
        <v>7.5</v>
      </c>
      <c r="H97" s="66">
        <v>0.13</v>
      </c>
      <c r="I97" s="67">
        <v>2</v>
      </c>
      <c r="J97" s="65">
        <v>9.9</v>
      </c>
      <c r="K97" s="68">
        <f t="shared" si="1"/>
        <v>0.107525084115364</v>
      </c>
      <c r="L97" s="509"/>
    </row>
    <row r="98" spans="1:15" s="53" customFormat="1" ht="16" customHeight="1">
      <c r="A98" s="60">
        <v>95</v>
      </c>
      <c r="B98" s="61" t="s">
        <v>1022</v>
      </c>
      <c r="C98" s="61" t="s">
        <v>806</v>
      </c>
      <c r="D98" s="69" t="s">
        <v>807</v>
      </c>
      <c r="E98" s="65">
        <v>4.75</v>
      </c>
      <c r="F98" s="65">
        <v>4.2699352321148201</v>
      </c>
      <c r="G98" s="65">
        <v>7.5</v>
      </c>
      <c r="H98" s="66">
        <v>0.13</v>
      </c>
      <c r="I98" s="67">
        <v>2</v>
      </c>
      <c r="J98" s="65">
        <v>9.9</v>
      </c>
      <c r="K98" s="68">
        <f t="shared" si="1"/>
        <v>0.13738682179498601</v>
      </c>
      <c r="L98" s="509"/>
    </row>
    <row r="99" spans="1:15" s="53" customFormat="1" ht="16" customHeight="1">
      <c r="A99" s="60">
        <v>96</v>
      </c>
      <c r="B99" s="61" t="s">
        <v>1022</v>
      </c>
      <c r="C99" s="61" t="s">
        <v>808</v>
      </c>
      <c r="D99" s="69" t="s">
        <v>809</v>
      </c>
      <c r="E99" s="65">
        <v>4.75</v>
      </c>
      <c r="F99" s="65">
        <v>4.2247343841477099</v>
      </c>
      <c r="G99" s="65">
        <v>7.5</v>
      </c>
      <c r="H99" s="66">
        <v>0.13</v>
      </c>
      <c r="I99" s="67">
        <v>2</v>
      </c>
      <c r="J99" s="65">
        <v>9.9</v>
      </c>
      <c r="K99" s="68">
        <f t="shared" si="1"/>
        <v>0.146518306232786</v>
      </c>
      <c r="L99" s="509"/>
    </row>
    <row r="100" spans="1:15" s="53" customFormat="1" ht="16" customHeight="1">
      <c r="A100" s="60">
        <v>97</v>
      </c>
      <c r="B100" s="61" t="s">
        <v>1022</v>
      </c>
      <c r="C100" s="61" t="s">
        <v>804</v>
      </c>
      <c r="D100" s="69" t="s">
        <v>805</v>
      </c>
      <c r="E100" s="65">
        <v>4.75</v>
      </c>
      <c r="F100" s="65">
        <v>4.2585199276298802</v>
      </c>
      <c r="G100" s="65">
        <v>7.5</v>
      </c>
      <c r="H100" s="66">
        <v>0.13</v>
      </c>
      <c r="I100" s="67">
        <v>2</v>
      </c>
      <c r="J100" s="65">
        <v>9.9</v>
      </c>
      <c r="K100" s="68">
        <f t="shared" si="1"/>
        <v>0.13969294391315601</v>
      </c>
      <c r="L100" s="509"/>
    </row>
    <row r="101" spans="1:15" s="53" customFormat="1" ht="16" customHeight="1">
      <c r="A101" s="60">
        <v>98</v>
      </c>
      <c r="B101" s="61" t="s">
        <v>1022</v>
      </c>
      <c r="C101" s="61" t="s">
        <v>774</v>
      </c>
      <c r="D101" s="69" t="s">
        <v>1576</v>
      </c>
      <c r="E101" s="65">
        <v>4.75</v>
      </c>
      <c r="F101" s="65">
        <v>4.41919449330784</v>
      </c>
      <c r="G101" s="65">
        <v>7.5</v>
      </c>
      <c r="H101" s="66">
        <v>0.13</v>
      </c>
      <c r="I101" s="67">
        <v>2</v>
      </c>
      <c r="J101" s="65">
        <v>9.9</v>
      </c>
      <c r="K101" s="68">
        <f t="shared" si="1"/>
        <v>0.107233435695386</v>
      </c>
      <c r="L101" s="509"/>
    </row>
    <row r="102" spans="1:15" s="53" customFormat="1" ht="16" customHeight="1">
      <c r="A102" s="60">
        <v>99</v>
      </c>
      <c r="B102" s="61" t="s">
        <v>1022</v>
      </c>
      <c r="C102" s="61" t="s">
        <v>778</v>
      </c>
      <c r="D102" s="69" t="s">
        <v>1577</v>
      </c>
      <c r="E102" s="65">
        <v>4.75</v>
      </c>
      <c r="F102" s="65">
        <v>4.3244606528451701</v>
      </c>
      <c r="G102" s="65">
        <v>7.5</v>
      </c>
      <c r="H102" s="66">
        <v>0.13</v>
      </c>
      <c r="I102" s="67">
        <v>2</v>
      </c>
      <c r="J102" s="65">
        <v>9.9</v>
      </c>
      <c r="K102" s="68">
        <f t="shared" si="1"/>
        <v>0.12637158528380399</v>
      </c>
      <c r="L102" s="509"/>
    </row>
    <row r="103" spans="1:15" s="53" customFormat="1" ht="16" customHeight="1">
      <c r="A103" s="60">
        <v>100</v>
      </c>
      <c r="B103" s="61" t="s">
        <v>1022</v>
      </c>
      <c r="C103" s="61" t="s">
        <v>776</v>
      </c>
      <c r="D103" s="69" t="s">
        <v>1578</v>
      </c>
      <c r="E103" s="65">
        <v>4.75</v>
      </c>
      <c r="F103" s="65">
        <v>4.4117512791991098</v>
      </c>
      <c r="G103" s="65">
        <v>7.5</v>
      </c>
      <c r="H103" s="66">
        <v>0.13</v>
      </c>
      <c r="I103" s="67">
        <v>2</v>
      </c>
      <c r="J103" s="65">
        <v>9.9</v>
      </c>
      <c r="K103" s="68">
        <f t="shared" si="1"/>
        <v>0.108737115313311</v>
      </c>
      <c r="L103" s="509"/>
    </row>
    <row r="104" spans="1:15" s="53" customFormat="1" ht="16" customHeight="1">
      <c r="A104" s="60">
        <v>101</v>
      </c>
      <c r="B104" s="61" t="s">
        <v>1143</v>
      </c>
      <c r="C104" s="61" t="s">
        <v>1415</v>
      </c>
      <c r="D104" s="69" t="s">
        <v>1416</v>
      </c>
      <c r="E104" s="65">
        <v>3.88</v>
      </c>
      <c r="F104" s="65">
        <v>3.6123893176470601</v>
      </c>
      <c r="G104" s="65">
        <v>5</v>
      </c>
      <c r="H104" s="66">
        <v>0.13</v>
      </c>
      <c r="I104" s="67">
        <v>2</v>
      </c>
      <c r="J104" s="65">
        <v>9.9</v>
      </c>
      <c r="K104" s="68">
        <f t="shared" si="1"/>
        <v>0.27022438027332102</v>
      </c>
      <c r="L104" s="509"/>
    </row>
    <row r="105" spans="1:15" s="53" customFormat="1" ht="16" customHeight="1">
      <c r="A105" s="60">
        <v>102</v>
      </c>
      <c r="B105" s="61" t="s">
        <v>1143</v>
      </c>
      <c r="C105" s="61" t="s">
        <v>1413</v>
      </c>
      <c r="D105" s="69" t="s">
        <v>1414</v>
      </c>
      <c r="E105" s="65">
        <v>3.88</v>
      </c>
      <c r="F105" s="65">
        <v>3.7793090909090901</v>
      </c>
      <c r="G105" s="65">
        <v>5</v>
      </c>
      <c r="H105" s="66">
        <v>0.13</v>
      </c>
      <c r="I105" s="67">
        <v>2</v>
      </c>
      <c r="J105" s="65">
        <v>9.9</v>
      </c>
      <c r="K105" s="68">
        <f t="shared" si="1"/>
        <v>0.23650321395776</v>
      </c>
      <c r="L105" s="509"/>
    </row>
    <row r="106" spans="1:15" s="53" customFormat="1" ht="16" customHeight="1">
      <c r="A106" s="60">
        <v>103</v>
      </c>
      <c r="B106" s="61" t="s">
        <v>1143</v>
      </c>
      <c r="C106" s="61" t="s">
        <v>1417</v>
      </c>
      <c r="D106" s="69" t="s">
        <v>1418</v>
      </c>
      <c r="E106" s="65">
        <v>3.88</v>
      </c>
      <c r="F106" s="65">
        <v>3.5276614864864899</v>
      </c>
      <c r="G106" s="65">
        <v>5</v>
      </c>
      <c r="H106" s="66">
        <v>0.13</v>
      </c>
      <c r="I106" s="67">
        <v>2</v>
      </c>
      <c r="J106" s="65">
        <v>9.9</v>
      </c>
      <c r="K106" s="68">
        <f t="shared" si="1"/>
        <v>0.28734111384111299</v>
      </c>
      <c r="L106" s="509"/>
    </row>
    <row r="107" spans="1:15" s="53" customFormat="1" ht="16" customHeight="1">
      <c r="A107" s="60">
        <v>104</v>
      </c>
      <c r="B107" s="61" t="s">
        <v>1022</v>
      </c>
      <c r="C107" s="332" t="s">
        <v>1579</v>
      </c>
      <c r="D107" s="69" t="s">
        <v>1580</v>
      </c>
      <c r="E107" s="65">
        <v>4.4000000000000004</v>
      </c>
      <c r="F107" s="65">
        <v>4.4000000000000004</v>
      </c>
      <c r="G107" s="65">
        <v>5.5</v>
      </c>
      <c r="H107" s="66"/>
      <c r="I107" s="67">
        <v>2</v>
      </c>
      <c r="J107" s="65">
        <v>9.9</v>
      </c>
      <c r="K107" s="68">
        <f t="shared" si="1"/>
        <v>0.11111111111111099</v>
      </c>
      <c r="L107" s="509"/>
    </row>
    <row r="108" spans="1:15" s="53" customFormat="1" ht="16" customHeight="1">
      <c r="A108" s="60">
        <v>105</v>
      </c>
      <c r="B108" s="61" t="s">
        <v>1022</v>
      </c>
      <c r="C108" s="332" t="s">
        <v>1581</v>
      </c>
      <c r="D108" s="336" t="s">
        <v>3848</v>
      </c>
      <c r="E108" s="65">
        <v>4.4000000000000004</v>
      </c>
      <c r="F108" s="65">
        <v>4.4000000000000004</v>
      </c>
      <c r="G108" s="65">
        <v>5.5</v>
      </c>
      <c r="H108" s="66"/>
      <c r="I108" s="67">
        <v>2</v>
      </c>
      <c r="J108" s="65">
        <v>9.9</v>
      </c>
      <c r="K108" s="68">
        <f t="shared" si="1"/>
        <v>0.11111111111111099</v>
      </c>
      <c r="L108" s="509"/>
    </row>
    <row r="109" spans="1:15" s="53" customFormat="1" ht="16" customHeight="1">
      <c r="A109" s="60">
        <v>106</v>
      </c>
      <c r="B109" s="61" t="s">
        <v>1022</v>
      </c>
      <c r="C109" s="332" t="s">
        <v>1582</v>
      </c>
      <c r="D109" s="69" t="s">
        <v>1583</v>
      </c>
      <c r="E109" s="65">
        <v>3.97</v>
      </c>
      <c r="F109" s="65">
        <v>3.97</v>
      </c>
      <c r="G109" s="65">
        <v>5.9</v>
      </c>
      <c r="H109" s="66"/>
      <c r="I109" s="67">
        <v>2</v>
      </c>
      <c r="J109" s="65">
        <v>9.9</v>
      </c>
      <c r="K109" s="68">
        <f t="shared" si="1"/>
        <v>0.19797979797979801</v>
      </c>
      <c r="L109" s="509"/>
      <c r="M109"/>
      <c r="N109"/>
      <c r="O109"/>
    </row>
    <row r="110" spans="1:15" s="53" customFormat="1" ht="16" customHeight="1">
      <c r="A110" s="60">
        <v>107</v>
      </c>
      <c r="B110" s="61" t="s">
        <v>1022</v>
      </c>
      <c r="C110" s="332" t="s">
        <v>1584</v>
      </c>
      <c r="D110" s="69" t="s">
        <v>1585</v>
      </c>
      <c r="E110" s="65">
        <v>3.97</v>
      </c>
      <c r="F110" s="65">
        <v>3.97</v>
      </c>
      <c r="G110" s="65">
        <v>5.5</v>
      </c>
      <c r="H110" s="66"/>
      <c r="I110" s="67">
        <v>2</v>
      </c>
      <c r="J110" s="65">
        <v>9.9</v>
      </c>
      <c r="K110" s="68">
        <f t="shared" si="1"/>
        <v>0.19797979797979801</v>
      </c>
      <c r="L110" s="509"/>
      <c r="M110"/>
      <c r="N110"/>
      <c r="O110"/>
    </row>
    <row r="111" spans="1:15" s="53" customFormat="1" ht="16" customHeight="1">
      <c r="A111" s="60">
        <v>108</v>
      </c>
      <c r="B111" s="61" t="s">
        <v>1022</v>
      </c>
      <c r="C111" s="332" t="s">
        <v>1586</v>
      </c>
      <c r="D111" s="69" t="s">
        <v>1587</v>
      </c>
      <c r="E111" s="65">
        <v>4.03</v>
      </c>
      <c r="F111" s="65">
        <v>4.03</v>
      </c>
      <c r="G111" s="65">
        <v>6</v>
      </c>
      <c r="H111" s="66"/>
      <c r="I111" s="67">
        <v>2</v>
      </c>
      <c r="J111" s="65">
        <v>9.9</v>
      </c>
      <c r="K111" s="68">
        <f t="shared" si="1"/>
        <v>0.185858585858586</v>
      </c>
      <c r="L111" s="509"/>
      <c r="M111"/>
      <c r="N111"/>
      <c r="O111"/>
    </row>
    <row r="112" spans="1:15" s="53" customFormat="1" ht="16" customHeight="1">
      <c r="A112" s="60">
        <v>109</v>
      </c>
      <c r="B112" s="61" t="s">
        <v>1022</v>
      </c>
      <c r="C112" s="332" t="s">
        <v>1588</v>
      </c>
      <c r="D112" s="69" t="s">
        <v>1589</v>
      </c>
      <c r="E112" s="65">
        <v>4.03</v>
      </c>
      <c r="F112" s="65">
        <v>4.03</v>
      </c>
      <c r="G112" s="65">
        <v>6</v>
      </c>
      <c r="H112" s="66"/>
      <c r="I112" s="67">
        <v>2</v>
      </c>
      <c r="J112" s="65">
        <v>9.9</v>
      </c>
      <c r="K112" s="68">
        <f t="shared" si="1"/>
        <v>0.185858585858586</v>
      </c>
      <c r="L112" s="509"/>
      <c r="M112"/>
      <c r="N112"/>
      <c r="O112"/>
    </row>
    <row r="113" spans="1:15" s="53" customFormat="1" ht="16" customHeight="1">
      <c r="A113" s="60">
        <v>110</v>
      </c>
      <c r="B113" s="61" t="s">
        <v>1022</v>
      </c>
      <c r="C113" s="332" t="s">
        <v>1590</v>
      </c>
      <c r="D113" s="69" t="s">
        <v>1591</v>
      </c>
      <c r="E113" s="65">
        <v>4.03</v>
      </c>
      <c r="F113" s="65">
        <v>4.03</v>
      </c>
      <c r="G113" s="65">
        <v>6</v>
      </c>
      <c r="H113" s="66"/>
      <c r="I113" s="67">
        <v>2</v>
      </c>
      <c r="J113" s="65">
        <v>9.9</v>
      </c>
      <c r="K113" s="68">
        <f t="shared" si="1"/>
        <v>0.185858585858586</v>
      </c>
      <c r="L113" s="509"/>
      <c r="M113"/>
      <c r="N113"/>
      <c r="O113"/>
    </row>
    <row r="114" spans="1:15" ht="16.5">
      <c r="A114" s="60">
        <v>111</v>
      </c>
      <c r="B114" s="61" t="s">
        <v>1022</v>
      </c>
      <c r="C114" s="332" t="s">
        <v>1592</v>
      </c>
      <c r="D114" s="69" t="s">
        <v>1593</v>
      </c>
      <c r="E114" s="65">
        <v>5.33</v>
      </c>
      <c r="F114" s="65">
        <v>4.44166666666667</v>
      </c>
      <c r="G114" s="65">
        <v>8.5</v>
      </c>
      <c r="H114" s="66">
        <v>0.2</v>
      </c>
      <c r="I114" s="67">
        <v>2</v>
      </c>
      <c r="J114" s="65">
        <v>9.9</v>
      </c>
      <c r="K114" s="68">
        <f t="shared" si="1"/>
        <v>0.102693602693602</v>
      </c>
      <c r="L114" s="509"/>
    </row>
    <row r="115" spans="1:15" ht="16.5">
      <c r="A115" s="60">
        <v>112</v>
      </c>
      <c r="B115" s="61" t="s">
        <v>1022</v>
      </c>
      <c r="C115" s="332" t="s">
        <v>1594</v>
      </c>
      <c r="D115" s="69" t="s">
        <v>1595</v>
      </c>
      <c r="E115" s="65">
        <v>5.33</v>
      </c>
      <c r="F115" s="65">
        <v>4.44166666666667</v>
      </c>
      <c r="G115" s="65">
        <v>8.5</v>
      </c>
      <c r="H115" s="66">
        <v>0.2</v>
      </c>
      <c r="I115" s="67">
        <v>2</v>
      </c>
      <c r="J115" s="65">
        <v>9.9</v>
      </c>
      <c r="K115" s="68">
        <f t="shared" si="1"/>
        <v>0.102693602693602</v>
      </c>
      <c r="L115" s="509"/>
    </row>
    <row r="116" spans="1:15" ht="16.5">
      <c r="A116" s="60">
        <v>113</v>
      </c>
      <c r="B116" s="61" t="s">
        <v>1022</v>
      </c>
      <c r="C116" s="332" t="s">
        <v>1596</v>
      </c>
      <c r="D116" s="69" t="s">
        <v>1597</v>
      </c>
      <c r="E116" s="65">
        <v>5.33</v>
      </c>
      <c r="F116" s="65">
        <v>4.44166666666667</v>
      </c>
      <c r="G116" s="65">
        <v>8.5</v>
      </c>
      <c r="H116" s="66">
        <v>0.2</v>
      </c>
      <c r="I116" s="67">
        <v>2</v>
      </c>
      <c r="J116" s="65">
        <v>9.9</v>
      </c>
      <c r="K116" s="68">
        <f t="shared" si="1"/>
        <v>0.102693602693602</v>
      </c>
      <c r="L116" s="509"/>
    </row>
    <row r="117" spans="1:15" ht="16.5">
      <c r="A117" s="60">
        <v>114</v>
      </c>
      <c r="B117" s="61" t="s">
        <v>1022</v>
      </c>
      <c r="C117" s="332" t="s">
        <v>1598</v>
      </c>
      <c r="D117" s="69" t="s">
        <v>1599</v>
      </c>
      <c r="E117" s="65">
        <v>3.91</v>
      </c>
      <c r="F117" s="65">
        <v>3.91</v>
      </c>
      <c r="G117" s="65">
        <v>5.8</v>
      </c>
      <c r="H117" s="66"/>
      <c r="I117" s="67">
        <v>2</v>
      </c>
      <c r="J117" s="65">
        <v>9.9</v>
      </c>
      <c r="K117" s="68">
        <f t="shared" si="1"/>
        <v>0.21010101010101001</v>
      </c>
      <c r="L117" s="509"/>
    </row>
    <row r="118" spans="1:15" ht="16.5">
      <c r="A118" s="60">
        <v>115</v>
      </c>
      <c r="B118" s="61" t="s">
        <v>1022</v>
      </c>
      <c r="C118" s="332" t="s">
        <v>1600</v>
      </c>
      <c r="D118" s="69" t="s">
        <v>1601</v>
      </c>
      <c r="E118" s="65">
        <v>3.91</v>
      </c>
      <c r="F118" s="65">
        <v>3.91</v>
      </c>
      <c r="G118" s="65">
        <v>5.8</v>
      </c>
      <c r="H118" s="66"/>
      <c r="I118" s="67">
        <v>2</v>
      </c>
      <c r="J118" s="65">
        <v>9.9</v>
      </c>
      <c r="K118" s="68">
        <f t="shared" si="1"/>
        <v>0.21010101010101001</v>
      </c>
      <c r="L118" s="509"/>
    </row>
    <row r="119" spans="1:15" ht="16.5">
      <c r="A119" s="60">
        <v>116</v>
      </c>
      <c r="B119" s="61" t="s">
        <v>1022</v>
      </c>
      <c r="C119" s="332" t="s">
        <v>1602</v>
      </c>
      <c r="D119" s="69" t="s">
        <v>1603</v>
      </c>
      <c r="E119" s="65">
        <v>3.91</v>
      </c>
      <c r="F119" s="65">
        <v>3.91</v>
      </c>
      <c r="G119" s="65">
        <v>5.8</v>
      </c>
      <c r="H119" s="66"/>
      <c r="I119" s="67">
        <v>2</v>
      </c>
      <c r="J119" s="65">
        <v>9.9</v>
      </c>
      <c r="K119" s="68">
        <f t="shared" si="1"/>
        <v>0.21010101010101001</v>
      </c>
      <c r="L119" s="509"/>
    </row>
    <row r="120" spans="1:15" ht="16.5">
      <c r="A120" s="60">
        <v>117</v>
      </c>
      <c r="B120" s="61" t="s">
        <v>1022</v>
      </c>
      <c r="C120" s="332" t="s">
        <v>1604</v>
      </c>
      <c r="D120" s="69" t="s">
        <v>1605</v>
      </c>
      <c r="E120" s="65">
        <v>3.91</v>
      </c>
      <c r="F120" s="65">
        <v>3.91</v>
      </c>
      <c r="G120" s="65">
        <v>5.8</v>
      </c>
      <c r="H120" s="66"/>
      <c r="I120" s="67">
        <v>2</v>
      </c>
      <c r="J120" s="65">
        <v>9.9</v>
      </c>
      <c r="K120" s="68">
        <f t="shared" si="1"/>
        <v>0.21010101010101001</v>
      </c>
      <c r="L120" s="509"/>
    </row>
    <row r="121" spans="1:15" ht="16.5">
      <c r="A121" s="60">
        <v>118</v>
      </c>
      <c r="B121" s="61" t="s">
        <v>743</v>
      </c>
      <c r="C121" s="332" t="s">
        <v>1606</v>
      </c>
      <c r="D121" s="69" t="s">
        <v>1607</v>
      </c>
      <c r="E121" s="65">
        <v>3.33</v>
      </c>
      <c r="F121" s="65">
        <v>3.33</v>
      </c>
      <c r="G121" s="65">
        <v>4.8</v>
      </c>
      <c r="H121" s="66"/>
      <c r="I121" s="67">
        <v>2</v>
      </c>
      <c r="J121" s="65">
        <v>9.9</v>
      </c>
      <c r="K121" s="68">
        <f t="shared" si="1"/>
        <v>0.32727272727272699</v>
      </c>
      <c r="L121" s="509"/>
    </row>
    <row r="122" spans="1:15" ht="16.5">
      <c r="A122" s="60">
        <v>119</v>
      </c>
      <c r="B122" s="61" t="s">
        <v>743</v>
      </c>
      <c r="C122" s="332" t="s">
        <v>1608</v>
      </c>
      <c r="D122" s="69" t="s">
        <v>1609</v>
      </c>
      <c r="E122" s="65">
        <v>3.33</v>
      </c>
      <c r="F122" s="65">
        <v>3.33</v>
      </c>
      <c r="G122" s="65">
        <v>4.8</v>
      </c>
      <c r="H122" s="66"/>
      <c r="I122" s="67">
        <v>2</v>
      </c>
      <c r="J122" s="65">
        <v>9.9</v>
      </c>
      <c r="K122" s="68">
        <f t="shared" si="1"/>
        <v>0.32727272727272699</v>
      </c>
      <c r="L122" s="509"/>
    </row>
    <row r="123" spans="1:15" ht="16.5">
      <c r="A123" s="60">
        <v>120</v>
      </c>
      <c r="B123" s="61" t="s">
        <v>743</v>
      </c>
      <c r="C123" s="332" t="s">
        <v>1610</v>
      </c>
      <c r="D123" s="69" t="s">
        <v>1611</v>
      </c>
      <c r="E123" s="65">
        <v>3.33</v>
      </c>
      <c r="F123" s="65">
        <v>3.33</v>
      </c>
      <c r="G123" s="65">
        <v>4.8</v>
      </c>
      <c r="H123" s="66"/>
      <c r="I123" s="67">
        <v>2</v>
      </c>
      <c r="J123" s="65">
        <v>9.9</v>
      </c>
      <c r="K123" s="68">
        <f t="shared" si="1"/>
        <v>0.32727272727272699</v>
      </c>
      <c r="L123" s="509"/>
    </row>
    <row r="124" spans="1:15" ht="16.5">
      <c r="A124" s="60">
        <v>121</v>
      </c>
      <c r="B124" s="61" t="s">
        <v>1022</v>
      </c>
      <c r="C124" s="332" t="s">
        <v>1612</v>
      </c>
      <c r="D124" s="69" t="s">
        <v>1613</v>
      </c>
      <c r="E124" s="65">
        <v>3.99</v>
      </c>
      <c r="F124" s="65">
        <v>3.99</v>
      </c>
      <c r="G124" s="65">
        <v>6</v>
      </c>
      <c r="H124" s="66"/>
      <c r="I124" s="67">
        <v>2</v>
      </c>
      <c r="J124" s="65">
        <v>9.9</v>
      </c>
      <c r="K124" s="68">
        <f t="shared" si="1"/>
        <v>0.19393939393939399</v>
      </c>
      <c r="L124" s="509"/>
    </row>
    <row r="125" spans="1:15" ht="16.5">
      <c r="A125" s="60">
        <v>122</v>
      </c>
      <c r="B125" s="61" t="s">
        <v>1022</v>
      </c>
      <c r="C125" s="332" t="s">
        <v>1614</v>
      </c>
      <c r="D125" s="69" t="s">
        <v>1615</v>
      </c>
      <c r="E125" s="65">
        <v>3.99</v>
      </c>
      <c r="F125" s="65">
        <v>3.99</v>
      </c>
      <c r="G125" s="65">
        <v>6</v>
      </c>
      <c r="H125" s="66"/>
      <c r="I125" s="67">
        <v>2</v>
      </c>
      <c r="J125" s="65">
        <v>9.9</v>
      </c>
      <c r="K125" s="68">
        <f t="shared" si="1"/>
        <v>0.19393939393939399</v>
      </c>
      <c r="L125" s="509"/>
    </row>
    <row r="126" spans="1:15" ht="16.5">
      <c r="A126" s="60">
        <v>123</v>
      </c>
      <c r="B126" s="61" t="s">
        <v>311</v>
      </c>
      <c r="C126" s="332" t="s">
        <v>1616</v>
      </c>
      <c r="D126" s="69" t="s">
        <v>1617</v>
      </c>
      <c r="E126" s="65">
        <v>4.55</v>
      </c>
      <c r="F126" s="65">
        <v>4.55</v>
      </c>
      <c r="G126" s="65">
        <v>6</v>
      </c>
      <c r="H126" s="66">
        <v>0.03</v>
      </c>
      <c r="I126" s="67">
        <v>2</v>
      </c>
      <c r="J126" s="65">
        <v>9.9</v>
      </c>
      <c r="K126" s="68">
        <f t="shared" si="1"/>
        <v>8.0808080808080898E-2</v>
      </c>
      <c r="L126" s="509"/>
    </row>
    <row r="127" spans="1:15" ht="16.5">
      <c r="A127" s="60">
        <v>124</v>
      </c>
      <c r="B127" s="61" t="s">
        <v>1022</v>
      </c>
      <c r="C127" s="332" t="s">
        <v>1618</v>
      </c>
      <c r="D127" s="69" t="s">
        <v>1619</v>
      </c>
      <c r="E127" s="65">
        <v>3.43</v>
      </c>
      <c r="F127" s="65">
        <v>3.43</v>
      </c>
      <c r="G127" s="65">
        <v>5.5</v>
      </c>
      <c r="H127" s="66"/>
      <c r="I127" s="67">
        <v>2</v>
      </c>
      <c r="J127" s="65">
        <v>9.9</v>
      </c>
      <c r="K127" s="68">
        <f t="shared" si="1"/>
        <v>0.30707070707070699</v>
      </c>
      <c r="L127" s="509"/>
    </row>
    <row r="128" spans="1:15" ht="16.5">
      <c r="A128" s="60">
        <v>125</v>
      </c>
      <c r="B128" s="61" t="s">
        <v>1022</v>
      </c>
      <c r="C128" s="332" t="s">
        <v>1620</v>
      </c>
      <c r="D128" s="69" t="s">
        <v>1621</v>
      </c>
      <c r="E128" s="65">
        <v>3.43</v>
      </c>
      <c r="F128" s="65">
        <v>3.43</v>
      </c>
      <c r="G128" s="65">
        <v>5.5</v>
      </c>
      <c r="H128" s="66"/>
      <c r="I128" s="67">
        <v>2</v>
      </c>
      <c r="J128" s="65">
        <v>9.9</v>
      </c>
      <c r="K128" s="68">
        <f t="shared" si="1"/>
        <v>0.30707070707070699</v>
      </c>
      <c r="L128" s="509"/>
    </row>
    <row r="129" spans="1:15" ht="16.5">
      <c r="A129" s="60">
        <v>126</v>
      </c>
      <c r="B129" s="61" t="s">
        <v>1022</v>
      </c>
      <c r="C129" s="332" t="s">
        <v>1622</v>
      </c>
      <c r="D129" s="69" t="s">
        <v>1623</v>
      </c>
      <c r="E129" s="65">
        <v>4.49</v>
      </c>
      <c r="F129" s="65">
        <v>4.49</v>
      </c>
      <c r="G129" s="65">
        <v>7.9</v>
      </c>
      <c r="H129" s="66">
        <v>0.05</v>
      </c>
      <c r="I129" s="67">
        <v>2</v>
      </c>
      <c r="J129" s="65">
        <v>9.9</v>
      </c>
      <c r="K129" s="68">
        <f t="shared" si="1"/>
        <v>9.2929292929293E-2</v>
      </c>
      <c r="L129" s="509"/>
    </row>
    <row r="130" spans="1:15" ht="16.5">
      <c r="A130" s="60">
        <v>127</v>
      </c>
      <c r="B130" s="61" t="s">
        <v>1022</v>
      </c>
      <c r="C130" s="332" t="s">
        <v>1624</v>
      </c>
      <c r="D130" s="69" t="s">
        <v>1625</v>
      </c>
      <c r="E130" s="65">
        <v>4.49</v>
      </c>
      <c r="F130" s="65">
        <v>4.49</v>
      </c>
      <c r="G130" s="65">
        <v>7.9</v>
      </c>
      <c r="H130" s="66">
        <v>0.05</v>
      </c>
      <c r="I130" s="67">
        <v>2</v>
      </c>
      <c r="J130" s="65">
        <v>9.9</v>
      </c>
      <c r="K130" s="68">
        <f t="shared" si="1"/>
        <v>9.2929292929293E-2</v>
      </c>
      <c r="L130" s="509"/>
    </row>
    <row r="131" spans="1:15" ht="16.5">
      <c r="A131" s="60">
        <v>128</v>
      </c>
      <c r="B131" s="61" t="s">
        <v>1022</v>
      </c>
      <c r="C131" s="332" t="s">
        <v>1626</v>
      </c>
      <c r="D131" s="69" t="s">
        <v>1627</v>
      </c>
      <c r="E131" s="65">
        <v>4.49</v>
      </c>
      <c r="F131" s="65">
        <v>4.49</v>
      </c>
      <c r="G131" s="65">
        <v>7.9</v>
      </c>
      <c r="H131" s="66">
        <v>0.05</v>
      </c>
      <c r="I131" s="67">
        <v>2</v>
      </c>
      <c r="J131" s="65">
        <v>9.9</v>
      </c>
      <c r="K131" s="68">
        <f t="shared" si="1"/>
        <v>9.2929292929293E-2</v>
      </c>
      <c r="L131" s="509"/>
    </row>
    <row r="132" spans="1:15" ht="16.5">
      <c r="A132" s="60">
        <v>129</v>
      </c>
      <c r="B132" s="61" t="s">
        <v>1022</v>
      </c>
      <c r="C132" s="332" t="s">
        <v>1628</v>
      </c>
      <c r="D132" s="69" t="s">
        <v>1629</v>
      </c>
      <c r="E132" s="65">
        <v>4.49</v>
      </c>
      <c r="F132" s="65">
        <v>4.49</v>
      </c>
      <c r="G132" s="65">
        <v>7.9</v>
      </c>
      <c r="H132" s="66">
        <v>0.05</v>
      </c>
      <c r="I132" s="67">
        <v>2</v>
      </c>
      <c r="J132" s="65">
        <v>9.9</v>
      </c>
      <c r="K132" s="68">
        <f t="shared" ref="K132:K185" si="2">1-((F132*I132)/J132)</f>
        <v>9.2929292929293E-2</v>
      </c>
      <c r="L132" s="509"/>
    </row>
    <row r="133" spans="1:15" ht="16.5">
      <c r="A133" s="60">
        <v>130</v>
      </c>
      <c r="B133" s="61" t="s">
        <v>1143</v>
      </c>
      <c r="C133" s="61" t="s">
        <v>1160</v>
      </c>
      <c r="D133" s="69" t="s">
        <v>1161</v>
      </c>
      <c r="E133" s="65">
        <v>3.2</v>
      </c>
      <c r="F133" s="65">
        <v>2.9364892192556602</v>
      </c>
      <c r="G133" s="65">
        <v>4.5</v>
      </c>
      <c r="H133" s="66">
        <v>0.13</v>
      </c>
      <c r="I133" s="67">
        <v>3</v>
      </c>
      <c r="J133" s="65">
        <v>9.9</v>
      </c>
      <c r="K133" s="68">
        <f t="shared" si="2"/>
        <v>0.11015478204373901</v>
      </c>
      <c r="L133" s="509"/>
      <c r="M133" s="53"/>
      <c r="N133" s="53"/>
      <c r="O133" s="53"/>
    </row>
    <row r="134" spans="1:15" ht="16.5">
      <c r="A134" s="60">
        <v>131</v>
      </c>
      <c r="B134" s="61" t="s">
        <v>1143</v>
      </c>
      <c r="C134" s="61" t="s">
        <v>1154</v>
      </c>
      <c r="D134" s="69" t="s">
        <v>1155</v>
      </c>
      <c r="E134" s="65">
        <v>3.2</v>
      </c>
      <c r="F134" s="65">
        <v>2.85825531720675</v>
      </c>
      <c r="G134" s="65">
        <v>4.5</v>
      </c>
      <c r="H134" s="66">
        <v>0.13</v>
      </c>
      <c r="I134" s="67">
        <v>3</v>
      </c>
      <c r="J134" s="65">
        <v>9.9</v>
      </c>
      <c r="K134" s="68">
        <f t="shared" si="2"/>
        <v>0.133862025088864</v>
      </c>
      <c r="L134" s="509"/>
      <c r="M134" s="53"/>
      <c r="N134" s="53"/>
      <c r="O134" s="53"/>
    </row>
    <row r="135" spans="1:15" ht="16.5">
      <c r="A135" s="60">
        <v>132</v>
      </c>
      <c r="B135" s="61" t="s">
        <v>1143</v>
      </c>
      <c r="C135" s="61" t="s">
        <v>1166</v>
      </c>
      <c r="D135" s="69" t="s">
        <v>1167</v>
      </c>
      <c r="E135" s="65">
        <v>3.68</v>
      </c>
      <c r="F135" s="65">
        <v>3.2495442221110502</v>
      </c>
      <c r="G135" s="65">
        <v>5</v>
      </c>
      <c r="H135" s="66">
        <v>0.13</v>
      </c>
      <c r="I135" s="67">
        <v>3</v>
      </c>
      <c r="J135" s="65">
        <v>9.9</v>
      </c>
      <c r="K135" s="68">
        <f t="shared" si="2"/>
        <v>1.5289629663318101E-2</v>
      </c>
      <c r="L135" s="509"/>
      <c r="M135" s="53"/>
      <c r="N135" s="53"/>
      <c r="O135" s="53"/>
    </row>
    <row r="136" spans="1:15" ht="16.5">
      <c r="A136" s="60">
        <v>133</v>
      </c>
      <c r="B136" s="61" t="s">
        <v>1368</v>
      </c>
      <c r="C136" s="61" t="s">
        <v>1379</v>
      </c>
      <c r="D136" s="69" t="s">
        <v>1380</v>
      </c>
      <c r="E136" s="65">
        <v>3.2</v>
      </c>
      <c r="F136" s="65">
        <v>2.8610525949492902</v>
      </c>
      <c r="G136" s="65">
        <v>4.5</v>
      </c>
      <c r="H136" s="66">
        <v>0.13</v>
      </c>
      <c r="I136" s="67">
        <v>3</v>
      </c>
      <c r="J136" s="65">
        <v>9.9</v>
      </c>
      <c r="K136" s="68">
        <f t="shared" si="2"/>
        <v>0.133014365166882</v>
      </c>
      <c r="L136" s="509"/>
      <c r="M136" s="53"/>
      <c r="N136" s="53"/>
      <c r="O136" s="53"/>
    </row>
    <row r="137" spans="1:15" ht="16.5">
      <c r="A137" s="60">
        <v>134</v>
      </c>
      <c r="B137" s="61" t="s">
        <v>1368</v>
      </c>
      <c r="C137" s="61" t="s">
        <v>1383</v>
      </c>
      <c r="D137" s="69" t="s">
        <v>1384</v>
      </c>
      <c r="E137" s="65">
        <v>3.2</v>
      </c>
      <c r="F137" s="65">
        <v>2.8953070289518501</v>
      </c>
      <c r="G137" s="65">
        <v>4.5</v>
      </c>
      <c r="H137" s="66">
        <v>0.13</v>
      </c>
      <c r="I137" s="67">
        <v>3</v>
      </c>
      <c r="J137" s="65">
        <v>9.9</v>
      </c>
      <c r="K137" s="68">
        <f t="shared" si="2"/>
        <v>0.12263423365095399</v>
      </c>
      <c r="L137" s="509"/>
      <c r="M137" s="53"/>
      <c r="N137" s="53"/>
      <c r="O137" s="53"/>
    </row>
    <row r="138" spans="1:15" ht="16.5">
      <c r="A138" s="60">
        <v>135</v>
      </c>
      <c r="B138" s="61" t="s">
        <v>1368</v>
      </c>
      <c r="C138" s="61" t="s">
        <v>1381</v>
      </c>
      <c r="D138" s="69" t="s">
        <v>1382</v>
      </c>
      <c r="E138" s="65">
        <v>3.2</v>
      </c>
      <c r="F138" s="65">
        <v>2.8847065224063799</v>
      </c>
      <c r="G138" s="65">
        <v>4.5</v>
      </c>
      <c r="H138" s="66">
        <v>0.13</v>
      </c>
      <c r="I138" s="67">
        <v>3</v>
      </c>
      <c r="J138" s="65">
        <v>9.9</v>
      </c>
      <c r="K138" s="68">
        <f t="shared" si="2"/>
        <v>0.125846508361703</v>
      </c>
      <c r="L138" s="509"/>
      <c r="M138" s="53"/>
      <c r="N138" s="53"/>
      <c r="O138" s="53"/>
    </row>
    <row r="139" spans="1:15" ht="16.5">
      <c r="A139" s="60">
        <v>136</v>
      </c>
      <c r="B139" s="61" t="s">
        <v>1368</v>
      </c>
      <c r="C139" s="61" t="s">
        <v>1385</v>
      </c>
      <c r="D139" s="69" t="s">
        <v>1386</v>
      </c>
      <c r="E139" s="65">
        <v>3.2</v>
      </c>
      <c r="F139" s="65">
        <v>2.87725787242243</v>
      </c>
      <c r="G139" s="65">
        <v>4.5</v>
      </c>
      <c r="H139" s="66">
        <v>0.13</v>
      </c>
      <c r="I139" s="67">
        <v>3</v>
      </c>
      <c r="J139" s="65">
        <v>9.9</v>
      </c>
      <c r="K139" s="68">
        <f t="shared" si="2"/>
        <v>0.128103675023506</v>
      </c>
      <c r="L139" s="509"/>
      <c r="M139" s="53"/>
      <c r="N139" s="53"/>
      <c r="O139" s="53"/>
    </row>
    <row r="140" spans="1:15" ht="16.5">
      <c r="A140" s="60">
        <v>137</v>
      </c>
      <c r="B140" s="61" t="s">
        <v>1368</v>
      </c>
      <c r="C140" s="61" t="s">
        <v>1377</v>
      </c>
      <c r="D140" s="69" t="s">
        <v>1378</v>
      </c>
      <c r="E140" s="65">
        <v>3.2</v>
      </c>
      <c r="F140" s="65">
        <v>2.9626248019666801</v>
      </c>
      <c r="G140" s="65">
        <v>4.5</v>
      </c>
      <c r="H140" s="66">
        <v>0.13</v>
      </c>
      <c r="I140" s="67">
        <v>3</v>
      </c>
      <c r="J140" s="65">
        <v>9.9</v>
      </c>
      <c r="K140" s="68">
        <f t="shared" si="2"/>
        <v>0.102234908494945</v>
      </c>
      <c r="L140" s="509"/>
      <c r="M140" s="53"/>
      <c r="N140" s="53"/>
      <c r="O140" s="53"/>
    </row>
    <row r="141" spans="1:15" ht="16.5">
      <c r="A141" s="60">
        <v>138</v>
      </c>
      <c r="B141" s="61" t="s">
        <v>1368</v>
      </c>
      <c r="C141" s="332" t="s">
        <v>1405</v>
      </c>
      <c r="D141" s="69" t="s">
        <v>1406</v>
      </c>
      <c r="E141" s="65">
        <v>3.41</v>
      </c>
      <c r="F141" s="65">
        <f>E141/(1+H141)</f>
        <v>3.1</v>
      </c>
      <c r="G141" s="65">
        <v>5.7</v>
      </c>
      <c r="H141" s="66">
        <v>0.1</v>
      </c>
      <c r="I141" s="67">
        <v>3</v>
      </c>
      <c r="J141" s="65">
        <v>9.9</v>
      </c>
      <c r="K141" s="68">
        <f t="shared" si="2"/>
        <v>6.0606060606060601E-2</v>
      </c>
      <c r="L141" s="509"/>
      <c r="M141" s="53"/>
      <c r="N141" s="53"/>
      <c r="O141" s="53"/>
    </row>
    <row r="142" spans="1:15" ht="16.5">
      <c r="A142" s="60">
        <v>139</v>
      </c>
      <c r="B142" s="61" t="s">
        <v>1022</v>
      </c>
      <c r="C142" s="332" t="s">
        <v>1630</v>
      </c>
      <c r="D142" s="69" t="s">
        <v>1631</v>
      </c>
      <c r="E142" s="65">
        <v>3.05</v>
      </c>
      <c r="F142" s="65">
        <v>2.9047619047619002</v>
      </c>
      <c r="G142" s="65">
        <v>4.5</v>
      </c>
      <c r="H142" s="66">
        <v>0.05</v>
      </c>
      <c r="I142" s="67">
        <v>3</v>
      </c>
      <c r="J142" s="65">
        <v>9.9</v>
      </c>
      <c r="K142" s="68">
        <f t="shared" si="2"/>
        <v>0.119769119769121</v>
      </c>
      <c r="L142" s="509"/>
    </row>
    <row r="143" spans="1:15" ht="16.5">
      <c r="A143" s="60">
        <v>140</v>
      </c>
      <c r="B143" s="61" t="s">
        <v>1022</v>
      </c>
      <c r="C143" s="332" t="s">
        <v>1632</v>
      </c>
      <c r="D143" s="69" t="s">
        <v>1633</v>
      </c>
      <c r="E143" s="65">
        <v>3.16</v>
      </c>
      <c r="F143" s="65">
        <v>2.92592592592593</v>
      </c>
      <c r="G143" s="65">
        <v>4.165</v>
      </c>
      <c r="H143" s="66">
        <v>0.08</v>
      </c>
      <c r="I143" s="67">
        <v>3</v>
      </c>
      <c r="J143" s="65">
        <v>9.9</v>
      </c>
      <c r="K143" s="68">
        <f t="shared" si="2"/>
        <v>0.11335578002244601</v>
      </c>
      <c r="L143" s="509"/>
    </row>
    <row r="144" spans="1:15" ht="16.5">
      <c r="A144" s="60">
        <v>141</v>
      </c>
      <c r="B144" s="61" t="s">
        <v>1022</v>
      </c>
      <c r="C144" s="332" t="s">
        <v>1634</v>
      </c>
      <c r="D144" s="69" t="s">
        <v>1635</v>
      </c>
      <c r="E144" s="65">
        <v>3.03</v>
      </c>
      <c r="F144" s="65">
        <v>2.8857142857142901</v>
      </c>
      <c r="G144" s="65">
        <v>3.9</v>
      </c>
      <c r="H144" s="66">
        <v>0.05</v>
      </c>
      <c r="I144" s="67">
        <v>3</v>
      </c>
      <c r="J144" s="65">
        <v>9.9</v>
      </c>
      <c r="K144" s="68">
        <f t="shared" si="2"/>
        <v>0.12554112554112401</v>
      </c>
      <c r="L144" s="509"/>
    </row>
    <row r="145" spans="1:12" ht="16.5">
      <c r="A145" s="60">
        <v>142</v>
      </c>
      <c r="B145" s="61" t="s">
        <v>1022</v>
      </c>
      <c r="C145" s="332" t="s">
        <v>1636</v>
      </c>
      <c r="D145" s="69" t="s">
        <v>1637</v>
      </c>
      <c r="E145" s="65">
        <v>2.96</v>
      </c>
      <c r="F145" s="65">
        <v>2.96</v>
      </c>
      <c r="G145" s="65">
        <v>3.8</v>
      </c>
      <c r="H145" s="66"/>
      <c r="I145" s="67">
        <v>3</v>
      </c>
      <c r="J145" s="65">
        <v>9.9</v>
      </c>
      <c r="K145" s="68">
        <f t="shared" si="2"/>
        <v>0.103030303030303</v>
      </c>
      <c r="L145" s="509"/>
    </row>
    <row r="146" spans="1:12" ht="16.5">
      <c r="A146" s="60">
        <v>143</v>
      </c>
      <c r="B146" s="61" t="s">
        <v>1022</v>
      </c>
      <c r="C146" s="332" t="s">
        <v>1638</v>
      </c>
      <c r="D146" s="69" t="s">
        <v>1639</v>
      </c>
      <c r="E146" s="65">
        <v>3.26</v>
      </c>
      <c r="F146" s="65">
        <v>2.9636363636363598</v>
      </c>
      <c r="G146" s="65">
        <v>5</v>
      </c>
      <c r="H146" s="66">
        <v>0.1</v>
      </c>
      <c r="I146" s="67">
        <v>3</v>
      </c>
      <c r="J146" s="65">
        <v>9.9</v>
      </c>
      <c r="K146" s="68">
        <f t="shared" si="2"/>
        <v>0.101928374655649</v>
      </c>
      <c r="L146" s="509"/>
    </row>
    <row r="147" spans="1:12" ht="16.5">
      <c r="A147" s="60">
        <v>144</v>
      </c>
      <c r="B147" s="61" t="s">
        <v>1022</v>
      </c>
      <c r="C147" s="332" t="s">
        <v>1640</v>
      </c>
      <c r="D147" s="69" t="s">
        <v>1641</v>
      </c>
      <c r="E147" s="65">
        <v>3.26</v>
      </c>
      <c r="F147" s="65">
        <v>2.9636363636363598</v>
      </c>
      <c r="G147" s="65">
        <v>5</v>
      </c>
      <c r="H147" s="66">
        <v>0.1</v>
      </c>
      <c r="I147" s="67">
        <v>3</v>
      </c>
      <c r="J147" s="65">
        <v>9.9</v>
      </c>
      <c r="K147" s="68">
        <f t="shared" si="2"/>
        <v>0.101928374655649</v>
      </c>
      <c r="L147" s="509"/>
    </row>
    <row r="148" spans="1:12" ht="16.5">
      <c r="A148" s="60">
        <v>145</v>
      </c>
      <c r="B148" s="61" t="s">
        <v>1022</v>
      </c>
      <c r="C148" s="332" t="s">
        <v>1642</v>
      </c>
      <c r="D148" s="69" t="s">
        <v>1643</v>
      </c>
      <c r="E148" s="65">
        <v>3.26</v>
      </c>
      <c r="F148" s="65">
        <v>2.9636363636363598</v>
      </c>
      <c r="G148" s="65">
        <v>5</v>
      </c>
      <c r="H148" s="66">
        <v>0.1</v>
      </c>
      <c r="I148" s="67">
        <v>3</v>
      </c>
      <c r="J148" s="65">
        <v>9.9</v>
      </c>
      <c r="K148" s="68">
        <f t="shared" si="2"/>
        <v>0.101928374655649</v>
      </c>
      <c r="L148" s="509"/>
    </row>
    <row r="149" spans="1:12" ht="16.5">
      <c r="A149" s="60">
        <v>146</v>
      </c>
      <c r="B149" s="61" t="s">
        <v>1022</v>
      </c>
      <c r="C149" s="332" t="s">
        <v>1644</v>
      </c>
      <c r="D149" s="69" t="s">
        <v>1645</v>
      </c>
      <c r="E149" s="65">
        <v>3.26</v>
      </c>
      <c r="F149" s="65">
        <v>2.9636363636363598</v>
      </c>
      <c r="G149" s="65">
        <v>5</v>
      </c>
      <c r="H149" s="66">
        <v>0.1</v>
      </c>
      <c r="I149" s="67">
        <v>3</v>
      </c>
      <c r="J149" s="65">
        <v>9.9</v>
      </c>
      <c r="K149" s="68">
        <f t="shared" si="2"/>
        <v>0.101928374655649</v>
      </c>
      <c r="L149" s="509"/>
    </row>
    <row r="150" spans="1:12" ht="16.5">
      <c r="A150" s="60">
        <v>147</v>
      </c>
      <c r="B150" s="61" t="s">
        <v>1022</v>
      </c>
      <c r="C150" s="332" t="s">
        <v>1646</v>
      </c>
      <c r="D150" s="69" t="s">
        <v>1647</v>
      </c>
      <c r="E150" s="65">
        <v>3.26</v>
      </c>
      <c r="F150" s="65">
        <v>2.9636363636363598</v>
      </c>
      <c r="G150" s="65">
        <v>5</v>
      </c>
      <c r="H150" s="66">
        <v>0.1</v>
      </c>
      <c r="I150" s="67">
        <v>3</v>
      </c>
      <c r="J150" s="65">
        <v>9.9</v>
      </c>
      <c r="K150" s="68">
        <f t="shared" si="2"/>
        <v>0.101928374655649</v>
      </c>
      <c r="L150" s="509"/>
    </row>
    <row r="151" spans="1:12" ht="16.5">
      <c r="A151" s="60">
        <v>148</v>
      </c>
      <c r="B151" s="61" t="s">
        <v>1022</v>
      </c>
      <c r="C151" s="332" t="s">
        <v>1648</v>
      </c>
      <c r="D151" s="336" t="s">
        <v>3810</v>
      </c>
      <c r="E151" s="65">
        <v>3.26</v>
      </c>
      <c r="F151" s="65">
        <v>2.9636363636363598</v>
      </c>
      <c r="G151" s="65">
        <v>5</v>
      </c>
      <c r="H151" s="66">
        <v>0.1</v>
      </c>
      <c r="I151" s="67">
        <v>3</v>
      </c>
      <c r="J151" s="65">
        <v>9.9</v>
      </c>
      <c r="K151" s="68">
        <f t="shared" si="2"/>
        <v>0.101928374655649</v>
      </c>
      <c r="L151" s="509"/>
    </row>
    <row r="152" spans="1:12" ht="16.5">
      <c r="A152" s="60">
        <v>149</v>
      </c>
      <c r="B152" s="61" t="s">
        <v>1022</v>
      </c>
      <c r="C152" s="332" t="s">
        <v>1649</v>
      </c>
      <c r="D152" s="69" t="s">
        <v>1650</v>
      </c>
      <c r="E152" s="65">
        <v>3.26</v>
      </c>
      <c r="F152" s="65">
        <v>2.9636363636363598</v>
      </c>
      <c r="G152" s="65">
        <v>5</v>
      </c>
      <c r="H152" s="66">
        <v>0.1</v>
      </c>
      <c r="I152" s="67">
        <v>3</v>
      </c>
      <c r="J152" s="65">
        <v>9.9</v>
      </c>
      <c r="K152" s="68">
        <f t="shared" si="2"/>
        <v>0.101928374655649</v>
      </c>
      <c r="L152" s="509"/>
    </row>
    <row r="153" spans="1:12" ht="16.5">
      <c r="A153" s="60">
        <v>150</v>
      </c>
      <c r="B153" s="61" t="s">
        <v>1022</v>
      </c>
      <c r="C153" s="332" t="s">
        <v>1651</v>
      </c>
      <c r="D153" s="69" t="s">
        <v>1652</v>
      </c>
      <c r="E153" s="65">
        <v>3.26</v>
      </c>
      <c r="F153" s="65">
        <v>2.9636363636363598</v>
      </c>
      <c r="G153" s="65">
        <v>5</v>
      </c>
      <c r="H153" s="66">
        <v>0.1</v>
      </c>
      <c r="I153" s="67">
        <v>3</v>
      </c>
      <c r="J153" s="65">
        <v>9.9</v>
      </c>
      <c r="K153" s="68">
        <f t="shared" si="2"/>
        <v>0.101928374655649</v>
      </c>
      <c r="L153" s="509"/>
    </row>
    <row r="154" spans="1:12" ht="16.5">
      <c r="A154" s="60">
        <v>151</v>
      </c>
      <c r="B154" s="61" t="s">
        <v>1022</v>
      </c>
      <c r="C154" s="332" t="s">
        <v>1653</v>
      </c>
      <c r="D154" s="69" t="s">
        <v>1654</v>
      </c>
      <c r="E154" s="65">
        <v>3.09</v>
      </c>
      <c r="F154" s="65">
        <v>2.94285714285714</v>
      </c>
      <c r="G154" s="65">
        <v>4.5</v>
      </c>
      <c r="H154" s="66">
        <v>0.05</v>
      </c>
      <c r="I154" s="67">
        <v>3</v>
      </c>
      <c r="J154" s="65">
        <v>9.9</v>
      </c>
      <c r="K154" s="68">
        <f t="shared" si="2"/>
        <v>0.108225108225109</v>
      </c>
      <c r="L154" s="509"/>
    </row>
    <row r="155" spans="1:12" ht="16.5">
      <c r="A155" s="60">
        <v>152</v>
      </c>
      <c r="B155" s="61" t="s">
        <v>1022</v>
      </c>
      <c r="C155" s="332" t="s">
        <v>1655</v>
      </c>
      <c r="D155" s="69" t="s">
        <v>1656</v>
      </c>
      <c r="E155" s="65">
        <v>3.09</v>
      </c>
      <c r="F155" s="65">
        <v>2.94285714285714</v>
      </c>
      <c r="G155" s="65">
        <v>4.5</v>
      </c>
      <c r="H155" s="66">
        <v>0.05</v>
      </c>
      <c r="I155" s="67">
        <v>3</v>
      </c>
      <c r="J155" s="65">
        <v>9.9</v>
      </c>
      <c r="K155" s="68">
        <f t="shared" si="2"/>
        <v>0.108225108225109</v>
      </c>
      <c r="L155" s="509"/>
    </row>
    <row r="156" spans="1:12" ht="16.5">
      <c r="A156" s="60">
        <v>153</v>
      </c>
      <c r="B156" s="61" t="s">
        <v>1022</v>
      </c>
      <c r="C156" s="332" t="s">
        <v>1657</v>
      </c>
      <c r="D156" s="69" t="s">
        <v>1658</v>
      </c>
      <c r="E156" s="65">
        <v>3.09</v>
      </c>
      <c r="F156" s="65">
        <v>2.94285714285714</v>
      </c>
      <c r="G156" s="65">
        <v>4.5</v>
      </c>
      <c r="H156" s="66">
        <v>0.05</v>
      </c>
      <c r="I156" s="67">
        <v>3</v>
      </c>
      <c r="J156" s="65">
        <v>9.9</v>
      </c>
      <c r="K156" s="68">
        <f t="shared" si="2"/>
        <v>0.108225108225109</v>
      </c>
      <c r="L156" s="509"/>
    </row>
    <row r="157" spans="1:12" ht="16.5">
      <c r="A157" s="60">
        <v>154</v>
      </c>
      <c r="B157" s="61" t="s">
        <v>1022</v>
      </c>
      <c r="C157" s="332" t="s">
        <v>1659</v>
      </c>
      <c r="D157" s="69" t="s">
        <v>1660</v>
      </c>
      <c r="E157" s="65">
        <v>3.06</v>
      </c>
      <c r="F157" s="65">
        <v>2.9142857142857101</v>
      </c>
      <c r="G157" s="65">
        <v>5</v>
      </c>
      <c r="H157" s="66">
        <v>0.05</v>
      </c>
      <c r="I157" s="67">
        <v>3</v>
      </c>
      <c r="J157" s="65">
        <v>9.9</v>
      </c>
      <c r="K157" s="68">
        <f t="shared" si="2"/>
        <v>0.116883116883118</v>
      </c>
      <c r="L157" s="509"/>
    </row>
    <row r="158" spans="1:12" ht="16.5">
      <c r="A158" s="60">
        <v>155</v>
      </c>
      <c r="B158" s="61" t="s">
        <v>743</v>
      </c>
      <c r="C158" s="332" t="s">
        <v>1661</v>
      </c>
      <c r="D158" s="69" t="s">
        <v>1662</v>
      </c>
      <c r="E158" s="65">
        <v>2.95</v>
      </c>
      <c r="F158" s="65">
        <v>2.95</v>
      </c>
      <c r="G158" s="65">
        <v>3.8</v>
      </c>
      <c r="H158" s="66"/>
      <c r="I158" s="67">
        <v>3</v>
      </c>
      <c r="J158" s="65">
        <v>9.9</v>
      </c>
      <c r="K158" s="68">
        <f t="shared" si="2"/>
        <v>0.10606060606060599</v>
      </c>
      <c r="L158" s="509"/>
    </row>
    <row r="159" spans="1:12" ht="16.5">
      <c r="A159" s="60">
        <v>156</v>
      </c>
      <c r="B159" s="61" t="s">
        <v>1022</v>
      </c>
      <c r="C159" s="332" t="s">
        <v>1663</v>
      </c>
      <c r="D159" s="69" t="s">
        <v>1664</v>
      </c>
      <c r="E159" s="65">
        <v>2.64</v>
      </c>
      <c r="F159" s="65">
        <v>2.64</v>
      </c>
      <c r="G159" s="65">
        <v>4</v>
      </c>
      <c r="H159" s="66"/>
      <c r="I159" s="67">
        <v>3</v>
      </c>
      <c r="J159" s="65">
        <v>9.9</v>
      </c>
      <c r="K159" s="68">
        <f t="shared" si="2"/>
        <v>0.2</v>
      </c>
      <c r="L159" s="509"/>
    </row>
    <row r="160" spans="1:12" ht="16.5">
      <c r="A160" s="60">
        <v>157</v>
      </c>
      <c r="B160" s="61" t="s">
        <v>1022</v>
      </c>
      <c r="C160" s="332" t="s">
        <v>1665</v>
      </c>
      <c r="D160" s="69" t="s">
        <v>1666</v>
      </c>
      <c r="E160" s="65">
        <v>2.64</v>
      </c>
      <c r="F160" s="65">
        <v>2.64</v>
      </c>
      <c r="G160" s="65">
        <v>4</v>
      </c>
      <c r="H160" s="66"/>
      <c r="I160" s="67">
        <v>3</v>
      </c>
      <c r="J160" s="65">
        <v>9.9</v>
      </c>
      <c r="K160" s="68">
        <f t="shared" si="2"/>
        <v>0.2</v>
      </c>
      <c r="L160" s="509"/>
    </row>
    <row r="161" spans="1:15" ht="16.5">
      <c r="A161" s="60">
        <v>158</v>
      </c>
      <c r="B161" s="61" t="s">
        <v>1022</v>
      </c>
      <c r="C161" s="332" t="s">
        <v>1667</v>
      </c>
      <c r="D161" s="69" t="s">
        <v>1668</v>
      </c>
      <c r="E161" s="65">
        <v>2.97</v>
      </c>
      <c r="F161" s="65">
        <v>2.97</v>
      </c>
      <c r="G161" s="65">
        <v>4.5</v>
      </c>
      <c r="H161" s="66"/>
      <c r="I161" s="67">
        <v>3</v>
      </c>
      <c r="J161" s="65">
        <v>9.9</v>
      </c>
      <c r="K161" s="68">
        <f t="shared" si="2"/>
        <v>0.1</v>
      </c>
      <c r="L161" s="509"/>
    </row>
    <row r="162" spans="1:15" ht="16.5">
      <c r="A162" s="60">
        <v>159</v>
      </c>
      <c r="B162" s="61" t="s">
        <v>1022</v>
      </c>
      <c r="C162" s="332" t="s">
        <v>1669</v>
      </c>
      <c r="D162" s="336" t="s">
        <v>3811</v>
      </c>
      <c r="E162" s="65">
        <v>2.63</v>
      </c>
      <c r="F162" s="65">
        <v>2.63</v>
      </c>
      <c r="G162" s="65">
        <v>4.9000000000000004</v>
      </c>
      <c r="H162" s="66"/>
      <c r="I162" s="67">
        <v>3</v>
      </c>
      <c r="J162" s="65">
        <v>9.9</v>
      </c>
      <c r="K162" s="68">
        <f t="shared" si="2"/>
        <v>0.20303030303030301</v>
      </c>
      <c r="L162" s="509"/>
    </row>
    <row r="163" spans="1:15" ht="16.5">
      <c r="A163" s="60">
        <v>160</v>
      </c>
      <c r="B163" s="61" t="s">
        <v>1022</v>
      </c>
      <c r="C163" s="332" t="s">
        <v>1670</v>
      </c>
      <c r="D163" s="69" t="s">
        <v>1671</v>
      </c>
      <c r="E163" s="65">
        <v>2.63</v>
      </c>
      <c r="F163" s="65">
        <v>2.63</v>
      </c>
      <c r="G163" s="65">
        <v>4.5</v>
      </c>
      <c r="H163" s="66">
        <v>0.05</v>
      </c>
      <c r="I163" s="67">
        <v>3</v>
      </c>
      <c r="J163" s="65">
        <v>9.9</v>
      </c>
      <c r="K163" s="68">
        <f t="shared" si="2"/>
        <v>0.20303030303030301</v>
      </c>
      <c r="L163" s="509"/>
    </row>
    <row r="164" spans="1:15" ht="16.5">
      <c r="A164" s="60">
        <v>161</v>
      </c>
      <c r="B164" s="61" t="s">
        <v>1022</v>
      </c>
      <c r="C164" s="332" t="s">
        <v>1672</v>
      </c>
      <c r="D164" s="69" t="s">
        <v>1673</v>
      </c>
      <c r="E164" s="65">
        <v>2.93</v>
      </c>
      <c r="F164" s="65">
        <v>2.93</v>
      </c>
      <c r="G164" s="65">
        <v>3.9</v>
      </c>
      <c r="H164" s="66">
        <v>0.05</v>
      </c>
      <c r="I164" s="67">
        <v>3</v>
      </c>
      <c r="J164" s="65">
        <v>9.9</v>
      </c>
      <c r="K164" s="68">
        <f t="shared" si="2"/>
        <v>0.112121212121212</v>
      </c>
      <c r="L164" s="509"/>
    </row>
    <row r="165" spans="1:15" ht="16.5">
      <c r="A165" s="60">
        <v>162</v>
      </c>
      <c r="B165" s="61" t="s">
        <v>1022</v>
      </c>
      <c r="C165" s="332" t="s">
        <v>1674</v>
      </c>
      <c r="D165" s="69" t="s">
        <v>1675</v>
      </c>
      <c r="E165" s="65">
        <v>2.94</v>
      </c>
      <c r="F165" s="65">
        <v>2.94</v>
      </c>
      <c r="G165" s="65">
        <v>3.5</v>
      </c>
      <c r="H165" s="66"/>
      <c r="I165" s="67">
        <v>3</v>
      </c>
      <c r="J165" s="65">
        <v>9.9</v>
      </c>
      <c r="K165" s="68">
        <f t="shared" si="2"/>
        <v>0.109090909090909</v>
      </c>
      <c r="L165" s="509"/>
    </row>
    <row r="166" spans="1:15" ht="16.5">
      <c r="A166" s="60">
        <v>163</v>
      </c>
      <c r="B166" s="61" t="s">
        <v>1022</v>
      </c>
      <c r="C166" s="332" t="s">
        <v>1676</v>
      </c>
      <c r="D166" s="69" t="s">
        <v>1677</v>
      </c>
      <c r="E166" s="65">
        <v>2.94</v>
      </c>
      <c r="F166" s="65">
        <v>2.94</v>
      </c>
      <c r="G166" s="65">
        <v>3.5</v>
      </c>
      <c r="H166" s="66"/>
      <c r="I166" s="67">
        <v>3</v>
      </c>
      <c r="J166" s="65">
        <v>9.9</v>
      </c>
      <c r="K166" s="68">
        <f t="shared" si="2"/>
        <v>0.109090909090909</v>
      </c>
      <c r="L166" s="509"/>
    </row>
    <row r="167" spans="1:15" ht="16.5">
      <c r="A167" s="60">
        <v>164</v>
      </c>
      <c r="B167" s="61" t="s">
        <v>1022</v>
      </c>
      <c r="C167" s="332" t="s">
        <v>1678</v>
      </c>
      <c r="D167" s="69" t="s">
        <v>1679</v>
      </c>
      <c r="E167" s="65">
        <v>2.94</v>
      </c>
      <c r="F167" s="65">
        <v>2.94</v>
      </c>
      <c r="G167" s="65">
        <v>3.5</v>
      </c>
      <c r="H167" s="66"/>
      <c r="I167" s="67">
        <v>3</v>
      </c>
      <c r="J167" s="65">
        <v>9.9</v>
      </c>
      <c r="K167" s="68">
        <f t="shared" si="2"/>
        <v>0.109090909090909</v>
      </c>
      <c r="L167" s="509"/>
    </row>
    <row r="168" spans="1:15" ht="16.5">
      <c r="A168" s="60">
        <v>165</v>
      </c>
      <c r="B168" s="61" t="s">
        <v>1022</v>
      </c>
      <c r="C168" s="332" t="s">
        <v>1680</v>
      </c>
      <c r="D168" s="69" t="s">
        <v>1681</v>
      </c>
      <c r="E168" s="65">
        <v>2.94</v>
      </c>
      <c r="F168" s="65">
        <v>2.94</v>
      </c>
      <c r="G168" s="65">
        <v>3.5</v>
      </c>
      <c r="H168" s="66"/>
      <c r="I168" s="67">
        <v>3</v>
      </c>
      <c r="J168" s="65">
        <v>9.9</v>
      </c>
      <c r="K168" s="68">
        <f t="shared" si="2"/>
        <v>0.109090909090909</v>
      </c>
      <c r="L168" s="509"/>
    </row>
    <row r="169" spans="1:15" ht="16.5">
      <c r="A169" s="60">
        <v>166</v>
      </c>
      <c r="B169" s="61" t="s">
        <v>1022</v>
      </c>
      <c r="C169" s="332" t="s">
        <v>1682</v>
      </c>
      <c r="D169" s="69" t="s">
        <v>1683</v>
      </c>
      <c r="E169" s="65">
        <v>2.94</v>
      </c>
      <c r="F169" s="65">
        <v>2.94</v>
      </c>
      <c r="G169" s="65">
        <v>3.5</v>
      </c>
      <c r="H169" s="66"/>
      <c r="I169" s="67">
        <v>3</v>
      </c>
      <c r="J169" s="65">
        <v>9.9</v>
      </c>
      <c r="K169" s="68">
        <f t="shared" si="2"/>
        <v>0.109090909090909</v>
      </c>
      <c r="L169" s="509"/>
    </row>
    <row r="170" spans="1:15" ht="16.5">
      <c r="A170" s="60">
        <v>167</v>
      </c>
      <c r="B170" s="61" t="s">
        <v>1022</v>
      </c>
      <c r="C170" s="332" t="s">
        <v>1684</v>
      </c>
      <c r="D170" s="69" t="s">
        <v>1685</v>
      </c>
      <c r="E170" s="65">
        <v>2.5</v>
      </c>
      <c r="F170" s="65">
        <v>2.5</v>
      </c>
      <c r="G170" s="65">
        <v>3.5</v>
      </c>
      <c r="H170" s="66"/>
      <c r="I170" s="67">
        <v>3</v>
      </c>
      <c r="J170" s="65">
        <v>9.9</v>
      </c>
      <c r="K170" s="68">
        <f t="shared" si="2"/>
        <v>0.24242424242424199</v>
      </c>
      <c r="L170" s="509"/>
    </row>
    <row r="171" spans="1:15" ht="16.5">
      <c r="A171" s="60">
        <v>168</v>
      </c>
      <c r="B171" s="61" t="s">
        <v>1022</v>
      </c>
      <c r="C171" s="332" t="s">
        <v>1686</v>
      </c>
      <c r="D171" s="69" t="s">
        <v>1687</v>
      </c>
      <c r="E171" s="65">
        <v>2.5</v>
      </c>
      <c r="F171" s="65">
        <v>2.5</v>
      </c>
      <c r="G171" s="65">
        <v>3.5</v>
      </c>
      <c r="H171" s="66"/>
      <c r="I171" s="67">
        <v>3</v>
      </c>
      <c r="J171" s="65">
        <v>9.9</v>
      </c>
      <c r="K171" s="68">
        <f t="shared" si="2"/>
        <v>0.24242424242424199</v>
      </c>
      <c r="L171" s="509"/>
    </row>
    <row r="172" spans="1:15" ht="16.5">
      <c r="A172" s="60">
        <v>169</v>
      </c>
      <c r="B172" s="61" t="s">
        <v>1022</v>
      </c>
      <c r="C172" s="332" t="s">
        <v>1688</v>
      </c>
      <c r="D172" s="69" t="s">
        <v>1689</v>
      </c>
      <c r="E172" s="65">
        <v>2.94</v>
      </c>
      <c r="F172" s="65">
        <v>2.94</v>
      </c>
      <c r="G172" s="65">
        <v>3.5</v>
      </c>
      <c r="H172" s="66"/>
      <c r="I172" s="67">
        <v>3</v>
      </c>
      <c r="J172" s="65">
        <v>9.9</v>
      </c>
      <c r="K172" s="68">
        <f t="shared" si="2"/>
        <v>0.109090909090909</v>
      </c>
      <c r="L172" s="509"/>
    </row>
    <row r="173" spans="1:15" ht="16.5">
      <c r="A173" s="60">
        <v>170</v>
      </c>
      <c r="B173" s="61" t="s">
        <v>1022</v>
      </c>
      <c r="C173" s="332" t="s">
        <v>1690</v>
      </c>
      <c r="D173" s="69" t="s">
        <v>1691</v>
      </c>
      <c r="E173" s="65">
        <v>2.94</v>
      </c>
      <c r="F173" s="65">
        <v>2.94</v>
      </c>
      <c r="G173" s="65">
        <v>3.5</v>
      </c>
      <c r="H173" s="66"/>
      <c r="I173" s="67">
        <v>3</v>
      </c>
      <c r="J173" s="65">
        <v>10.9</v>
      </c>
      <c r="K173" s="68">
        <f t="shared" si="2"/>
        <v>0.19082568807339501</v>
      </c>
      <c r="L173" s="509"/>
    </row>
    <row r="174" spans="1:15" ht="16.5">
      <c r="A174" s="60">
        <v>171</v>
      </c>
      <c r="B174" s="61" t="s">
        <v>1368</v>
      </c>
      <c r="C174" s="61" t="s">
        <v>1692</v>
      </c>
      <c r="D174" s="69" t="s">
        <v>1693</v>
      </c>
      <c r="E174" s="65">
        <v>2.04</v>
      </c>
      <c r="F174" s="65">
        <v>1.9546154249737699</v>
      </c>
      <c r="G174" s="65">
        <v>3</v>
      </c>
      <c r="H174" s="66">
        <v>0.13</v>
      </c>
      <c r="I174" s="67">
        <v>4</v>
      </c>
      <c r="J174" s="65">
        <v>9.9</v>
      </c>
      <c r="K174" s="68">
        <f t="shared" si="2"/>
        <v>0.21025639394999199</v>
      </c>
      <c r="L174" s="509"/>
      <c r="M174" s="53"/>
      <c r="N174" s="53"/>
      <c r="O174" s="53"/>
    </row>
    <row r="175" spans="1:15" ht="16.5">
      <c r="A175" s="60">
        <v>172</v>
      </c>
      <c r="B175" s="61" t="s">
        <v>1368</v>
      </c>
      <c r="C175" s="61" t="s">
        <v>1694</v>
      </c>
      <c r="D175" s="69" t="s">
        <v>1695</v>
      </c>
      <c r="E175" s="65">
        <v>2.04</v>
      </c>
      <c r="F175" s="65">
        <v>1.98550016977929</v>
      </c>
      <c r="G175" s="65">
        <v>3</v>
      </c>
      <c r="H175" s="66">
        <v>0.13</v>
      </c>
      <c r="I175" s="67">
        <v>4</v>
      </c>
      <c r="J175" s="65">
        <v>9.9</v>
      </c>
      <c r="K175" s="68">
        <f t="shared" si="2"/>
        <v>0.197777709180085</v>
      </c>
      <c r="L175" s="509"/>
      <c r="M175" s="53"/>
      <c r="N175" s="53"/>
      <c r="O175" s="53"/>
    </row>
    <row r="176" spans="1:15" ht="16.5">
      <c r="A176" s="60">
        <v>173</v>
      </c>
      <c r="B176" s="61" t="s">
        <v>1368</v>
      </c>
      <c r="C176" s="61" t="s">
        <v>1696</v>
      </c>
      <c r="D176" s="69" t="s">
        <v>1697</v>
      </c>
      <c r="E176" s="65">
        <v>2.04</v>
      </c>
      <c r="F176" s="65">
        <v>2.0320935425193301</v>
      </c>
      <c r="G176" s="65">
        <v>3</v>
      </c>
      <c r="H176" s="66">
        <v>0.13</v>
      </c>
      <c r="I176" s="67">
        <v>4</v>
      </c>
      <c r="J176" s="65">
        <v>9.9</v>
      </c>
      <c r="K176" s="68">
        <f t="shared" si="2"/>
        <v>0.17895210403259401</v>
      </c>
      <c r="L176" s="509"/>
      <c r="M176" s="53"/>
      <c r="N176" s="53"/>
      <c r="O176" s="53"/>
    </row>
    <row r="177" spans="1:12" ht="16.5">
      <c r="A177" s="60">
        <v>174</v>
      </c>
      <c r="B177" s="61" t="s">
        <v>1022</v>
      </c>
      <c r="C177" s="332" t="s">
        <v>1698</v>
      </c>
      <c r="D177" s="69" t="s">
        <v>1699</v>
      </c>
      <c r="E177" s="65">
        <v>1.94</v>
      </c>
      <c r="F177" s="65">
        <v>1.94</v>
      </c>
      <c r="G177" s="65">
        <v>2.9</v>
      </c>
      <c r="H177" s="66"/>
      <c r="I177" s="67">
        <v>4</v>
      </c>
      <c r="J177" s="65">
        <v>9.9</v>
      </c>
      <c r="K177" s="68">
        <f t="shared" si="2"/>
        <v>0.216161616161616</v>
      </c>
      <c r="L177" s="509"/>
    </row>
    <row r="178" spans="1:12" ht="16.5">
      <c r="A178" s="60">
        <v>175</v>
      </c>
      <c r="B178" s="61" t="s">
        <v>1022</v>
      </c>
      <c r="C178" s="332" t="s">
        <v>1700</v>
      </c>
      <c r="D178" s="69" t="s">
        <v>1701</v>
      </c>
      <c r="E178" s="65">
        <v>1.94</v>
      </c>
      <c r="F178" s="65">
        <v>1.94</v>
      </c>
      <c r="G178" s="65">
        <v>2.9</v>
      </c>
      <c r="H178" s="66"/>
      <c r="I178" s="67">
        <v>4</v>
      </c>
      <c r="J178" s="65">
        <v>9.9</v>
      </c>
      <c r="K178" s="68">
        <f t="shared" si="2"/>
        <v>0.216161616161616</v>
      </c>
      <c r="L178" s="509"/>
    </row>
    <row r="179" spans="1:12" ht="16.5">
      <c r="A179" s="60">
        <v>176</v>
      </c>
      <c r="B179" s="61" t="s">
        <v>1022</v>
      </c>
      <c r="C179" s="332" t="s">
        <v>1702</v>
      </c>
      <c r="D179" s="69" t="s">
        <v>1703</v>
      </c>
      <c r="E179" s="65">
        <v>2.19</v>
      </c>
      <c r="F179" s="65">
        <v>2.19</v>
      </c>
      <c r="G179" s="65">
        <v>2.4649999999999999</v>
      </c>
      <c r="H179" s="66"/>
      <c r="I179" s="67">
        <v>4</v>
      </c>
      <c r="J179" s="65">
        <v>9.9</v>
      </c>
      <c r="K179" s="68">
        <f t="shared" si="2"/>
        <v>0.115151515151515</v>
      </c>
      <c r="L179" s="509"/>
    </row>
    <row r="180" spans="1:12" ht="16.5">
      <c r="A180" s="60">
        <v>177</v>
      </c>
      <c r="B180" s="61" t="s">
        <v>1022</v>
      </c>
      <c r="C180" s="332" t="s">
        <v>1704</v>
      </c>
      <c r="D180" s="69" t="s">
        <v>1705</v>
      </c>
      <c r="E180" s="65">
        <v>1.98</v>
      </c>
      <c r="F180" s="65">
        <v>1.98</v>
      </c>
      <c r="G180" s="65">
        <v>2.5</v>
      </c>
      <c r="H180" s="66"/>
      <c r="I180" s="67">
        <v>4</v>
      </c>
      <c r="J180" s="65">
        <v>9.9</v>
      </c>
      <c r="K180" s="68">
        <f t="shared" si="2"/>
        <v>0.2</v>
      </c>
      <c r="L180" s="509"/>
    </row>
    <row r="181" spans="1:12" ht="16.5">
      <c r="A181" s="60">
        <v>178</v>
      </c>
      <c r="B181" s="61" t="s">
        <v>743</v>
      </c>
      <c r="C181" s="332" t="s">
        <v>1706</v>
      </c>
      <c r="D181" s="69" t="s">
        <v>1707</v>
      </c>
      <c r="E181" s="65">
        <v>2.2400000000000002</v>
      </c>
      <c r="F181" s="65">
        <v>2.2400000000000002</v>
      </c>
      <c r="G181" s="65">
        <v>3.8</v>
      </c>
      <c r="H181" s="66"/>
      <c r="I181" s="67">
        <v>4</v>
      </c>
      <c r="J181" s="65">
        <v>9.9</v>
      </c>
      <c r="K181" s="68">
        <f t="shared" si="2"/>
        <v>9.4949494949494895E-2</v>
      </c>
      <c r="L181" s="509"/>
    </row>
    <row r="182" spans="1:12" ht="16.5">
      <c r="A182" s="60">
        <v>179</v>
      </c>
      <c r="B182" s="61" t="s">
        <v>743</v>
      </c>
      <c r="C182" s="332" t="s">
        <v>1708</v>
      </c>
      <c r="D182" s="69" t="s">
        <v>1709</v>
      </c>
      <c r="E182" s="65">
        <v>2.2200000000000002</v>
      </c>
      <c r="F182" s="65">
        <v>2.2200000000000002</v>
      </c>
      <c r="G182" s="65">
        <v>3.8</v>
      </c>
      <c r="H182" s="66"/>
      <c r="I182" s="67">
        <v>4</v>
      </c>
      <c r="J182" s="65">
        <v>9.9</v>
      </c>
      <c r="K182" s="68">
        <f t="shared" si="2"/>
        <v>0.103030303030303</v>
      </c>
      <c r="L182" s="509"/>
    </row>
    <row r="183" spans="1:12" ht="16.5">
      <c r="A183" s="60">
        <v>180</v>
      </c>
      <c r="B183" s="61" t="s">
        <v>743</v>
      </c>
      <c r="C183" s="332" t="s">
        <v>1710</v>
      </c>
      <c r="D183" s="69" t="s">
        <v>1711</v>
      </c>
      <c r="E183" s="65">
        <v>2.2200000000000002</v>
      </c>
      <c r="F183" s="65">
        <v>2.2200000000000002</v>
      </c>
      <c r="G183" s="65">
        <v>3.8</v>
      </c>
      <c r="H183" s="66"/>
      <c r="I183" s="67">
        <v>4</v>
      </c>
      <c r="J183" s="65">
        <v>9.9</v>
      </c>
      <c r="K183" s="68">
        <f t="shared" si="2"/>
        <v>0.103030303030303</v>
      </c>
      <c r="L183" s="509"/>
    </row>
    <row r="184" spans="1:12" ht="16.5">
      <c r="A184" s="60">
        <v>181</v>
      </c>
      <c r="B184" s="61" t="s">
        <v>1022</v>
      </c>
      <c r="C184" s="332" t="s">
        <v>1712</v>
      </c>
      <c r="D184" s="69" t="s">
        <v>1713</v>
      </c>
      <c r="E184" s="65">
        <v>1.71</v>
      </c>
      <c r="F184" s="65">
        <v>1.71</v>
      </c>
      <c r="G184" s="65">
        <v>2.5</v>
      </c>
      <c r="H184" s="66"/>
      <c r="I184" s="67">
        <v>5</v>
      </c>
      <c r="J184" s="65">
        <v>9.9</v>
      </c>
      <c r="K184" s="68">
        <f t="shared" si="2"/>
        <v>0.13636363636363599</v>
      </c>
      <c r="L184" s="509"/>
    </row>
    <row r="185" spans="1:12" ht="16.5">
      <c r="A185" s="60">
        <v>182</v>
      </c>
      <c r="B185" s="61" t="s">
        <v>1022</v>
      </c>
      <c r="C185" s="332" t="s">
        <v>1714</v>
      </c>
      <c r="D185" s="69" t="s">
        <v>1715</v>
      </c>
      <c r="E185" s="65">
        <v>1.71</v>
      </c>
      <c r="F185" s="65">
        <v>1.71</v>
      </c>
      <c r="G185" s="65">
        <v>3</v>
      </c>
      <c r="H185" s="66"/>
      <c r="I185" s="67">
        <v>5</v>
      </c>
      <c r="J185" s="65">
        <v>9.9</v>
      </c>
      <c r="K185" s="68">
        <f t="shared" si="2"/>
        <v>0.13636363636363599</v>
      </c>
      <c r="L185" s="509"/>
    </row>
    <row r="186" spans="1:12" ht="16.5">
      <c r="A186" s="60">
        <v>183</v>
      </c>
      <c r="B186" s="61" t="s">
        <v>1022</v>
      </c>
      <c r="C186" s="61" t="s">
        <v>1716</v>
      </c>
      <c r="D186" s="69" t="s">
        <v>1717</v>
      </c>
      <c r="E186" s="65">
        <v>2.75</v>
      </c>
      <c r="F186" s="65">
        <v>2.75</v>
      </c>
      <c r="G186" s="65">
        <v>3.5</v>
      </c>
      <c r="H186" s="66"/>
      <c r="I186" s="67">
        <v>3</v>
      </c>
      <c r="J186" s="65">
        <v>9.9</v>
      </c>
      <c r="K186" s="68">
        <f t="shared" ref="K186:K197" si="3">1-((F186*I186)/J186)</f>
        <v>0.16666666666666699</v>
      </c>
      <c r="L186" s="509"/>
    </row>
    <row r="187" spans="1:12" ht="16.5">
      <c r="A187" s="60">
        <v>184</v>
      </c>
      <c r="B187" s="61" t="s">
        <v>1022</v>
      </c>
      <c r="C187" s="61" t="s">
        <v>1718</v>
      </c>
      <c r="D187" s="69" t="s">
        <v>1719</v>
      </c>
      <c r="E187" s="65">
        <v>2.75</v>
      </c>
      <c r="F187" s="65">
        <v>2.75</v>
      </c>
      <c r="G187" s="65">
        <v>3.5</v>
      </c>
      <c r="H187" s="66"/>
      <c r="I187" s="67">
        <v>3</v>
      </c>
      <c r="J187" s="65">
        <v>9.9</v>
      </c>
      <c r="K187" s="68">
        <f t="shared" si="3"/>
        <v>0.16666666666666699</v>
      </c>
      <c r="L187" s="509"/>
    </row>
    <row r="188" spans="1:12" ht="16.5">
      <c r="A188" s="60">
        <v>185</v>
      </c>
      <c r="B188" s="61" t="s">
        <v>1022</v>
      </c>
      <c r="C188" s="61" t="s">
        <v>1720</v>
      </c>
      <c r="D188" s="69" t="s">
        <v>1721</v>
      </c>
      <c r="E188" s="65">
        <v>2.75</v>
      </c>
      <c r="F188" s="65">
        <v>2.75</v>
      </c>
      <c r="G188" s="65">
        <v>3.5</v>
      </c>
      <c r="H188" s="66"/>
      <c r="I188" s="67">
        <v>3</v>
      </c>
      <c r="J188" s="65">
        <v>9.9</v>
      </c>
      <c r="K188" s="68">
        <f t="shared" si="3"/>
        <v>0.16666666666666699</v>
      </c>
      <c r="L188" s="509"/>
    </row>
    <row r="189" spans="1:12" ht="16.5">
      <c r="A189" s="60">
        <v>186</v>
      </c>
      <c r="B189" s="61" t="s">
        <v>743</v>
      </c>
      <c r="C189" s="61" t="s">
        <v>1722</v>
      </c>
      <c r="D189" s="69" t="s">
        <v>1723</v>
      </c>
      <c r="E189" s="65">
        <v>4.6500000000000004</v>
      </c>
      <c r="F189" s="65">
        <v>4.6500000000000004</v>
      </c>
      <c r="G189" s="65">
        <v>7.8</v>
      </c>
      <c r="H189" s="66">
        <v>0.06</v>
      </c>
      <c r="I189" s="67">
        <v>2</v>
      </c>
      <c r="J189" s="65">
        <v>9.9</v>
      </c>
      <c r="K189" s="68">
        <f t="shared" si="3"/>
        <v>6.0606060606060601E-2</v>
      </c>
      <c r="L189" s="509"/>
    </row>
    <row r="190" spans="1:12" ht="16.5">
      <c r="A190" s="60">
        <v>187</v>
      </c>
      <c r="B190" s="61" t="s">
        <v>311</v>
      </c>
      <c r="C190" s="61" t="s">
        <v>1724</v>
      </c>
      <c r="D190" s="69" t="s">
        <v>1725</v>
      </c>
      <c r="E190" s="65">
        <v>2.4900000000000002</v>
      </c>
      <c r="F190" s="65">
        <v>2.4900000000000002</v>
      </c>
      <c r="G190" s="65">
        <v>3.5</v>
      </c>
      <c r="H190" s="66">
        <v>0.05</v>
      </c>
      <c r="I190" s="67">
        <v>3</v>
      </c>
      <c r="J190" s="65">
        <v>9.9</v>
      </c>
      <c r="K190" s="68">
        <f t="shared" si="3"/>
        <v>0.24545454545454501</v>
      </c>
      <c r="L190" s="509"/>
    </row>
    <row r="191" spans="1:12" ht="16.5">
      <c r="A191" s="60">
        <v>188</v>
      </c>
      <c r="B191" s="61" t="s">
        <v>1022</v>
      </c>
      <c r="C191" s="61" t="s">
        <v>1726</v>
      </c>
      <c r="D191" s="69" t="s">
        <v>1727</v>
      </c>
      <c r="E191" s="65">
        <v>9.57</v>
      </c>
      <c r="F191" s="65">
        <v>9.57</v>
      </c>
      <c r="G191" s="65">
        <v>16.899999999999999</v>
      </c>
      <c r="H191" s="66">
        <v>0.08</v>
      </c>
      <c r="I191" s="67">
        <v>1</v>
      </c>
      <c r="J191" s="65">
        <v>9.9</v>
      </c>
      <c r="K191" s="68">
        <f t="shared" si="3"/>
        <v>3.3333333333333298E-2</v>
      </c>
      <c r="L191" s="509"/>
    </row>
    <row r="192" spans="1:12" ht="16.5">
      <c r="A192" s="60">
        <v>189</v>
      </c>
      <c r="B192" s="61" t="s">
        <v>1022</v>
      </c>
      <c r="C192" s="61" t="s">
        <v>1728</v>
      </c>
      <c r="D192" s="69" t="s">
        <v>1729</v>
      </c>
      <c r="E192" s="65">
        <v>6.57</v>
      </c>
      <c r="F192" s="65">
        <v>6.57</v>
      </c>
      <c r="G192" s="65">
        <v>12.9</v>
      </c>
      <c r="H192" s="66"/>
      <c r="I192" s="67">
        <v>1</v>
      </c>
      <c r="J192" s="65">
        <v>9.9</v>
      </c>
      <c r="K192" s="68">
        <f t="shared" si="3"/>
        <v>0.33636363636363598</v>
      </c>
      <c r="L192" s="509"/>
    </row>
    <row r="193" spans="1:12" ht="16.5">
      <c r="A193" s="60">
        <v>190</v>
      </c>
      <c r="B193" s="61" t="s">
        <v>1022</v>
      </c>
      <c r="C193" s="61" t="s">
        <v>1730</v>
      </c>
      <c r="D193" s="69" t="s">
        <v>1731</v>
      </c>
      <c r="E193" s="65">
        <v>3.64</v>
      </c>
      <c r="F193" s="65">
        <v>3.64</v>
      </c>
      <c r="G193" s="65">
        <v>7.9</v>
      </c>
      <c r="H193" s="66"/>
      <c r="I193" s="67">
        <v>2</v>
      </c>
      <c r="J193" s="65">
        <v>9.9</v>
      </c>
      <c r="K193" s="68">
        <f t="shared" si="3"/>
        <v>0.26464646464646502</v>
      </c>
      <c r="L193" s="509"/>
    </row>
    <row r="194" spans="1:12" ht="16.5">
      <c r="A194" s="60">
        <v>191</v>
      </c>
      <c r="B194" s="61" t="s">
        <v>1022</v>
      </c>
      <c r="C194" s="61"/>
      <c r="D194" s="69" t="s">
        <v>1732</v>
      </c>
      <c r="E194" s="65">
        <v>9.4499999999999993</v>
      </c>
      <c r="F194" s="65">
        <v>9.4499999999999993</v>
      </c>
      <c r="G194" s="65">
        <v>12.8</v>
      </c>
      <c r="H194" s="66">
        <v>0.06</v>
      </c>
      <c r="I194" s="67">
        <v>1</v>
      </c>
      <c r="J194" s="65">
        <v>9.9</v>
      </c>
      <c r="K194" s="68">
        <f t="shared" si="3"/>
        <v>4.5454545454545497E-2</v>
      </c>
      <c r="L194" s="509"/>
    </row>
    <row r="195" spans="1:12" ht="16.5">
      <c r="A195" s="60">
        <v>192</v>
      </c>
      <c r="B195" s="61" t="s">
        <v>298</v>
      </c>
      <c r="C195" s="61"/>
      <c r="D195" s="69" t="s">
        <v>740</v>
      </c>
      <c r="E195" s="65">
        <v>4.2035999999999998</v>
      </c>
      <c r="F195" s="65">
        <v>4.1211764705882397</v>
      </c>
      <c r="G195" s="65">
        <v>5.5</v>
      </c>
      <c r="H195" s="66">
        <v>0.02</v>
      </c>
      <c r="I195" s="67">
        <v>2</v>
      </c>
      <c r="J195" s="65">
        <v>9.9</v>
      </c>
      <c r="K195" s="68">
        <f t="shared" si="3"/>
        <v>0.167439096850861</v>
      </c>
      <c r="L195" s="509"/>
    </row>
    <row r="196" spans="1:12" ht="16.5">
      <c r="A196" s="60">
        <v>193</v>
      </c>
      <c r="B196" s="61" t="s">
        <v>298</v>
      </c>
      <c r="C196" s="61"/>
      <c r="D196" s="69" t="s">
        <v>741</v>
      </c>
      <c r="E196" s="65">
        <v>3.5030000000000001</v>
      </c>
      <c r="F196" s="65">
        <v>2.99401709401709</v>
      </c>
      <c r="G196" s="65">
        <v>5</v>
      </c>
      <c r="H196" s="66">
        <v>0.17</v>
      </c>
      <c r="I196" s="67">
        <v>3</v>
      </c>
      <c r="J196" s="65">
        <v>9.9</v>
      </c>
      <c r="K196" s="68">
        <f t="shared" si="3"/>
        <v>9.2722092722094002E-2</v>
      </c>
      <c r="L196" s="509"/>
    </row>
    <row r="197" spans="1:12" ht="16.5">
      <c r="A197" s="60">
        <v>194</v>
      </c>
      <c r="B197" s="61" t="s">
        <v>298</v>
      </c>
      <c r="C197" s="61"/>
      <c r="D197" s="69" t="s">
        <v>742</v>
      </c>
      <c r="E197" s="65">
        <v>3.5030000000000001</v>
      </c>
      <c r="F197" s="65">
        <v>2.99401709401709</v>
      </c>
      <c r="G197" s="65">
        <v>5</v>
      </c>
      <c r="H197" s="66">
        <v>0.17</v>
      </c>
      <c r="I197" s="67">
        <v>3</v>
      </c>
      <c r="J197" s="65">
        <v>9.9</v>
      </c>
      <c r="K197" s="68">
        <f t="shared" si="3"/>
        <v>9.2722092722094002E-2</v>
      </c>
      <c r="L197" s="509"/>
    </row>
  </sheetData>
  <mergeCells count="3">
    <mergeCell ref="A1:B1"/>
    <mergeCell ref="A2:L2"/>
    <mergeCell ref="L4:L197"/>
  </mergeCells>
  <phoneticPr fontId="10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5">
    <tabColor theme="2"/>
  </sheetPr>
  <dimension ref="A1:N179"/>
  <sheetViews>
    <sheetView workbookViewId="0">
      <selection activeCell="D29" sqref="D29"/>
    </sheetView>
  </sheetViews>
  <sheetFormatPr defaultColWidth="9" defaultRowHeight="14"/>
  <cols>
    <col min="1" max="1" width="4.36328125" customWidth="1"/>
    <col min="2" max="2" width="12.81640625" customWidth="1"/>
    <col min="3" max="3" width="10.36328125" customWidth="1"/>
    <col min="4" max="4" width="43.453125" customWidth="1"/>
    <col min="5" max="5" width="9.36328125" customWidth="1"/>
    <col min="6" max="7" width="11" customWidth="1"/>
    <col min="8" max="8" width="16.36328125" customWidth="1"/>
    <col min="9" max="9" width="33.6328125" style="11" customWidth="1"/>
    <col min="10" max="10" width="8.08984375" style="12" customWidth="1"/>
    <col min="11" max="11" width="32.08984375" style="12" customWidth="1"/>
    <col min="12" max="12" width="7.36328125" style="12" customWidth="1"/>
    <col min="13" max="14" width="8.36328125" style="12" customWidth="1"/>
  </cols>
  <sheetData>
    <row r="1" spans="1:14" ht="15" customHeight="1">
      <c r="A1" s="510" t="s">
        <v>1733</v>
      </c>
      <c r="B1" s="510"/>
      <c r="C1" s="13"/>
      <c r="D1" s="13"/>
      <c r="E1" s="14"/>
      <c r="F1" s="14"/>
      <c r="G1" s="14"/>
      <c r="H1" s="14"/>
      <c r="I1" s="15"/>
    </row>
    <row r="2" spans="1:14" ht="22.5">
      <c r="A2" s="495" t="s">
        <v>1734</v>
      </c>
      <c r="B2" s="495"/>
      <c r="C2" s="495"/>
      <c r="D2" s="495"/>
      <c r="E2" s="495"/>
      <c r="F2" s="495"/>
      <c r="G2" s="495"/>
      <c r="H2" s="495"/>
      <c r="I2" s="495"/>
    </row>
    <row r="3" spans="1:14" ht="29">
      <c r="A3" s="16" t="s">
        <v>104</v>
      </c>
      <c r="B3" s="16" t="s">
        <v>266</v>
      </c>
      <c r="C3" s="17" t="s">
        <v>220</v>
      </c>
      <c r="D3" s="16" t="s">
        <v>221</v>
      </c>
      <c r="E3" s="16" t="s">
        <v>430</v>
      </c>
      <c r="F3" s="18" t="s">
        <v>431</v>
      </c>
      <c r="G3" s="18" t="s">
        <v>434</v>
      </c>
      <c r="H3" s="19" t="s">
        <v>5</v>
      </c>
      <c r="I3" s="19" t="s">
        <v>1735</v>
      </c>
    </row>
    <row r="4" spans="1:14" ht="17" customHeight="1">
      <c r="A4" s="20">
        <v>1</v>
      </c>
      <c r="B4" s="20" t="s">
        <v>298</v>
      </c>
      <c r="C4" s="21" t="s">
        <v>645</v>
      </c>
      <c r="D4" s="22" t="s">
        <v>646</v>
      </c>
      <c r="E4" s="23">
        <v>5.1111111111111098</v>
      </c>
      <c r="F4" s="23">
        <v>5.1111111111111098</v>
      </c>
      <c r="G4" s="23">
        <v>10</v>
      </c>
      <c r="H4" s="24" t="s">
        <v>1736</v>
      </c>
      <c r="I4" s="20" t="s">
        <v>1737</v>
      </c>
      <c r="L4" s="25"/>
      <c r="M4" s="25"/>
      <c r="N4" s="25"/>
    </row>
    <row r="5" spans="1:14" ht="14.5">
      <c r="A5" s="20">
        <v>2</v>
      </c>
      <c r="B5" s="20" t="s">
        <v>298</v>
      </c>
      <c r="C5" s="21" t="s">
        <v>653</v>
      </c>
      <c r="D5" s="22" t="s">
        <v>654</v>
      </c>
      <c r="E5" s="23">
        <v>4.3333333333333304</v>
      </c>
      <c r="F5" s="23">
        <v>4.3333333333333304</v>
      </c>
      <c r="G5" s="23">
        <v>7.5</v>
      </c>
      <c r="H5" s="24" t="s">
        <v>1736</v>
      </c>
      <c r="I5" s="20" t="s">
        <v>1737</v>
      </c>
      <c r="L5" s="25"/>
      <c r="M5" s="25"/>
      <c r="N5" s="25"/>
    </row>
    <row r="6" spans="1:14" ht="14.5">
      <c r="A6" s="20">
        <v>3</v>
      </c>
      <c r="B6" s="20" t="s">
        <v>298</v>
      </c>
      <c r="C6" s="21" t="s">
        <v>648</v>
      </c>
      <c r="D6" s="22" t="s">
        <v>649</v>
      </c>
      <c r="E6" s="23">
        <v>2.875</v>
      </c>
      <c r="F6" s="23">
        <v>2.875</v>
      </c>
      <c r="G6" s="23">
        <v>5</v>
      </c>
      <c r="H6" s="24" t="s">
        <v>1736</v>
      </c>
      <c r="I6" s="20" t="s">
        <v>1737</v>
      </c>
      <c r="L6" s="25"/>
      <c r="M6" s="25"/>
      <c r="N6" s="25"/>
    </row>
    <row r="7" spans="1:14" ht="14.5">
      <c r="A7" s="20">
        <v>4</v>
      </c>
      <c r="B7" s="20" t="s">
        <v>342</v>
      </c>
      <c r="C7" s="21" t="s">
        <v>944</v>
      </c>
      <c r="D7" s="22" t="s">
        <v>945</v>
      </c>
      <c r="E7" s="23">
        <v>8.1</v>
      </c>
      <c r="F7" s="23">
        <v>8.1</v>
      </c>
      <c r="G7" s="23">
        <v>14.6</v>
      </c>
      <c r="H7" s="24" t="s">
        <v>1736</v>
      </c>
      <c r="I7" s="20" t="s">
        <v>1737</v>
      </c>
      <c r="L7" s="25"/>
      <c r="M7" s="25"/>
      <c r="N7" s="25"/>
    </row>
    <row r="8" spans="1:14" ht="14.5">
      <c r="A8" s="20">
        <v>5</v>
      </c>
      <c r="B8" s="20" t="s">
        <v>342</v>
      </c>
      <c r="C8" s="21" t="s">
        <v>942</v>
      </c>
      <c r="D8" s="22" t="s">
        <v>943</v>
      </c>
      <c r="E8" s="23">
        <v>11</v>
      </c>
      <c r="F8" s="23">
        <v>11</v>
      </c>
      <c r="G8" s="23">
        <v>19.899999999999999</v>
      </c>
      <c r="H8" s="24" t="s">
        <v>1736</v>
      </c>
      <c r="I8" s="20" t="s">
        <v>1737</v>
      </c>
      <c r="L8" s="25"/>
      <c r="M8" s="25"/>
      <c r="N8" s="25"/>
    </row>
    <row r="9" spans="1:14" ht="14.5">
      <c r="A9" s="20">
        <v>6</v>
      </c>
      <c r="B9" s="20" t="s">
        <v>342</v>
      </c>
      <c r="C9" s="21" t="s">
        <v>940</v>
      </c>
      <c r="D9" s="22" t="s">
        <v>941</v>
      </c>
      <c r="E9" s="23">
        <v>9.9</v>
      </c>
      <c r="F9" s="23">
        <v>9.9</v>
      </c>
      <c r="G9" s="23">
        <v>17.899999999999999</v>
      </c>
      <c r="H9" s="24" t="s">
        <v>1736</v>
      </c>
      <c r="I9" s="20" t="s">
        <v>1737</v>
      </c>
      <c r="L9" s="25"/>
      <c r="M9" s="25"/>
      <c r="N9" s="25"/>
    </row>
    <row r="10" spans="1:14" ht="14.5">
      <c r="A10" s="20">
        <v>7</v>
      </c>
      <c r="B10" s="20" t="s">
        <v>342</v>
      </c>
      <c r="C10" s="21" t="s">
        <v>938</v>
      </c>
      <c r="D10" s="22" t="s">
        <v>939</v>
      </c>
      <c r="E10" s="23">
        <v>8.8000000000000007</v>
      </c>
      <c r="F10" s="23">
        <v>8.8000000000000007</v>
      </c>
      <c r="G10" s="23">
        <v>15.9</v>
      </c>
      <c r="H10" s="24" t="s">
        <v>1736</v>
      </c>
      <c r="I10" s="20" t="s">
        <v>1737</v>
      </c>
      <c r="L10" s="25"/>
      <c r="M10" s="25"/>
      <c r="N10" s="25"/>
    </row>
    <row r="11" spans="1:14" ht="14.5">
      <c r="A11" s="20">
        <v>8</v>
      </c>
      <c r="B11" s="26" t="s">
        <v>342</v>
      </c>
      <c r="C11" s="27" t="s">
        <v>936</v>
      </c>
      <c r="D11" s="28" t="s">
        <v>937</v>
      </c>
      <c r="E11" s="29">
        <v>4.8</v>
      </c>
      <c r="F11" s="29">
        <v>4.8</v>
      </c>
      <c r="G11" s="29">
        <v>9</v>
      </c>
      <c r="H11" s="24" t="s">
        <v>1736</v>
      </c>
      <c r="I11" s="20" t="s">
        <v>1737</v>
      </c>
      <c r="L11" s="25"/>
      <c r="M11" s="25"/>
      <c r="N11" s="25"/>
    </row>
    <row r="12" spans="1:14" ht="14.5">
      <c r="A12" s="20">
        <v>9</v>
      </c>
      <c r="B12" s="20" t="s">
        <v>1331</v>
      </c>
      <c r="C12" s="21" t="s">
        <v>1344</v>
      </c>
      <c r="D12" s="22" t="s">
        <v>1345</v>
      </c>
      <c r="E12" s="23">
        <v>9.5</v>
      </c>
      <c r="F12" s="23">
        <v>9.5</v>
      </c>
      <c r="G12" s="23">
        <v>16</v>
      </c>
      <c r="H12" s="24" t="s">
        <v>1736</v>
      </c>
      <c r="I12" s="20" t="s">
        <v>1737</v>
      </c>
      <c r="L12" s="25"/>
      <c r="M12" s="25"/>
      <c r="N12" s="25"/>
    </row>
    <row r="13" spans="1:14" ht="14.5">
      <c r="A13" s="20">
        <v>10</v>
      </c>
      <c r="B13" s="20" t="s">
        <v>1331</v>
      </c>
      <c r="C13" s="21" t="s">
        <v>1346</v>
      </c>
      <c r="D13" s="22" t="s">
        <v>1347</v>
      </c>
      <c r="E13" s="23">
        <v>12</v>
      </c>
      <c r="F13" s="23">
        <v>12</v>
      </c>
      <c r="G13" s="23">
        <v>20</v>
      </c>
      <c r="H13" s="24" t="s">
        <v>1736</v>
      </c>
      <c r="I13" s="20" t="s">
        <v>1737</v>
      </c>
      <c r="L13" s="25"/>
      <c r="M13" s="25"/>
      <c r="N13" s="25"/>
    </row>
    <row r="14" spans="1:14" ht="14.5">
      <c r="A14" s="20">
        <v>11</v>
      </c>
      <c r="B14" s="20" t="s">
        <v>1331</v>
      </c>
      <c r="C14" s="21" t="s">
        <v>1350</v>
      </c>
      <c r="D14" s="22" t="s">
        <v>1351</v>
      </c>
      <c r="E14" s="23">
        <v>12</v>
      </c>
      <c r="F14" s="23">
        <v>12</v>
      </c>
      <c r="G14" s="23">
        <v>20</v>
      </c>
      <c r="H14" s="24" t="s">
        <v>1736</v>
      </c>
      <c r="I14" s="20" t="s">
        <v>1737</v>
      </c>
      <c r="L14" s="25"/>
      <c r="M14" s="25"/>
      <c r="N14" s="25"/>
    </row>
    <row r="15" spans="1:14" ht="14.5">
      <c r="A15" s="20">
        <v>12</v>
      </c>
      <c r="B15" s="20" t="s">
        <v>1331</v>
      </c>
      <c r="C15" s="21" t="s">
        <v>1348</v>
      </c>
      <c r="D15" s="22" t="s">
        <v>1349</v>
      </c>
      <c r="E15" s="23">
        <v>16</v>
      </c>
      <c r="F15" s="23">
        <v>16</v>
      </c>
      <c r="G15" s="23">
        <v>24.9</v>
      </c>
      <c r="H15" s="24" t="s">
        <v>1736</v>
      </c>
      <c r="I15" s="20" t="s">
        <v>1737</v>
      </c>
      <c r="L15" s="25"/>
      <c r="M15" s="25"/>
      <c r="N15" s="25"/>
    </row>
    <row r="16" spans="1:14" ht="14.5">
      <c r="A16" s="20">
        <v>13</v>
      </c>
      <c r="B16" s="20" t="s">
        <v>1331</v>
      </c>
      <c r="C16" s="21" t="s">
        <v>1342</v>
      </c>
      <c r="D16" s="22" t="s">
        <v>1343</v>
      </c>
      <c r="E16" s="23">
        <v>16</v>
      </c>
      <c r="F16" s="23">
        <v>16</v>
      </c>
      <c r="G16" s="23">
        <v>24.9</v>
      </c>
      <c r="H16" s="24" t="s">
        <v>1736</v>
      </c>
      <c r="I16" s="20" t="s">
        <v>1737</v>
      </c>
      <c r="L16" s="25"/>
      <c r="M16" s="25"/>
      <c r="N16" s="25"/>
    </row>
    <row r="17" spans="1:14" ht="14.5">
      <c r="A17" s="20">
        <v>14</v>
      </c>
      <c r="B17" s="30" t="s">
        <v>298</v>
      </c>
      <c r="C17" s="31" t="s">
        <v>633</v>
      </c>
      <c r="D17" s="32" t="s">
        <v>634</v>
      </c>
      <c r="E17" s="23">
        <v>3.6</v>
      </c>
      <c r="F17" s="23">
        <f>E17*100/112</f>
        <v>3.21428571428571</v>
      </c>
      <c r="G17" s="23">
        <v>6</v>
      </c>
      <c r="H17" s="23" t="s">
        <v>1738</v>
      </c>
      <c r="I17" s="20" t="s">
        <v>1737</v>
      </c>
      <c r="L17" s="25"/>
      <c r="M17" s="25"/>
      <c r="N17" s="25"/>
    </row>
    <row r="18" spans="1:14" ht="14.5">
      <c r="A18" s="20">
        <v>15</v>
      </c>
      <c r="B18" s="20" t="s">
        <v>298</v>
      </c>
      <c r="C18" s="21" t="s">
        <v>551</v>
      </c>
      <c r="D18" s="22" t="s">
        <v>552</v>
      </c>
      <c r="E18" s="23">
        <v>2.88</v>
      </c>
      <c r="F18" s="23">
        <v>2.88</v>
      </c>
      <c r="G18" s="23">
        <v>4.5</v>
      </c>
      <c r="H18" s="23" t="s">
        <v>1738</v>
      </c>
      <c r="I18" s="20" t="s">
        <v>1737</v>
      </c>
      <c r="L18" s="25"/>
      <c r="M18" s="25"/>
      <c r="N18" s="25"/>
    </row>
    <row r="19" spans="1:14" ht="14.5">
      <c r="A19" s="20">
        <v>16</v>
      </c>
      <c r="B19" s="20" t="s">
        <v>298</v>
      </c>
      <c r="C19" s="21" t="s">
        <v>1739</v>
      </c>
      <c r="D19" s="22" t="s">
        <v>1740</v>
      </c>
      <c r="E19" s="23">
        <v>2.88</v>
      </c>
      <c r="F19" s="23">
        <v>2.88</v>
      </c>
      <c r="G19" s="23">
        <v>4.5</v>
      </c>
      <c r="H19" s="23" t="s">
        <v>1738</v>
      </c>
      <c r="I19" s="20" t="s">
        <v>1737</v>
      </c>
      <c r="L19" s="25"/>
      <c r="M19" s="25"/>
      <c r="N19" s="25"/>
    </row>
    <row r="20" spans="1:14" ht="14.5">
      <c r="A20" s="20">
        <v>17</v>
      </c>
      <c r="B20" s="20" t="s">
        <v>298</v>
      </c>
      <c r="C20" s="21" t="s">
        <v>553</v>
      </c>
      <c r="D20" s="22" t="s">
        <v>554</v>
      </c>
      <c r="E20" s="23">
        <v>2.88</v>
      </c>
      <c r="F20" s="23">
        <v>2.88</v>
      </c>
      <c r="G20" s="23">
        <v>4.5</v>
      </c>
      <c r="H20" s="23" t="s">
        <v>1738</v>
      </c>
      <c r="I20" s="20" t="s">
        <v>1737</v>
      </c>
      <c r="L20" s="25"/>
      <c r="M20" s="25"/>
      <c r="N20" s="25"/>
    </row>
    <row r="21" spans="1:14" ht="14.5">
      <c r="A21" s="20">
        <v>18</v>
      </c>
      <c r="B21" s="20" t="s">
        <v>298</v>
      </c>
      <c r="C21" s="21" t="s">
        <v>629</v>
      </c>
      <c r="D21" s="22" t="s">
        <v>630</v>
      </c>
      <c r="E21" s="23">
        <v>2.2000000000000002</v>
      </c>
      <c r="F21" s="23">
        <v>2</v>
      </c>
      <c r="G21" s="23">
        <v>3.5</v>
      </c>
      <c r="H21" s="23" t="s">
        <v>1738</v>
      </c>
      <c r="I21" s="20" t="s">
        <v>1737</v>
      </c>
      <c r="L21" s="25"/>
      <c r="M21" s="25"/>
      <c r="N21" s="25"/>
    </row>
    <row r="22" spans="1:14" ht="14.5">
      <c r="A22" s="20">
        <v>19</v>
      </c>
      <c r="B22" s="33" t="s">
        <v>298</v>
      </c>
      <c r="C22" s="34" t="s">
        <v>627</v>
      </c>
      <c r="D22" s="22" t="s">
        <v>628</v>
      </c>
      <c r="E22" s="23">
        <v>2.2000000000000002</v>
      </c>
      <c r="F22" s="23">
        <v>2</v>
      </c>
      <c r="G22" s="23">
        <v>3.5</v>
      </c>
      <c r="H22" s="23" t="s">
        <v>1738</v>
      </c>
      <c r="I22" s="20" t="s">
        <v>1737</v>
      </c>
      <c r="L22" s="25"/>
      <c r="M22" s="25"/>
      <c r="N22" s="25"/>
    </row>
    <row r="23" spans="1:14" ht="14.5">
      <c r="A23" s="20">
        <v>20</v>
      </c>
      <c r="B23" s="35" t="s">
        <v>298</v>
      </c>
      <c r="C23" s="36" t="s">
        <v>559</v>
      </c>
      <c r="D23" s="32" t="s">
        <v>560</v>
      </c>
      <c r="E23" s="23">
        <v>4.97</v>
      </c>
      <c r="F23" s="23">
        <v>4.5181818181818203</v>
      </c>
      <c r="G23" s="23">
        <v>8</v>
      </c>
      <c r="H23" s="23" t="s">
        <v>1738</v>
      </c>
      <c r="I23" s="20" t="s">
        <v>1737</v>
      </c>
      <c r="L23" s="25"/>
      <c r="M23" s="25"/>
      <c r="N23" s="25"/>
    </row>
    <row r="24" spans="1:14" ht="14.5">
      <c r="A24" s="20">
        <v>21</v>
      </c>
      <c r="B24" s="35" t="s">
        <v>298</v>
      </c>
      <c r="C24" s="36" t="s">
        <v>561</v>
      </c>
      <c r="D24" s="32" t="s">
        <v>562</v>
      </c>
      <c r="E24" s="23">
        <v>3.3</v>
      </c>
      <c r="F24" s="23">
        <v>2.75</v>
      </c>
      <c r="G24" s="23">
        <v>5</v>
      </c>
      <c r="H24" s="23" t="s">
        <v>1738</v>
      </c>
      <c r="I24" s="20" t="s">
        <v>1737</v>
      </c>
      <c r="L24" s="25"/>
      <c r="M24" s="25"/>
      <c r="N24" s="25"/>
    </row>
    <row r="25" spans="1:14" ht="14.5">
      <c r="A25" s="20">
        <v>22</v>
      </c>
      <c r="B25" s="35" t="s">
        <v>298</v>
      </c>
      <c r="C25" s="31" t="s">
        <v>605</v>
      </c>
      <c r="D25" s="32" t="s">
        <v>606</v>
      </c>
      <c r="E25" s="23">
        <v>1.3</v>
      </c>
      <c r="F25" s="23">
        <v>1.3</v>
      </c>
      <c r="G25" s="23">
        <v>3</v>
      </c>
      <c r="H25" s="23" t="s">
        <v>1738</v>
      </c>
      <c r="I25" s="20" t="s">
        <v>1737</v>
      </c>
      <c r="L25" s="25"/>
      <c r="M25" s="25"/>
      <c r="N25" s="25"/>
    </row>
    <row r="26" spans="1:14" ht="14.5">
      <c r="A26" s="20">
        <v>23</v>
      </c>
      <c r="B26" s="35" t="s">
        <v>298</v>
      </c>
      <c r="C26" s="30">
        <v>70547371</v>
      </c>
      <c r="D26" s="37" t="s">
        <v>644</v>
      </c>
      <c r="E26" s="38">
        <v>4.2</v>
      </c>
      <c r="F26" s="38">
        <v>4.2</v>
      </c>
      <c r="G26" s="38">
        <v>6.5</v>
      </c>
      <c r="H26" s="23" t="s">
        <v>1738</v>
      </c>
      <c r="I26" s="20" t="s">
        <v>1737</v>
      </c>
      <c r="L26" s="25"/>
      <c r="M26" s="25"/>
      <c r="N26" s="25"/>
    </row>
    <row r="27" spans="1:14" ht="14.5">
      <c r="A27" s="20">
        <v>24</v>
      </c>
      <c r="B27" s="35" t="s">
        <v>1022</v>
      </c>
      <c r="C27" s="30">
        <v>70423328</v>
      </c>
      <c r="D27" s="37" t="s">
        <v>1555</v>
      </c>
      <c r="E27" s="38">
        <v>4.55</v>
      </c>
      <c r="F27" s="38">
        <v>4.55</v>
      </c>
      <c r="G27" s="38">
        <v>7.9</v>
      </c>
      <c r="H27" s="23" t="s">
        <v>1738</v>
      </c>
      <c r="I27" s="20" t="s">
        <v>1737</v>
      </c>
      <c r="L27" s="25"/>
      <c r="M27" s="25"/>
      <c r="N27" s="25"/>
    </row>
    <row r="28" spans="1:14" ht="14.5">
      <c r="A28" s="20">
        <v>25</v>
      </c>
      <c r="B28" s="35" t="s">
        <v>1022</v>
      </c>
      <c r="C28" s="30">
        <v>70405097</v>
      </c>
      <c r="D28" s="37" t="s">
        <v>1557</v>
      </c>
      <c r="E28" s="38">
        <v>4.55</v>
      </c>
      <c r="F28" s="38">
        <v>4.55</v>
      </c>
      <c r="G28" s="38">
        <v>7.9</v>
      </c>
      <c r="H28" s="23" t="s">
        <v>1738</v>
      </c>
      <c r="I28" s="20" t="s">
        <v>1737</v>
      </c>
      <c r="L28" s="25"/>
      <c r="M28" s="25"/>
      <c r="N28" s="25"/>
    </row>
    <row r="29" spans="1:14" ht="14.5">
      <c r="A29" s="20">
        <v>26</v>
      </c>
      <c r="B29" s="35" t="s">
        <v>1022</v>
      </c>
      <c r="C29" s="39">
        <v>70405096</v>
      </c>
      <c r="D29" s="338" t="s">
        <v>3814</v>
      </c>
      <c r="E29" s="38">
        <v>4.55</v>
      </c>
      <c r="F29" s="38">
        <v>4.55</v>
      </c>
      <c r="G29" s="38">
        <v>7.9</v>
      </c>
      <c r="H29" s="23" t="s">
        <v>1738</v>
      </c>
      <c r="I29" s="20" t="s">
        <v>1737</v>
      </c>
      <c r="L29" s="25"/>
      <c r="M29" s="25"/>
      <c r="N29" s="25"/>
    </row>
    <row r="30" spans="1:14" ht="14.5">
      <c r="A30" s="20">
        <v>27</v>
      </c>
      <c r="B30" s="35" t="s">
        <v>1022</v>
      </c>
      <c r="C30" s="30">
        <v>70438192</v>
      </c>
      <c r="D30" s="37" t="s">
        <v>1042</v>
      </c>
      <c r="E30" s="38">
        <v>53.03</v>
      </c>
      <c r="F30" s="38">
        <v>53.03</v>
      </c>
      <c r="G30" s="38">
        <v>68.8</v>
      </c>
      <c r="H30" s="23" t="s">
        <v>1738</v>
      </c>
      <c r="I30" s="20" t="s">
        <v>1737</v>
      </c>
      <c r="L30" s="25"/>
      <c r="M30" s="25"/>
      <c r="N30" s="25"/>
    </row>
    <row r="31" spans="1:14" ht="14.5">
      <c r="A31" s="20">
        <v>28</v>
      </c>
      <c r="B31" s="35" t="s">
        <v>342</v>
      </c>
      <c r="C31" s="30">
        <v>70290218</v>
      </c>
      <c r="D31" s="37" t="s">
        <v>919</v>
      </c>
      <c r="E31" s="38">
        <v>18.18</v>
      </c>
      <c r="F31" s="38">
        <v>18.18</v>
      </c>
      <c r="G31" s="38">
        <v>26</v>
      </c>
      <c r="H31" s="23" t="s">
        <v>1738</v>
      </c>
      <c r="I31" s="20" t="s">
        <v>1737</v>
      </c>
      <c r="L31" s="25"/>
      <c r="M31" s="25"/>
      <c r="N31" s="25"/>
    </row>
    <row r="32" spans="1:14" ht="14.5">
      <c r="A32" s="20">
        <v>29</v>
      </c>
      <c r="B32" s="35" t="s">
        <v>1022</v>
      </c>
      <c r="C32" s="40">
        <v>70512780</v>
      </c>
      <c r="D32" s="37" t="s">
        <v>1040</v>
      </c>
      <c r="E32" s="38">
        <v>10.1</v>
      </c>
      <c r="F32" s="38">
        <v>10.1</v>
      </c>
      <c r="G32" s="38">
        <v>19.8</v>
      </c>
      <c r="H32" s="23" t="s">
        <v>1738</v>
      </c>
      <c r="I32" s="20" t="s">
        <v>1737</v>
      </c>
      <c r="L32" s="25"/>
      <c r="M32" s="25"/>
      <c r="N32" s="25"/>
    </row>
    <row r="33" spans="1:14" ht="14.5">
      <c r="A33" s="20">
        <v>30</v>
      </c>
      <c r="B33" s="35" t="s">
        <v>1022</v>
      </c>
      <c r="C33" s="30">
        <v>70512781</v>
      </c>
      <c r="D33" s="37" t="s">
        <v>1038</v>
      </c>
      <c r="E33" s="38">
        <v>10.1</v>
      </c>
      <c r="F33" s="38">
        <v>10.1</v>
      </c>
      <c r="G33" s="38">
        <v>19.8</v>
      </c>
      <c r="H33" s="23" t="s">
        <v>1738</v>
      </c>
      <c r="I33" s="20" t="s">
        <v>1737</v>
      </c>
      <c r="L33" s="25"/>
      <c r="M33" s="25"/>
      <c r="N33" s="25"/>
    </row>
    <row r="34" spans="1:14" ht="14.5">
      <c r="A34" s="20">
        <v>31</v>
      </c>
      <c r="B34" s="35" t="s">
        <v>400</v>
      </c>
      <c r="C34" s="30">
        <v>70300244</v>
      </c>
      <c r="D34" s="37" t="s">
        <v>1741</v>
      </c>
      <c r="E34" s="38">
        <v>3.64</v>
      </c>
      <c r="F34" s="38">
        <v>3.64</v>
      </c>
      <c r="G34" s="38">
        <v>5</v>
      </c>
      <c r="H34" s="23" t="s">
        <v>1738</v>
      </c>
      <c r="I34" s="20" t="s">
        <v>1737</v>
      </c>
      <c r="L34" s="25"/>
      <c r="M34" s="25"/>
      <c r="N34" s="25"/>
    </row>
    <row r="35" spans="1:14" ht="14.5">
      <c r="A35" s="20">
        <v>32</v>
      </c>
      <c r="B35" s="35" t="s">
        <v>400</v>
      </c>
      <c r="C35" s="30">
        <v>70300246</v>
      </c>
      <c r="D35" s="37" t="s">
        <v>1742</v>
      </c>
      <c r="E35" s="38">
        <v>0.79</v>
      </c>
      <c r="F35" s="38">
        <v>0.79</v>
      </c>
      <c r="G35" s="38">
        <v>1</v>
      </c>
      <c r="H35" s="23" t="s">
        <v>1738</v>
      </c>
      <c r="I35" s="20" t="s">
        <v>1737</v>
      </c>
      <c r="L35" s="25"/>
      <c r="M35" s="25"/>
      <c r="N35" s="25"/>
    </row>
    <row r="36" spans="1:14" ht="14.5">
      <c r="A36" s="20">
        <v>33</v>
      </c>
      <c r="B36" s="35" t="s">
        <v>400</v>
      </c>
      <c r="C36" s="30">
        <v>70300247</v>
      </c>
      <c r="D36" s="37" t="s">
        <v>1743</v>
      </c>
      <c r="E36" s="38">
        <v>2.3199999999999998</v>
      </c>
      <c r="F36" s="38">
        <v>2.3199999999999998</v>
      </c>
      <c r="G36" s="38">
        <v>3</v>
      </c>
      <c r="H36" s="23" t="s">
        <v>1738</v>
      </c>
      <c r="I36" s="20" t="s">
        <v>1737</v>
      </c>
      <c r="L36" s="25"/>
      <c r="M36" s="25"/>
      <c r="N36" s="25"/>
    </row>
    <row r="37" spans="1:14" ht="14.5">
      <c r="A37" s="20">
        <v>34</v>
      </c>
      <c r="B37" s="35" t="s">
        <v>400</v>
      </c>
      <c r="C37" s="30">
        <v>70300248</v>
      </c>
      <c r="D37" s="37" t="s">
        <v>875</v>
      </c>
      <c r="E37" s="38">
        <v>2.6</v>
      </c>
      <c r="F37" s="38">
        <v>2.6</v>
      </c>
      <c r="G37" s="38">
        <v>4</v>
      </c>
      <c r="H37" s="23" t="s">
        <v>1738</v>
      </c>
      <c r="I37" s="20" t="s">
        <v>1737</v>
      </c>
      <c r="L37" s="25"/>
      <c r="M37" s="25"/>
      <c r="N37" s="25"/>
    </row>
    <row r="38" spans="1:14" ht="14.5">
      <c r="A38" s="20">
        <v>35</v>
      </c>
      <c r="B38" s="35" t="s">
        <v>400</v>
      </c>
      <c r="C38" s="30">
        <v>70300249</v>
      </c>
      <c r="D38" s="37" t="s">
        <v>877</v>
      </c>
      <c r="E38" s="38">
        <v>25.07</v>
      </c>
      <c r="F38" s="38">
        <v>25.07</v>
      </c>
      <c r="G38" s="38">
        <v>33</v>
      </c>
      <c r="H38" s="23" t="s">
        <v>1738</v>
      </c>
      <c r="I38" s="20" t="s">
        <v>1737</v>
      </c>
      <c r="L38" s="25"/>
      <c r="M38" s="25"/>
      <c r="N38" s="25"/>
    </row>
    <row r="39" spans="1:14" ht="14.5">
      <c r="A39" s="20">
        <v>36</v>
      </c>
      <c r="B39" s="35" t="s">
        <v>400</v>
      </c>
      <c r="C39" s="30">
        <v>70300250</v>
      </c>
      <c r="D39" s="37" t="s">
        <v>1744</v>
      </c>
      <c r="E39" s="38">
        <v>29.9</v>
      </c>
      <c r="F39" s="38">
        <v>29.9</v>
      </c>
      <c r="G39" s="38">
        <v>50</v>
      </c>
      <c r="H39" s="23" t="s">
        <v>1738</v>
      </c>
      <c r="I39" s="20" t="s">
        <v>1737</v>
      </c>
      <c r="L39" s="25"/>
      <c r="M39" s="25"/>
      <c r="N39" s="25"/>
    </row>
    <row r="40" spans="1:14" ht="14.5">
      <c r="A40" s="20">
        <v>37</v>
      </c>
      <c r="B40" s="35" t="s">
        <v>342</v>
      </c>
      <c r="C40" s="30">
        <v>70506048</v>
      </c>
      <c r="D40" s="37" t="s">
        <v>1745</v>
      </c>
      <c r="E40" s="38">
        <v>4.49</v>
      </c>
      <c r="F40" s="38">
        <v>4.49</v>
      </c>
      <c r="G40" s="38">
        <v>6.9</v>
      </c>
      <c r="H40" s="23" t="s">
        <v>1738</v>
      </c>
      <c r="I40" s="20" t="s">
        <v>1737</v>
      </c>
      <c r="L40" s="25"/>
      <c r="M40" s="25"/>
      <c r="N40" s="25"/>
    </row>
    <row r="41" spans="1:14" ht="14.5">
      <c r="A41" s="20">
        <v>38</v>
      </c>
      <c r="B41" s="35" t="s">
        <v>1022</v>
      </c>
      <c r="C41" s="41">
        <v>70442944</v>
      </c>
      <c r="D41" s="37" t="s">
        <v>1575</v>
      </c>
      <c r="E41" s="38">
        <v>3.13</v>
      </c>
      <c r="F41" s="38">
        <v>3.13</v>
      </c>
      <c r="G41" s="38">
        <v>7</v>
      </c>
      <c r="H41" s="23" t="s">
        <v>1738</v>
      </c>
      <c r="I41" s="20" t="s">
        <v>1737</v>
      </c>
      <c r="L41" s="25"/>
      <c r="M41" s="25"/>
      <c r="N41" s="25"/>
    </row>
    <row r="42" spans="1:14" ht="14.5">
      <c r="A42" s="20">
        <v>39</v>
      </c>
      <c r="B42" s="35" t="s">
        <v>1022</v>
      </c>
      <c r="C42" s="41">
        <v>70442943</v>
      </c>
      <c r="D42" s="37" t="s">
        <v>1463</v>
      </c>
      <c r="E42" s="38">
        <v>6.16</v>
      </c>
      <c r="F42" s="38">
        <v>6.16</v>
      </c>
      <c r="G42" s="38">
        <v>12.8</v>
      </c>
      <c r="H42" s="23" t="s">
        <v>1738</v>
      </c>
      <c r="I42" s="20" t="s">
        <v>1737</v>
      </c>
      <c r="L42" s="25"/>
      <c r="M42" s="25"/>
      <c r="N42" s="25"/>
    </row>
    <row r="43" spans="1:14" ht="14.5">
      <c r="A43" s="20">
        <v>40</v>
      </c>
      <c r="B43" s="35" t="s">
        <v>1022</v>
      </c>
      <c r="C43" s="41">
        <v>70394392</v>
      </c>
      <c r="D43" s="37" t="s">
        <v>1036</v>
      </c>
      <c r="E43" s="38">
        <v>6.21</v>
      </c>
      <c r="F43" s="38">
        <v>6.21</v>
      </c>
      <c r="G43" s="38">
        <v>13.9</v>
      </c>
      <c r="H43" s="23" t="s">
        <v>1738</v>
      </c>
      <c r="I43" s="20" t="s">
        <v>1737</v>
      </c>
      <c r="L43" s="25"/>
      <c r="M43" s="25"/>
      <c r="N43" s="25"/>
    </row>
    <row r="44" spans="1:14" ht="14.5">
      <c r="A44" s="20">
        <v>41</v>
      </c>
      <c r="B44" s="35" t="s">
        <v>1022</v>
      </c>
      <c r="C44" s="41">
        <v>70394390</v>
      </c>
      <c r="D44" s="37" t="s">
        <v>1465</v>
      </c>
      <c r="E44" s="38">
        <v>6.21</v>
      </c>
      <c r="F44" s="38">
        <v>6.21</v>
      </c>
      <c r="G44" s="38">
        <v>13.9</v>
      </c>
      <c r="H44" s="23" t="s">
        <v>1738</v>
      </c>
      <c r="I44" s="20" t="s">
        <v>1737</v>
      </c>
      <c r="L44" s="25"/>
      <c r="M44" s="25"/>
      <c r="N44" s="25"/>
    </row>
    <row r="45" spans="1:14" ht="14.5">
      <c r="A45" s="20">
        <v>42</v>
      </c>
      <c r="B45" s="35" t="s">
        <v>298</v>
      </c>
      <c r="C45" s="41">
        <v>70525890</v>
      </c>
      <c r="D45" s="37" t="s">
        <v>1746</v>
      </c>
      <c r="E45" s="38">
        <v>2.73</v>
      </c>
      <c r="F45" s="38">
        <v>2.73</v>
      </c>
      <c r="G45" s="38">
        <v>6</v>
      </c>
      <c r="H45" s="23" t="s">
        <v>1738</v>
      </c>
      <c r="I45" s="20" t="s">
        <v>1737</v>
      </c>
      <c r="L45" s="25"/>
      <c r="M45" s="25"/>
      <c r="N45" s="25"/>
    </row>
    <row r="46" spans="1:14" ht="14.5">
      <c r="A46" s="20">
        <v>43</v>
      </c>
      <c r="B46" s="35" t="s">
        <v>342</v>
      </c>
      <c r="C46" s="41">
        <v>70047410</v>
      </c>
      <c r="D46" s="42" t="s">
        <v>923</v>
      </c>
      <c r="E46" s="38">
        <v>12</v>
      </c>
      <c r="F46" s="38">
        <v>12</v>
      </c>
      <c r="G46" s="38">
        <v>17</v>
      </c>
      <c r="H46" s="23" t="s">
        <v>1738</v>
      </c>
      <c r="I46" s="20" t="s">
        <v>1737</v>
      </c>
      <c r="L46" s="25"/>
      <c r="M46" s="25"/>
      <c r="N46" s="25"/>
    </row>
    <row r="47" spans="1:14" ht="14.5">
      <c r="A47" s="20">
        <v>44</v>
      </c>
      <c r="B47" s="35" t="s">
        <v>342</v>
      </c>
      <c r="C47" s="41">
        <v>70091015</v>
      </c>
      <c r="D47" s="42" t="s">
        <v>927</v>
      </c>
      <c r="E47" s="38">
        <v>17.5</v>
      </c>
      <c r="F47" s="38">
        <v>17.5</v>
      </c>
      <c r="G47" s="38">
        <v>21</v>
      </c>
      <c r="H47" s="23" t="s">
        <v>1738</v>
      </c>
      <c r="I47" s="20" t="s">
        <v>1737</v>
      </c>
      <c r="L47" s="25"/>
      <c r="M47" s="25"/>
      <c r="N47" s="25"/>
    </row>
    <row r="48" spans="1:14" ht="14.5">
      <c r="A48" s="20">
        <v>45</v>
      </c>
      <c r="B48" s="35" t="s">
        <v>342</v>
      </c>
      <c r="C48" s="41">
        <v>70373563</v>
      </c>
      <c r="D48" s="42" t="s">
        <v>925</v>
      </c>
      <c r="E48" s="38">
        <v>15</v>
      </c>
      <c r="F48" s="38">
        <v>15</v>
      </c>
      <c r="G48" s="38">
        <v>19</v>
      </c>
      <c r="H48" s="23" t="s">
        <v>1738</v>
      </c>
      <c r="I48" s="20" t="s">
        <v>1737</v>
      </c>
      <c r="L48" s="25"/>
      <c r="M48" s="25"/>
      <c r="N48" s="25"/>
    </row>
    <row r="49" spans="1:14" ht="14.5">
      <c r="A49" s="20">
        <v>46</v>
      </c>
      <c r="B49" s="35" t="s">
        <v>342</v>
      </c>
      <c r="C49" s="41">
        <v>70353448</v>
      </c>
      <c r="D49" s="42" t="s">
        <v>1747</v>
      </c>
      <c r="E49" s="38">
        <v>24.24</v>
      </c>
      <c r="F49" s="38">
        <v>24.24</v>
      </c>
      <c r="G49" s="38">
        <v>29</v>
      </c>
      <c r="H49" s="23" t="s">
        <v>1738</v>
      </c>
      <c r="I49" s="20" t="s">
        <v>1737</v>
      </c>
      <c r="L49" s="25"/>
      <c r="M49" s="25"/>
      <c r="N49" s="25"/>
    </row>
    <row r="50" spans="1:14" ht="14.5">
      <c r="A50" s="20">
        <v>47</v>
      </c>
      <c r="B50" s="35" t="s">
        <v>342</v>
      </c>
      <c r="C50" s="41">
        <v>70353449</v>
      </c>
      <c r="D50" s="42" t="s">
        <v>1747</v>
      </c>
      <c r="E50" s="38">
        <v>39.9</v>
      </c>
      <c r="F50" s="38">
        <v>39.9</v>
      </c>
      <c r="G50" s="38">
        <v>48</v>
      </c>
      <c r="H50" s="23" t="s">
        <v>1738</v>
      </c>
      <c r="I50" s="20" t="s">
        <v>1737</v>
      </c>
      <c r="L50" s="25"/>
      <c r="M50" s="25"/>
      <c r="N50" s="25"/>
    </row>
    <row r="51" spans="1:14" ht="14.5">
      <c r="A51" s="20">
        <v>48</v>
      </c>
      <c r="B51" s="35" t="s">
        <v>1022</v>
      </c>
      <c r="C51" s="41">
        <v>70281069</v>
      </c>
      <c r="D51" s="43" t="s">
        <v>1748</v>
      </c>
      <c r="E51" s="38">
        <v>4.5</v>
      </c>
      <c r="F51" s="38">
        <v>4.5</v>
      </c>
      <c r="G51" s="38">
        <v>7</v>
      </c>
      <c r="H51" s="23" t="s">
        <v>1738</v>
      </c>
      <c r="I51" s="20" t="s">
        <v>1737</v>
      </c>
      <c r="L51" s="25"/>
      <c r="M51" s="25"/>
      <c r="N51" s="25"/>
    </row>
    <row r="52" spans="1:14" ht="14.5">
      <c r="A52" s="20">
        <v>49</v>
      </c>
      <c r="B52" s="35" t="s">
        <v>1022</v>
      </c>
      <c r="C52" s="41">
        <v>70281068</v>
      </c>
      <c r="D52" s="43" t="s">
        <v>1749</v>
      </c>
      <c r="E52" s="38">
        <v>4.5</v>
      </c>
      <c r="F52" s="38">
        <v>4.5</v>
      </c>
      <c r="G52" s="38">
        <v>7</v>
      </c>
      <c r="H52" s="23" t="s">
        <v>1738</v>
      </c>
      <c r="I52" s="20" t="s">
        <v>1737</v>
      </c>
      <c r="L52" s="25"/>
      <c r="M52" s="25"/>
      <c r="N52" s="25"/>
    </row>
    <row r="53" spans="1:14" ht="14.5">
      <c r="A53" s="20">
        <v>50</v>
      </c>
      <c r="B53" s="35" t="s">
        <v>1022</v>
      </c>
      <c r="C53" s="41">
        <v>70028238</v>
      </c>
      <c r="D53" s="43" t="s">
        <v>1750</v>
      </c>
      <c r="E53" s="38">
        <v>2.7</v>
      </c>
      <c r="F53" s="38">
        <v>2.7</v>
      </c>
      <c r="G53" s="38">
        <v>4</v>
      </c>
      <c r="H53" s="23" t="s">
        <v>1738</v>
      </c>
      <c r="I53" s="20" t="s">
        <v>1737</v>
      </c>
      <c r="L53" s="25"/>
      <c r="M53" s="25"/>
      <c r="N53" s="25"/>
    </row>
    <row r="54" spans="1:14" ht="14.5">
      <c r="A54" s="20">
        <v>51</v>
      </c>
      <c r="B54" s="35" t="s">
        <v>1022</v>
      </c>
      <c r="C54" s="41">
        <v>70029967</v>
      </c>
      <c r="D54" s="43" t="s">
        <v>1751</v>
      </c>
      <c r="E54" s="38">
        <v>2.7</v>
      </c>
      <c r="F54" s="38">
        <v>2.7</v>
      </c>
      <c r="G54" s="38">
        <v>4</v>
      </c>
      <c r="H54" s="23" t="s">
        <v>1738</v>
      </c>
      <c r="I54" s="20" t="s">
        <v>1737</v>
      </c>
      <c r="L54" s="25"/>
      <c r="M54" s="25"/>
      <c r="N54" s="25"/>
    </row>
    <row r="55" spans="1:14" ht="14.5">
      <c r="A55" s="20">
        <v>52</v>
      </c>
      <c r="B55" s="35" t="s">
        <v>1022</v>
      </c>
      <c r="C55" s="41">
        <v>70317567</v>
      </c>
      <c r="D55" s="43" t="s">
        <v>1752</v>
      </c>
      <c r="E55" s="38">
        <v>9.3000000000000007</v>
      </c>
      <c r="F55" s="38">
        <v>9.3000000000000007</v>
      </c>
      <c r="G55" s="38">
        <v>12</v>
      </c>
      <c r="H55" s="23" t="s">
        <v>1738</v>
      </c>
      <c r="I55" s="20" t="s">
        <v>1737</v>
      </c>
      <c r="L55" s="25"/>
      <c r="M55" s="25"/>
      <c r="N55" s="25"/>
    </row>
    <row r="56" spans="1:14" ht="14.5">
      <c r="A56" s="20">
        <v>53</v>
      </c>
      <c r="B56" s="35" t="s">
        <v>1022</v>
      </c>
      <c r="C56" s="41">
        <v>70317566</v>
      </c>
      <c r="D56" s="43" t="s">
        <v>1753</v>
      </c>
      <c r="E56" s="38">
        <v>9.3000000000000007</v>
      </c>
      <c r="F56" s="38">
        <v>9.3000000000000007</v>
      </c>
      <c r="G56" s="38">
        <v>12</v>
      </c>
      <c r="H56" s="23" t="s">
        <v>1738</v>
      </c>
      <c r="I56" s="20" t="s">
        <v>1737</v>
      </c>
      <c r="L56" s="25"/>
      <c r="M56" s="25"/>
      <c r="N56" s="25"/>
    </row>
    <row r="57" spans="1:14" ht="14.5">
      <c r="A57" s="20">
        <v>54</v>
      </c>
      <c r="B57" s="35" t="s">
        <v>358</v>
      </c>
      <c r="C57" s="44">
        <v>70531511</v>
      </c>
      <c r="D57" s="43" t="s">
        <v>1754</v>
      </c>
      <c r="E57" s="38">
        <v>3.99</v>
      </c>
      <c r="F57" s="38">
        <v>3.99</v>
      </c>
      <c r="G57" s="38">
        <v>7</v>
      </c>
      <c r="H57" s="23" t="s">
        <v>1738</v>
      </c>
      <c r="I57" s="20" t="s">
        <v>1737</v>
      </c>
      <c r="L57" s="25"/>
      <c r="M57" s="25"/>
      <c r="N57" s="25"/>
    </row>
    <row r="58" spans="1:14" ht="14.5">
      <c r="A58" s="20">
        <v>55</v>
      </c>
      <c r="B58" s="35" t="s">
        <v>358</v>
      </c>
      <c r="C58" s="44">
        <v>70531509</v>
      </c>
      <c r="D58" s="43" t="s">
        <v>1755</v>
      </c>
      <c r="E58" s="38">
        <v>10.5</v>
      </c>
      <c r="F58" s="38">
        <v>10.5</v>
      </c>
      <c r="G58" s="38">
        <v>20</v>
      </c>
      <c r="H58" s="23" t="s">
        <v>1738</v>
      </c>
      <c r="I58" s="20" t="s">
        <v>1737</v>
      </c>
      <c r="L58" s="25"/>
      <c r="M58" s="25"/>
      <c r="N58" s="25"/>
    </row>
    <row r="59" spans="1:14" ht="14.5">
      <c r="A59" s="20">
        <v>56</v>
      </c>
      <c r="B59" s="35" t="s">
        <v>358</v>
      </c>
      <c r="C59" s="44">
        <v>70531507</v>
      </c>
      <c r="D59" s="43" t="s">
        <v>1756</v>
      </c>
      <c r="E59" s="38">
        <v>31.82</v>
      </c>
      <c r="F59" s="38">
        <v>31.82</v>
      </c>
      <c r="G59" s="38">
        <v>60</v>
      </c>
      <c r="H59" s="23" t="s">
        <v>1738</v>
      </c>
      <c r="I59" s="20" t="s">
        <v>1737</v>
      </c>
      <c r="L59" s="25"/>
      <c r="M59" s="25"/>
      <c r="N59" s="25"/>
    </row>
    <row r="60" spans="1:14" ht="14.5">
      <c r="A60" s="20">
        <v>57</v>
      </c>
      <c r="B60" s="35" t="s">
        <v>298</v>
      </c>
      <c r="C60" s="44" t="s">
        <v>603</v>
      </c>
      <c r="D60" s="43" t="s">
        <v>604</v>
      </c>
      <c r="E60" s="38">
        <v>2.9600225901900501</v>
      </c>
      <c r="F60" s="38">
        <v>2.9600225901900501</v>
      </c>
      <c r="G60" s="38">
        <v>5</v>
      </c>
      <c r="H60" s="23" t="s">
        <v>1738</v>
      </c>
      <c r="I60" s="20" t="s">
        <v>1737</v>
      </c>
      <c r="L60" s="25"/>
      <c r="M60" s="25"/>
      <c r="N60" s="25"/>
    </row>
    <row r="61" spans="1:14" ht="14.5">
      <c r="A61" s="20">
        <v>58</v>
      </c>
      <c r="B61" s="35" t="s">
        <v>298</v>
      </c>
      <c r="C61" s="44" t="s">
        <v>1757</v>
      </c>
      <c r="D61" s="43" t="s">
        <v>1758</v>
      </c>
      <c r="E61" s="38">
        <v>4.0099355506047099</v>
      </c>
      <c r="F61" s="38">
        <v>4.0099355506047099</v>
      </c>
      <c r="G61" s="38">
        <v>5</v>
      </c>
      <c r="H61" s="23" t="s">
        <v>1738</v>
      </c>
      <c r="I61" s="20" t="s">
        <v>1737</v>
      </c>
      <c r="L61" s="25"/>
      <c r="M61" s="25"/>
      <c r="N61" s="25"/>
    </row>
    <row r="62" spans="1:14" ht="14.5">
      <c r="A62" s="20">
        <v>59</v>
      </c>
      <c r="B62" s="35" t="s">
        <v>298</v>
      </c>
      <c r="C62" s="44" t="s">
        <v>1759</v>
      </c>
      <c r="D62" s="43" t="s">
        <v>1760</v>
      </c>
      <c r="E62" s="38">
        <v>3.7898902507503101</v>
      </c>
      <c r="F62" s="38">
        <v>3.7898902507503101</v>
      </c>
      <c r="G62" s="38">
        <v>5</v>
      </c>
      <c r="H62" s="23" t="s">
        <v>1738</v>
      </c>
      <c r="I62" s="20" t="s">
        <v>1737</v>
      </c>
      <c r="L62" s="25"/>
      <c r="M62" s="25"/>
      <c r="N62" s="25"/>
    </row>
    <row r="63" spans="1:14" ht="14.5">
      <c r="A63" s="20">
        <v>60</v>
      </c>
      <c r="B63" s="35" t="s">
        <v>1331</v>
      </c>
      <c r="C63" s="44" t="s">
        <v>1332</v>
      </c>
      <c r="D63" s="43" t="s">
        <v>1761</v>
      </c>
      <c r="E63" s="38">
        <v>5.5203967509025302</v>
      </c>
      <c r="F63" s="38">
        <v>5.5203967509025302</v>
      </c>
      <c r="G63" s="38">
        <v>6.5</v>
      </c>
      <c r="H63" s="23" t="s">
        <v>1738</v>
      </c>
      <c r="I63" s="20" t="s">
        <v>1737</v>
      </c>
      <c r="L63" s="25"/>
      <c r="M63" s="25"/>
      <c r="N63" s="25"/>
    </row>
    <row r="64" spans="1:14" ht="14.5">
      <c r="A64" s="20">
        <v>61</v>
      </c>
      <c r="B64" s="35" t="s">
        <v>298</v>
      </c>
      <c r="C64" s="44" t="s">
        <v>563</v>
      </c>
      <c r="D64" s="43" t="s">
        <v>1762</v>
      </c>
      <c r="E64" s="38">
        <v>3.8981787513500299</v>
      </c>
      <c r="F64" s="38">
        <v>3.8981787513500299</v>
      </c>
      <c r="G64" s="38">
        <v>8</v>
      </c>
      <c r="H64" s="23" t="s">
        <v>1738</v>
      </c>
      <c r="I64" s="20" t="s">
        <v>1737</v>
      </c>
      <c r="L64" s="25"/>
      <c r="M64" s="25"/>
      <c r="N64" s="25"/>
    </row>
    <row r="65" spans="1:14" ht="14.5">
      <c r="A65" s="20">
        <v>62</v>
      </c>
      <c r="B65" s="35" t="s">
        <v>342</v>
      </c>
      <c r="C65" s="44" t="s">
        <v>902</v>
      </c>
      <c r="D65" s="43" t="s">
        <v>903</v>
      </c>
      <c r="E65" s="38">
        <v>5.5873879689685904</v>
      </c>
      <c r="F65" s="38">
        <v>5.5873879689685904</v>
      </c>
      <c r="G65" s="38">
        <v>8.8000000000000007</v>
      </c>
      <c r="H65" s="23" t="s">
        <v>1738</v>
      </c>
      <c r="I65" s="20" t="s">
        <v>1737</v>
      </c>
      <c r="L65" s="25"/>
      <c r="M65" s="25"/>
      <c r="N65" s="25"/>
    </row>
    <row r="66" spans="1:14" ht="14.5">
      <c r="A66" s="20">
        <v>63</v>
      </c>
      <c r="B66" s="35" t="s">
        <v>1368</v>
      </c>
      <c r="C66" s="44" t="s">
        <v>1401</v>
      </c>
      <c r="D66" s="43" t="s">
        <v>1763</v>
      </c>
      <c r="E66" s="38">
        <v>16.659121847762901</v>
      </c>
      <c r="F66" s="38">
        <v>16.659121847762901</v>
      </c>
      <c r="G66" s="38">
        <v>22.5</v>
      </c>
      <c r="H66" s="23" t="s">
        <v>1738</v>
      </c>
      <c r="I66" s="20" t="s">
        <v>1737</v>
      </c>
      <c r="L66" s="25"/>
      <c r="M66" s="25"/>
      <c r="N66" s="25"/>
    </row>
    <row r="67" spans="1:14" ht="14.5">
      <c r="A67" s="20">
        <v>64</v>
      </c>
      <c r="B67" s="35" t="s">
        <v>1368</v>
      </c>
      <c r="C67" s="44" t="s">
        <v>1397</v>
      </c>
      <c r="D67" s="43" t="s">
        <v>1764</v>
      </c>
      <c r="E67" s="38">
        <v>16.660641841208001</v>
      </c>
      <c r="F67" s="38">
        <v>16.660641841208001</v>
      </c>
      <c r="G67" s="38">
        <v>22.5</v>
      </c>
      <c r="H67" s="23" t="s">
        <v>1738</v>
      </c>
      <c r="I67" s="20" t="s">
        <v>1737</v>
      </c>
      <c r="L67" s="25"/>
      <c r="M67" s="25"/>
      <c r="N67" s="25"/>
    </row>
    <row r="68" spans="1:14" ht="14.5">
      <c r="A68" s="20">
        <v>65</v>
      </c>
      <c r="B68" s="35" t="s">
        <v>1368</v>
      </c>
      <c r="C68" s="44" t="s">
        <v>1399</v>
      </c>
      <c r="D68" s="43" t="s">
        <v>1765</v>
      </c>
      <c r="E68" s="38">
        <v>16.654924493150698</v>
      </c>
      <c r="F68" s="38">
        <v>16.654924493150698</v>
      </c>
      <c r="G68" s="38">
        <v>22.5</v>
      </c>
      <c r="H68" s="23" t="s">
        <v>1738</v>
      </c>
      <c r="I68" s="20" t="s">
        <v>1737</v>
      </c>
      <c r="L68" s="25"/>
      <c r="M68" s="25"/>
      <c r="N68" s="25"/>
    </row>
    <row r="69" spans="1:14" ht="14.5">
      <c r="A69" s="20">
        <v>66</v>
      </c>
      <c r="B69" s="35" t="s">
        <v>298</v>
      </c>
      <c r="C69" s="44" t="s">
        <v>1766</v>
      </c>
      <c r="D69" s="43" t="s">
        <v>1767</v>
      </c>
      <c r="E69" s="38">
        <v>3.70456100092678</v>
      </c>
      <c r="F69" s="38">
        <v>3.70456100092678</v>
      </c>
      <c r="G69" s="38">
        <v>5</v>
      </c>
      <c r="H69" s="23" t="s">
        <v>1738</v>
      </c>
      <c r="I69" s="20" t="s">
        <v>1737</v>
      </c>
      <c r="L69" s="25"/>
      <c r="M69" s="25"/>
      <c r="N69" s="25"/>
    </row>
    <row r="70" spans="1:14" ht="14.5">
      <c r="A70" s="20">
        <v>67</v>
      </c>
      <c r="B70" s="35" t="s">
        <v>298</v>
      </c>
      <c r="C70" s="44" t="s">
        <v>523</v>
      </c>
      <c r="D70" s="43" t="s">
        <v>1768</v>
      </c>
      <c r="E70" s="38">
        <v>3.705240722324</v>
      </c>
      <c r="F70" s="38">
        <v>3.705240722324</v>
      </c>
      <c r="G70" s="38">
        <v>5</v>
      </c>
      <c r="H70" s="23" t="s">
        <v>1738</v>
      </c>
      <c r="I70" s="20" t="s">
        <v>1737</v>
      </c>
      <c r="L70" s="25"/>
      <c r="M70" s="25"/>
      <c r="N70" s="25"/>
    </row>
    <row r="71" spans="1:14" ht="14.5">
      <c r="A71" s="20">
        <v>68</v>
      </c>
      <c r="B71" s="35" t="s">
        <v>298</v>
      </c>
      <c r="C71" s="44" t="s">
        <v>525</v>
      </c>
      <c r="D71" s="43" t="s">
        <v>1769</v>
      </c>
      <c r="E71" s="38">
        <v>3.7054089295177501</v>
      </c>
      <c r="F71" s="38">
        <v>3.7054089295177501</v>
      </c>
      <c r="G71" s="38">
        <v>5</v>
      </c>
      <c r="H71" s="23" t="s">
        <v>1738</v>
      </c>
      <c r="I71" s="20" t="s">
        <v>1737</v>
      </c>
      <c r="L71" s="25"/>
      <c r="M71" s="25"/>
      <c r="N71" s="25"/>
    </row>
    <row r="72" spans="1:14" ht="14.5">
      <c r="A72" s="20">
        <v>69</v>
      </c>
      <c r="B72" s="35" t="s">
        <v>298</v>
      </c>
      <c r="C72" s="44" t="s">
        <v>527</v>
      </c>
      <c r="D72" s="43" t="s">
        <v>1770</v>
      </c>
      <c r="E72" s="38">
        <v>2.96038709930655</v>
      </c>
      <c r="F72" s="38">
        <v>2.96038709930655</v>
      </c>
      <c r="G72" s="38">
        <v>5</v>
      </c>
      <c r="H72" s="23" t="s">
        <v>1738</v>
      </c>
      <c r="I72" s="20" t="s">
        <v>1737</v>
      </c>
      <c r="L72" s="25"/>
      <c r="M72" s="25"/>
      <c r="N72" s="25"/>
    </row>
    <row r="73" spans="1:14" ht="14.5">
      <c r="A73" s="20">
        <v>70</v>
      </c>
      <c r="B73" s="35" t="s">
        <v>298</v>
      </c>
      <c r="C73" s="44" t="s">
        <v>541</v>
      </c>
      <c r="D73" s="43" t="s">
        <v>542</v>
      </c>
      <c r="E73" s="38">
        <v>3.1796142972211001</v>
      </c>
      <c r="F73" s="38">
        <v>3.1796142972211001</v>
      </c>
      <c r="G73" s="38">
        <v>5</v>
      </c>
      <c r="H73" s="23" t="s">
        <v>1738</v>
      </c>
      <c r="I73" s="20" t="s">
        <v>1737</v>
      </c>
      <c r="L73" s="25"/>
      <c r="M73" s="25"/>
      <c r="N73" s="25"/>
    </row>
    <row r="74" spans="1:14" ht="14.5">
      <c r="A74" s="20">
        <v>71</v>
      </c>
      <c r="B74" s="35" t="s">
        <v>298</v>
      </c>
      <c r="C74" s="44" t="s">
        <v>1771</v>
      </c>
      <c r="D74" s="43" t="s">
        <v>1772</v>
      </c>
      <c r="E74" s="38">
        <v>9.2630816629955905</v>
      </c>
      <c r="F74" s="38">
        <v>9.2630816629955905</v>
      </c>
      <c r="G74" s="38">
        <v>15.9</v>
      </c>
      <c r="H74" s="23" t="s">
        <v>1738</v>
      </c>
      <c r="I74" s="20" t="s">
        <v>1737</v>
      </c>
      <c r="L74" s="25"/>
      <c r="M74" s="25"/>
      <c r="N74" s="25"/>
    </row>
    <row r="75" spans="1:14" ht="14.5">
      <c r="A75" s="20">
        <v>72</v>
      </c>
      <c r="B75" s="35" t="s">
        <v>1022</v>
      </c>
      <c r="C75" s="44" t="s">
        <v>1773</v>
      </c>
      <c r="D75" s="43" t="s">
        <v>1774</v>
      </c>
      <c r="E75" s="38">
        <v>6.3007312213201496</v>
      </c>
      <c r="F75" s="38">
        <v>6.3007312213201496</v>
      </c>
      <c r="G75" s="38">
        <v>9.9</v>
      </c>
      <c r="H75" s="23" t="s">
        <v>1738</v>
      </c>
      <c r="I75" s="20" t="s">
        <v>1737</v>
      </c>
      <c r="L75" s="25"/>
      <c r="M75" s="25"/>
      <c r="N75" s="25"/>
    </row>
    <row r="76" spans="1:14" ht="14.5">
      <c r="A76" s="20">
        <v>73</v>
      </c>
      <c r="B76" s="35" t="s">
        <v>1143</v>
      </c>
      <c r="C76" s="44" t="s">
        <v>1775</v>
      </c>
      <c r="D76" s="43" t="s">
        <v>1776</v>
      </c>
      <c r="E76" s="38">
        <v>6.9565789032258101</v>
      </c>
      <c r="F76" s="38">
        <v>6.9565789032258101</v>
      </c>
      <c r="G76" s="38">
        <v>9.9</v>
      </c>
      <c r="H76" s="23" t="s">
        <v>1738</v>
      </c>
      <c r="I76" s="20" t="s">
        <v>1737</v>
      </c>
      <c r="L76" s="25"/>
      <c r="M76" s="25"/>
      <c r="N76" s="25"/>
    </row>
    <row r="77" spans="1:14" ht="14.5">
      <c r="A77" s="20">
        <v>74</v>
      </c>
      <c r="B77" s="35" t="s">
        <v>1143</v>
      </c>
      <c r="C77" s="44" t="s">
        <v>1498</v>
      </c>
      <c r="D77" s="43" t="s">
        <v>1777</v>
      </c>
      <c r="E77" s="38">
        <v>9.0225511711711697</v>
      </c>
      <c r="F77" s="38">
        <v>9.0225511711711697</v>
      </c>
      <c r="G77" s="38">
        <v>9.9</v>
      </c>
      <c r="H77" s="23" t="s">
        <v>1738</v>
      </c>
      <c r="I77" s="20" t="s">
        <v>1737</v>
      </c>
      <c r="L77" s="25"/>
      <c r="M77" s="25"/>
      <c r="N77" s="25"/>
    </row>
    <row r="78" spans="1:14" ht="14.5">
      <c r="A78" s="20">
        <v>75</v>
      </c>
      <c r="B78" s="35" t="s">
        <v>1143</v>
      </c>
      <c r="C78" s="44" t="s">
        <v>1778</v>
      </c>
      <c r="D78" s="43" t="s">
        <v>1779</v>
      </c>
      <c r="E78" s="38">
        <v>5.8260692740926103</v>
      </c>
      <c r="F78" s="38">
        <v>5.8260692740926103</v>
      </c>
      <c r="G78" s="38">
        <v>9.9</v>
      </c>
      <c r="H78" s="23" t="s">
        <v>1738</v>
      </c>
      <c r="I78" s="20" t="s">
        <v>1737</v>
      </c>
      <c r="L78" s="25"/>
      <c r="M78" s="25"/>
      <c r="N78" s="25"/>
    </row>
    <row r="79" spans="1:14" ht="14.5">
      <c r="A79" s="20">
        <v>76</v>
      </c>
      <c r="B79" s="35" t="s">
        <v>1143</v>
      </c>
      <c r="C79" s="44" t="s">
        <v>1780</v>
      </c>
      <c r="D79" s="43" t="s">
        <v>1781</v>
      </c>
      <c r="E79" s="38">
        <v>8.1440322151532705</v>
      </c>
      <c r="F79" s="38">
        <v>8.1440322151532705</v>
      </c>
      <c r="G79" s="38">
        <v>11.5</v>
      </c>
      <c r="H79" s="23" t="s">
        <v>1738</v>
      </c>
      <c r="I79" s="20" t="s">
        <v>1737</v>
      </c>
      <c r="L79" s="25"/>
      <c r="M79" s="25"/>
      <c r="N79" s="25"/>
    </row>
    <row r="80" spans="1:14" ht="14.5">
      <c r="A80" s="20">
        <v>77</v>
      </c>
      <c r="B80" s="35" t="s">
        <v>1143</v>
      </c>
      <c r="C80" s="44" t="s">
        <v>1500</v>
      </c>
      <c r="D80" s="43" t="s">
        <v>1782</v>
      </c>
      <c r="E80" s="38">
        <v>8.1294134665859108</v>
      </c>
      <c r="F80" s="38">
        <v>8.1294134665859108</v>
      </c>
      <c r="G80" s="38">
        <v>9.9</v>
      </c>
      <c r="H80" s="23" t="s">
        <v>1738</v>
      </c>
      <c r="I80" s="20" t="s">
        <v>1737</v>
      </c>
      <c r="L80" s="25"/>
      <c r="M80" s="25"/>
      <c r="N80" s="25"/>
    </row>
    <row r="81" spans="1:14" ht="14.5">
      <c r="A81" s="20">
        <v>78</v>
      </c>
      <c r="B81" s="35" t="s">
        <v>743</v>
      </c>
      <c r="C81" s="44" t="s">
        <v>1502</v>
      </c>
      <c r="D81" s="43" t="s">
        <v>1783</v>
      </c>
      <c r="E81" s="38">
        <v>8.1212015988372102</v>
      </c>
      <c r="F81" s="38">
        <v>8.1212015988372102</v>
      </c>
      <c r="G81" s="38">
        <v>9.9</v>
      </c>
      <c r="H81" s="23" t="s">
        <v>1738</v>
      </c>
      <c r="I81" s="20" t="s">
        <v>1737</v>
      </c>
      <c r="L81" s="25"/>
      <c r="M81" s="25"/>
      <c r="N81" s="25"/>
    </row>
    <row r="82" spans="1:14" ht="14.5">
      <c r="A82" s="20">
        <v>79</v>
      </c>
      <c r="B82" s="35" t="s">
        <v>1022</v>
      </c>
      <c r="C82" s="44" t="s">
        <v>1504</v>
      </c>
      <c r="D82" s="43" t="s">
        <v>1784</v>
      </c>
      <c r="E82" s="38">
        <v>6.9164204620462</v>
      </c>
      <c r="F82" s="38">
        <v>6.9164204620462</v>
      </c>
      <c r="G82" s="38">
        <v>9.9</v>
      </c>
      <c r="H82" s="23" t="s">
        <v>1738</v>
      </c>
      <c r="I82" s="20" t="s">
        <v>1737</v>
      </c>
      <c r="L82" s="25"/>
      <c r="M82" s="25"/>
      <c r="N82" s="25"/>
    </row>
    <row r="83" spans="1:14" ht="14.5">
      <c r="A83" s="20">
        <v>80</v>
      </c>
      <c r="B83" s="35" t="s">
        <v>1022</v>
      </c>
      <c r="C83" s="44" t="s">
        <v>1506</v>
      </c>
      <c r="D83" s="43" t="s">
        <v>1785</v>
      </c>
      <c r="E83" s="38">
        <v>6.9187274747474703</v>
      </c>
      <c r="F83" s="38">
        <v>6.9187274747474703</v>
      </c>
      <c r="G83" s="38">
        <v>9.9</v>
      </c>
      <c r="H83" s="23" t="s">
        <v>1738</v>
      </c>
      <c r="I83" s="20" t="s">
        <v>1737</v>
      </c>
      <c r="L83" s="25"/>
      <c r="M83" s="25"/>
      <c r="N83" s="25"/>
    </row>
    <row r="84" spans="1:14" ht="14.5">
      <c r="A84" s="20">
        <v>81</v>
      </c>
      <c r="B84" s="35" t="s">
        <v>1022</v>
      </c>
      <c r="C84" s="44" t="s">
        <v>1508</v>
      </c>
      <c r="D84" s="43" t="s">
        <v>1786</v>
      </c>
      <c r="E84" s="38">
        <v>6.9163097104677096</v>
      </c>
      <c r="F84" s="38">
        <v>6.9163097104677096</v>
      </c>
      <c r="G84" s="38">
        <v>9.9</v>
      </c>
      <c r="H84" s="23" t="s">
        <v>1738</v>
      </c>
      <c r="I84" s="20" t="s">
        <v>1737</v>
      </c>
      <c r="L84" s="25"/>
      <c r="M84" s="25"/>
      <c r="N84" s="25"/>
    </row>
    <row r="85" spans="1:14" ht="14.5">
      <c r="A85" s="20">
        <v>82</v>
      </c>
      <c r="B85" s="35" t="s">
        <v>1022</v>
      </c>
      <c r="C85" s="44" t="s">
        <v>1510</v>
      </c>
      <c r="D85" s="43" t="s">
        <v>1787</v>
      </c>
      <c r="E85" s="38">
        <v>6.9138543372319701</v>
      </c>
      <c r="F85" s="38">
        <v>6.9138543372319701</v>
      </c>
      <c r="G85" s="38">
        <v>9.9</v>
      </c>
      <c r="H85" s="23" t="s">
        <v>1738</v>
      </c>
      <c r="I85" s="20" t="s">
        <v>1737</v>
      </c>
      <c r="L85" s="25"/>
      <c r="M85" s="25"/>
      <c r="N85" s="25"/>
    </row>
    <row r="86" spans="1:14" ht="14.5">
      <c r="A86" s="20">
        <v>83</v>
      </c>
      <c r="B86" s="35" t="s">
        <v>1022</v>
      </c>
      <c r="C86" s="44" t="s">
        <v>1579</v>
      </c>
      <c r="D86" s="43" t="s">
        <v>1788</v>
      </c>
      <c r="E86" s="38">
        <v>4.4006177793645103</v>
      </c>
      <c r="F86" s="38">
        <v>4.4006177793645103</v>
      </c>
      <c r="G86" s="38">
        <v>5.5</v>
      </c>
      <c r="H86" s="23" t="s">
        <v>1738</v>
      </c>
      <c r="I86" s="20" t="s">
        <v>1737</v>
      </c>
      <c r="L86" s="25"/>
      <c r="M86" s="25"/>
      <c r="N86" s="25"/>
    </row>
    <row r="87" spans="1:14" ht="14.5">
      <c r="A87" s="20">
        <v>84</v>
      </c>
      <c r="B87" s="35" t="s">
        <v>1022</v>
      </c>
      <c r="C87" s="44" t="s">
        <v>1581</v>
      </c>
      <c r="D87" s="43" t="s">
        <v>1789</v>
      </c>
      <c r="E87" s="38">
        <v>4.4005797695932998</v>
      </c>
      <c r="F87" s="38">
        <v>4.4005797695932998</v>
      </c>
      <c r="G87" s="38">
        <v>5.5</v>
      </c>
      <c r="H87" s="23" t="s">
        <v>1738</v>
      </c>
      <c r="I87" s="20" t="s">
        <v>1737</v>
      </c>
      <c r="L87" s="25"/>
      <c r="M87" s="25"/>
      <c r="N87" s="25"/>
    </row>
    <row r="88" spans="1:14" ht="14.5">
      <c r="A88" s="20">
        <v>85</v>
      </c>
      <c r="B88" s="35" t="s">
        <v>1143</v>
      </c>
      <c r="C88" s="44" t="s">
        <v>1512</v>
      </c>
      <c r="D88" s="43" t="s">
        <v>1790</v>
      </c>
      <c r="E88" s="38">
        <v>8.1222644110275706</v>
      </c>
      <c r="F88" s="38">
        <v>8.1222644110275706</v>
      </c>
      <c r="G88" s="38">
        <v>9.9</v>
      </c>
      <c r="H88" s="23" t="s">
        <v>1738</v>
      </c>
      <c r="I88" s="20" t="s">
        <v>1737</v>
      </c>
      <c r="L88" s="25"/>
      <c r="M88" s="25"/>
      <c r="N88" s="25"/>
    </row>
    <row r="89" spans="1:14" ht="14.5">
      <c r="A89" s="20">
        <v>86</v>
      </c>
      <c r="B89" s="35" t="s">
        <v>1331</v>
      </c>
      <c r="C89" s="44" t="s">
        <v>1791</v>
      </c>
      <c r="D89" s="43" t="s">
        <v>1792</v>
      </c>
      <c r="E89" s="38">
        <v>5.8796133943709696</v>
      </c>
      <c r="F89" s="38">
        <v>5.8796133943709696</v>
      </c>
      <c r="G89" s="38">
        <v>7.9</v>
      </c>
      <c r="H89" s="23" t="s">
        <v>1738</v>
      </c>
      <c r="I89" s="20" t="s">
        <v>1737</v>
      </c>
      <c r="L89" s="25"/>
      <c r="M89" s="25"/>
      <c r="N89" s="25"/>
    </row>
    <row r="90" spans="1:14" ht="14.5">
      <c r="A90" s="20">
        <v>87</v>
      </c>
      <c r="B90" s="35" t="s">
        <v>1022</v>
      </c>
      <c r="C90" s="44" t="s">
        <v>1793</v>
      </c>
      <c r="D90" s="43" t="s">
        <v>1794</v>
      </c>
      <c r="E90" s="38">
        <v>13.3101379867744</v>
      </c>
      <c r="F90" s="38">
        <v>13.3101379867744</v>
      </c>
      <c r="G90" s="38">
        <v>19.899999999999999</v>
      </c>
      <c r="H90" s="23" t="s">
        <v>1738</v>
      </c>
      <c r="I90" s="20" t="s">
        <v>1737</v>
      </c>
      <c r="L90" s="25"/>
      <c r="M90" s="25"/>
      <c r="N90" s="25"/>
    </row>
    <row r="91" spans="1:14" ht="14.5">
      <c r="A91" s="20">
        <v>88</v>
      </c>
      <c r="B91" s="35" t="s">
        <v>1022</v>
      </c>
      <c r="C91" s="44" t="s">
        <v>1795</v>
      </c>
      <c r="D91" s="43" t="s">
        <v>1796</v>
      </c>
      <c r="E91" s="38">
        <v>20.0215487844408</v>
      </c>
      <c r="F91" s="38">
        <v>20.0215487844408</v>
      </c>
      <c r="G91" s="38">
        <v>29.9</v>
      </c>
      <c r="H91" s="23" t="s">
        <v>1738</v>
      </c>
      <c r="I91" s="20" t="s">
        <v>1737</v>
      </c>
      <c r="L91" s="25"/>
      <c r="M91" s="25"/>
      <c r="N91" s="25"/>
    </row>
    <row r="92" spans="1:14" ht="14.5">
      <c r="A92" s="20">
        <v>89</v>
      </c>
      <c r="B92" s="35" t="s">
        <v>342</v>
      </c>
      <c r="C92" s="44" t="s">
        <v>1797</v>
      </c>
      <c r="D92" s="43" t="s">
        <v>1798</v>
      </c>
      <c r="E92" s="38">
        <v>27.452561132075498</v>
      </c>
      <c r="F92" s="38">
        <v>27.452561132075498</v>
      </c>
      <c r="G92" s="38">
        <v>38</v>
      </c>
      <c r="H92" s="23" t="s">
        <v>1738</v>
      </c>
      <c r="I92" s="20" t="s">
        <v>1737</v>
      </c>
      <c r="L92" s="25"/>
      <c r="M92" s="25"/>
      <c r="N92" s="25"/>
    </row>
    <row r="93" spans="1:14" ht="14.5">
      <c r="A93" s="20">
        <v>90</v>
      </c>
      <c r="B93" s="35" t="s">
        <v>342</v>
      </c>
      <c r="C93" s="44" t="s">
        <v>1799</v>
      </c>
      <c r="D93" s="43" t="s">
        <v>1800</v>
      </c>
      <c r="E93" s="38">
        <v>47.540332727272698</v>
      </c>
      <c r="F93" s="38">
        <v>47.540332727272698</v>
      </c>
      <c r="G93" s="38">
        <v>68</v>
      </c>
      <c r="H93" s="23" t="s">
        <v>1738</v>
      </c>
      <c r="I93" s="20" t="s">
        <v>1737</v>
      </c>
      <c r="L93" s="25"/>
      <c r="M93" s="25"/>
      <c r="N93" s="25"/>
    </row>
    <row r="94" spans="1:14" ht="14.5">
      <c r="A94" s="20">
        <v>91</v>
      </c>
      <c r="B94" s="35" t="s">
        <v>342</v>
      </c>
      <c r="C94" s="44" t="s">
        <v>1801</v>
      </c>
      <c r="D94" s="43" t="s">
        <v>1802</v>
      </c>
      <c r="E94" s="38">
        <v>25.005822909698999</v>
      </c>
      <c r="F94" s="38">
        <v>25.005822909698999</v>
      </c>
      <c r="G94" s="38">
        <v>33.9</v>
      </c>
      <c r="H94" s="23" t="s">
        <v>1738</v>
      </c>
      <c r="I94" s="20" t="s">
        <v>1737</v>
      </c>
      <c r="L94" s="25"/>
      <c r="M94" s="25"/>
      <c r="N94" s="25"/>
    </row>
    <row r="95" spans="1:14" ht="14.5">
      <c r="A95" s="20">
        <v>92</v>
      </c>
      <c r="B95" s="35" t="s">
        <v>342</v>
      </c>
      <c r="C95" s="44" t="s">
        <v>1803</v>
      </c>
      <c r="D95" s="43" t="s">
        <v>1804</v>
      </c>
      <c r="E95" s="38">
        <v>21.008393885601599</v>
      </c>
      <c r="F95" s="38">
        <v>21.008393885601599</v>
      </c>
      <c r="G95" s="38">
        <v>29.9</v>
      </c>
      <c r="H95" s="23" t="s">
        <v>1738</v>
      </c>
      <c r="I95" s="20" t="s">
        <v>1737</v>
      </c>
      <c r="L95" s="25"/>
      <c r="M95" s="25"/>
      <c r="N95" s="25"/>
    </row>
    <row r="96" spans="1:14" ht="14.5">
      <c r="A96" s="20">
        <v>93</v>
      </c>
      <c r="B96" s="35" t="s">
        <v>342</v>
      </c>
      <c r="C96" s="44" t="s">
        <v>1805</v>
      </c>
      <c r="D96" s="43" t="s">
        <v>1806</v>
      </c>
      <c r="E96" s="38">
        <v>6.2813435897435896</v>
      </c>
      <c r="F96" s="38">
        <v>6.2813435897435896</v>
      </c>
      <c r="G96" s="38">
        <v>9.9</v>
      </c>
      <c r="H96" s="23" t="s">
        <v>1738</v>
      </c>
      <c r="I96" s="20" t="s">
        <v>1737</v>
      </c>
      <c r="L96" s="25"/>
      <c r="M96" s="25"/>
      <c r="N96" s="25"/>
    </row>
    <row r="97" spans="1:14" ht="14.5">
      <c r="A97" s="20">
        <v>94</v>
      </c>
      <c r="B97" s="35" t="s">
        <v>342</v>
      </c>
      <c r="C97" s="44" t="s">
        <v>1807</v>
      </c>
      <c r="D97" s="43" t="s">
        <v>1808</v>
      </c>
      <c r="E97" s="38">
        <v>6.2812793186760096</v>
      </c>
      <c r="F97" s="38">
        <v>6.2812793186760096</v>
      </c>
      <c r="G97" s="38">
        <v>9.9</v>
      </c>
      <c r="H97" s="23" t="s">
        <v>1738</v>
      </c>
      <c r="I97" s="20" t="s">
        <v>1737</v>
      </c>
      <c r="L97" s="25"/>
      <c r="M97" s="25"/>
      <c r="N97" s="25"/>
    </row>
    <row r="98" spans="1:14" ht="14.5">
      <c r="A98" s="20">
        <v>95</v>
      </c>
      <c r="B98" s="35" t="s">
        <v>342</v>
      </c>
      <c r="C98" s="44" t="s">
        <v>1809</v>
      </c>
      <c r="D98" s="43" t="s">
        <v>1810</v>
      </c>
      <c r="E98" s="38">
        <v>45.000005479452</v>
      </c>
      <c r="F98" s="38">
        <v>45.000005479452</v>
      </c>
      <c r="G98" s="38">
        <v>59.9</v>
      </c>
      <c r="H98" s="23" t="s">
        <v>1738</v>
      </c>
      <c r="I98" s="20" t="s">
        <v>1737</v>
      </c>
      <c r="L98" s="25"/>
      <c r="M98" s="25"/>
      <c r="N98" s="25"/>
    </row>
    <row r="99" spans="1:14" ht="14.5">
      <c r="A99" s="20">
        <v>96</v>
      </c>
      <c r="B99" s="35" t="s">
        <v>342</v>
      </c>
      <c r="C99" s="44" t="s">
        <v>1811</v>
      </c>
      <c r="D99" s="43" t="s">
        <v>1812</v>
      </c>
      <c r="E99" s="38">
        <v>21.988463440860201</v>
      </c>
      <c r="F99" s="38">
        <v>21.988463440860201</v>
      </c>
      <c r="G99" s="38">
        <v>46</v>
      </c>
      <c r="H99" s="23" t="s">
        <v>1738</v>
      </c>
      <c r="I99" s="20" t="s">
        <v>1737</v>
      </c>
      <c r="L99" s="25"/>
      <c r="M99" s="25"/>
      <c r="N99" s="25"/>
    </row>
    <row r="100" spans="1:14" ht="14.5">
      <c r="A100" s="20">
        <v>97</v>
      </c>
      <c r="B100" s="35" t="s">
        <v>342</v>
      </c>
      <c r="C100" s="44" t="s">
        <v>1813</v>
      </c>
      <c r="D100" s="43" t="s">
        <v>1814</v>
      </c>
      <c r="E100" s="38">
        <v>39.788456279069798</v>
      </c>
      <c r="F100" s="38">
        <v>39.788456279069798</v>
      </c>
      <c r="G100" s="38">
        <v>108</v>
      </c>
      <c r="H100" s="23" t="s">
        <v>1738</v>
      </c>
      <c r="I100" s="20" t="s">
        <v>1737</v>
      </c>
      <c r="L100" s="25"/>
      <c r="M100" s="25"/>
      <c r="N100" s="25"/>
    </row>
    <row r="101" spans="1:14" ht="14.5">
      <c r="A101" s="20">
        <v>98</v>
      </c>
      <c r="B101" s="35" t="s">
        <v>342</v>
      </c>
      <c r="C101" s="44" t="s">
        <v>1815</v>
      </c>
      <c r="D101" s="43" t="s">
        <v>1816</v>
      </c>
      <c r="E101" s="38">
        <v>23.844046928499498</v>
      </c>
      <c r="F101" s="38">
        <v>23.844046928499498</v>
      </c>
      <c r="G101" s="38">
        <v>35</v>
      </c>
      <c r="H101" s="23" t="s">
        <v>1738</v>
      </c>
      <c r="I101" s="20" t="s">
        <v>1737</v>
      </c>
      <c r="L101" s="25"/>
      <c r="M101" s="25"/>
      <c r="N101" s="25"/>
    </row>
    <row r="102" spans="1:14" ht="14.5">
      <c r="A102" s="20">
        <v>99</v>
      </c>
      <c r="B102" s="35" t="s">
        <v>342</v>
      </c>
      <c r="C102" s="44" t="s">
        <v>1817</v>
      </c>
      <c r="D102" s="43" t="s">
        <v>1818</v>
      </c>
      <c r="E102" s="38">
        <v>8.2936483727810693</v>
      </c>
      <c r="F102" s="38">
        <v>8.2936483727810693</v>
      </c>
      <c r="G102" s="38">
        <v>15</v>
      </c>
      <c r="H102" s="23" t="s">
        <v>1738</v>
      </c>
      <c r="I102" s="20" t="s">
        <v>1737</v>
      </c>
      <c r="L102" s="25"/>
      <c r="M102" s="25"/>
      <c r="N102" s="25"/>
    </row>
    <row r="103" spans="1:14" ht="14.5">
      <c r="A103" s="20">
        <v>100</v>
      </c>
      <c r="B103" s="35" t="s">
        <v>358</v>
      </c>
      <c r="C103" s="44" t="s">
        <v>1819</v>
      </c>
      <c r="D103" s="43" t="s">
        <v>1820</v>
      </c>
      <c r="E103" s="38">
        <v>13.513979449454199</v>
      </c>
      <c r="F103" s="38">
        <v>13.513979449454199</v>
      </c>
      <c r="G103" s="38">
        <v>19.899999999999999</v>
      </c>
      <c r="H103" s="23" t="s">
        <v>1738</v>
      </c>
      <c r="I103" s="20" t="s">
        <v>1737</v>
      </c>
      <c r="L103" s="25"/>
      <c r="M103" s="25"/>
      <c r="N103" s="25"/>
    </row>
    <row r="104" spans="1:14" ht="14.5">
      <c r="A104" s="20">
        <v>101</v>
      </c>
      <c r="B104" s="35" t="s">
        <v>358</v>
      </c>
      <c r="C104" s="44" t="s">
        <v>1821</v>
      </c>
      <c r="D104" s="43" t="s">
        <v>1822</v>
      </c>
      <c r="E104" s="38">
        <v>13.522073871733999</v>
      </c>
      <c r="F104" s="38">
        <v>13.522073871733999</v>
      </c>
      <c r="G104" s="38">
        <v>19.899999999999999</v>
      </c>
      <c r="H104" s="23" t="s">
        <v>1738</v>
      </c>
      <c r="I104" s="20" t="s">
        <v>1737</v>
      </c>
      <c r="L104" s="25"/>
      <c r="M104" s="25"/>
      <c r="N104" s="25"/>
    </row>
    <row r="105" spans="1:14" ht="14.5">
      <c r="A105" s="20">
        <v>102</v>
      </c>
      <c r="B105" s="35" t="s">
        <v>358</v>
      </c>
      <c r="C105" s="44" t="s">
        <v>1823</v>
      </c>
      <c r="D105" s="43" t="s">
        <v>1824</v>
      </c>
      <c r="E105" s="38">
        <v>13.5062850988701</v>
      </c>
      <c r="F105" s="38">
        <v>13.5062850988701</v>
      </c>
      <c r="G105" s="38">
        <v>19.899999999999999</v>
      </c>
      <c r="H105" s="23" t="s">
        <v>1738</v>
      </c>
      <c r="I105" s="20" t="s">
        <v>1737</v>
      </c>
      <c r="L105" s="25"/>
      <c r="M105" s="25"/>
      <c r="N105" s="25"/>
    </row>
    <row r="106" spans="1:14" ht="14.5">
      <c r="A106" s="20">
        <v>103</v>
      </c>
      <c r="B106" s="35" t="s">
        <v>358</v>
      </c>
      <c r="C106" s="44" t="s">
        <v>1825</v>
      </c>
      <c r="D106" s="43" t="s">
        <v>1826</v>
      </c>
      <c r="E106" s="38">
        <v>13.501939523809501</v>
      </c>
      <c r="F106" s="38">
        <v>13.501939523809501</v>
      </c>
      <c r="G106" s="38">
        <v>19.899999999999999</v>
      </c>
      <c r="H106" s="23" t="s">
        <v>1738</v>
      </c>
      <c r="I106" s="20" t="s">
        <v>1737</v>
      </c>
      <c r="L106" s="25"/>
      <c r="M106" s="25"/>
      <c r="N106" s="25"/>
    </row>
    <row r="107" spans="1:14" ht="14.5">
      <c r="A107" s="20">
        <v>104</v>
      </c>
      <c r="B107" s="35" t="s">
        <v>298</v>
      </c>
      <c r="C107" s="44" t="s">
        <v>1827</v>
      </c>
      <c r="D107" s="43" t="s">
        <v>1828</v>
      </c>
      <c r="E107" s="38">
        <v>5.80496149810023</v>
      </c>
      <c r="F107" s="38">
        <v>5.80496149810023</v>
      </c>
      <c r="G107" s="38">
        <v>7</v>
      </c>
      <c r="H107" s="23" t="s">
        <v>1738</v>
      </c>
      <c r="I107" s="20" t="s">
        <v>1737</v>
      </c>
      <c r="L107" s="25"/>
      <c r="M107" s="25"/>
      <c r="N107" s="25"/>
    </row>
    <row r="108" spans="1:14" ht="14.5">
      <c r="A108" s="20">
        <v>105</v>
      </c>
      <c r="B108" s="35" t="s">
        <v>1022</v>
      </c>
      <c r="C108" s="44" t="s">
        <v>1829</v>
      </c>
      <c r="D108" s="43" t="s">
        <v>1830</v>
      </c>
      <c r="E108" s="38">
        <v>10.8085050487157</v>
      </c>
      <c r="F108" s="38">
        <v>10.8085050487157</v>
      </c>
      <c r="G108" s="38">
        <v>15.8</v>
      </c>
      <c r="H108" s="23" t="s">
        <v>1738</v>
      </c>
      <c r="I108" s="20" t="s">
        <v>1737</v>
      </c>
      <c r="L108" s="25"/>
      <c r="M108" s="25"/>
      <c r="N108" s="25"/>
    </row>
    <row r="109" spans="1:14" ht="14.5">
      <c r="A109" s="20">
        <v>106</v>
      </c>
      <c r="B109" s="35" t="s">
        <v>1022</v>
      </c>
      <c r="C109" s="44" t="s">
        <v>1831</v>
      </c>
      <c r="D109" s="43" t="s">
        <v>1832</v>
      </c>
      <c r="E109" s="38">
        <v>10.8104337451235</v>
      </c>
      <c r="F109" s="38">
        <v>10.8104337451235</v>
      </c>
      <c r="G109" s="38">
        <v>15.8</v>
      </c>
      <c r="H109" s="23" t="s">
        <v>1738</v>
      </c>
      <c r="I109" s="20" t="s">
        <v>1737</v>
      </c>
      <c r="L109" s="25"/>
      <c r="M109" s="25"/>
      <c r="N109" s="25"/>
    </row>
    <row r="110" spans="1:14" ht="14.5">
      <c r="A110" s="20">
        <v>107</v>
      </c>
      <c r="B110" s="35" t="s">
        <v>1022</v>
      </c>
      <c r="C110" s="44" t="s">
        <v>1833</v>
      </c>
      <c r="D110" s="43" t="s">
        <v>1834</v>
      </c>
      <c r="E110" s="38">
        <v>8.8074077580940706</v>
      </c>
      <c r="F110" s="38">
        <v>8.8074077580940706</v>
      </c>
      <c r="G110" s="38">
        <v>12.8</v>
      </c>
      <c r="H110" s="23" t="s">
        <v>1738</v>
      </c>
      <c r="I110" s="20" t="s">
        <v>1737</v>
      </c>
      <c r="L110" s="25"/>
      <c r="M110" s="25"/>
      <c r="N110" s="25"/>
    </row>
    <row r="111" spans="1:14" ht="14.5">
      <c r="A111" s="20">
        <v>108</v>
      </c>
      <c r="B111" s="35" t="s">
        <v>1022</v>
      </c>
      <c r="C111" s="44" t="s">
        <v>1835</v>
      </c>
      <c r="D111" s="43" t="s">
        <v>1836</v>
      </c>
      <c r="E111" s="38">
        <v>13.2182412015339</v>
      </c>
      <c r="F111" s="38">
        <v>13.2182412015339</v>
      </c>
      <c r="G111" s="38">
        <v>19.899999999999999</v>
      </c>
      <c r="H111" s="23" t="s">
        <v>1738</v>
      </c>
      <c r="I111" s="20" t="s">
        <v>1737</v>
      </c>
      <c r="L111" s="25"/>
      <c r="M111" s="25"/>
      <c r="N111" s="25"/>
    </row>
    <row r="112" spans="1:14" ht="14.5">
      <c r="A112" s="20">
        <v>109</v>
      </c>
      <c r="B112" s="35" t="s">
        <v>1022</v>
      </c>
      <c r="C112" s="44" t="s">
        <v>1837</v>
      </c>
      <c r="D112" s="43" t="s">
        <v>1838</v>
      </c>
      <c r="E112" s="38">
        <v>3.0636209656925</v>
      </c>
      <c r="F112" s="38">
        <v>3.0636209656925</v>
      </c>
      <c r="G112" s="38">
        <v>6.9</v>
      </c>
      <c r="H112" s="23" t="s">
        <v>1738</v>
      </c>
      <c r="I112" s="20" t="s">
        <v>1737</v>
      </c>
      <c r="L112" s="25"/>
      <c r="M112" s="25"/>
      <c r="N112" s="25"/>
    </row>
    <row r="113" spans="1:14" ht="14.5">
      <c r="A113" s="20">
        <v>110</v>
      </c>
      <c r="B113" s="35" t="s">
        <v>1331</v>
      </c>
      <c r="C113" s="44" t="s">
        <v>1839</v>
      </c>
      <c r="D113" s="43" t="s">
        <v>1840</v>
      </c>
      <c r="E113" s="38">
        <v>23.046461604938301</v>
      </c>
      <c r="F113" s="38">
        <v>23.046461604938301</v>
      </c>
      <c r="G113" s="38">
        <v>33.5</v>
      </c>
      <c r="H113" s="23" t="s">
        <v>1738</v>
      </c>
      <c r="I113" s="20" t="s">
        <v>1737</v>
      </c>
      <c r="L113" s="25"/>
      <c r="M113" s="25"/>
      <c r="N113" s="25"/>
    </row>
    <row r="114" spans="1:14" ht="14.5">
      <c r="A114" s="20">
        <v>111</v>
      </c>
      <c r="B114" s="35" t="s">
        <v>1331</v>
      </c>
      <c r="C114" s="44" t="s">
        <v>1841</v>
      </c>
      <c r="D114" s="43" t="s">
        <v>1842</v>
      </c>
      <c r="E114" s="38">
        <v>4.6689354073387896</v>
      </c>
      <c r="F114" s="38">
        <v>4.6689354073387896</v>
      </c>
      <c r="G114" s="38">
        <v>7.9</v>
      </c>
      <c r="H114" s="23" t="s">
        <v>1738</v>
      </c>
      <c r="I114" s="20" t="s">
        <v>1737</v>
      </c>
      <c r="L114" s="25"/>
      <c r="M114" s="25"/>
      <c r="N114" s="25"/>
    </row>
    <row r="115" spans="1:14" ht="14.5">
      <c r="A115" s="20">
        <v>112</v>
      </c>
      <c r="B115" s="35" t="s">
        <v>1331</v>
      </c>
      <c r="C115" s="44" t="s">
        <v>1843</v>
      </c>
      <c r="D115" s="43" t="s">
        <v>1844</v>
      </c>
      <c r="E115" s="38">
        <v>24.384393867155701</v>
      </c>
      <c r="F115" s="38">
        <v>24.384393867155701</v>
      </c>
      <c r="G115" s="38">
        <v>33.5</v>
      </c>
      <c r="H115" s="23" t="s">
        <v>1738</v>
      </c>
      <c r="I115" s="20" t="s">
        <v>1737</v>
      </c>
      <c r="L115" s="25"/>
      <c r="M115" s="25"/>
      <c r="N115" s="25"/>
    </row>
    <row r="116" spans="1:14" ht="14.5">
      <c r="A116" s="20">
        <v>113</v>
      </c>
      <c r="B116" s="35" t="s">
        <v>1331</v>
      </c>
      <c r="C116" s="44" t="s">
        <v>1845</v>
      </c>
      <c r="D116" s="43" t="s">
        <v>1846</v>
      </c>
      <c r="E116" s="38">
        <v>23.865317846909502</v>
      </c>
      <c r="F116" s="38">
        <v>23.865317846909502</v>
      </c>
      <c r="G116" s="38">
        <v>33.5</v>
      </c>
      <c r="H116" s="23" t="s">
        <v>1738</v>
      </c>
      <c r="I116" s="20" t="s">
        <v>1737</v>
      </c>
      <c r="L116" s="25"/>
      <c r="M116" s="25"/>
      <c r="N116" s="25"/>
    </row>
    <row r="117" spans="1:14" ht="14.5">
      <c r="A117" s="20">
        <v>114</v>
      </c>
      <c r="B117" s="35" t="s">
        <v>298</v>
      </c>
      <c r="C117" s="44" t="s">
        <v>1847</v>
      </c>
      <c r="D117" s="43" t="s">
        <v>1848</v>
      </c>
      <c r="E117" s="38">
        <v>2.60227286585366</v>
      </c>
      <c r="F117" s="38">
        <v>2.60227286585366</v>
      </c>
      <c r="G117" s="38">
        <v>5</v>
      </c>
      <c r="H117" s="23" t="s">
        <v>1738</v>
      </c>
      <c r="I117" s="20" t="s">
        <v>1737</v>
      </c>
      <c r="L117" s="25"/>
      <c r="M117" s="25"/>
      <c r="N117" s="25"/>
    </row>
    <row r="118" spans="1:14" ht="14.5">
      <c r="A118" s="20">
        <v>115</v>
      </c>
      <c r="B118" s="35" t="s">
        <v>298</v>
      </c>
      <c r="C118" s="44" t="s">
        <v>1849</v>
      </c>
      <c r="D118" s="43" t="s">
        <v>1850</v>
      </c>
      <c r="E118" s="38">
        <v>1.80159483899427</v>
      </c>
      <c r="F118" s="38">
        <v>1.80159483899427</v>
      </c>
      <c r="G118" s="38">
        <v>2</v>
      </c>
      <c r="H118" s="23" t="s">
        <v>1738</v>
      </c>
      <c r="I118" s="20" t="s">
        <v>1737</v>
      </c>
      <c r="L118" s="25"/>
      <c r="M118" s="25"/>
      <c r="N118" s="25"/>
    </row>
    <row r="119" spans="1:14" ht="14.5">
      <c r="A119" s="20">
        <v>116</v>
      </c>
      <c r="B119" s="35" t="s">
        <v>342</v>
      </c>
      <c r="C119" s="44" t="s">
        <v>1851</v>
      </c>
      <c r="D119" s="43" t="s">
        <v>1852</v>
      </c>
      <c r="E119" s="38">
        <v>8.3235128712871305</v>
      </c>
      <c r="F119" s="38">
        <v>8.3235128712871305</v>
      </c>
      <c r="G119" s="38">
        <v>8.9</v>
      </c>
      <c r="H119" s="23" t="s">
        <v>1738</v>
      </c>
      <c r="I119" s="20" t="s">
        <v>1737</v>
      </c>
      <c r="L119" s="25"/>
      <c r="M119" s="25"/>
      <c r="N119" s="25"/>
    </row>
    <row r="120" spans="1:14" ht="14.5">
      <c r="A120" s="20">
        <v>117</v>
      </c>
      <c r="B120" s="35" t="s">
        <v>342</v>
      </c>
      <c r="C120" s="44" t="s">
        <v>1853</v>
      </c>
      <c r="D120" s="43" t="s">
        <v>1854</v>
      </c>
      <c r="E120" s="38">
        <v>49.0214855704698</v>
      </c>
      <c r="F120" s="38">
        <v>49.0214855704698</v>
      </c>
      <c r="G120" s="38">
        <v>52.9</v>
      </c>
      <c r="H120" s="23" t="s">
        <v>1738</v>
      </c>
      <c r="I120" s="20" t="s">
        <v>1737</v>
      </c>
      <c r="L120" s="25"/>
      <c r="M120" s="25"/>
      <c r="N120" s="25"/>
    </row>
    <row r="121" spans="1:14" ht="14.5">
      <c r="A121" s="20">
        <v>118</v>
      </c>
      <c r="B121" s="35" t="s">
        <v>342</v>
      </c>
      <c r="C121" s="44" t="s">
        <v>1855</v>
      </c>
      <c r="D121" s="43" t="s">
        <v>1856</v>
      </c>
      <c r="E121" s="38">
        <v>9.7202128816083402</v>
      </c>
      <c r="F121" s="38">
        <v>9.7202128816083402</v>
      </c>
      <c r="G121" s="38">
        <v>10.9</v>
      </c>
      <c r="H121" s="23" t="s">
        <v>1738</v>
      </c>
      <c r="I121" s="20" t="s">
        <v>1737</v>
      </c>
      <c r="L121" s="25"/>
      <c r="M121" s="25"/>
      <c r="N121" s="25"/>
    </row>
    <row r="122" spans="1:14" ht="14.5">
      <c r="A122" s="20">
        <v>119</v>
      </c>
      <c r="B122" s="35" t="s">
        <v>342</v>
      </c>
      <c r="C122" s="44" t="s">
        <v>1857</v>
      </c>
      <c r="D122" s="43" t="s">
        <v>1858</v>
      </c>
      <c r="E122" s="38">
        <v>21.462607164002399</v>
      </c>
      <c r="F122" s="38">
        <v>21.462607164002399</v>
      </c>
      <c r="G122" s="38">
        <v>22</v>
      </c>
      <c r="H122" s="23" t="s">
        <v>1738</v>
      </c>
      <c r="I122" s="20" t="s">
        <v>1737</v>
      </c>
      <c r="L122" s="25"/>
      <c r="M122" s="25"/>
      <c r="N122" s="25"/>
    </row>
    <row r="123" spans="1:14" ht="14.5">
      <c r="A123" s="20">
        <v>120</v>
      </c>
      <c r="B123" s="35" t="s">
        <v>342</v>
      </c>
      <c r="C123" s="44" t="s">
        <v>1859</v>
      </c>
      <c r="D123" s="43" t="s">
        <v>1860</v>
      </c>
      <c r="E123" s="38">
        <v>38.709869565217403</v>
      </c>
      <c r="F123" s="38">
        <v>38.709869565217403</v>
      </c>
      <c r="G123" s="38">
        <v>39.9</v>
      </c>
      <c r="H123" s="23" t="s">
        <v>1738</v>
      </c>
      <c r="I123" s="20" t="s">
        <v>1737</v>
      </c>
      <c r="L123" s="25"/>
      <c r="M123" s="25"/>
      <c r="N123" s="25"/>
    </row>
    <row r="124" spans="1:14" ht="14.5">
      <c r="A124" s="20">
        <v>121</v>
      </c>
      <c r="B124" s="35" t="s">
        <v>342</v>
      </c>
      <c r="C124" s="44" t="s">
        <v>920</v>
      </c>
      <c r="D124" s="43" t="s">
        <v>1861</v>
      </c>
      <c r="E124" s="38">
        <v>37.234915221580003</v>
      </c>
      <c r="F124" s="38">
        <v>37.234915221580003</v>
      </c>
      <c r="G124" s="38">
        <v>60</v>
      </c>
      <c r="H124" s="23" t="s">
        <v>1738</v>
      </c>
      <c r="I124" s="20" t="s">
        <v>1737</v>
      </c>
      <c r="L124" s="25"/>
      <c r="M124" s="25"/>
      <c r="N124" s="25"/>
    </row>
    <row r="125" spans="1:14" ht="14.5">
      <c r="A125" s="20">
        <v>122</v>
      </c>
      <c r="B125" s="35" t="s">
        <v>342</v>
      </c>
      <c r="C125" s="44" t="s">
        <v>1862</v>
      </c>
      <c r="D125" s="43" t="s">
        <v>1863</v>
      </c>
      <c r="E125" s="38">
        <v>5.2085884325804201</v>
      </c>
      <c r="F125" s="38">
        <v>5.2085884325804201</v>
      </c>
      <c r="G125" s="38">
        <v>8</v>
      </c>
      <c r="H125" s="23" t="s">
        <v>1738</v>
      </c>
      <c r="I125" s="20" t="s">
        <v>1737</v>
      </c>
      <c r="L125" s="25"/>
      <c r="M125" s="25"/>
      <c r="N125" s="25"/>
    </row>
    <row r="126" spans="1:14" ht="14.5">
      <c r="A126" s="20">
        <v>123</v>
      </c>
      <c r="B126" s="35" t="s">
        <v>342</v>
      </c>
      <c r="C126" s="44" t="s">
        <v>1864</v>
      </c>
      <c r="D126" s="43" t="s">
        <v>1865</v>
      </c>
      <c r="E126" s="38">
        <v>106.002475</v>
      </c>
      <c r="F126" s="38">
        <v>106.002475</v>
      </c>
      <c r="G126" s="38">
        <v>139</v>
      </c>
      <c r="H126" s="23" t="s">
        <v>1738</v>
      </c>
      <c r="I126" s="20" t="s">
        <v>1737</v>
      </c>
      <c r="L126" s="25"/>
      <c r="M126" s="25"/>
      <c r="N126" s="25"/>
    </row>
    <row r="127" spans="1:14" ht="14.5">
      <c r="A127" s="20">
        <v>124</v>
      </c>
      <c r="B127" s="35" t="s">
        <v>342</v>
      </c>
      <c r="C127" s="44" t="s">
        <v>1866</v>
      </c>
      <c r="D127" s="43" t="s">
        <v>1867</v>
      </c>
      <c r="E127" s="38">
        <v>106.001823076923</v>
      </c>
      <c r="F127" s="38">
        <v>106.001823076923</v>
      </c>
      <c r="G127" s="38">
        <v>139</v>
      </c>
      <c r="H127" s="23" t="s">
        <v>1738</v>
      </c>
      <c r="I127" s="20" t="s">
        <v>1737</v>
      </c>
      <c r="L127" s="25"/>
      <c r="M127" s="25"/>
      <c r="N127" s="25"/>
    </row>
    <row r="128" spans="1:14" ht="14.5">
      <c r="A128" s="20">
        <v>125</v>
      </c>
      <c r="B128" s="35" t="s">
        <v>342</v>
      </c>
      <c r="C128" s="44" t="s">
        <v>1868</v>
      </c>
      <c r="D128" s="43" t="s">
        <v>1869</v>
      </c>
      <c r="E128" s="38">
        <v>106.00341666666699</v>
      </c>
      <c r="F128" s="38">
        <v>106.00341666666699</v>
      </c>
      <c r="G128" s="38">
        <v>139</v>
      </c>
      <c r="H128" s="23" t="s">
        <v>1738</v>
      </c>
      <c r="I128" s="20" t="s">
        <v>1737</v>
      </c>
      <c r="L128" s="25"/>
      <c r="M128" s="25"/>
      <c r="N128" s="25"/>
    </row>
    <row r="129" spans="1:14" ht="14.5">
      <c r="A129" s="20">
        <v>126</v>
      </c>
      <c r="B129" s="35" t="s">
        <v>342</v>
      </c>
      <c r="C129" s="44" t="s">
        <v>1870</v>
      </c>
      <c r="D129" s="43" t="s">
        <v>1871</v>
      </c>
      <c r="E129" s="38">
        <v>107.85850000000001</v>
      </c>
      <c r="F129" s="38">
        <v>107.85850000000001</v>
      </c>
      <c r="G129" s="38">
        <v>168</v>
      </c>
      <c r="H129" s="23" t="s">
        <v>1738</v>
      </c>
      <c r="I129" s="20" t="s">
        <v>1737</v>
      </c>
      <c r="L129" s="25"/>
      <c r="M129" s="25"/>
      <c r="N129" s="25"/>
    </row>
    <row r="130" spans="1:14" ht="14.5">
      <c r="A130" s="20">
        <v>127</v>
      </c>
      <c r="B130" s="35" t="s">
        <v>1368</v>
      </c>
      <c r="C130" s="44" t="s">
        <v>1872</v>
      </c>
      <c r="D130" s="43" t="s">
        <v>1873</v>
      </c>
      <c r="E130" s="38">
        <v>1.1299999999999999</v>
      </c>
      <c r="F130" s="38">
        <v>1.1299999999999999</v>
      </c>
      <c r="G130" s="38">
        <v>2.5</v>
      </c>
      <c r="H130" s="23" t="s">
        <v>1738</v>
      </c>
      <c r="I130" s="20" t="s">
        <v>1737</v>
      </c>
      <c r="L130" s="25"/>
      <c r="M130" s="25"/>
      <c r="N130" s="25"/>
    </row>
    <row r="131" spans="1:14" ht="14.5">
      <c r="A131" s="20">
        <v>128</v>
      </c>
      <c r="B131" s="35" t="s">
        <v>1368</v>
      </c>
      <c r="C131" s="44" t="s">
        <v>1874</v>
      </c>
      <c r="D131" s="43" t="s">
        <v>1875</v>
      </c>
      <c r="E131" s="38">
        <v>1.132825</v>
      </c>
      <c r="F131" s="38">
        <v>1.132825</v>
      </c>
      <c r="G131" s="38">
        <v>2.5</v>
      </c>
      <c r="H131" s="23" t="s">
        <v>1738</v>
      </c>
      <c r="I131" s="20" t="s">
        <v>1737</v>
      </c>
      <c r="L131" s="25"/>
      <c r="M131" s="25"/>
      <c r="N131" s="25"/>
    </row>
    <row r="132" spans="1:14" ht="14.5">
      <c r="A132" s="20">
        <v>129</v>
      </c>
      <c r="B132" s="35" t="s">
        <v>298</v>
      </c>
      <c r="C132" s="44" t="s">
        <v>1876</v>
      </c>
      <c r="D132" s="43" t="s">
        <v>1877</v>
      </c>
      <c r="E132" s="38">
        <v>50.039120835184399</v>
      </c>
      <c r="F132" s="38">
        <v>50.039120835184399</v>
      </c>
      <c r="G132" s="38">
        <v>68</v>
      </c>
      <c r="H132" s="23" t="s">
        <v>1736</v>
      </c>
      <c r="I132" s="20" t="s">
        <v>1737</v>
      </c>
      <c r="L132" s="25"/>
      <c r="M132" s="25"/>
      <c r="N132" s="25"/>
    </row>
    <row r="133" spans="1:14" ht="14.5">
      <c r="A133" s="20">
        <v>130</v>
      </c>
      <c r="B133" s="35" t="s">
        <v>298</v>
      </c>
      <c r="C133" s="44" t="s">
        <v>1878</v>
      </c>
      <c r="D133" s="43" t="s">
        <v>1879</v>
      </c>
      <c r="E133" s="38">
        <v>50.0339108063175</v>
      </c>
      <c r="F133" s="38">
        <v>50.0339108063175</v>
      </c>
      <c r="G133" s="38">
        <v>68</v>
      </c>
      <c r="H133" s="23" t="s">
        <v>1736</v>
      </c>
      <c r="I133" s="20" t="s">
        <v>1737</v>
      </c>
      <c r="L133" s="25"/>
      <c r="M133" s="25"/>
      <c r="N133" s="25"/>
    </row>
    <row r="134" spans="1:14" ht="14.5">
      <c r="A134" s="20">
        <v>131</v>
      </c>
      <c r="B134" s="35" t="s">
        <v>298</v>
      </c>
      <c r="C134" s="44" t="s">
        <v>1880</v>
      </c>
      <c r="D134" s="43" t="s">
        <v>1881</v>
      </c>
      <c r="E134" s="38">
        <v>50.0339108063175</v>
      </c>
      <c r="F134" s="38">
        <v>50.0339108063175</v>
      </c>
      <c r="G134" s="38">
        <v>68</v>
      </c>
      <c r="H134" s="23" t="s">
        <v>1736</v>
      </c>
      <c r="I134" s="20" t="s">
        <v>1737</v>
      </c>
      <c r="L134" s="25"/>
      <c r="M134" s="25"/>
      <c r="N134" s="25"/>
    </row>
    <row r="135" spans="1:14" ht="14.5">
      <c r="A135" s="20">
        <v>132</v>
      </c>
      <c r="B135" s="35" t="s">
        <v>1022</v>
      </c>
      <c r="C135" s="44" t="s">
        <v>1882</v>
      </c>
      <c r="D135" s="43" t="s">
        <v>1883</v>
      </c>
      <c r="E135" s="38">
        <v>72.534014112291302</v>
      </c>
      <c r="F135" s="38">
        <v>72.534014112291302</v>
      </c>
      <c r="G135" s="38">
        <v>108</v>
      </c>
      <c r="H135" s="23" t="s">
        <v>1736</v>
      </c>
      <c r="I135" s="20" t="s">
        <v>1737</v>
      </c>
      <c r="L135" s="25"/>
      <c r="M135" s="25"/>
      <c r="N135" s="25"/>
    </row>
    <row r="136" spans="1:14" ht="14.5">
      <c r="A136" s="20">
        <v>133</v>
      </c>
      <c r="B136" s="35" t="s">
        <v>1022</v>
      </c>
      <c r="C136" s="44" t="s">
        <v>1884</v>
      </c>
      <c r="D136" s="43" t="s">
        <v>1885</v>
      </c>
      <c r="E136" s="38">
        <v>108.05169861111099</v>
      </c>
      <c r="F136" s="38">
        <v>108.05169861111099</v>
      </c>
      <c r="G136" s="38">
        <v>148</v>
      </c>
      <c r="H136" s="23" t="s">
        <v>1736</v>
      </c>
      <c r="I136" s="20" t="s">
        <v>1737</v>
      </c>
      <c r="L136" s="25"/>
      <c r="M136" s="25"/>
      <c r="N136" s="25"/>
    </row>
    <row r="137" spans="1:14" ht="14.5">
      <c r="A137" s="20">
        <v>134</v>
      </c>
      <c r="B137" s="35" t="s">
        <v>1022</v>
      </c>
      <c r="C137" s="44" t="s">
        <v>1886</v>
      </c>
      <c r="D137" s="43" t="s">
        <v>1887</v>
      </c>
      <c r="E137" s="38">
        <v>65.021315605095495</v>
      </c>
      <c r="F137" s="38">
        <v>65.021315605095495</v>
      </c>
      <c r="G137" s="38">
        <v>99</v>
      </c>
      <c r="H137" s="23" t="s">
        <v>1736</v>
      </c>
      <c r="I137" s="20" t="s">
        <v>1737</v>
      </c>
      <c r="L137" s="25"/>
      <c r="M137" s="25"/>
      <c r="N137" s="25"/>
    </row>
    <row r="138" spans="1:14" ht="14.5">
      <c r="A138" s="20">
        <v>135</v>
      </c>
      <c r="B138" s="35" t="s">
        <v>1022</v>
      </c>
      <c r="C138" s="44" t="s">
        <v>1888</v>
      </c>
      <c r="D138" s="43" t="s">
        <v>1889</v>
      </c>
      <c r="E138" s="38">
        <v>64.020868874868597</v>
      </c>
      <c r="F138" s="38">
        <v>64.020868874868597</v>
      </c>
      <c r="G138" s="38">
        <v>99</v>
      </c>
      <c r="H138" s="23" t="s">
        <v>1736</v>
      </c>
      <c r="I138" s="20" t="s">
        <v>1737</v>
      </c>
      <c r="L138" s="25"/>
      <c r="M138" s="25"/>
      <c r="N138" s="25"/>
    </row>
    <row r="139" spans="1:14" ht="14.5">
      <c r="A139" s="20">
        <v>136</v>
      </c>
      <c r="B139" s="35" t="s">
        <v>1022</v>
      </c>
      <c r="C139" s="44" t="s">
        <v>1890</v>
      </c>
      <c r="D139" s="43" t="s">
        <v>1891</v>
      </c>
      <c r="E139" s="45">
        <v>18</v>
      </c>
      <c r="F139" s="45">
        <v>18</v>
      </c>
      <c r="G139" s="24">
        <v>25</v>
      </c>
      <c r="H139" s="23" t="s">
        <v>1736</v>
      </c>
      <c r="I139" s="20" t="s">
        <v>1737</v>
      </c>
    </row>
    <row r="140" spans="1:14" ht="14.5">
      <c r="A140" s="20">
        <v>137</v>
      </c>
      <c r="B140" s="35" t="s">
        <v>1022</v>
      </c>
      <c r="C140" s="44" t="s">
        <v>1892</v>
      </c>
      <c r="D140" s="43" t="s">
        <v>1893</v>
      </c>
      <c r="E140" s="45">
        <v>8.3000000000000007</v>
      </c>
      <c r="F140" s="45">
        <v>8.3000000000000007</v>
      </c>
      <c r="G140" s="24">
        <v>15</v>
      </c>
      <c r="H140" s="23" t="s">
        <v>1736</v>
      </c>
      <c r="I140" s="20" t="s">
        <v>1737</v>
      </c>
    </row>
    <row r="141" spans="1:14" ht="14.5">
      <c r="A141" s="20">
        <v>138</v>
      </c>
      <c r="B141" s="35" t="s">
        <v>1022</v>
      </c>
      <c r="C141" s="44" t="s">
        <v>1894</v>
      </c>
      <c r="D141" s="43" t="s">
        <v>1895</v>
      </c>
      <c r="E141" s="45">
        <v>6.5</v>
      </c>
      <c r="F141" s="45">
        <v>6.5</v>
      </c>
      <c r="G141" s="24">
        <v>12</v>
      </c>
      <c r="H141" s="23" t="s">
        <v>1736</v>
      </c>
      <c r="I141" s="20" t="s">
        <v>1737</v>
      </c>
    </row>
    <row r="142" spans="1:14" ht="14.5">
      <c r="A142" s="20">
        <v>139</v>
      </c>
      <c r="B142" s="35" t="s">
        <v>1022</v>
      </c>
      <c r="C142" s="44" t="s">
        <v>1896</v>
      </c>
      <c r="D142" s="43" t="s">
        <v>1897</v>
      </c>
      <c r="E142" s="45">
        <v>6.3</v>
      </c>
      <c r="F142" s="45">
        <v>6.3</v>
      </c>
      <c r="G142" s="24">
        <v>12</v>
      </c>
      <c r="H142" s="23" t="s">
        <v>1736</v>
      </c>
      <c r="I142" s="20" t="s">
        <v>1737</v>
      </c>
    </row>
    <row r="143" spans="1:14" ht="14.5">
      <c r="A143" s="20">
        <v>140</v>
      </c>
      <c r="B143" s="35" t="s">
        <v>1022</v>
      </c>
      <c r="C143" s="44" t="s">
        <v>1898</v>
      </c>
      <c r="D143" s="43" t="s">
        <v>1899</v>
      </c>
      <c r="E143" s="45">
        <v>6.3</v>
      </c>
      <c r="F143" s="45">
        <v>6.3</v>
      </c>
      <c r="G143" s="24">
        <v>12</v>
      </c>
      <c r="H143" s="23" t="s">
        <v>1736</v>
      </c>
      <c r="I143" s="20" t="s">
        <v>1737</v>
      </c>
    </row>
    <row r="144" spans="1:14" ht="14.5">
      <c r="A144" s="20">
        <v>141</v>
      </c>
      <c r="B144" s="35" t="s">
        <v>1022</v>
      </c>
      <c r="C144" s="44" t="s">
        <v>1900</v>
      </c>
      <c r="D144" s="43" t="s">
        <v>1901</v>
      </c>
      <c r="E144" s="45">
        <v>8.8000000000000007</v>
      </c>
      <c r="F144" s="45">
        <v>8.8000000000000007</v>
      </c>
      <c r="G144" s="24">
        <v>12</v>
      </c>
      <c r="H144" s="23" t="s">
        <v>1736</v>
      </c>
      <c r="I144" s="20" t="s">
        <v>1737</v>
      </c>
    </row>
    <row r="145" spans="1:9" ht="14.5">
      <c r="A145" s="20">
        <v>142</v>
      </c>
      <c r="B145" s="35" t="s">
        <v>1022</v>
      </c>
      <c r="C145" s="44" t="s">
        <v>1902</v>
      </c>
      <c r="D145" s="43" t="s">
        <v>1903</v>
      </c>
      <c r="E145" s="45">
        <v>6.3</v>
      </c>
      <c r="F145" s="45">
        <v>6.3</v>
      </c>
      <c r="G145" s="24">
        <v>12</v>
      </c>
      <c r="H145" s="23" t="s">
        <v>1736</v>
      </c>
      <c r="I145" s="20" t="s">
        <v>1737</v>
      </c>
    </row>
    <row r="146" spans="1:9" ht="14.5">
      <c r="A146" s="20">
        <v>143</v>
      </c>
      <c r="B146" s="35" t="s">
        <v>1022</v>
      </c>
      <c r="C146" s="44" t="s">
        <v>1904</v>
      </c>
      <c r="D146" s="43" t="s">
        <v>1905</v>
      </c>
      <c r="E146" s="45">
        <v>7.55</v>
      </c>
      <c r="F146" s="45">
        <v>7.55</v>
      </c>
      <c r="G146" s="24">
        <v>15</v>
      </c>
      <c r="H146" s="23" t="s">
        <v>1736</v>
      </c>
      <c r="I146" s="20" t="s">
        <v>1737</v>
      </c>
    </row>
    <row r="147" spans="1:9" ht="14.5">
      <c r="A147" s="20">
        <v>144</v>
      </c>
      <c r="B147" s="35" t="s">
        <v>1022</v>
      </c>
      <c r="C147" s="44" t="s">
        <v>1906</v>
      </c>
      <c r="D147" s="43" t="s">
        <v>1907</v>
      </c>
      <c r="E147" s="45">
        <v>18.3</v>
      </c>
      <c r="F147" s="45">
        <v>18.3</v>
      </c>
      <c r="G147" s="24">
        <v>25</v>
      </c>
      <c r="H147" s="23" t="s">
        <v>1736</v>
      </c>
      <c r="I147" s="20" t="s">
        <v>1737</v>
      </c>
    </row>
    <row r="148" spans="1:9" ht="14.5">
      <c r="A148" s="20">
        <v>145</v>
      </c>
      <c r="B148" s="46" t="s">
        <v>1022</v>
      </c>
      <c r="C148" s="47" t="s">
        <v>1908</v>
      </c>
      <c r="D148" s="48" t="s">
        <v>1909</v>
      </c>
      <c r="E148" s="49">
        <v>14</v>
      </c>
      <c r="F148" s="49">
        <v>14</v>
      </c>
      <c r="G148" s="50">
        <v>19</v>
      </c>
      <c r="H148" s="29" t="s">
        <v>1736</v>
      </c>
      <c r="I148" s="26" t="s">
        <v>1737</v>
      </c>
    </row>
    <row r="149" spans="1:9" ht="14.5">
      <c r="A149" s="20">
        <v>146</v>
      </c>
      <c r="B149" s="30" t="s">
        <v>1022</v>
      </c>
      <c r="C149" s="44" t="s">
        <v>1910</v>
      </c>
      <c r="D149" s="43" t="s">
        <v>1911</v>
      </c>
      <c r="E149" s="45">
        <v>6.5</v>
      </c>
      <c r="F149" s="45">
        <v>6.5</v>
      </c>
      <c r="G149" s="24">
        <v>12</v>
      </c>
      <c r="H149" s="23" t="s">
        <v>1736</v>
      </c>
      <c r="I149" s="20" t="s">
        <v>1737</v>
      </c>
    </row>
    <row r="150" spans="1:9" ht="14.5">
      <c r="A150" s="20">
        <v>147</v>
      </c>
      <c r="B150" s="30" t="s">
        <v>298</v>
      </c>
      <c r="C150" s="30">
        <v>70727180</v>
      </c>
      <c r="D150" s="51" t="s">
        <v>1912</v>
      </c>
      <c r="E150" s="30">
        <v>9.6</v>
      </c>
      <c r="F150" s="30">
        <v>9.6</v>
      </c>
      <c r="G150" s="30">
        <v>14.9</v>
      </c>
      <c r="H150" s="23" t="s">
        <v>1913</v>
      </c>
      <c r="I150" s="20" t="s">
        <v>1737</v>
      </c>
    </row>
    <row r="151" spans="1:9" ht="14.5">
      <c r="A151" s="20">
        <v>148</v>
      </c>
      <c r="B151" s="30" t="s">
        <v>298</v>
      </c>
      <c r="C151" s="30">
        <v>70727175</v>
      </c>
      <c r="D151" s="51" t="s">
        <v>1914</v>
      </c>
      <c r="E151" s="30">
        <v>9.6</v>
      </c>
      <c r="F151" s="30">
        <v>9.6</v>
      </c>
      <c r="G151" s="30">
        <v>14.9</v>
      </c>
      <c r="H151" s="23" t="s">
        <v>1913</v>
      </c>
      <c r="I151" s="20" t="s">
        <v>1737</v>
      </c>
    </row>
    <row r="152" spans="1:9" ht="14.5">
      <c r="A152" s="20">
        <v>149</v>
      </c>
      <c r="B152" s="30" t="s">
        <v>298</v>
      </c>
      <c r="C152" s="30" t="s">
        <v>1915</v>
      </c>
      <c r="D152" s="51" t="s">
        <v>1916</v>
      </c>
      <c r="E152" s="30">
        <v>12.05</v>
      </c>
      <c r="F152" s="30">
        <v>12.05</v>
      </c>
      <c r="G152" s="30">
        <v>17.899999999999999</v>
      </c>
      <c r="H152" s="23" t="s">
        <v>1913</v>
      </c>
      <c r="I152" s="20" t="s">
        <v>1737</v>
      </c>
    </row>
    <row r="153" spans="1:9" ht="14.5">
      <c r="A153" s="20">
        <v>150</v>
      </c>
      <c r="B153" s="30" t="s">
        <v>298</v>
      </c>
      <c r="C153" s="30" t="s">
        <v>1917</v>
      </c>
      <c r="D153" s="51" t="s">
        <v>1918</v>
      </c>
      <c r="E153" s="30">
        <v>11.96</v>
      </c>
      <c r="F153" s="30">
        <v>11.96</v>
      </c>
      <c r="G153" s="30">
        <v>17.899999999999999</v>
      </c>
      <c r="H153" s="23" t="s">
        <v>1913</v>
      </c>
      <c r="I153" s="20" t="s">
        <v>1737</v>
      </c>
    </row>
    <row r="154" spans="1:9" ht="14.5">
      <c r="A154" s="20">
        <v>151</v>
      </c>
      <c r="B154" s="30" t="s">
        <v>298</v>
      </c>
      <c r="C154" s="30">
        <v>70727176</v>
      </c>
      <c r="D154" s="51" t="s">
        <v>1919</v>
      </c>
      <c r="E154" s="30">
        <v>11.37</v>
      </c>
      <c r="F154" s="30">
        <v>11.37</v>
      </c>
      <c r="G154" s="30">
        <v>16.899999999999999</v>
      </c>
      <c r="H154" s="23" t="s">
        <v>1913</v>
      </c>
      <c r="I154" s="20" t="s">
        <v>1737</v>
      </c>
    </row>
    <row r="155" spans="1:9" ht="14.5">
      <c r="A155" s="20">
        <v>152</v>
      </c>
      <c r="B155" s="30" t="s">
        <v>298</v>
      </c>
      <c r="C155" s="30">
        <v>70727173</v>
      </c>
      <c r="D155" s="51" t="s">
        <v>1920</v>
      </c>
      <c r="E155" s="30">
        <v>11.27</v>
      </c>
      <c r="F155" s="30">
        <v>11.27</v>
      </c>
      <c r="G155" s="30">
        <v>16.899999999999999</v>
      </c>
      <c r="H155" s="23" t="s">
        <v>1913</v>
      </c>
      <c r="I155" s="20" t="s">
        <v>1737</v>
      </c>
    </row>
    <row r="156" spans="1:9" ht="14.5">
      <c r="A156" s="20">
        <v>153</v>
      </c>
      <c r="B156" s="30" t="s">
        <v>298</v>
      </c>
      <c r="C156" s="30">
        <v>70727552</v>
      </c>
      <c r="D156" s="51" t="s">
        <v>1921</v>
      </c>
      <c r="E156" s="30">
        <v>3.43</v>
      </c>
      <c r="F156" s="30">
        <v>3.43</v>
      </c>
      <c r="G156" s="30">
        <v>5.9</v>
      </c>
      <c r="H156" s="23" t="s">
        <v>1913</v>
      </c>
      <c r="I156" s="20" t="s">
        <v>1737</v>
      </c>
    </row>
    <row r="157" spans="1:9" ht="14.5">
      <c r="A157" s="20">
        <v>154</v>
      </c>
      <c r="B157" s="30" t="s">
        <v>298</v>
      </c>
      <c r="C157" s="30">
        <v>70727555</v>
      </c>
      <c r="D157" s="51" t="s">
        <v>1922</v>
      </c>
      <c r="E157" s="30">
        <v>3.43</v>
      </c>
      <c r="F157" s="30">
        <v>3.43</v>
      </c>
      <c r="G157" s="30">
        <v>5.9</v>
      </c>
      <c r="H157" s="23" t="s">
        <v>1913</v>
      </c>
      <c r="I157" s="20" t="s">
        <v>1737</v>
      </c>
    </row>
    <row r="158" spans="1:9" ht="14.5">
      <c r="A158" s="20">
        <v>155</v>
      </c>
      <c r="B158" s="30" t="s">
        <v>298</v>
      </c>
      <c r="C158" s="30">
        <v>70727554</v>
      </c>
      <c r="D158" s="51" t="s">
        <v>1923</v>
      </c>
      <c r="E158" s="30">
        <v>4.21</v>
      </c>
      <c r="F158" s="30">
        <v>4.21</v>
      </c>
      <c r="G158" s="30">
        <v>6.9</v>
      </c>
      <c r="H158" s="23" t="s">
        <v>1913</v>
      </c>
      <c r="I158" s="20" t="s">
        <v>1737</v>
      </c>
    </row>
    <row r="159" spans="1:9" ht="14.5">
      <c r="A159" s="20">
        <v>156</v>
      </c>
      <c r="B159" s="30" t="s">
        <v>298</v>
      </c>
      <c r="C159" s="30">
        <v>70727174</v>
      </c>
      <c r="D159" s="51" t="s">
        <v>1924</v>
      </c>
      <c r="E159" s="30">
        <v>4.21</v>
      </c>
      <c r="F159" s="30">
        <v>4.21</v>
      </c>
      <c r="G159" s="30">
        <v>6.9</v>
      </c>
      <c r="H159" s="23" t="s">
        <v>1913</v>
      </c>
      <c r="I159" s="20" t="s">
        <v>1737</v>
      </c>
    </row>
    <row r="160" spans="1:9" ht="14.5">
      <c r="A160" s="20">
        <v>157</v>
      </c>
      <c r="B160" s="30" t="s">
        <v>298</v>
      </c>
      <c r="C160" s="30">
        <v>70727893</v>
      </c>
      <c r="D160" s="51" t="s">
        <v>1925</v>
      </c>
      <c r="E160" s="30">
        <v>4.0199999999999996</v>
      </c>
      <c r="F160" s="30">
        <v>4.0199999999999996</v>
      </c>
      <c r="G160" s="30">
        <v>6.9</v>
      </c>
      <c r="H160" s="23" t="s">
        <v>1913</v>
      </c>
      <c r="I160" s="20" t="s">
        <v>1737</v>
      </c>
    </row>
    <row r="161" spans="1:9" ht="14.5">
      <c r="A161" s="20">
        <v>158</v>
      </c>
      <c r="B161" s="30" t="s">
        <v>298</v>
      </c>
      <c r="C161" s="30">
        <v>70727875</v>
      </c>
      <c r="D161" s="51" t="s">
        <v>1926</v>
      </c>
      <c r="E161" s="30">
        <v>4.0199999999999996</v>
      </c>
      <c r="F161" s="30">
        <v>4.0199999999999996</v>
      </c>
      <c r="G161" s="30">
        <v>6.9</v>
      </c>
      <c r="H161" s="23" t="s">
        <v>1913</v>
      </c>
      <c r="I161" s="20" t="s">
        <v>1737</v>
      </c>
    </row>
    <row r="162" spans="1:9" ht="14.5">
      <c r="A162" s="20">
        <v>159</v>
      </c>
      <c r="B162" s="30" t="s">
        <v>1022</v>
      </c>
      <c r="C162" s="30">
        <v>70727186</v>
      </c>
      <c r="D162" s="51" t="s">
        <v>1110</v>
      </c>
      <c r="E162" s="30">
        <v>28.1</v>
      </c>
      <c r="F162" s="30">
        <v>28.1</v>
      </c>
      <c r="G162" s="30">
        <v>49</v>
      </c>
      <c r="H162" s="23" t="s">
        <v>1913</v>
      </c>
      <c r="I162" s="20" t="s">
        <v>1737</v>
      </c>
    </row>
    <row r="163" spans="1:9" ht="14.5">
      <c r="A163" s="20">
        <v>160</v>
      </c>
      <c r="B163" s="30" t="s">
        <v>1022</v>
      </c>
      <c r="C163" s="30">
        <v>70727184</v>
      </c>
      <c r="D163" s="51" t="s">
        <v>1112</v>
      </c>
      <c r="E163" s="30">
        <v>23.3</v>
      </c>
      <c r="F163" s="30">
        <v>23.3</v>
      </c>
      <c r="G163" s="30">
        <v>39</v>
      </c>
      <c r="H163" s="23" t="s">
        <v>1913</v>
      </c>
      <c r="I163" s="20" t="s">
        <v>1737</v>
      </c>
    </row>
    <row r="164" spans="1:9" ht="14.5">
      <c r="A164" s="20">
        <v>161</v>
      </c>
      <c r="B164" s="30" t="s">
        <v>1022</v>
      </c>
      <c r="C164" s="30">
        <v>70727852</v>
      </c>
      <c r="D164" s="51" t="s">
        <v>1115</v>
      </c>
      <c r="E164" s="30">
        <v>28.1</v>
      </c>
      <c r="F164" s="30">
        <v>28.1</v>
      </c>
      <c r="G164" s="30">
        <v>50</v>
      </c>
      <c r="H164" s="23" t="s">
        <v>1913</v>
      </c>
      <c r="I164" s="20" t="s">
        <v>1737</v>
      </c>
    </row>
    <row r="165" spans="1:9" ht="14.5">
      <c r="A165" s="20">
        <v>162</v>
      </c>
      <c r="B165" s="30" t="s">
        <v>1022</v>
      </c>
      <c r="C165" s="30">
        <v>70727185</v>
      </c>
      <c r="D165" s="51" t="s">
        <v>1117</v>
      </c>
      <c r="E165" s="30">
        <v>25.2</v>
      </c>
      <c r="F165" s="30">
        <v>25.2</v>
      </c>
      <c r="G165" s="30">
        <v>42</v>
      </c>
      <c r="H165" s="23" t="s">
        <v>1913</v>
      </c>
      <c r="I165" s="20" t="s">
        <v>1737</v>
      </c>
    </row>
    <row r="166" spans="1:9" ht="14.5">
      <c r="A166" s="20">
        <v>163</v>
      </c>
      <c r="B166" s="30" t="s">
        <v>1022</v>
      </c>
      <c r="C166" s="30">
        <v>70727456</v>
      </c>
      <c r="D166" s="51" t="s">
        <v>1119</v>
      </c>
      <c r="E166" s="30">
        <v>37.799999999999997</v>
      </c>
      <c r="F166" s="30">
        <v>37.799999999999997</v>
      </c>
      <c r="G166" s="30">
        <v>62</v>
      </c>
      <c r="H166" s="23" t="s">
        <v>1913</v>
      </c>
      <c r="I166" s="20" t="s">
        <v>1737</v>
      </c>
    </row>
    <row r="167" spans="1:9" ht="14.5">
      <c r="A167" s="20">
        <v>164</v>
      </c>
      <c r="B167" s="30" t="s">
        <v>1022</v>
      </c>
      <c r="C167" s="30">
        <v>70727183</v>
      </c>
      <c r="D167" s="51" t="s">
        <v>1121</v>
      </c>
      <c r="E167" s="30">
        <v>30.1</v>
      </c>
      <c r="F167" s="30">
        <v>30.1</v>
      </c>
      <c r="G167" s="30">
        <v>50</v>
      </c>
      <c r="H167" s="23" t="s">
        <v>1913</v>
      </c>
      <c r="I167" s="20" t="s">
        <v>1737</v>
      </c>
    </row>
    <row r="168" spans="1:9" ht="14.5">
      <c r="A168" s="20">
        <v>165</v>
      </c>
      <c r="B168" s="30" t="s">
        <v>1022</v>
      </c>
      <c r="C168" s="30">
        <v>70727455</v>
      </c>
      <c r="D168" s="51" t="s">
        <v>1123</v>
      </c>
      <c r="E168" s="30">
        <v>11.2</v>
      </c>
      <c r="F168" s="30">
        <v>11.2</v>
      </c>
      <c r="G168" s="30">
        <v>20</v>
      </c>
      <c r="H168" s="23" t="s">
        <v>1913</v>
      </c>
      <c r="I168" s="20" t="s">
        <v>1737</v>
      </c>
    </row>
    <row r="169" spans="1:9" ht="14.5">
      <c r="A169" s="20">
        <v>166</v>
      </c>
      <c r="B169" s="30" t="s">
        <v>1022</v>
      </c>
      <c r="C169" s="30">
        <v>70727556</v>
      </c>
      <c r="D169" s="51" t="s">
        <v>1125</v>
      </c>
      <c r="E169" s="30">
        <v>21.3</v>
      </c>
      <c r="F169" s="30">
        <v>21.3</v>
      </c>
      <c r="G169" s="30">
        <v>36</v>
      </c>
      <c r="H169" s="23" t="s">
        <v>1913</v>
      </c>
      <c r="I169" s="20" t="s">
        <v>1737</v>
      </c>
    </row>
    <row r="170" spans="1:9" ht="14.5">
      <c r="A170" s="20">
        <v>167</v>
      </c>
      <c r="B170" s="30" t="s">
        <v>1022</v>
      </c>
      <c r="C170" s="30">
        <v>70727891</v>
      </c>
      <c r="D170" s="51" t="s">
        <v>1127</v>
      </c>
      <c r="E170" s="30">
        <v>25.2</v>
      </c>
      <c r="F170" s="30">
        <v>25.2</v>
      </c>
      <c r="G170" s="30">
        <v>45</v>
      </c>
      <c r="H170" s="23" t="s">
        <v>1913</v>
      </c>
      <c r="I170" s="20" t="s">
        <v>1737</v>
      </c>
    </row>
    <row r="171" spans="1:9" ht="14.5">
      <c r="A171" s="20">
        <v>168</v>
      </c>
      <c r="B171" s="30" t="s">
        <v>1022</v>
      </c>
      <c r="C171" s="30">
        <v>70727182</v>
      </c>
      <c r="D171" s="51" t="s">
        <v>1129</v>
      </c>
      <c r="E171" s="30">
        <v>16.5</v>
      </c>
      <c r="F171" s="30">
        <v>16.5</v>
      </c>
      <c r="G171" s="30">
        <v>30</v>
      </c>
      <c r="H171" s="23" t="s">
        <v>1913</v>
      </c>
      <c r="I171" s="20" t="s">
        <v>1737</v>
      </c>
    </row>
    <row r="172" spans="1:9" ht="14.5">
      <c r="A172" s="20">
        <v>169</v>
      </c>
      <c r="B172" s="30" t="s">
        <v>1022</v>
      </c>
      <c r="C172" s="30">
        <v>70727311</v>
      </c>
      <c r="D172" s="51" t="s">
        <v>1131</v>
      </c>
      <c r="E172" s="30">
        <v>18.2</v>
      </c>
      <c r="F172" s="30">
        <v>18.2</v>
      </c>
      <c r="G172" s="30">
        <v>34</v>
      </c>
      <c r="H172" s="23" t="s">
        <v>1913</v>
      </c>
      <c r="I172" s="20" t="s">
        <v>1737</v>
      </c>
    </row>
    <row r="173" spans="1:9" ht="14.5">
      <c r="A173" s="20">
        <v>170</v>
      </c>
      <c r="B173" s="30" t="s">
        <v>1022</v>
      </c>
      <c r="C173" s="30">
        <v>70727814</v>
      </c>
      <c r="D173" s="51" t="s">
        <v>1133</v>
      </c>
      <c r="E173" s="30">
        <v>26.2</v>
      </c>
      <c r="F173" s="30">
        <v>26.2</v>
      </c>
      <c r="G173" s="30">
        <v>40</v>
      </c>
      <c r="H173" s="23" t="s">
        <v>1913</v>
      </c>
      <c r="I173" s="20" t="s">
        <v>1737</v>
      </c>
    </row>
    <row r="174" spans="1:9" ht="14.5">
      <c r="A174" s="20">
        <v>171</v>
      </c>
      <c r="B174" s="30" t="s">
        <v>1022</v>
      </c>
      <c r="C174" s="30">
        <v>70727181</v>
      </c>
      <c r="D174" s="51" t="s">
        <v>1135</v>
      </c>
      <c r="E174" s="30">
        <v>22.8</v>
      </c>
      <c r="F174" s="30">
        <v>22.8</v>
      </c>
      <c r="G174" s="30">
        <v>38</v>
      </c>
      <c r="H174" s="23" t="s">
        <v>1913</v>
      </c>
      <c r="I174" s="20" t="s">
        <v>1737</v>
      </c>
    </row>
    <row r="175" spans="1:9">
      <c r="D175" s="52"/>
    </row>
    <row r="176" spans="1:9">
      <c r="D176" s="52"/>
    </row>
    <row r="177" spans="4:4">
      <c r="D177" s="52"/>
    </row>
    <row r="178" spans="4:4">
      <c r="D178" s="52"/>
    </row>
    <row r="179" spans="4:4">
      <c r="D179" s="52"/>
    </row>
  </sheetData>
  <autoFilter ref="A3:N174" xr:uid="{00000000-0009-0000-0000-000007000000}"/>
  <mergeCells count="2">
    <mergeCell ref="A1:B1"/>
    <mergeCell ref="A2:I2"/>
  </mergeCells>
  <phoneticPr fontId="100" type="noConversion"/>
  <conditionalFormatting sqref="C4:C15">
    <cfRule type="duplicateValues" dxfId="5" priority="1"/>
  </conditionalFormatting>
  <conditionalFormatting sqref="C16">
    <cfRule type="duplicateValues" dxfId="4" priority="2"/>
  </conditionalFormatting>
  <conditionalFormatting sqref="C17:C21">
    <cfRule type="duplicateValues" dxfId="3" priority="6"/>
  </conditionalFormatting>
  <conditionalFormatting sqref="C22">
    <cfRule type="duplicateValues" dxfId="2" priority="5"/>
  </conditionalFormatting>
  <conditionalFormatting sqref="C23">
    <cfRule type="duplicateValues" dxfId="1" priority="3"/>
  </conditionalFormatting>
  <conditionalFormatting sqref="C24">
    <cfRule type="duplicateValues" dxfId="0" priority="4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N302"/>
  <sheetViews>
    <sheetView workbookViewId="0">
      <selection activeCell="G18" sqref="G18"/>
    </sheetView>
  </sheetViews>
  <sheetFormatPr defaultColWidth="9" defaultRowHeight="16.5"/>
  <cols>
    <col min="1" max="1" width="12.36328125" style="1" customWidth="1"/>
    <col min="2" max="2" width="5.26953125" style="2" customWidth="1"/>
    <col min="3" max="3" width="8.81640625" style="2" customWidth="1"/>
    <col min="4" max="4" width="25.36328125" style="2" customWidth="1"/>
    <col min="5" max="5" width="9.26953125" style="2" customWidth="1"/>
    <col min="6" max="6" width="20.453125" style="2" customWidth="1"/>
    <col min="7" max="7" width="19.26953125" style="2" customWidth="1"/>
    <col min="8" max="8" width="15.26953125" style="2" customWidth="1"/>
    <col min="9" max="9" width="10.81640625" style="2" customWidth="1"/>
    <col min="10" max="10" width="14.81640625" style="2" customWidth="1"/>
    <col min="11" max="11" width="42.6328125" style="3" customWidth="1"/>
    <col min="12" max="12" width="9.90625" style="2" customWidth="1"/>
    <col min="13" max="13" width="10.08984375" style="2" customWidth="1"/>
    <col min="14" max="14" width="43.1796875" style="3" customWidth="1"/>
    <col min="15" max="16384" width="9" style="1"/>
  </cols>
  <sheetData>
    <row r="1" spans="1:14" ht="25">
      <c r="A1" s="516" t="s">
        <v>1927</v>
      </c>
      <c r="B1" s="516"/>
      <c r="C1" s="516"/>
      <c r="D1" s="516"/>
      <c r="E1" s="516"/>
      <c r="F1" s="516"/>
      <c r="G1" s="516"/>
      <c r="H1" s="516"/>
      <c r="I1" s="516"/>
      <c r="J1" s="516"/>
      <c r="K1" s="516"/>
      <c r="L1" s="516"/>
      <c r="M1" s="516"/>
      <c r="N1" s="516"/>
    </row>
    <row r="2" spans="1:14" s="2" customFormat="1">
      <c r="A2" s="4" t="s">
        <v>1928</v>
      </c>
      <c r="B2" s="4" t="s">
        <v>104</v>
      </c>
      <c r="C2" s="4" t="s">
        <v>1929</v>
      </c>
      <c r="D2" s="4" t="s">
        <v>1930</v>
      </c>
      <c r="E2" s="4" t="s">
        <v>1931</v>
      </c>
      <c r="F2" s="4" t="s">
        <v>1932</v>
      </c>
      <c r="G2" s="4" t="s">
        <v>1933</v>
      </c>
      <c r="H2" s="4" t="s">
        <v>1934</v>
      </c>
      <c r="I2" s="4" t="s">
        <v>1935</v>
      </c>
      <c r="J2" s="4" t="s">
        <v>1936</v>
      </c>
      <c r="K2" s="4" t="s">
        <v>1937</v>
      </c>
      <c r="L2" s="4" t="s">
        <v>1938</v>
      </c>
      <c r="M2" s="4" t="s">
        <v>1939</v>
      </c>
      <c r="N2" s="4" t="s">
        <v>5</v>
      </c>
    </row>
    <row r="3" spans="1:14">
      <c r="A3" s="515" t="s">
        <v>1940</v>
      </c>
      <c r="B3" s="5">
        <v>1</v>
      </c>
      <c r="C3" s="5" t="s">
        <v>1941</v>
      </c>
      <c r="D3" s="5" t="s">
        <v>1942</v>
      </c>
      <c r="E3" s="5" t="s">
        <v>1943</v>
      </c>
      <c r="F3" s="5" t="s">
        <v>1944</v>
      </c>
      <c r="G3" s="5" t="s">
        <v>1945</v>
      </c>
      <c r="H3" s="5">
        <v>16699596614</v>
      </c>
      <c r="I3" s="5" t="s">
        <v>1941</v>
      </c>
      <c r="J3" s="5" t="s">
        <v>1946</v>
      </c>
      <c r="K3" s="6" t="s">
        <v>1947</v>
      </c>
      <c r="L3" s="7">
        <v>81.297640000000001</v>
      </c>
      <c r="M3" s="7">
        <v>43.945599999999999</v>
      </c>
      <c r="N3" s="6" t="s">
        <v>1948</v>
      </c>
    </row>
    <row r="4" spans="1:14">
      <c r="A4" s="511"/>
      <c r="B4" s="5">
        <v>2</v>
      </c>
      <c r="C4" s="5" t="s">
        <v>1941</v>
      </c>
      <c r="D4" s="5" t="s">
        <v>1949</v>
      </c>
      <c r="E4" s="5" t="s">
        <v>1950</v>
      </c>
      <c r="F4" s="5" t="s">
        <v>1951</v>
      </c>
      <c r="G4" s="5" t="s">
        <v>1952</v>
      </c>
      <c r="H4" s="5">
        <v>15729901601</v>
      </c>
      <c r="I4" s="5" t="s">
        <v>1941</v>
      </c>
      <c r="J4" s="5" t="s">
        <v>1946</v>
      </c>
      <c r="K4" s="6" t="s">
        <v>1953</v>
      </c>
      <c r="L4" s="7">
        <v>81.308344000000005</v>
      </c>
      <c r="M4" s="7">
        <v>43.945208000000001</v>
      </c>
      <c r="N4" s="6" t="s">
        <v>1954</v>
      </c>
    </row>
    <row r="5" spans="1:14">
      <c r="A5" s="511"/>
      <c r="B5" s="5">
        <v>3</v>
      </c>
      <c r="C5" s="5" t="s">
        <v>1941</v>
      </c>
      <c r="D5" s="5" t="s">
        <v>1955</v>
      </c>
      <c r="E5" s="5" t="s">
        <v>1956</v>
      </c>
      <c r="F5" s="5" t="s">
        <v>1957</v>
      </c>
      <c r="G5" s="5" t="s">
        <v>1958</v>
      </c>
      <c r="H5" s="5">
        <v>18999393528</v>
      </c>
      <c r="I5" s="5" t="s">
        <v>1941</v>
      </c>
      <c r="J5" s="5" t="s">
        <v>1946</v>
      </c>
      <c r="K5" s="6" t="s">
        <v>1959</v>
      </c>
      <c r="L5" s="7">
        <v>81.344132999999999</v>
      </c>
      <c r="M5" s="7">
        <v>43.934967</v>
      </c>
      <c r="N5" s="6" t="s">
        <v>1960</v>
      </c>
    </row>
    <row r="6" spans="1:14">
      <c r="A6" s="511"/>
      <c r="B6" s="5">
        <v>4</v>
      </c>
      <c r="C6" s="5" t="s">
        <v>1941</v>
      </c>
      <c r="D6" s="5" t="s">
        <v>1961</v>
      </c>
      <c r="E6" s="5" t="s">
        <v>1962</v>
      </c>
      <c r="F6" s="5" t="s">
        <v>1963</v>
      </c>
      <c r="G6" s="5" t="s">
        <v>1964</v>
      </c>
      <c r="H6" s="5">
        <v>18999393885</v>
      </c>
      <c r="I6" s="5" t="s">
        <v>1941</v>
      </c>
      <c r="J6" s="5" t="s">
        <v>1946</v>
      </c>
      <c r="K6" s="6" t="s">
        <v>1965</v>
      </c>
      <c r="L6" s="7">
        <v>81.358599999999996</v>
      </c>
      <c r="M6" s="7">
        <v>43.890509999999999</v>
      </c>
      <c r="N6" s="6" t="s">
        <v>1966</v>
      </c>
    </row>
    <row r="7" spans="1:14">
      <c r="A7" s="511"/>
      <c r="B7" s="5">
        <v>5</v>
      </c>
      <c r="C7" s="5" t="s">
        <v>1941</v>
      </c>
      <c r="D7" s="5" t="s">
        <v>1967</v>
      </c>
      <c r="E7" s="5" t="s">
        <v>1968</v>
      </c>
      <c r="F7" s="5" t="s">
        <v>1969</v>
      </c>
      <c r="G7" s="5" t="s">
        <v>1970</v>
      </c>
      <c r="H7" s="5">
        <v>13909998002</v>
      </c>
      <c r="I7" s="5" t="s">
        <v>1941</v>
      </c>
      <c r="J7" s="5" t="s">
        <v>1946</v>
      </c>
      <c r="K7" s="6" t="s">
        <v>1971</v>
      </c>
      <c r="L7" s="7">
        <v>81.263909999999996</v>
      </c>
      <c r="M7" s="7">
        <v>43.87697</v>
      </c>
      <c r="N7" s="6" t="s">
        <v>1972</v>
      </c>
    </row>
    <row r="8" spans="1:14">
      <c r="A8" s="511"/>
      <c r="B8" s="5">
        <v>6</v>
      </c>
      <c r="C8" s="5" t="s">
        <v>1941</v>
      </c>
      <c r="D8" s="5" t="s">
        <v>1973</v>
      </c>
      <c r="E8" s="5" t="s">
        <v>1974</v>
      </c>
      <c r="F8" s="5" t="s">
        <v>1975</v>
      </c>
      <c r="G8" s="5" t="s">
        <v>1976</v>
      </c>
      <c r="H8" s="5">
        <v>18809999611</v>
      </c>
      <c r="I8" s="5" t="s">
        <v>1941</v>
      </c>
      <c r="J8" s="5" t="s">
        <v>1946</v>
      </c>
      <c r="K8" s="6" t="s">
        <v>1977</v>
      </c>
      <c r="L8" s="7">
        <v>81.212339999999998</v>
      </c>
      <c r="M8" s="7">
        <v>43.978099999999998</v>
      </c>
      <c r="N8" s="6" t="s">
        <v>1978</v>
      </c>
    </row>
    <row r="9" spans="1:14">
      <c r="A9" s="511"/>
      <c r="B9" s="5">
        <v>7</v>
      </c>
      <c r="C9" s="5" t="s">
        <v>1941</v>
      </c>
      <c r="D9" s="5" t="s">
        <v>1979</v>
      </c>
      <c r="E9" s="5" t="s">
        <v>1980</v>
      </c>
      <c r="F9" s="5" t="s">
        <v>1981</v>
      </c>
      <c r="G9" s="5" t="s">
        <v>1982</v>
      </c>
      <c r="H9" s="5">
        <v>17881750880</v>
      </c>
      <c r="I9" s="5" t="s">
        <v>1941</v>
      </c>
      <c r="J9" s="5" t="s">
        <v>1983</v>
      </c>
      <c r="K9" s="6" t="s">
        <v>1984</v>
      </c>
      <c r="L9" s="7">
        <v>82.534869999999998</v>
      </c>
      <c r="M9" s="7">
        <v>41.455244999999998</v>
      </c>
      <c r="N9" s="6" t="s">
        <v>1985</v>
      </c>
    </row>
    <row r="10" spans="1:14">
      <c r="A10" s="511"/>
      <c r="B10" s="5">
        <v>8</v>
      </c>
      <c r="C10" s="5" t="s">
        <v>1941</v>
      </c>
      <c r="D10" s="5" t="s">
        <v>1986</v>
      </c>
      <c r="E10" s="5" t="s">
        <v>1987</v>
      </c>
      <c r="F10" s="5" t="s">
        <v>1988</v>
      </c>
      <c r="G10" s="5" t="s">
        <v>1989</v>
      </c>
      <c r="H10" s="5">
        <v>18999393255</v>
      </c>
      <c r="I10" s="5" t="s">
        <v>1941</v>
      </c>
      <c r="J10" s="5" t="s">
        <v>1983</v>
      </c>
      <c r="K10" s="6" t="s">
        <v>1990</v>
      </c>
      <c r="L10" s="7">
        <v>83.944599999999994</v>
      </c>
      <c r="M10" s="7">
        <v>43.394069999999999</v>
      </c>
      <c r="N10" s="6" t="s">
        <v>1991</v>
      </c>
    </row>
    <row r="11" spans="1:14">
      <c r="A11" s="511"/>
      <c r="B11" s="5">
        <v>9</v>
      </c>
      <c r="C11" s="5" t="s">
        <v>1941</v>
      </c>
      <c r="D11" s="5" t="s">
        <v>1992</v>
      </c>
      <c r="E11" s="5" t="s">
        <v>1993</v>
      </c>
      <c r="F11" s="5" t="s">
        <v>1994</v>
      </c>
      <c r="G11" s="5" t="s">
        <v>1995</v>
      </c>
      <c r="H11" s="5">
        <v>18999393292</v>
      </c>
      <c r="I11" s="5" t="s">
        <v>1941</v>
      </c>
      <c r="J11" s="5" t="s">
        <v>1983</v>
      </c>
      <c r="K11" s="6" t="s">
        <v>1996</v>
      </c>
      <c r="L11" s="7">
        <v>83.944370000000006</v>
      </c>
      <c r="M11" s="7">
        <v>43.391359999999999</v>
      </c>
      <c r="N11" s="6" t="s">
        <v>1997</v>
      </c>
    </row>
    <row r="12" spans="1:14">
      <c r="A12" s="511"/>
      <c r="B12" s="5">
        <v>10</v>
      </c>
      <c r="C12" s="5" t="s">
        <v>1941</v>
      </c>
      <c r="D12" s="5" t="s">
        <v>1998</v>
      </c>
      <c r="E12" s="5" t="s">
        <v>1999</v>
      </c>
      <c r="F12" s="5" t="s">
        <v>2000</v>
      </c>
      <c r="G12" s="5" t="s">
        <v>2001</v>
      </c>
      <c r="H12" s="5">
        <v>15099582350</v>
      </c>
      <c r="I12" s="5" t="s">
        <v>1941</v>
      </c>
      <c r="J12" s="5" t="s">
        <v>1983</v>
      </c>
      <c r="K12" s="6" t="s">
        <v>2002</v>
      </c>
      <c r="L12" s="7">
        <v>83.261241999999996</v>
      </c>
      <c r="M12" s="7">
        <v>43.421576000000002</v>
      </c>
      <c r="N12" s="6" t="s">
        <v>2003</v>
      </c>
    </row>
    <row r="13" spans="1:14">
      <c r="A13" s="511"/>
      <c r="B13" s="5">
        <v>11</v>
      </c>
      <c r="C13" s="5" t="s">
        <v>1941</v>
      </c>
      <c r="D13" s="5" t="s">
        <v>2004</v>
      </c>
      <c r="E13" s="5" t="s">
        <v>2005</v>
      </c>
      <c r="F13" s="5" t="s">
        <v>2006</v>
      </c>
      <c r="G13" s="5" t="s">
        <v>2007</v>
      </c>
      <c r="H13" s="5">
        <v>18999393262</v>
      </c>
      <c r="I13" s="5" t="s">
        <v>1941</v>
      </c>
      <c r="J13" s="5" t="s">
        <v>1983</v>
      </c>
      <c r="K13" s="6" t="s">
        <v>2008</v>
      </c>
      <c r="L13" s="7">
        <v>83.316666999999995</v>
      </c>
      <c r="M13" s="7">
        <v>43.425866999999997</v>
      </c>
      <c r="N13" s="6" t="s">
        <v>2009</v>
      </c>
    </row>
    <row r="14" spans="1:14">
      <c r="A14" s="511"/>
      <c r="B14" s="5">
        <v>12</v>
      </c>
      <c r="C14" s="5" t="s">
        <v>1941</v>
      </c>
      <c r="D14" s="5" t="s">
        <v>2010</v>
      </c>
      <c r="E14" s="5" t="s">
        <v>2011</v>
      </c>
      <c r="F14" s="5" t="s">
        <v>2012</v>
      </c>
      <c r="G14" s="5" t="s">
        <v>2013</v>
      </c>
      <c r="H14" s="5">
        <v>13779102286</v>
      </c>
      <c r="I14" s="5" t="s">
        <v>1941</v>
      </c>
      <c r="J14" s="5" t="s">
        <v>1983</v>
      </c>
      <c r="K14" s="6" t="s">
        <v>2014</v>
      </c>
      <c r="L14" s="7">
        <v>83.753585000000001</v>
      </c>
      <c r="M14" s="7">
        <v>43.423802999999999</v>
      </c>
      <c r="N14" s="6" t="s">
        <v>2015</v>
      </c>
    </row>
    <row r="15" spans="1:14">
      <c r="A15" s="511"/>
      <c r="B15" s="5">
        <v>13</v>
      </c>
      <c r="C15" s="5" t="s">
        <v>1941</v>
      </c>
      <c r="D15" s="5" t="s">
        <v>2016</v>
      </c>
      <c r="E15" s="5" t="s">
        <v>2017</v>
      </c>
      <c r="F15" s="5" t="s">
        <v>2018</v>
      </c>
      <c r="G15" s="5" t="s">
        <v>2019</v>
      </c>
      <c r="H15" s="5">
        <v>15276381590</v>
      </c>
      <c r="I15" s="5" t="s">
        <v>1941</v>
      </c>
      <c r="J15" s="5" t="s">
        <v>1983</v>
      </c>
      <c r="K15" s="6" t="s">
        <v>2020</v>
      </c>
      <c r="L15" s="7">
        <v>83.270557999999994</v>
      </c>
      <c r="M15" s="7">
        <v>43.544043000000002</v>
      </c>
      <c r="N15" s="6" t="s">
        <v>2021</v>
      </c>
    </row>
    <row r="16" spans="1:14">
      <c r="A16" s="511"/>
      <c r="B16" s="5">
        <v>14</v>
      </c>
      <c r="C16" s="5" t="s">
        <v>1941</v>
      </c>
      <c r="D16" s="5" t="s">
        <v>2022</v>
      </c>
      <c r="E16" s="5" t="s">
        <v>2023</v>
      </c>
      <c r="F16" s="5" t="s">
        <v>2024</v>
      </c>
      <c r="G16" s="5" t="s">
        <v>2025</v>
      </c>
      <c r="H16" s="5">
        <v>13565203173</v>
      </c>
      <c r="I16" s="5" t="s">
        <v>1941</v>
      </c>
      <c r="J16" s="5" t="s">
        <v>2026</v>
      </c>
      <c r="K16" s="6" t="s">
        <v>2027</v>
      </c>
      <c r="L16" s="7">
        <v>81.918704000000005</v>
      </c>
      <c r="M16" s="7">
        <v>43.585059999999999</v>
      </c>
      <c r="N16" s="6" t="s">
        <v>2028</v>
      </c>
    </row>
    <row r="17" spans="1:14">
      <c r="A17" s="511"/>
      <c r="B17" s="5">
        <v>15</v>
      </c>
      <c r="C17" s="5" t="s">
        <v>1941</v>
      </c>
      <c r="D17" s="5" t="s">
        <v>2029</v>
      </c>
      <c r="E17" s="5" t="s">
        <v>2030</v>
      </c>
      <c r="F17" s="5" t="s">
        <v>2031</v>
      </c>
      <c r="G17" s="5" t="s">
        <v>2032</v>
      </c>
      <c r="H17" s="5">
        <v>17690335131</v>
      </c>
      <c r="I17" s="5" t="s">
        <v>1941</v>
      </c>
      <c r="J17" s="5" t="s">
        <v>2026</v>
      </c>
      <c r="K17" s="6" t="s">
        <v>2033</v>
      </c>
      <c r="L17" s="7">
        <v>82.293208000000007</v>
      </c>
      <c r="M17" s="7">
        <v>43.484499</v>
      </c>
      <c r="N17" s="6" t="s">
        <v>2034</v>
      </c>
    </row>
    <row r="18" spans="1:14">
      <c r="A18" s="511"/>
      <c r="B18" s="5">
        <v>16</v>
      </c>
      <c r="C18" s="5" t="s">
        <v>1941</v>
      </c>
      <c r="D18" s="5" t="s">
        <v>2035</v>
      </c>
      <c r="E18" s="5" t="s">
        <v>2036</v>
      </c>
      <c r="F18" s="5" t="s">
        <v>2037</v>
      </c>
      <c r="G18" s="5" t="s">
        <v>2038</v>
      </c>
      <c r="H18" s="5">
        <v>13094069405</v>
      </c>
      <c r="I18" s="5" t="s">
        <v>1941</v>
      </c>
      <c r="J18" s="5" t="s">
        <v>2026</v>
      </c>
      <c r="K18" s="6" t="s">
        <v>2039</v>
      </c>
      <c r="L18" s="7">
        <v>82.151852000000005</v>
      </c>
      <c r="M18" s="7">
        <v>43.475326000000003</v>
      </c>
      <c r="N18" s="6" t="s">
        <v>2040</v>
      </c>
    </row>
    <row r="19" spans="1:14">
      <c r="A19" s="511"/>
      <c r="B19" s="5">
        <v>17</v>
      </c>
      <c r="C19" s="5" t="s">
        <v>1941</v>
      </c>
      <c r="D19" s="5" t="s">
        <v>2041</v>
      </c>
      <c r="E19" s="5" t="s">
        <v>2042</v>
      </c>
      <c r="F19" s="5" t="s">
        <v>2043</v>
      </c>
      <c r="G19" s="5" t="s">
        <v>2044</v>
      </c>
      <c r="H19" s="5">
        <v>15309993559</v>
      </c>
      <c r="I19" s="5" t="s">
        <v>1941</v>
      </c>
      <c r="J19" s="5" t="s">
        <v>2045</v>
      </c>
      <c r="K19" s="6" t="s">
        <v>2046</v>
      </c>
      <c r="L19" s="7">
        <v>83.000504000000006</v>
      </c>
      <c r="M19" s="7">
        <v>41.958531000000001</v>
      </c>
      <c r="N19" s="6" t="s">
        <v>2047</v>
      </c>
    </row>
    <row r="20" spans="1:14">
      <c r="A20" s="511"/>
      <c r="B20" s="5">
        <v>18</v>
      </c>
      <c r="C20" s="5" t="s">
        <v>1941</v>
      </c>
      <c r="D20" s="5" t="s">
        <v>2048</v>
      </c>
      <c r="E20" s="5" t="s">
        <v>2049</v>
      </c>
      <c r="F20" s="5" t="s">
        <v>2050</v>
      </c>
      <c r="G20" s="5" t="s">
        <v>2051</v>
      </c>
      <c r="H20" s="5">
        <v>13679914648</v>
      </c>
      <c r="I20" s="5" t="s">
        <v>1941</v>
      </c>
      <c r="J20" s="5" t="s">
        <v>2045</v>
      </c>
      <c r="K20" s="6" t="s">
        <v>2052</v>
      </c>
      <c r="L20" s="7">
        <v>83.334587999999997</v>
      </c>
      <c r="M20" s="7">
        <v>43.761038999999997</v>
      </c>
      <c r="N20" s="6" t="s">
        <v>2053</v>
      </c>
    </row>
    <row r="21" spans="1:14">
      <c r="A21" s="511"/>
      <c r="B21" s="5">
        <v>19</v>
      </c>
      <c r="C21" s="5" t="s">
        <v>1941</v>
      </c>
      <c r="D21" s="5" t="s">
        <v>2054</v>
      </c>
      <c r="E21" s="5" t="s">
        <v>2055</v>
      </c>
      <c r="F21" s="5" t="s">
        <v>2056</v>
      </c>
      <c r="G21" s="5" t="s">
        <v>2057</v>
      </c>
      <c r="H21" s="5">
        <v>19146660376</v>
      </c>
      <c r="I21" s="5" t="s">
        <v>1941</v>
      </c>
      <c r="J21" s="5" t="s">
        <v>2045</v>
      </c>
      <c r="K21" s="6" t="s">
        <v>2058</v>
      </c>
      <c r="L21" s="7">
        <v>82.247026000000005</v>
      </c>
      <c r="M21" s="7">
        <v>43.852587999999997</v>
      </c>
      <c r="N21" s="6" t="s">
        <v>2059</v>
      </c>
    </row>
    <row r="22" spans="1:14">
      <c r="A22" s="511"/>
      <c r="B22" s="5">
        <v>20</v>
      </c>
      <c r="C22" s="5" t="s">
        <v>1941</v>
      </c>
      <c r="D22" s="5" t="s">
        <v>2060</v>
      </c>
      <c r="E22" s="5" t="s">
        <v>2061</v>
      </c>
      <c r="F22" s="5" t="s">
        <v>2062</v>
      </c>
      <c r="G22" s="5" t="s">
        <v>2063</v>
      </c>
      <c r="H22" s="5">
        <v>18194933096</v>
      </c>
      <c r="I22" s="5" t="s">
        <v>1941</v>
      </c>
      <c r="J22" s="5" t="s">
        <v>2045</v>
      </c>
      <c r="K22" s="6" t="s">
        <v>2064</v>
      </c>
      <c r="L22" s="7">
        <v>82.247069999999994</v>
      </c>
      <c r="M22" s="7">
        <v>43.850749999999998</v>
      </c>
      <c r="N22" s="6" t="s">
        <v>2059</v>
      </c>
    </row>
    <row r="23" spans="1:14">
      <c r="A23" s="511"/>
      <c r="B23" s="5">
        <v>21</v>
      </c>
      <c r="C23" s="5" t="s">
        <v>1941</v>
      </c>
      <c r="D23" s="5" t="s">
        <v>2065</v>
      </c>
      <c r="E23" s="5" t="s">
        <v>2066</v>
      </c>
      <c r="F23" s="5" t="s">
        <v>2067</v>
      </c>
      <c r="G23" s="5" t="s">
        <v>2068</v>
      </c>
      <c r="H23" s="5">
        <v>13319729056</v>
      </c>
      <c r="I23" s="5" t="s">
        <v>1941</v>
      </c>
      <c r="J23" s="5" t="s">
        <v>2045</v>
      </c>
      <c r="K23" s="6" t="s">
        <v>2069</v>
      </c>
      <c r="L23" s="7">
        <v>82.837530000000001</v>
      </c>
      <c r="M23" s="7">
        <v>43.831719999999997</v>
      </c>
      <c r="N23" s="6" t="s">
        <v>2070</v>
      </c>
    </row>
    <row r="24" spans="1:14">
      <c r="A24" s="511"/>
      <c r="B24" s="5">
        <v>22</v>
      </c>
      <c r="C24" s="5" t="s">
        <v>1941</v>
      </c>
      <c r="D24" s="5" t="s">
        <v>2048</v>
      </c>
      <c r="E24" s="5" t="s">
        <v>2049</v>
      </c>
      <c r="F24" s="5" t="s">
        <v>2050</v>
      </c>
      <c r="G24" s="5" t="s">
        <v>2071</v>
      </c>
      <c r="H24" s="5">
        <v>18999379968</v>
      </c>
      <c r="I24" s="5" t="s">
        <v>1941</v>
      </c>
      <c r="J24" s="5" t="s">
        <v>2045</v>
      </c>
      <c r="K24" s="6" t="s">
        <v>2072</v>
      </c>
      <c r="L24" s="7">
        <v>83.334587999999997</v>
      </c>
      <c r="M24" s="7">
        <v>43.761038999999997</v>
      </c>
      <c r="N24" s="6" t="s">
        <v>2073</v>
      </c>
    </row>
    <row r="25" spans="1:14">
      <c r="A25" s="511"/>
      <c r="B25" s="5">
        <v>23</v>
      </c>
      <c r="C25" s="5" t="s">
        <v>1941</v>
      </c>
      <c r="D25" s="5" t="s">
        <v>2074</v>
      </c>
      <c r="E25" s="5" t="s">
        <v>2075</v>
      </c>
      <c r="F25" s="5" t="s">
        <v>2076</v>
      </c>
      <c r="G25" s="5" t="s">
        <v>2077</v>
      </c>
      <c r="H25" s="5">
        <v>18094941616</v>
      </c>
      <c r="I25" s="5" t="s">
        <v>1941</v>
      </c>
      <c r="J25" s="5" t="s">
        <v>2045</v>
      </c>
      <c r="K25" s="6" t="s">
        <v>2078</v>
      </c>
      <c r="L25" s="7">
        <v>82.535321999999994</v>
      </c>
      <c r="M25" s="7">
        <v>43.801178</v>
      </c>
      <c r="N25" s="6" t="s">
        <v>2079</v>
      </c>
    </row>
    <row r="26" spans="1:14">
      <c r="A26" s="511"/>
      <c r="B26" s="5">
        <v>24</v>
      </c>
      <c r="C26" s="5" t="s">
        <v>1941</v>
      </c>
      <c r="D26" s="5" t="s">
        <v>2080</v>
      </c>
      <c r="E26" s="5" t="s">
        <v>2081</v>
      </c>
      <c r="F26" s="5" t="s">
        <v>2082</v>
      </c>
      <c r="G26" s="5" t="s">
        <v>2083</v>
      </c>
      <c r="H26" s="5">
        <v>18999393753</v>
      </c>
      <c r="I26" s="5" t="s">
        <v>1941</v>
      </c>
      <c r="J26" s="5" t="s">
        <v>2045</v>
      </c>
      <c r="K26" s="6" t="s">
        <v>2084</v>
      </c>
      <c r="L26" s="7">
        <v>82.476249999999993</v>
      </c>
      <c r="M26" s="7">
        <v>43.816090000000003</v>
      </c>
      <c r="N26" s="6" t="s">
        <v>2085</v>
      </c>
    </row>
    <row r="27" spans="1:14">
      <c r="A27" s="511"/>
      <c r="B27" s="5">
        <v>25</v>
      </c>
      <c r="C27" s="5" t="s">
        <v>1941</v>
      </c>
      <c r="D27" s="5" t="s">
        <v>2086</v>
      </c>
      <c r="E27" s="5" t="s">
        <v>2087</v>
      </c>
      <c r="F27" s="5" t="s">
        <v>2088</v>
      </c>
      <c r="G27" s="5" t="s">
        <v>2089</v>
      </c>
      <c r="H27" s="5">
        <v>18699903938</v>
      </c>
      <c r="I27" s="5" t="s">
        <v>1941</v>
      </c>
      <c r="J27" s="5" t="s">
        <v>2090</v>
      </c>
      <c r="K27" s="6" t="s">
        <v>2091</v>
      </c>
      <c r="L27" s="7">
        <v>80.879799000000006</v>
      </c>
      <c r="M27" s="7">
        <v>44.030306000000003</v>
      </c>
      <c r="N27" s="6" t="s">
        <v>2092</v>
      </c>
    </row>
    <row r="28" spans="1:14">
      <c r="A28" s="511"/>
      <c r="B28" s="5">
        <v>26</v>
      </c>
      <c r="C28" s="5" t="s">
        <v>1941</v>
      </c>
      <c r="D28" s="5" t="s">
        <v>2093</v>
      </c>
      <c r="E28" s="5" t="s">
        <v>2094</v>
      </c>
      <c r="F28" s="5" t="s">
        <v>2095</v>
      </c>
      <c r="G28" s="5" t="s">
        <v>2096</v>
      </c>
      <c r="H28" s="5">
        <v>18196985510</v>
      </c>
      <c r="I28" s="5" t="s">
        <v>1941</v>
      </c>
      <c r="J28" s="5" t="s">
        <v>2090</v>
      </c>
      <c r="K28" s="6" t="s">
        <v>2097</v>
      </c>
      <c r="L28" s="7">
        <v>80.778926999999996</v>
      </c>
      <c r="M28" s="7">
        <v>44.206648000000001</v>
      </c>
      <c r="N28" s="6" t="s">
        <v>2098</v>
      </c>
    </row>
    <row r="29" spans="1:14">
      <c r="A29" s="511"/>
      <c r="B29" s="5">
        <v>27</v>
      </c>
      <c r="C29" s="5" t="s">
        <v>1941</v>
      </c>
      <c r="D29" s="5" t="s">
        <v>2099</v>
      </c>
      <c r="E29" s="5" t="s">
        <v>2100</v>
      </c>
      <c r="F29" s="5" t="s">
        <v>2101</v>
      </c>
      <c r="G29" s="5" t="s">
        <v>2102</v>
      </c>
      <c r="H29" s="5">
        <v>13364800636</v>
      </c>
      <c r="I29" s="5" t="s">
        <v>1941</v>
      </c>
      <c r="J29" s="5" t="s">
        <v>2090</v>
      </c>
      <c r="K29" s="6" t="s">
        <v>2103</v>
      </c>
      <c r="L29" s="7">
        <v>80.758176000000006</v>
      </c>
      <c r="M29" s="7">
        <v>44.180407000000002</v>
      </c>
      <c r="N29" s="6" t="s">
        <v>2104</v>
      </c>
    </row>
    <row r="30" spans="1:14">
      <c r="A30" s="511"/>
      <c r="B30" s="5">
        <v>28</v>
      </c>
      <c r="C30" s="5" t="s">
        <v>1941</v>
      </c>
      <c r="D30" s="5" t="s">
        <v>2105</v>
      </c>
      <c r="E30" s="5" t="s">
        <v>2106</v>
      </c>
      <c r="F30" s="5" t="s">
        <v>2107</v>
      </c>
      <c r="G30" s="5" t="s">
        <v>2108</v>
      </c>
      <c r="H30" s="5">
        <v>15609993656</v>
      </c>
      <c r="I30" s="5" t="s">
        <v>1941</v>
      </c>
      <c r="J30" s="5" t="s">
        <v>2090</v>
      </c>
      <c r="K30" s="6" t="s">
        <v>2109</v>
      </c>
      <c r="L30" s="7">
        <v>80.426271</v>
      </c>
      <c r="M30" s="7">
        <v>44.204692000000001</v>
      </c>
      <c r="N30" s="6" t="s">
        <v>2110</v>
      </c>
    </row>
    <row r="31" spans="1:14">
      <c r="A31" s="511"/>
      <c r="B31" s="5">
        <v>29</v>
      </c>
      <c r="C31" s="5" t="s">
        <v>1941</v>
      </c>
      <c r="D31" s="5" t="s">
        <v>2111</v>
      </c>
      <c r="E31" s="5" t="s">
        <v>2112</v>
      </c>
      <c r="F31" s="5" t="s">
        <v>2113</v>
      </c>
      <c r="G31" s="5" t="s">
        <v>2114</v>
      </c>
      <c r="H31" s="5">
        <v>13239054683</v>
      </c>
      <c r="I31" s="5" t="s">
        <v>1941</v>
      </c>
      <c r="J31" s="5" t="s">
        <v>2090</v>
      </c>
      <c r="K31" s="6" t="s">
        <v>2115</v>
      </c>
      <c r="L31" s="7">
        <v>80.962756999999996</v>
      </c>
      <c r="M31" s="7">
        <v>44.337356999999997</v>
      </c>
      <c r="N31" s="6" t="s">
        <v>2116</v>
      </c>
    </row>
    <row r="32" spans="1:14">
      <c r="A32" s="511"/>
      <c r="B32" s="5">
        <v>30</v>
      </c>
      <c r="C32" s="5" t="s">
        <v>1941</v>
      </c>
      <c r="D32" s="5" t="s">
        <v>2117</v>
      </c>
      <c r="E32" s="5" t="s">
        <v>2118</v>
      </c>
      <c r="F32" s="5" t="s">
        <v>2119</v>
      </c>
      <c r="G32" s="5" t="s">
        <v>2120</v>
      </c>
      <c r="H32" s="5">
        <v>18999393278</v>
      </c>
      <c r="I32" s="5" t="s">
        <v>1941</v>
      </c>
      <c r="J32" s="5" t="s">
        <v>2090</v>
      </c>
      <c r="K32" s="6" t="s">
        <v>2115</v>
      </c>
      <c r="L32" s="7">
        <v>80.964271999999994</v>
      </c>
      <c r="M32" s="7">
        <v>44.336986000000003</v>
      </c>
      <c r="N32" s="6" t="s">
        <v>2121</v>
      </c>
    </row>
    <row r="33" spans="1:14">
      <c r="A33" s="511"/>
      <c r="B33" s="5">
        <v>31</v>
      </c>
      <c r="C33" s="5" t="s">
        <v>1941</v>
      </c>
      <c r="D33" s="5" t="s">
        <v>2122</v>
      </c>
      <c r="E33" s="5" t="s">
        <v>2123</v>
      </c>
      <c r="F33" s="5" t="s">
        <v>2124</v>
      </c>
      <c r="G33" s="5" t="s">
        <v>2125</v>
      </c>
      <c r="H33" s="5">
        <v>18094946555</v>
      </c>
      <c r="I33" s="5" t="s">
        <v>1941</v>
      </c>
      <c r="J33" s="5" t="s">
        <v>2126</v>
      </c>
      <c r="K33" s="6" t="s">
        <v>2127</v>
      </c>
      <c r="L33" s="7">
        <v>81.190360999999996</v>
      </c>
      <c r="M33" s="7">
        <v>43.851171999999998</v>
      </c>
      <c r="N33" s="6" t="s">
        <v>2128</v>
      </c>
    </row>
    <row r="34" spans="1:14">
      <c r="A34" s="511"/>
      <c r="B34" s="5">
        <v>32</v>
      </c>
      <c r="C34" s="5" t="s">
        <v>1941</v>
      </c>
      <c r="D34" s="5" t="s">
        <v>2129</v>
      </c>
      <c r="E34" s="5" t="s">
        <v>2130</v>
      </c>
      <c r="F34" s="5" t="s">
        <v>2131</v>
      </c>
      <c r="G34" s="5" t="s">
        <v>2132</v>
      </c>
      <c r="H34" s="5">
        <v>18609993959</v>
      </c>
      <c r="I34" s="5" t="s">
        <v>1941</v>
      </c>
      <c r="J34" s="5" t="s">
        <v>2126</v>
      </c>
      <c r="K34" s="6" t="s">
        <v>2133</v>
      </c>
      <c r="L34" s="7">
        <v>81.156374999999997</v>
      </c>
      <c r="M34" s="7">
        <v>43.838093999999998</v>
      </c>
      <c r="N34" s="6" t="s">
        <v>2134</v>
      </c>
    </row>
    <row r="35" spans="1:14">
      <c r="A35" s="511"/>
      <c r="B35" s="5">
        <v>33</v>
      </c>
      <c r="C35" s="5" t="s">
        <v>1941</v>
      </c>
      <c r="D35" s="5" t="s">
        <v>2135</v>
      </c>
      <c r="E35" s="5" t="s">
        <v>2136</v>
      </c>
      <c r="F35" s="5" t="s">
        <v>2137</v>
      </c>
      <c r="G35" s="5" t="s">
        <v>2138</v>
      </c>
      <c r="H35" s="5">
        <v>18999393360</v>
      </c>
      <c r="I35" s="5" t="s">
        <v>1941</v>
      </c>
      <c r="J35" s="5" t="s">
        <v>2126</v>
      </c>
      <c r="K35" s="6" t="s">
        <v>2139</v>
      </c>
      <c r="L35" s="7">
        <v>81.222020000000001</v>
      </c>
      <c r="M35" s="7">
        <v>43.843310000000002</v>
      </c>
      <c r="N35" s="6" t="s">
        <v>2140</v>
      </c>
    </row>
    <row r="36" spans="1:14">
      <c r="A36" s="511"/>
      <c r="B36" s="5">
        <v>34</v>
      </c>
      <c r="C36" s="5" t="s">
        <v>1941</v>
      </c>
      <c r="D36" s="5" t="s">
        <v>2141</v>
      </c>
      <c r="E36" s="5" t="s">
        <v>2142</v>
      </c>
      <c r="F36" s="5" t="s">
        <v>2143</v>
      </c>
      <c r="G36" s="5" t="s">
        <v>2144</v>
      </c>
      <c r="H36" s="5">
        <v>18999373999</v>
      </c>
      <c r="I36" s="5" t="s">
        <v>1941</v>
      </c>
      <c r="J36" s="5" t="s">
        <v>2145</v>
      </c>
      <c r="K36" s="6" t="s">
        <v>2146</v>
      </c>
      <c r="L36" s="7">
        <v>81.110782999999998</v>
      </c>
      <c r="M36" s="7">
        <v>43.154409000000001</v>
      </c>
      <c r="N36" s="6" t="s">
        <v>2147</v>
      </c>
    </row>
    <row r="37" spans="1:14">
      <c r="A37" s="511"/>
      <c r="B37" s="5">
        <v>35</v>
      </c>
      <c r="C37" s="5" t="s">
        <v>1941</v>
      </c>
      <c r="D37" s="5" t="s">
        <v>2148</v>
      </c>
      <c r="E37" s="5" t="s">
        <v>2149</v>
      </c>
      <c r="F37" s="5" t="s">
        <v>2150</v>
      </c>
      <c r="G37" s="5" t="s">
        <v>2151</v>
      </c>
      <c r="H37" s="5">
        <v>18999393286</v>
      </c>
      <c r="I37" s="5" t="s">
        <v>1941</v>
      </c>
      <c r="J37" s="5" t="s">
        <v>2145</v>
      </c>
      <c r="K37" s="6" t="s">
        <v>2152</v>
      </c>
      <c r="L37" s="7">
        <v>81.155631999999997</v>
      </c>
      <c r="M37" s="7">
        <v>43.152157000000003</v>
      </c>
      <c r="N37" s="6" t="s">
        <v>2153</v>
      </c>
    </row>
    <row r="38" spans="1:14">
      <c r="A38" s="511"/>
      <c r="B38" s="5">
        <v>36</v>
      </c>
      <c r="C38" s="5" t="s">
        <v>1941</v>
      </c>
      <c r="D38" s="5" t="s">
        <v>2154</v>
      </c>
      <c r="E38" s="5" t="s">
        <v>2155</v>
      </c>
      <c r="F38" s="5" t="s">
        <v>2062</v>
      </c>
      <c r="G38" s="5" t="s">
        <v>2156</v>
      </c>
      <c r="H38" s="5">
        <v>18999393269</v>
      </c>
      <c r="I38" s="5" t="s">
        <v>1941</v>
      </c>
      <c r="J38" s="5" t="s">
        <v>2145</v>
      </c>
      <c r="K38" s="6" t="s">
        <v>2157</v>
      </c>
      <c r="L38" s="7">
        <v>81.240751000000003</v>
      </c>
      <c r="M38" s="7">
        <v>43.114373000000001</v>
      </c>
      <c r="N38" s="6" t="s">
        <v>2158</v>
      </c>
    </row>
    <row r="39" spans="1:14">
      <c r="A39" s="511"/>
      <c r="B39" s="5">
        <v>37</v>
      </c>
      <c r="C39" s="5" t="s">
        <v>1941</v>
      </c>
      <c r="D39" s="5" t="s">
        <v>2159</v>
      </c>
      <c r="E39" s="5" t="s">
        <v>2160</v>
      </c>
      <c r="F39" s="5" t="s">
        <v>2161</v>
      </c>
      <c r="G39" s="5" t="s">
        <v>2162</v>
      </c>
      <c r="H39" s="5">
        <v>18699930242</v>
      </c>
      <c r="I39" s="5" t="s">
        <v>1941</v>
      </c>
      <c r="J39" s="5" t="s">
        <v>2163</v>
      </c>
      <c r="K39" s="6" t="s">
        <v>2164</v>
      </c>
      <c r="L39" s="7">
        <v>81.829505999999995</v>
      </c>
      <c r="M39" s="7">
        <v>43.240203000000001</v>
      </c>
      <c r="N39" s="6" t="s">
        <v>2165</v>
      </c>
    </row>
    <row r="40" spans="1:14">
      <c r="A40" s="511"/>
      <c r="B40" s="5">
        <v>38</v>
      </c>
      <c r="C40" s="5" t="s">
        <v>1941</v>
      </c>
      <c r="D40" s="5" t="s">
        <v>2166</v>
      </c>
      <c r="E40" s="5" t="s">
        <v>2167</v>
      </c>
      <c r="F40" s="5" t="s">
        <v>2168</v>
      </c>
      <c r="G40" s="5" t="s">
        <v>2169</v>
      </c>
      <c r="H40" s="5">
        <v>18999393879</v>
      </c>
      <c r="I40" s="5" t="s">
        <v>1941</v>
      </c>
      <c r="J40" s="5" t="s">
        <v>2163</v>
      </c>
      <c r="K40" s="6" t="s">
        <v>2170</v>
      </c>
      <c r="L40" s="7">
        <v>81.848127000000005</v>
      </c>
      <c r="M40" s="7">
        <v>43.211267999999997</v>
      </c>
      <c r="N40" s="6" t="s">
        <v>2171</v>
      </c>
    </row>
    <row r="41" spans="1:14">
      <c r="A41" s="511"/>
      <c r="B41" s="5">
        <v>39</v>
      </c>
      <c r="C41" s="5" t="s">
        <v>1941</v>
      </c>
      <c r="D41" s="5" t="s">
        <v>2172</v>
      </c>
      <c r="E41" s="5" t="s">
        <v>2173</v>
      </c>
      <c r="F41" s="5" t="s">
        <v>2174</v>
      </c>
      <c r="G41" s="5" t="s">
        <v>2175</v>
      </c>
      <c r="H41" s="5">
        <v>18699901438</v>
      </c>
      <c r="I41" s="5" t="s">
        <v>1941</v>
      </c>
      <c r="J41" s="5" t="s">
        <v>2163</v>
      </c>
      <c r="K41" s="6" t="s">
        <v>2176</v>
      </c>
      <c r="L41" s="7">
        <v>81.822467000000003</v>
      </c>
      <c r="M41" s="7">
        <v>43.224711999999997</v>
      </c>
      <c r="N41" s="6" t="s">
        <v>2177</v>
      </c>
    </row>
    <row r="42" spans="1:14">
      <c r="A42" s="511"/>
      <c r="B42" s="5">
        <v>40</v>
      </c>
      <c r="C42" s="5" t="s">
        <v>1941</v>
      </c>
      <c r="D42" s="5" t="s">
        <v>2178</v>
      </c>
      <c r="E42" s="5" t="s">
        <v>2179</v>
      </c>
      <c r="F42" s="5" t="s">
        <v>2180</v>
      </c>
      <c r="G42" s="5" t="s">
        <v>2181</v>
      </c>
      <c r="H42" s="5">
        <v>19990935107</v>
      </c>
      <c r="I42" s="5" t="s">
        <v>1941</v>
      </c>
      <c r="J42" s="5" t="s">
        <v>2163</v>
      </c>
      <c r="K42" s="6" t="s">
        <v>2182</v>
      </c>
      <c r="L42" s="7">
        <v>81.819873000000001</v>
      </c>
      <c r="M42" s="7">
        <v>43.225158999999998</v>
      </c>
      <c r="N42" s="6" t="s">
        <v>2177</v>
      </c>
    </row>
    <row r="43" spans="1:14">
      <c r="A43" s="511"/>
      <c r="B43" s="5">
        <v>41</v>
      </c>
      <c r="C43" s="5" t="s">
        <v>1941</v>
      </c>
      <c r="D43" s="5" t="s">
        <v>2183</v>
      </c>
      <c r="E43" s="5" t="s">
        <v>2184</v>
      </c>
      <c r="F43" s="5" t="s">
        <v>2185</v>
      </c>
      <c r="G43" s="5" t="s">
        <v>2186</v>
      </c>
      <c r="H43" s="5">
        <v>18999387668</v>
      </c>
      <c r="I43" s="5" t="s">
        <v>1941</v>
      </c>
      <c r="J43" s="5" t="s">
        <v>2163</v>
      </c>
      <c r="K43" s="6" t="s">
        <v>2187</v>
      </c>
      <c r="L43" s="7">
        <v>81.773989</v>
      </c>
      <c r="M43" s="7">
        <v>43.179836999999999</v>
      </c>
      <c r="N43" s="6" t="s">
        <v>2188</v>
      </c>
    </row>
    <row r="44" spans="1:14">
      <c r="A44" s="511"/>
      <c r="B44" s="5">
        <v>42</v>
      </c>
      <c r="C44" s="5" t="s">
        <v>1941</v>
      </c>
      <c r="D44" s="5" t="s">
        <v>2189</v>
      </c>
      <c r="E44" s="5" t="s">
        <v>2190</v>
      </c>
      <c r="F44" s="5" t="s">
        <v>2191</v>
      </c>
      <c r="G44" s="5" t="s">
        <v>2192</v>
      </c>
      <c r="H44" s="5">
        <v>13139990991</v>
      </c>
      <c r="I44" s="5" t="s">
        <v>1941</v>
      </c>
      <c r="J44" s="5" t="s">
        <v>2163</v>
      </c>
      <c r="K44" s="6" t="s">
        <v>2193</v>
      </c>
      <c r="L44" s="7">
        <v>81.989512000000005</v>
      </c>
      <c r="M44" s="7">
        <v>43.250207000000003</v>
      </c>
      <c r="N44" s="6" t="s">
        <v>2194</v>
      </c>
    </row>
    <row r="45" spans="1:14">
      <c r="A45" s="511"/>
      <c r="B45" s="5">
        <v>43</v>
      </c>
      <c r="C45" s="5" t="s">
        <v>1941</v>
      </c>
      <c r="D45" s="5" t="s">
        <v>2195</v>
      </c>
      <c r="E45" s="5" t="s">
        <v>2196</v>
      </c>
      <c r="F45" s="5" t="s">
        <v>2197</v>
      </c>
      <c r="G45" s="5" t="s">
        <v>2198</v>
      </c>
      <c r="H45" s="5">
        <v>19990933404</v>
      </c>
      <c r="I45" s="5" t="s">
        <v>1941</v>
      </c>
      <c r="J45" s="5" t="s">
        <v>2163</v>
      </c>
      <c r="K45" s="6" t="s">
        <v>2199</v>
      </c>
      <c r="L45" s="7">
        <v>82.247130999999996</v>
      </c>
      <c r="M45" s="7">
        <v>43.239745999999997</v>
      </c>
      <c r="N45" s="6" t="s">
        <v>2200</v>
      </c>
    </row>
    <row r="46" spans="1:14">
      <c r="A46" s="511"/>
      <c r="B46" s="5">
        <v>44</v>
      </c>
      <c r="C46" s="5" t="s">
        <v>1941</v>
      </c>
      <c r="D46" s="5" t="s">
        <v>2201</v>
      </c>
      <c r="E46" s="5" t="s">
        <v>2202</v>
      </c>
      <c r="F46" s="5" t="s">
        <v>2203</v>
      </c>
      <c r="G46" s="5" t="s">
        <v>2204</v>
      </c>
      <c r="H46" s="5">
        <v>13899769199</v>
      </c>
      <c r="I46" s="5" t="s">
        <v>1941</v>
      </c>
      <c r="J46" s="5" t="s">
        <v>2205</v>
      </c>
      <c r="K46" s="6" t="s">
        <v>2206</v>
      </c>
      <c r="L46" s="7">
        <v>81.545505000000006</v>
      </c>
      <c r="M46" s="7">
        <v>43.981105999999997</v>
      </c>
      <c r="N46" s="6" t="s">
        <v>2207</v>
      </c>
    </row>
    <row r="47" spans="1:14">
      <c r="A47" s="512"/>
      <c r="B47" s="5">
        <v>45</v>
      </c>
      <c r="C47" s="5" t="s">
        <v>1941</v>
      </c>
      <c r="D47" s="5" t="s">
        <v>2208</v>
      </c>
      <c r="E47" s="5" t="s">
        <v>2209</v>
      </c>
      <c r="F47" s="5" t="s">
        <v>2210</v>
      </c>
      <c r="G47" s="5" t="s">
        <v>2211</v>
      </c>
      <c r="H47" s="5">
        <v>18999393570</v>
      </c>
      <c r="I47" s="5" t="s">
        <v>1941</v>
      </c>
      <c r="J47" s="5" t="s">
        <v>2205</v>
      </c>
      <c r="K47" s="6" t="s">
        <v>2212</v>
      </c>
      <c r="L47" s="7">
        <v>81.614982999999995</v>
      </c>
      <c r="M47" s="7">
        <v>43.910964999999997</v>
      </c>
      <c r="N47" s="6" t="s">
        <v>2213</v>
      </c>
    </row>
    <row r="48" spans="1:14">
      <c r="A48" s="514" t="s">
        <v>2214</v>
      </c>
      <c r="B48" s="5">
        <v>46</v>
      </c>
      <c r="C48" s="5" t="s">
        <v>2215</v>
      </c>
      <c r="D48" s="5" t="s">
        <v>2216</v>
      </c>
      <c r="E48" s="5" t="s">
        <v>2217</v>
      </c>
      <c r="F48" s="5" t="s">
        <v>2218</v>
      </c>
      <c r="G48" s="5" t="s">
        <v>2219</v>
      </c>
      <c r="H48" s="5">
        <v>13999819387</v>
      </c>
      <c r="I48" s="5" t="s">
        <v>2215</v>
      </c>
      <c r="J48" s="5" t="s">
        <v>2220</v>
      </c>
      <c r="K48" s="6" t="s">
        <v>2221</v>
      </c>
      <c r="L48" s="7">
        <v>87.622467999999998</v>
      </c>
      <c r="M48" s="7">
        <v>43.812733000000001</v>
      </c>
      <c r="N48" s="6" t="s">
        <v>2222</v>
      </c>
    </row>
    <row r="49" spans="1:14">
      <c r="A49" s="514"/>
      <c r="B49" s="5">
        <v>47</v>
      </c>
      <c r="C49" s="5" t="s">
        <v>2215</v>
      </c>
      <c r="D49" s="5" t="s">
        <v>2223</v>
      </c>
      <c r="E49" s="5" t="s">
        <v>2224</v>
      </c>
      <c r="F49" s="5" t="s">
        <v>2225</v>
      </c>
      <c r="G49" s="5" t="s">
        <v>2226</v>
      </c>
      <c r="H49" s="5">
        <v>13899898469</v>
      </c>
      <c r="I49" s="5" t="s">
        <v>2215</v>
      </c>
      <c r="J49" s="5" t="s">
        <v>2220</v>
      </c>
      <c r="K49" s="6" t="s">
        <v>2227</v>
      </c>
      <c r="L49" s="7">
        <v>87.619851999999995</v>
      </c>
      <c r="M49" s="7">
        <v>43.827165999999998</v>
      </c>
      <c r="N49" s="6" t="s">
        <v>2228</v>
      </c>
    </row>
    <row r="50" spans="1:14">
      <c r="A50" s="514"/>
      <c r="B50" s="5">
        <v>48</v>
      </c>
      <c r="C50" s="5" t="s">
        <v>2215</v>
      </c>
      <c r="D50" s="5" t="s">
        <v>2229</v>
      </c>
      <c r="E50" s="5" t="s">
        <v>2230</v>
      </c>
      <c r="F50" s="5" t="s">
        <v>2231</v>
      </c>
      <c r="G50" s="5" t="s">
        <v>2232</v>
      </c>
      <c r="H50" s="5">
        <v>13999213855</v>
      </c>
      <c r="I50" s="5" t="s">
        <v>2215</v>
      </c>
      <c r="J50" s="5" t="s">
        <v>2220</v>
      </c>
      <c r="K50" s="6" t="s">
        <v>2233</v>
      </c>
      <c r="L50" s="7">
        <v>87.612982000000002</v>
      </c>
      <c r="M50" s="7">
        <v>43.843775999999998</v>
      </c>
      <c r="N50" s="6" t="s">
        <v>2234</v>
      </c>
    </row>
    <row r="51" spans="1:14">
      <c r="A51" s="514"/>
      <c r="B51" s="5">
        <v>49</v>
      </c>
      <c r="C51" s="5" t="s">
        <v>2215</v>
      </c>
      <c r="D51" s="5" t="s">
        <v>2235</v>
      </c>
      <c r="E51" s="5" t="s">
        <v>2236</v>
      </c>
      <c r="F51" s="5" t="s">
        <v>2237</v>
      </c>
      <c r="G51" s="5" t="s">
        <v>2238</v>
      </c>
      <c r="H51" s="5">
        <v>15299091207</v>
      </c>
      <c r="I51" s="5" t="s">
        <v>2215</v>
      </c>
      <c r="J51" s="5" t="s">
        <v>2220</v>
      </c>
      <c r="K51" s="6" t="s">
        <v>2239</v>
      </c>
      <c r="L51" s="7">
        <v>87.681118999999995</v>
      </c>
      <c r="M51" s="7">
        <v>43.840795</v>
      </c>
      <c r="N51" s="6" t="s">
        <v>2240</v>
      </c>
    </row>
    <row r="52" spans="1:14">
      <c r="A52" s="514"/>
      <c r="B52" s="5">
        <v>50</v>
      </c>
      <c r="C52" s="5" t="s">
        <v>2215</v>
      </c>
      <c r="D52" s="5" t="s">
        <v>2241</v>
      </c>
      <c r="E52" s="5" t="s">
        <v>2242</v>
      </c>
      <c r="F52" s="5" t="s">
        <v>2243</v>
      </c>
      <c r="G52" s="5" t="s">
        <v>2244</v>
      </c>
      <c r="H52" s="5">
        <v>13579909020</v>
      </c>
      <c r="I52" s="5" t="s">
        <v>2215</v>
      </c>
      <c r="J52" s="5" t="s">
        <v>2220</v>
      </c>
      <c r="K52" s="6" t="s">
        <v>2245</v>
      </c>
      <c r="L52" s="7">
        <v>87.652375000000006</v>
      </c>
      <c r="M52" s="7">
        <v>43.873151999999997</v>
      </c>
      <c r="N52" s="6" t="s">
        <v>2246</v>
      </c>
    </row>
    <row r="53" spans="1:14">
      <c r="A53" s="514"/>
      <c r="B53" s="5">
        <v>51</v>
      </c>
      <c r="C53" s="5" t="s">
        <v>2215</v>
      </c>
      <c r="D53" s="5" t="s">
        <v>2247</v>
      </c>
      <c r="E53" s="5" t="s">
        <v>2248</v>
      </c>
      <c r="F53" s="5" t="s">
        <v>2249</v>
      </c>
      <c r="G53" s="5" t="s">
        <v>2250</v>
      </c>
      <c r="H53" s="5">
        <v>13209995282</v>
      </c>
      <c r="I53" s="5" t="s">
        <v>2215</v>
      </c>
      <c r="J53" s="5" t="s">
        <v>2251</v>
      </c>
      <c r="K53" s="6" t="s">
        <v>2252</v>
      </c>
      <c r="L53" s="7">
        <v>87.565068999999994</v>
      </c>
      <c r="M53" s="7">
        <v>43.821545</v>
      </c>
      <c r="N53" s="6" t="s">
        <v>2253</v>
      </c>
    </row>
    <row r="54" spans="1:14">
      <c r="A54" s="514"/>
      <c r="B54" s="5">
        <v>52</v>
      </c>
      <c r="C54" s="5" t="s">
        <v>2215</v>
      </c>
      <c r="D54" s="5" t="s">
        <v>2254</v>
      </c>
      <c r="E54" s="5" t="s">
        <v>2255</v>
      </c>
      <c r="F54" s="5" t="s">
        <v>2256</v>
      </c>
      <c r="G54" s="5" t="s">
        <v>2257</v>
      </c>
      <c r="H54" s="5">
        <v>13999225501</v>
      </c>
      <c r="I54" s="5" t="s">
        <v>2215</v>
      </c>
      <c r="J54" s="5" t="s">
        <v>2251</v>
      </c>
      <c r="K54" s="6" t="s">
        <v>2258</v>
      </c>
      <c r="L54" s="7">
        <v>87.355500000000006</v>
      </c>
      <c r="M54" s="7">
        <v>43.472499999999997</v>
      </c>
      <c r="N54" s="6" t="s">
        <v>2259</v>
      </c>
    </row>
    <row r="55" spans="1:14">
      <c r="A55" s="514"/>
      <c r="B55" s="5">
        <v>53</v>
      </c>
      <c r="C55" s="5" t="s">
        <v>2215</v>
      </c>
      <c r="D55" s="5" t="s">
        <v>2260</v>
      </c>
      <c r="E55" s="5" t="s">
        <v>2261</v>
      </c>
      <c r="F55" s="5" t="s">
        <v>2262</v>
      </c>
      <c r="G55" s="5" t="s">
        <v>2263</v>
      </c>
      <c r="H55" s="5">
        <v>13619948052</v>
      </c>
      <c r="I55" s="5" t="s">
        <v>2215</v>
      </c>
      <c r="J55" s="5" t="s">
        <v>2251</v>
      </c>
      <c r="K55" s="6" t="s">
        <v>2264</v>
      </c>
      <c r="L55" s="7">
        <v>87.592905000000002</v>
      </c>
      <c r="M55" s="7">
        <v>43.800311000000001</v>
      </c>
      <c r="N55" s="6" t="s">
        <v>2265</v>
      </c>
    </row>
    <row r="56" spans="1:14">
      <c r="A56" s="514"/>
      <c r="B56" s="5">
        <v>54</v>
      </c>
      <c r="C56" s="5" t="s">
        <v>2215</v>
      </c>
      <c r="D56" s="5" t="s">
        <v>2266</v>
      </c>
      <c r="E56" s="5" t="s">
        <v>2267</v>
      </c>
      <c r="F56" s="5" t="s">
        <v>2268</v>
      </c>
      <c r="G56" s="5" t="s">
        <v>2269</v>
      </c>
      <c r="H56" s="5">
        <v>13579942366</v>
      </c>
      <c r="I56" s="5" t="s">
        <v>2215</v>
      </c>
      <c r="J56" s="5" t="s">
        <v>2251</v>
      </c>
      <c r="K56" s="6" t="s">
        <v>2270</v>
      </c>
      <c r="L56" s="7">
        <v>87.593793000000005</v>
      </c>
      <c r="M56" s="7">
        <v>43.824548999999998</v>
      </c>
      <c r="N56" s="6" t="s">
        <v>2271</v>
      </c>
    </row>
    <row r="57" spans="1:14">
      <c r="A57" s="514"/>
      <c r="B57" s="5">
        <v>55</v>
      </c>
      <c r="C57" s="5" t="s">
        <v>2215</v>
      </c>
      <c r="D57" s="5" t="s">
        <v>2272</v>
      </c>
      <c r="E57" s="5" t="s">
        <v>2273</v>
      </c>
      <c r="F57" s="5" t="s">
        <v>2274</v>
      </c>
      <c r="G57" s="5" t="s">
        <v>2275</v>
      </c>
      <c r="H57" s="5">
        <v>14799309193</v>
      </c>
      <c r="I57" s="5" t="s">
        <v>2215</v>
      </c>
      <c r="J57" s="5" t="s">
        <v>2251</v>
      </c>
      <c r="K57" s="6" t="s">
        <v>2276</v>
      </c>
      <c r="L57" s="7">
        <v>87.589178000000004</v>
      </c>
      <c r="M57" s="7">
        <v>43.778959</v>
      </c>
      <c r="N57" s="6" t="s">
        <v>2277</v>
      </c>
    </row>
    <row r="58" spans="1:14">
      <c r="A58" s="514"/>
      <c r="B58" s="5">
        <v>56</v>
      </c>
      <c r="C58" s="5" t="s">
        <v>2215</v>
      </c>
      <c r="D58" s="5" t="s">
        <v>2278</v>
      </c>
      <c r="E58" s="5" t="s">
        <v>2279</v>
      </c>
      <c r="F58" s="5" t="s">
        <v>2280</v>
      </c>
      <c r="G58" s="5" t="s">
        <v>2281</v>
      </c>
      <c r="H58" s="5">
        <v>18899176927</v>
      </c>
      <c r="I58" s="5" t="s">
        <v>2215</v>
      </c>
      <c r="J58" s="5" t="s">
        <v>2251</v>
      </c>
      <c r="K58" s="6" t="s">
        <v>2282</v>
      </c>
      <c r="L58" s="7">
        <v>87.603949</v>
      </c>
      <c r="M58" s="7">
        <v>43.782097</v>
      </c>
      <c r="N58" s="6" t="s">
        <v>2283</v>
      </c>
    </row>
    <row r="59" spans="1:14">
      <c r="A59" s="514"/>
      <c r="B59" s="5">
        <v>57</v>
      </c>
      <c r="C59" s="5" t="s">
        <v>2215</v>
      </c>
      <c r="D59" s="5" t="s">
        <v>2284</v>
      </c>
      <c r="E59" s="5" t="s">
        <v>2285</v>
      </c>
      <c r="F59" s="5" t="s">
        <v>2286</v>
      </c>
      <c r="G59" s="5" t="s">
        <v>2287</v>
      </c>
      <c r="H59" s="5">
        <v>13199813119</v>
      </c>
      <c r="I59" s="5" t="s">
        <v>2215</v>
      </c>
      <c r="J59" s="5" t="s">
        <v>2251</v>
      </c>
      <c r="K59" s="6" t="s">
        <v>2288</v>
      </c>
      <c r="L59" s="7">
        <v>87.574420000000003</v>
      </c>
      <c r="M59" s="7">
        <v>43.808793999999999</v>
      </c>
      <c r="N59" s="6" t="s">
        <v>2289</v>
      </c>
    </row>
    <row r="60" spans="1:14">
      <c r="A60" s="514"/>
      <c r="B60" s="5">
        <v>58</v>
      </c>
      <c r="C60" s="5" t="s">
        <v>2215</v>
      </c>
      <c r="D60" s="5" t="s">
        <v>2290</v>
      </c>
      <c r="E60" s="5" t="s">
        <v>2291</v>
      </c>
      <c r="F60" s="5" t="s">
        <v>2292</v>
      </c>
      <c r="G60" s="5" t="s">
        <v>2293</v>
      </c>
      <c r="H60" s="5">
        <v>13899899611</v>
      </c>
      <c r="I60" s="5" t="s">
        <v>2215</v>
      </c>
      <c r="J60" s="5" t="s">
        <v>2251</v>
      </c>
      <c r="K60" s="6" t="s">
        <v>2294</v>
      </c>
      <c r="L60" s="7">
        <v>87.531119000000004</v>
      </c>
      <c r="M60" s="7">
        <v>43.802121</v>
      </c>
      <c r="N60" s="6" t="s">
        <v>2295</v>
      </c>
    </row>
    <row r="61" spans="1:14">
      <c r="A61" s="514"/>
      <c r="B61" s="5">
        <v>59</v>
      </c>
      <c r="C61" s="5" t="s">
        <v>2215</v>
      </c>
      <c r="D61" s="5" t="s">
        <v>2296</v>
      </c>
      <c r="E61" s="5" t="s">
        <v>2297</v>
      </c>
      <c r="F61" s="5" t="s">
        <v>2298</v>
      </c>
      <c r="G61" s="5" t="s">
        <v>2299</v>
      </c>
      <c r="H61" s="5">
        <v>15292863322</v>
      </c>
      <c r="I61" s="5" t="s">
        <v>2215</v>
      </c>
      <c r="J61" s="5" t="s">
        <v>2251</v>
      </c>
      <c r="K61" s="6" t="s">
        <v>2300</v>
      </c>
      <c r="L61" s="7">
        <v>87.522029000000003</v>
      </c>
      <c r="M61" s="7">
        <v>43.805084000000001</v>
      </c>
      <c r="N61" s="6" t="s">
        <v>2301</v>
      </c>
    </row>
    <row r="62" spans="1:14">
      <c r="A62" s="514"/>
      <c r="B62" s="5">
        <v>60</v>
      </c>
      <c r="C62" s="5" t="s">
        <v>2215</v>
      </c>
      <c r="D62" s="5" t="s">
        <v>2302</v>
      </c>
      <c r="E62" s="5" t="s">
        <v>2303</v>
      </c>
      <c r="F62" s="5" t="s">
        <v>2304</v>
      </c>
      <c r="G62" s="5" t="s">
        <v>2305</v>
      </c>
      <c r="H62" s="5">
        <v>18999159990</v>
      </c>
      <c r="I62" s="5" t="s">
        <v>2215</v>
      </c>
      <c r="J62" s="5" t="s">
        <v>2251</v>
      </c>
      <c r="K62" s="6" t="s">
        <v>2306</v>
      </c>
      <c r="L62" s="7">
        <v>87.466943999999998</v>
      </c>
      <c r="M62" s="7">
        <v>43.755555999999999</v>
      </c>
      <c r="N62" s="6" t="s">
        <v>2307</v>
      </c>
    </row>
    <row r="63" spans="1:14">
      <c r="A63" s="514"/>
      <c r="B63" s="5">
        <v>61</v>
      </c>
      <c r="C63" s="5" t="s">
        <v>2215</v>
      </c>
      <c r="D63" s="5" t="s">
        <v>2308</v>
      </c>
      <c r="E63" s="5" t="s">
        <v>2309</v>
      </c>
      <c r="F63" s="5" t="s">
        <v>2310</v>
      </c>
      <c r="G63" s="5" t="s">
        <v>2311</v>
      </c>
      <c r="H63" s="5">
        <v>15699180070</v>
      </c>
      <c r="I63" s="5" t="s">
        <v>2215</v>
      </c>
      <c r="J63" s="5" t="s">
        <v>2251</v>
      </c>
      <c r="K63" s="6" t="s">
        <v>2312</v>
      </c>
      <c r="L63" s="7">
        <v>87.495450000000005</v>
      </c>
      <c r="M63" s="7">
        <v>43.775126</v>
      </c>
      <c r="N63" s="6" t="s">
        <v>2313</v>
      </c>
    </row>
    <row r="64" spans="1:14">
      <c r="A64" s="514"/>
      <c r="B64" s="5">
        <v>62</v>
      </c>
      <c r="C64" s="5" t="s">
        <v>2215</v>
      </c>
      <c r="D64" s="5" t="s">
        <v>2314</v>
      </c>
      <c r="E64" s="5" t="s">
        <v>2315</v>
      </c>
      <c r="F64" s="5" t="s">
        <v>2316</v>
      </c>
      <c r="G64" s="5" t="s">
        <v>2317</v>
      </c>
      <c r="H64" s="5">
        <v>15719993050</v>
      </c>
      <c r="I64" s="5" t="s">
        <v>2215</v>
      </c>
      <c r="J64" s="5" t="s">
        <v>2318</v>
      </c>
      <c r="K64" s="6" t="s">
        <v>2319</v>
      </c>
      <c r="L64" s="7">
        <v>87.569976999999994</v>
      </c>
      <c r="M64" s="7">
        <v>43.864825000000003</v>
      </c>
      <c r="N64" s="6" t="s">
        <v>2320</v>
      </c>
    </row>
    <row r="65" spans="1:14">
      <c r="A65" s="514"/>
      <c r="B65" s="5">
        <v>63</v>
      </c>
      <c r="C65" s="5" t="s">
        <v>2215</v>
      </c>
      <c r="D65" s="5" t="s">
        <v>2321</v>
      </c>
      <c r="E65" s="5" t="s">
        <v>2322</v>
      </c>
      <c r="F65" s="5" t="s">
        <v>2323</v>
      </c>
      <c r="G65" s="5" t="s">
        <v>2324</v>
      </c>
      <c r="H65" s="5">
        <v>13579876977</v>
      </c>
      <c r="I65" s="5" t="s">
        <v>2215</v>
      </c>
      <c r="J65" s="5" t="s">
        <v>2318</v>
      </c>
      <c r="K65" s="6" t="s">
        <v>2325</v>
      </c>
      <c r="L65" s="7">
        <v>87.578609999999998</v>
      </c>
      <c r="M65" s="7">
        <v>43.901760000000003</v>
      </c>
      <c r="N65" s="6" t="s">
        <v>2326</v>
      </c>
    </row>
    <row r="66" spans="1:14">
      <c r="A66" s="514"/>
      <c r="B66" s="5">
        <v>64</v>
      </c>
      <c r="C66" s="5" t="s">
        <v>2215</v>
      </c>
      <c r="D66" s="5" t="s">
        <v>2327</v>
      </c>
      <c r="E66" s="5" t="s">
        <v>2328</v>
      </c>
      <c r="F66" s="5" t="s">
        <v>2329</v>
      </c>
      <c r="G66" s="5" t="s">
        <v>2330</v>
      </c>
      <c r="H66" s="5">
        <v>15160898119</v>
      </c>
      <c r="I66" s="5" t="s">
        <v>2215</v>
      </c>
      <c r="J66" s="5" t="s">
        <v>2318</v>
      </c>
      <c r="K66" s="6" t="s">
        <v>2331</v>
      </c>
      <c r="L66" s="7">
        <v>87.533405999999999</v>
      </c>
      <c r="M66" s="7">
        <v>43.900506999999998</v>
      </c>
      <c r="N66" s="6" t="s">
        <v>2332</v>
      </c>
    </row>
    <row r="67" spans="1:14">
      <c r="A67" s="514"/>
      <c r="B67" s="5">
        <v>65</v>
      </c>
      <c r="C67" s="5" t="s">
        <v>2215</v>
      </c>
      <c r="D67" s="5" t="s">
        <v>2333</v>
      </c>
      <c r="E67" s="5" t="s">
        <v>2334</v>
      </c>
      <c r="F67" s="5" t="s">
        <v>2335</v>
      </c>
      <c r="G67" s="5" t="s">
        <v>2336</v>
      </c>
      <c r="H67" s="5">
        <v>13999143548</v>
      </c>
      <c r="I67" s="5" t="s">
        <v>2215</v>
      </c>
      <c r="J67" s="5" t="s">
        <v>2318</v>
      </c>
      <c r="K67" s="6" t="s">
        <v>2337</v>
      </c>
      <c r="L67" s="7">
        <v>87.587963000000002</v>
      </c>
      <c r="M67" s="7">
        <v>43.886851999999998</v>
      </c>
      <c r="N67" s="6" t="s">
        <v>2338</v>
      </c>
    </row>
    <row r="68" spans="1:14">
      <c r="A68" s="514"/>
      <c r="B68" s="5">
        <v>66</v>
      </c>
      <c r="C68" s="5" t="s">
        <v>2215</v>
      </c>
      <c r="D68" s="5" t="s">
        <v>2339</v>
      </c>
      <c r="E68" s="5" t="s">
        <v>2340</v>
      </c>
      <c r="F68" s="5" t="s">
        <v>2341</v>
      </c>
      <c r="G68" s="5" t="s">
        <v>2342</v>
      </c>
      <c r="H68" s="5">
        <v>15276560330</v>
      </c>
      <c r="I68" s="5" t="s">
        <v>2215</v>
      </c>
      <c r="J68" s="5" t="s">
        <v>2318</v>
      </c>
      <c r="K68" s="6" t="s">
        <v>2343</v>
      </c>
      <c r="L68" s="7">
        <v>87.587999999999994</v>
      </c>
      <c r="M68" s="7">
        <v>43.927</v>
      </c>
      <c r="N68" s="6" t="s">
        <v>2344</v>
      </c>
    </row>
    <row r="69" spans="1:14">
      <c r="A69" s="514"/>
      <c r="B69" s="5">
        <v>67</v>
      </c>
      <c r="C69" s="5" t="s">
        <v>2215</v>
      </c>
      <c r="D69" s="5" t="s">
        <v>2345</v>
      </c>
      <c r="E69" s="5" t="s">
        <v>2346</v>
      </c>
      <c r="F69" s="5" t="s">
        <v>2347</v>
      </c>
      <c r="G69" s="5" t="s">
        <v>2348</v>
      </c>
      <c r="H69" s="5">
        <v>13201292215</v>
      </c>
      <c r="I69" s="5" t="s">
        <v>2215</v>
      </c>
      <c r="J69" s="5" t="s">
        <v>2318</v>
      </c>
      <c r="K69" s="6" t="s">
        <v>2349</v>
      </c>
      <c r="L69" s="7">
        <v>87.568138000000005</v>
      </c>
      <c r="M69" s="7">
        <v>43.930424000000002</v>
      </c>
      <c r="N69" s="6" t="s">
        <v>2350</v>
      </c>
    </row>
    <row r="70" spans="1:14">
      <c r="A70" s="514"/>
      <c r="B70" s="5">
        <v>68</v>
      </c>
      <c r="C70" s="5" t="s">
        <v>2215</v>
      </c>
      <c r="D70" s="5" t="s">
        <v>2351</v>
      </c>
      <c r="E70" s="5" t="s">
        <v>2352</v>
      </c>
      <c r="F70" s="5" t="s">
        <v>2353</v>
      </c>
      <c r="G70" s="5" t="s">
        <v>2354</v>
      </c>
      <c r="H70" s="5">
        <v>13609970404</v>
      </c>
      <c r="I70" s="5" t="s">
        <v>2215</v>
      </c>
      <c r="J70" s="5" t="s">
        <v>2355</v>
      </c>
      <c r="K70" s="6" t="s">
        <v>2356</v>
      </c>
      <c r="L70" s="7">
        <v>87.484194000000002</v>
      </c>
      <c r="M70" s="7">
        <v>43.867108000000002</v>
      </c>
      <c r="N70" s="6" t="s">
        <v>2357</v>
      </c>
    </row>
    <row r="71" spans="1:14">
      <c r="A71" s="514"/>
      <c r="B71" s="5">
        <v>69</v>
      </c>
      <c r="C71" s="5" t="s">
        <v>2215</v>
      </c>
      <c r="D71" s="5" t="s">
        <v>2358</v>
      </c>
      <c r="E71" s="5" t="s">
        <v>2359</v>
      </c>
      <c r="F71" s="5" t="s">
        <v>2360</v>
      </c>
      <c r="G71" s="5" t="s">
        <v>2361</v>
      </c>
      <c r="H71" s="5">
        <v>18599074561</v>
      </c>
      <c r="I71" s="5" t="s">
        <v>2215</v>
      </c>
      <c r="J71" s="5" t="s">
        <v>2362</v>
      </c>
      <c r="K71" s="6" t="s">
        <v>2363</v>
      </c>
      <c r="L71" s="7">
        <v>87.332980000000006</v>
      </c>
      <c r="M71" s="7">
        <v>43.869658000000001</v>
      </c>
      <c r="N71" s="6" t="s">
        <v>2364</v>
      </c>
    </row>
    <row r="72" spans="1:14">
      <c r="A72" s="514"/>
      <c r="B72" s="5">
        <v>70</v>
      </c>
      <c r="C72" s="5" t="s">
        <v>2215</v>
      </c>
      <c r="D72" s="5" t="s">
        <v>2365</v>
      </c>
      <c r="E72" s="5" t="s">
        <v>2366</v>
      </c>
      <c r="F72" s="5" t="s">
        <v>2367</v>
      </c>
      <c r="G72" s="5" t="s">
        <v>2368</v>
      </c>
      <c r="H72" s="5">
        <v>18690289000</v>
      </c>
      <c r="I72" s="5" t="s">
        <v>2215</v>
      </c>
      <c r="J72" s="5" t="s">
        <v>2362</v>
      </c>
      <c r="K72" s="6" t="s">
        <v>2369</v>
      </c>
      <c r="L72" s="7">
        <v>87.334462000000002</v>
      </c>
      <c r="M72" s="7">
        <v>43.870508999999998</v>
      </c>
      <c r="N72" s="6" t="s">
        <v>2370</v>
      </c>
    </row>
    <row r="73" spans="1:14">
      <c r="A73" s="514"/>
      <c r="B73" s="5">
        <v>71</v>
      </c>
      <c r="C73" s="5" t="s">
        <v>2215</v>
      </c>
      <c r="D73" s="5" t="s">
        <v>2371</v>
      </c>
      <c r="E73" s="5" t="s">
        <v>2372</v>
      </c>
      <c r="F73" s="5" t="s">
        <v>2373</v>
      </c>
      <c r="G73" s="5" t="s">
        <v>2374</v>
      </c>
      <c r="H73" s="5">
        <v>13899857861</v>
      </c>
      <c r="I73" s="5" t="s">
        <v>2215</v>
      </c>
      <c r="J73" s="5" t="s">
        <v>2362</v>
      </c>
      <c r="K73" s="6" t="s">
        <v>2375</v>
      </c>
      <c r="L73" s="7">
        <v>87.416061999999997</v>
      </c>
      <c r="M73" s="7">
        <v>43.924909999999997</v>
      </c>
      <c r="N73" s="6" t="s">
        <v>2376</v>
      </c>
    </row>
    <row r="74" spans="1:14">
      <c r="A74" s="514"/>
      <c r="B74" s="5">
        <v>72</v>
      </c>
      <c r="C74" s="5" t="s">
        <v>2215</v>
      </c>
      <c r="D74" s="5" t="s">
        <v>2377</v>
      </c>
      <c r="E74" s="5" t="s">
        <v>2378</v>
      </c>
      <c r="F74" s="5" t="s">
        <v>2379</v>
      </c>
      <c r="G74" s="5" t="s">
        <v>2380</v>
      </c>
      <c r="H74" s="5">
        <v>15699133351</v>
      </c>
      <c r="I74" s="5" t="s">
        <v>2215</v>
      </c>
      <c r="J74" s="5" t="s">
        <v>2362</v>
      </c>
      <c r="K74" s="6" t="s">
        <v>2381</v>
      </c>
      <c r="L74" s="7">
        <v>87.369699999999995</v>
      </c>
      <c r="M74" s="7">
        <v>43.868496</v>
      </c>
      <c r="N74" s="6" t="s">
        <v>2382</v>
      </c>
    </row>
    <row r="75" spans="1:14">
      <c r="A75" s="514"/>
      <c r="B75" s="5">
        <v>73</v>
      </c>
      <c r="C75" s="5" t="s">
        <v>2215</v>
      </c>
      <c r="D75" s="5" t="s">
        <v>2383</v>
      </c>
      <c r="E75" s="5" t="s">
        <v>2384</v>
      </c>
      <c r="F75" s="5" t="s">
        <v>2385</v>
      </c>
      <c r="G75" s="5" t="s">
        <v>2386</v>
      </c>
      <c r="H75" s="5">
        <v>13809944622</v>
      </c>
      <c r="I75" s="5" t="s">
        <v>2215</v>
      </c>
      <c r="J75" s="5" t="s">
        <v>2362</v>
      </c>
      <c r="K75" s="6" t="s">
        <v>2387</v>
      </c>
      <c r="L75" s="7">
        <v>87.463843999999995</v>
      </c>
      <c r="M75" s="7">
        <v>43.901618999999997</v>
      </c>
      <c r="N75" s="6" t="s">
        <v>2388</v>
      </c>
    </row>
    <row r="76" spans="1:14">
      <c r="A76" s="514"/>
      <c r="B76" s="5">
        <v>74</v>
      </c>
      <c r="C76" s="5" t="s">
        <v>2215</v>
      </c>
      <c r="D76" s="5" t="s">
        <v>2389</v>
      </c>
      <c r="E76" s="5" t="s">
        <v>2390</v>
      </c>
      <c r="F76" s="5" t="s">
        <v>2391</v>
      </c>
      <c r="G76" s="5" t="s">
        <v>2392</v>
      </c>
      <c r="H76" s="5">
        <v>13279910685</v>
      </c>
      <c r="I76" s="5" t="s">
        <v>2215</v>
      </c>
      <c r="J76" s="5" t="s">
        <v>2362</v>
      </c>
      <c r="K76" s="6" t="s">
        <v>2393</v>
      </c>
      <c r="L76" s="7">
        <v>87.443191999999996</v>
      </c>
      <c r="M76" s="7">
        <v>43.870235000000001</v>
      </c>
      <c r="N76" s="6" t="s">
        <v>2394</v>
      </c>
    </row>
    <row r="77" spans="1:14">
      <c r="A77" s="514"/>
      <c r="B77" s="5">
        <v>75</v>
      </c>
      <c r="C77" s="5" t="s">
        <v>2215</v>
      </c>
      <c r="D77" s="5" t="s">
        <v>2395</v>
      </c>
      <c r="E77" s="5" t="s">
        <v>2396</v>
      </c>
      <c r="F77" s="5" t="s">
        <v>2397</v>
      </c>
      <c r="G77" s="5" t="s">
        <v>2398</v>
      </c>
      <c r="H77" s="5">
        <v>15099105316</v>
      </c>
      <c r="I77" s="5" t="s">
        <v>2215</v>
      </c>
      <c r="J77" s="5" t="s">
        <v>2399</v>
      </c>
      <c r="K77" s="6" t="s">
        <v>2400</v>
      </c>
      <c r="L77" s="7">
        <v>87.744179000000003</v>
      </c>
      <c r="M77" s="7">
        <v>44.018557999999999</v>
      </c>
      <c r="N77" s="6" t="s">
        <v>2401</v>
      </c>
    </row>
    <row r="78" spans="1:14">
      <c r="A78" s="514"/>
      <c r="B78" s="5">
        <v>76</v>
      </c>
      <c r="C78" s="5" t="s">
        <v>2215</v>
      </c>
      <c r="D78" s="5" t="s">
        <v>2402</v>
      </c>
      <c r="E78" s="5" t="s">
        <v>2403</v>
      </c>
      <c r="F78" s="5" t="s">
        <v>2404</v>
      </c>
      <c r="G78" s="5" t="s">
        <v>2405</v>
      </c>
      <c r="H78" s="5">
        <v>13179925560</v>
      </c>
      <c r="I78" s="5" t="s">
        <v>2215</v>
      </c>
      <c r="J78" s="5" t="s">
        <v>2399</v>
      </c>
      <c r="K78" s="6" t="s">
        <v>2406</v>
      </c>
      <c r="L78" s="7">
        <v>87.676411000000002</v>
      </c>
      <c r="M78" s="7">
        <v>43.956921000000001</v>
      </c>
      <c r="N78" s="6" t="s">
        <v>2407</v>
      </c>
    </row>
    <row r="79" spans="1:14">
      <c r="A79" s="514"/>
      <c r="B79" s="5">
        <v>77</v>
      </c>
      <c r="C79" s="5" t="s">
        <v>2215</v>
      </c>
      <c r="D79" s="5" t="s">
        <v>2408</v>
      </c>
      <c r="E79" s="5" t="s">
        <v>2409</v>
      </c>
      <c r="F79" s="5" t="s">
        <v>2410</v>
      </c>
      <c r="G79" s="5" t="s">
        <v>2411</v>
      </c>
      <c r="H79" s="5">
        <v>13239910290</v>
      </c>
      <c r="I79" s="5" t="s">
        <v>2215</v>
      </c>
      <c r="J79" s="5" t="s">
        <v>2412</v>
      </c>
      <c r="K79" s="6" t="s">
        <v>2413</v>
      </c>
      <c r="L79" s="7">
        <v>87.627628999999999</v>
      </c>
      <c r="M79" s="7">
        <v>43.762487</v>
      </c>
      <c r="N79" s="6" t="s">
        <v>2414</v>
      </c>
    </row>
    <row r="80" spans="1:14">
      <c r="A80" s="514"/>
      <c r="B80" s="5">
        <v>78</v>
      </c>
      <c r="C80" s="5" t="s">
        <v>2215</v>
      </c>
      <c r="D80" s="5" t="s">
        <v>2415</v>
      </c>
      <c r="E80" s="5" t="s">
        <v>2416</v>
      </c>
      <c r="F80" s="5" t="s">
        <v>2417</v>
      </c>
      <c r="G80" s="5" t="s">
        <v>2418</v>
      </c>
      <c r="H80" s="5">
        <v>18999952229</v>
      </c>
      <c r="I80" s="5" t="s">
        <v>2215</v>
      </c>
      <c r="J80" s="5" t="s">
        <v>2412</v>
      </c>
      <c r="K80" s="6" t="s">
        <v>2419</v>
      </c>
      <c r="L80" s="7">
        <v>87.613073999999997</v>
      </c>
      <c r="M80" s="7">
        <v>43.778416999999997</v>
      </c>
      <c r="N80" s="6" t="s">
        <v>2420</v>
      </c>
    </row>
    <row r="81" spans="1:14">
      <c r="A81" s="514"/>
      <c r="B81" s="5">
        <v>79</v>
      </c>
      <c r="C81" s="5" t="s">
        <v>2215</v>
      </c>
      <c r="D81" s="5" t="s">
        <v>2421</v>
      </c>
      <c r="E81" s="5" t="s">
        <v>2422</v>
      </c>
      <c r="F81" s="5" t="s">
        <v>2423</v>
      </c>
      <c r="G81" s="5" t="s">
        <v>2424</v>
      </c>
      <c r="H81" s="5">
        <v>13579884460</v>
      </c>
      <c r="I81" s="5" t="s">
        <v>2215</v>
      </c>
      <c r="J81" s="5" t="s">
        <v>2412</v>
      </c>
      <c r="K81" s="6" t="s">
        <v>2425</v>
      </c>
      <c r="L81" s="7">
        <v>87.651171000000005</v>
      </c>
      <c r="M81" s="7">
        <v>43.813816000000003</v>
      </c>
      <c r="N81" s="6" t="s">
        <v>2426</v>
      </c>
    </row>
    <row r="82" spans="1:14">
      <c r="A82" s="514"/>
      <c r="B82" s="5">
        <v>80</v>
      </c>
      <c r="C82" s="5" t="s">
        <v>2215</v>
      </c>
      <c r="D82" s="5" t="s">
        <v>2427</v>
      </c>
      <c r="E82" s="5" t="s">
        <v>2428</v>
      </c>
      <c r="F82" s="5" t="s">
        <v>2429</v>
      </c>
      <c r="G82" s="5" t="s">
        <v>2430</v>
      </c>
      <c r="H82" s="5">
        <v>15099171820</v>
      </c>
      <c r="I82" s="5" t="s">
        <v>2215</v>
      </c>
      <c r="J82" s="5" t="s">
        <v>2412</v>
      </c>
      <c r="K82" s="6" t="s">
        <v>2431</v>
      </c>
      <c r="L82" s="7">
        <v>87.354590000000002</v>
      </c>
      <c r="M82" s="7">
        <v>43.444333999999998</v>
      </c>
      <c r="N82" s="6" t="s">
        <v>2432</v>
      </c>
    </row>
    <row r="83" spans="1:14">
      <c r="A83" s="514"/>
      <c r="B83" s="5">
        <v>81</v>
      </c>
      <c r="C83" s="5" t="s">
        <v>2215</v>
      </c>
      <c r="D83" s="5" t="s">
        <v>2433</v>
      </c>
      <c r="E83" s="5" t="s">
        <v>2434</v>
      </c>
      <c r="F83" s="5" t="s">
        <v>2435</v>
      </c>
      <c r="G83" s="5" t="s">
        <v>2436</v>
      </c>
      <c r="H83" s="5">
        <v>13999209001</v>
      </c>
      <c r="I83" s="5" t="s">
        <v>2215</v>
      </c>
      <c r="J83" s="5" t="s">
        <v>2412</v>
      </c>
      <c r="K83" s="6" t="s">
        <v>2437</v>
      </c>
      <c r="L83" s="7">
        <v>87.644677999999999</v>
      </c>
      <c r="M83" s="7">
        <v>43.9634</v>
      </c>
      <c r="N83" s="6" t="s">
        <v>2438</v>
      </c>
    </row>
    <row r="84" spans="1:14">
      <c r="A84" s="514" t="s">
        <v>2439</v>
      </c>
      <c r="B84" s="5">
        <v>82</v>
      </c>
      <c r="C84" s="5" t="s">
        <v>2440</v>
      </c>
      <c r="D84" s="5" t="s">
        <v>2441</v>
      </c>
      <c r="E84" s="5" t="s">
        <v>2442</v>
      </c>
      <c r="F84" s="5" t="s">
        <v>2443</v>
      </c>
      <c r="G84" s="5" t="s">
        <v>2444</v>
      </c>
      <c r="H84" s="5">
        <v>18139107123</v>
      </c>
      <c r="I84" s="5" t="s">
        <v>2445</v>
      </c>
      <c r="J84" s="5" t="s">
        <v>2446</v>
      </c>
      <c r="K84" s="6" t="s">
        <v>2447</v>
      </c>
      <c r="L84" s="7">
        <v>82.998096000000004</v>
      </c>
      <c r="M84" s="7">
        <v>41.706696999999998</v>
      </c>
      <c r="N84" s="6" t="s">
        <v>2448</v>
      </c>
    </row>
    <row r="85" spans="1:14">
      <c r="A85" s="514"/>
      <c r="B85" s="5">
        <v>83</v>
      </c>
      <c r="C85" s="5" t="s">
        <v>2440</v>
      </c>
      <c r="D85" s="5" t="s">
        <v>2449</v>
      </c>
      <c r="E85" s="5" t="s">
        <v>2450</v>
      </c>
      <c r="F85" s="5" t="s">
        <v>2451</v>
      </c>
      <c r="G85" s="5" t="s">
        <v>2452</v>
      </c>
      <c r="H85" s="5">
        <v>17591588920</v>
      </c>
      <c r="I85" s="5" t="s">
        <v>2445</v>
      </c>
      <c r="J85" s="5" t="s">
        <v>2446</v>
      </c>
      <c r="K85" s="6" t="s">
        <v>2453</v>
      </c>
      <c r="L85" s="7">
        <v>82.939393999999993</v>
      </c>
      <c r="M85" s="7">
        <v>41.715313999999999</v>
      </c>
      <c r="N85" s="6" t="s">
        <v>2454</v>
      </c>
    </row>
    <row r="86" spans="1:14">
      <c r="A86" s="514"/>
      <c r="B86" s="5">
        <v>84</v>
      </c>
      <c r="C86" s="5" t="s">
        <v>2440</v>
      </c>
      <c r="D86" s="5" t="s">
        <v>2455</v>
      </c>
      <c r="E86" s="5" t="s">
        <v>2456</v>
      </c>
      <c r="F86" s="5" t="s">
        <v>2457</v>
      </c>
      <c r="G86" s="5" t="s">
        <v>2458</v>
      </c>
      <c r="H86" s="5">
        <v>13279971535</v>
      </c>
      <c r="I86" s="5" t="s">
        <v>2445</v>
      </c>
      <c r="J86" s="5" t="s">
        <v>2446</v>
      </c>
      <c r="K86" s="6" t="s">
        <v>2459</v>
      </c>
      <c r="L86" s="7">
        <v>82.949972000000002</v>
      </c>
      <c r="M86" s="7">
        <v>41.717505000000003</v>
      </c>
      <c r="N86" s="6" t="s">
        <v>2460</v>
      </c>
    </row>
    <row r="87" spans="1:14">
      <c r="A87" s="514"/>
      <c r="B87" s="5">
        <v>85</v>
      </c>
      <c r="C87" s="5" t="s">
        <v>2440</v>
      </c>
      <c r="D87" s="5" t="s">
        <v>2461</v>
      </c>
      <c r="E87" s="5" t="s">
        <v>2462</v>
      </c>
      <c r="F87" s="5" t="s">
        <v>2463</v>
      </c>
      <c r="G87" s="5" t="s">
        <v>2464</v>
      </c>
      <c r="H87" s="5">
        <v>18197552827</v>
      </c>
      <c r="I87" s="5" t="s">
        <v>2445</v>
      </c>
      <c r="J87" s="5" t="s">
        <v>2446</v>
      </c>
      <c r="K87" s="6" t="s">
        <v>2465</v>
      </c>
      <c r="L87" s="7">
        <v>82.534869999999998</v>
      </c>
      <c r="M87" s="7">
        <v>41.455244999999998</v>
      </c>
      <c r="N87" s="6" t="s">
        <v>2466</v>
      </c>
    </row>
    <row r="88" spans="1:14">
      <c r="A88" s="514"/>
      <c r="B88" s="5">
        <v>86</v>
      </c>
      <c r="C88" s="5" t="s">
        <v>2440</v>
      </c>
      <c r="D88" s="5" t="s">
        <v>2467</v>
      </c>
      <c r="E88" s="5" t="s">
        <v>2468</v>
      </c>
      <c r="F88" s="5" t="s">
        <v>2469</v>
      </c>
      <c r="G88" s="5" t="s">
        <v>2470</v>
      </c>
      <c r="H88" s="5">
        <v>18699567324</v>
      </c>
      <c r="I88" s="5" t="s">
        <v>2445</v>
      </c>
      <c r="J88" s="5" t="s">
        <v>2446</v>
      </c>
      <c r="K88" s="6" t="s">
        <v>2471</v>
      </c>
      <c r="L88" s="7">
        <v>83.119521000000006</v>
      </c>
      <c r="M88" s="7">
        <v>42.129026000000003</v>
      </c>
      <c r="N88" s="6" t="s">
        <v>2472</v>
      </c>
    </row>
    <row r="89" spans="1:14">
      <c r="A89" s="514"/>
      <c r="B89" s="5">
        <v>87</v>
      </c>
      <c r="C89" s="5" t="s">
        <v>2440</v>
      </c>
      <c r="D89" s="5" t="s">
        <v>2473</v>
      </c>
      <c r="E89" s="5" t="s">
        <v>2474</v>
      </c>
      <c r="F89" s="5" t="s">
        <v>2475</v>
      </c>
      <c r="G89" s="5" t="s">
        <v>2476</v>
      </c>
      <c r="H89" s="5">
        <v>13040466640</v>
      </c>
      <c r="I89" s="5" t="s">
        <v>2445</v>
      </c>
      <c r="J89" s="5" t="s">
        <v>2446</v>
      </c>
      <c r="K89" s="6" t="s">
        <v>2477</v>
      </c>
      <c r="L89" s="7">
        <v>83.125270999999998</v>
      </c>
      <c r="M89" s="7">
        <v>41.738883999999999</v>
      </c>
      <c r="N89" s="6" t="s">
        <v>2478</v>
      </c>
    </row>
    <row r="90" spans="1:14">
      <c r="A90" s="514"/>
      <c r="B90" s="5">
        <v>88</v>
      </c>
      <c r="C90" s="5" t="s">
        <v>2440</v>
      </c>
      <c r="D90" s="5" t="s">
        <v>2479</v>
      </c>
      <c r="E90" s="5" t="s">
        <v>2480</v>
      </c>
      <c r="F90" s="5" t="s">
        <v>2481</v>
      </c>
      <c r="G90" s="5" t="s">
        <v>2482</v>
      </c>
      <c r="H90" s="5">
        <v>13565138978</v>
      </c>
      <c r="I90" s="5" t="s">
        <v>2445</v>
      </c>
      <c r="J90" s="5" t="s">
        <v>2446</v>
      </c>
      <c r="K90" s="6" t="s">
        <v>2483</v>
      </c>
      <c r="L90" s="7">
        <v>83.014983999999998</v>
      </c>
      <c r="M90" s="7">
        <v>41.710465999999997</v>
      </c>
      <c r="N90" s="6" t="s">
        <v>2484</v>
      </c>
    </row>
    <row r="91" spans="1:14">
      <c r="A91" s="514"/>
      <c r="B91" s="5">
        <v>89</v>
      </c>
      <c r="C91" s="5" t="s">
        <v>2440</v>
      </c>
      <c r="D91" s="5" t="s">
        <v>2485</v>
      </c>
      <c r="E91" s="5" t="s">
        <v>2486</v>
      </c>
      <c r="F91" s="5" t="s">
        <v>2487</v>
      </c>
      <c r="G91" s="5" t="s">
        <v>2488</v>
      </c>
      <c r="H91" s="5">
        <v>14799442068</v>
      </c>
      <c r="I91" s="5" t="s">
        <v>2445</v>
      </c>
      <c r="J91" s="5" t="s">
        <v>2446</v>
      </c>
      <c r="K91" s="6" t="s">
        <v>2489</v>
      </c>
      <c r="L91" s="7">
        <v>83.000504000000006</v>
      </c>
      <c r="M91" s="7">
        <v>41.958531000000001</v>
      </c>
      <c r="N91" s="6" t="s">
        <v>2015</v>
      </c>
    </row>
    <row r="92" spans="1:14">
      <c r="A92" s="514"/>
      <c r="B92" s="5">
        <v>90</v>
      </c>
      <c r="C92" s="5" t="s">
        <v>2440</v>
      </c>
      <c r="D92" s="5" t="s">
        <v>2490</v>
      </c>
      <c r="E92" s="5" t="s">
        <v>2491</v>
      </c>
      <c r="F92" s="5" t="s">
        <v>2492</v>
      </c>
      <c r="G92" s="5" t="s">
        <v>2493</v>
      </c>
      <c r="H92" s="5">
        <v>18299598608</v>
      </c>
      <c r="I92" s="5" t="s">
        <v>2445</v>
      </c>
      <c r="J92" s="5" t="s">
        <v>2446</v>
      </c>
      <c r="K92" s="6" t="s">
        <v>2494</v>
      </c>
      <c r="L92" s="7">
        <v>82.542599999999993</v>
      </c>
      <c r="M92" s="7">
        <v>41.431600000000003</v>
      </c>
      <c r="N92" s="6" t="s">
        <v>2495</v>
      </c>
    </row>
    <row r="93" spans="1:14">
      <c r="A93" s="514"/>
      <c r="B93" s="5">
        <v>91</v>
      </c>
      <c r="C93" s="5" t="s">
        <v>2440</v>
      </c>
      <c r="D93" s="5" t="s">
        <v>2496</v>
      </c>
      <c r="E93" s="5" t="s">
        <v>2497</v>
      </c>
      <c r="F93" s="5" t="s">
        <v>2498</v>
      </c>
      <c r="G93" s="5" t="s">
        <v>2499</v>
      </c>
      <c r="H93" s="5">
        <v>18299598600</v>
      </c>
      <c r="I93" s="5" t="s">
        <v>2445</v>
      </c>
      <c r="J93" s="5" t="s">
        <v>2446</v>
      </c>
      <c r="K93" s="6" t="s">
        <v>2500</v>
      </c>
      <c r="L93" s="7">
        <v>83.124409999999997</v>
      </c>
      <c r="M93" s="7">
        <v>41.444099999999999</v>
      </c>
      <c r="N93" s="6" t="s">
        <v>2501</v>
      </c>
    </row>
    <row r="94" spans="1:14">
      <c r="A94" s="514"/>
      <c r="B94" s="5">
        <v>92</v>
      </c>
      <c r="C94" s="5" t="s">
        <v>2440</v>
      </c>
      <c r="D94" s="5" t="s">
        <v>2502</v>
      </c>
      <c r="E94" s="5" t="s">
        <v>2503</v>
      </c>
      <c r="F94" s="5" t="s">
        <v>2504</v>
      </c>
      <c r="G94" s="5" t="s">
        <v>2505</v>
      </c>
      <c r="H94" s="5">
        <v>15899340435</v>
      </c>
      <c r="I94" s="5" t="s">
        <v>2445</v>
      </c>
      <c r="J94" s="5" t="s">
        <v>2446</v>
      </c>
      <c r="K94" s="6" t="s">
        <v>2506</v>
      </c>
      <c r="L94" s="7">
        <v>83.954134999999994</v>
      </c>
      <c r="M94" s="7">
        <v>41.195022000000002</v>
      </c>
      <c r="N94" s="6" t="s">
        <v>2507</v>
      </c>
    </row>
    <row r="95" spans="1:14">
      <c r="A95" s="514"/>
      <c r="B95" s="5">
        <v>93</v>
      </c>
      <c r="C95" s="5" t="s">
        <v>2440</v>
      </c>
      <c r="D95" s="5" t="s">
        <v>2508</v>
      </c>
      <c r="E95" s="5" t="s">
        <v>2509</v>
      </c>
      <c r="F95" s="5" t="s">
        <v>2510</v>
      </c>
      <c r="G95" s="5" t="s">
        <v>2511</v>
      </c>
      <c r="H95" s="5">
        <v>13999075684</v>
      </c>
      <c r="I95" s="5" t="s">
        <v>2445</v>
      </c>
      <c r="J95" s="5" t="s">
        <v>2446</v>
      </c>
      <c r="K95" s="6" t="s">
        <v>2512</v>
      </c>
      <c r="L95" s="7">
        <v>82.534242000000006</v>
      </c>
      <c r="M95" s="7">
        <v>41.321072000000001</v>
      </c>
      <c r="N95" s="6" t="s">
        <v>2513</v>
      </c>
    </row>
    <row r="96" spans="1:14">
      <c r="A96" s="514"/>
      <c r="B96" s="5">
        <v>94</v>
      </c>
      <c r="C96" s="5" t="s">
        <v>2440</v>
      </c>
      <c r="D96" s="5" t="s">
        <v>2514</v>
      </c>
      <c r="E96" s="5" t="s">
        <v>2515</v>
      </c>
      <c r="F96" s="5" t="s">
        <v>2516</v>
      </c>
      <c r="G96" s="5" t="s">
        <v>2517</v>
      </c>
      <c r="H96" s="5">
        <v>18096999566</v>
      </c>
      <c r="I96" s="5" t="s">
        <v>2445</v>
      </c>
      <c r="J96" s="5" t="s">
        <v>2446</v>
      </c>
      <c r="K96" s="6" t="s">
        <v>2518</v>
      </c>
      <c r="L96" s="7">
        <v>83.181310999999994</v>
      </c>
      <c r="M96" s="7">
        <v>41.451127999999997</v>
      </c>
      <c r="N96" s="6" t="s">
        <v>2519</v>
      </c>
    </row>
    <row r="97" spans="1:14" ht="33">
      <c r="A97" s="514"/>
      <c r="B97" s="5">
        <v>95</v>
      </c>
      <c r="C97" s="5" t="s">
        <v>2440</v>
      </c>
      <c r="D97" s="5" t="s">
        <v>2520</v>
      </c>
      <c r="E97" s="5" t="s">
        <v>2521</v>
      </c>
      <c r="F97" s="5" t="s">
        <v>2522</v>
      </c>
      <c r="G97" s="5" t="s">
        <v>2523</v>
      </c>
      <c r="H97" s="5">
        <v>13899222849</v>
      </c>
      <c r="I97" s="5" t="s">
        <v>2445</v>
      </c>
      <c r="J97" s="5" t="s">
        <v>2446</v>
      </c>
      <c r="K97" s="6" t="s">
        <v>2524</v>
      </c>
      <c r="L97" s="7">
        <v>82.542265999999998</v>
      </c>
      <c r="M97" s="7">
        <v>41.454835000000003</v>
      </c>
      <c r="N97" s="6" t="s">
        <v>2525</v>
      </c>
    </row>
    <row r="98" spans="1:14">
      <c r="A98" s="514"/>
      <c r="B98" s="5">
        <v>96</v>
      </c>
      <c r="C98" s="5" t="s">
        <v>2440</v>
      </c>
      <c r="D98" s="5" t="s">
        <v>2526</v>
      </c>
      <c r="E98" s="5" t="s">
        <v>2527</v>
      </c>
      <c r="F98" s="5" t="s">
        <v>2528</v>
      </c>
      <c r="G98" s="5" t="s">
        <v>2529</v>
      </c>
      <c r="H98" s="5">
        <v>13899275477</v>
      </c>
      <c r="I98" s="5" t="s">
        <v>2440</v>
      </c>
      <c r="J98" s="5" t="s">
        <v>2530</v>
      </c>
      <c r="K98" s="6" t="s">
        <v>2531</v>
      </c>
      <c r="L98" s="7">
        <v>80.302107000000007</v>
      </c>
      <c r="M98" s="7">
        <v>41.169794000000003</v>
      </c>
      <c r="N98" s="6" t="s">
        <v>2532</v>
      </c>
    </row>
    <row r="99" spans="1:14">
      <c r="A99" s="514"/>
      <c r="B99" s="5">
        <v>97</v>
      </c>
      <c r="C99" s="5" t="s">
        <v>2440</v>
      </c>
      <c r="D99" s="5" t="s">
        <v>2533</v>
      </c>
      <c r="E99" s="5" t="s">
        <v>2534</v>
      </c>
      <c r="F99" s="5" t="s">
        <v>2535</v>
      </c>
      <c r="G99" s="5" t="s">
        <v>2536</v>
      </c>
      <c r="H99" s="5">
        <v>13279766618</v>
      </c>
      <c r="I99" s="5" t="s">
        <v>2440</v>
      </c>
      <c r="J99" s="5" t="s">
        <v>2530</v>
      </c>
      <c r="K99" s="6" t="s">
        <v>2537</v>
      </c>
      <c r="L99" s="7">
        <v>80.303224999999998</v>
      </c>
      <c r="M99" s="7">
        <v>41.172513000000002</v>
      </c>
      <c r="N99" s="6" t="s">
        <v>2538</v>
      </c>
    </row>
    <row r="100" spans="1:14">
      <c r="A100" s="514"/>
      <c r="B100" s="5">
        <v>98</v>
      </c>
      <c r="C100" s="5" t="s">
        <v>2440</v>
      </c>
      <c r="D100" s="5" t="s">
        <v>2539</v>
      </c>
      <c r="E100" s="5" t="s">
        <v>2540</v>
      </c>
      <c r="F100" s="5" t="s">
        <v>2541</v>
      </c>
      <c r="G100" s="5" t="s">
        <v>2542</v>
      </c>
      <c r="H100" s="5">
        <v>13565130549</v>
      </c>
      <c r="I100" s="5" t="s">
        <v>2440</v>
      </c>
      <c r="J100" s="5" t="s">
        <v>2440</v>
      </c>
      <c r="K100" s="6" t="s">
        <v>2543</v>
      </c>
      <c r="L100" s="7">
        <v>80.292190000000005</v>
      </c>
      <c r="M100" s="7">
        <v>41.155065999999998</v>
      </c>
      <c r="N100" s="6" t="s">
        <v>2544</v>
      </c>
    </row>
    <row r="101" spans="1:14">
      <c r="A101" s="514"/>
      <c r="B101" s="5">
        <v>99</v>
      </c>
      <c r="C101" s="5" t="s">
        <v>2440</v>
      </c>
      <c r="D101" s="5" t="s">
        <v>2141</v>
      </c>
      <c r="E101" s="5" t="s">
        <v>2545</v>
      </c>
      <c r="F101" s="5" t="s">
        <v>2546</v>
      </c>
      <c r="G101" s="5" t="s">
        <v>2547</v>
      </c>
      <c r="H101" s="5">
        <v>13779788318</v>
      </c>
      <c r="I101" s="5" t="s">
        <v>2440</v>
      </c>
      <c r="J101" s="5" t="s">
        <v>2440</v>
      </c>
      <c r="K101" s="6" t="s">
        <v>2548</v>
      </c>
      <c r="L101" s="7">
        <v>80.304696000000007</v>
      </c>
      <c r="M101" s="7">
        <v>41.184252000000001</v>
      </c>
      <c r="N101" s="6" t="s">
        <v>2549</v>
      </c>
    </row>
    <row r="102" spans="1:14">
      <c r="A102" s="514"/>
      <c r="B102" s="5">
        <v>100</v>
      </c>
      <c r="C102" s="5" t="s">
        <v>2440</v>
      </c>
      <c r="D102" s="5" t="s">
        <v>2550</v>
      </c>
      <c r="E102" s="5" t="s">
        <v>2551</v>
      </c>
      <c r="F102" s="5" t="s">
        <v>2552</v>
      </c>
      <c r="G102" s="5" t="s">
        <v>2553</v>
      </c>
      <c r="H102" s="5">
        <v>13319970618</v>
      </c>
      <c r="I102" s="5" t="s">
        <v>2440</v>
      </c>
      <c r="J102" s="5" t="s">
        <v>2440</v>
      </c>
      <c r="K102" s="6" t="s">
        <v>2554</v>
      </c>
      <c r="L102" s="7">
        <v>80.231644000000003</v>
      </c>
      <c r="M102" s="7">
        <v>41.171641000000001</v>
      </c>
      <c r="N102" s="6" t="s">
        <v>2555</v>
      </c>
    </row>
    <row r="103" spans="1:14">
      <c r="A103" s="514"/>
      <c r="B103" s="5">
        <v>101</v>
      </c>
      <c r="C103" s="5" t="s">
        <v>2440</v>
      </c>
      <c r="D103" s="5" t="s">
        <v>2556</v>
      </c>
      <c r="E103" s="5" t="s">
        <v>2557</v>
      </c>
      <c r="F103" s="5" t="s">
        <v>2558</v>
      </c>
      <c r="G103" s="5" t="s">
        <v>2559</v>
      </c>
      <c r="H103" s="5">
        <v>13899229662</v>
      </c>
      <c r="I103" s="5" t="s">
        <v>2440</v>
      </c>
      <c r="J103" s="5" t="s">
        <v>2440</v>
      </c>
      <c r="K103" s="6" t="s">
        <v>2560</v>
      </c>
      <c r="L103" s="7">
        <v>80.277968999999999</v>
      </c>
      <c r="M103" s="7">
        <v>41.170710999999997</v>
      </c>
      <c r="N103" s="6" t="s">
        <v>2549</v>
      </c>
    </row>
    <row r="104" spans="1:14">
      <c r="A104" s="514"/>
      <c r="B104" s="5">
        <v>102</v>
      </c>
      <c r="C104" s="5" t="s">
        <v>2440</v>
      </c>
      <c r="D104" s="5" t="s">
        <v>2561</v>
      </c>
      <c r="E104" s="5" t="s">
        <v>2562</v>
      </c>
      <c r="F104" s="5" t="s">
        <v>2563</v>
      </c>
      <c r="G104" s="5" t="s">
        <v>2564</v>
      </c>
      <c r="H104" s="5">
        <v>18809077912</v>
      </c>
      <c r="I104" s="5" t="s">
        <v>2440</v>
      </c>
      <c r="J104" s="5" t="s">
        <v>2440</v>
      </c>
      <c r="K104" s="6" t="s">
        <v>2565</v>
      </c>
      <c r="L104" s="7">
        <v>80.339566000000005</v>
      </c>
      <c r="M104" s="7">
        <v>41.234870999999998</v>
      </c>
      <c r="N104" s="6" t="s">
        <v>2566</v>
      </c>
    </row>
    <row r="105" spans="1:14">
      <c r="A105" s="514"/>
      <c r="B105" s="5">
        <v>103</v>
      </c>
      <c r="C105" s="5" t="s">
        <v>2440</v>
      </c>
      <c r="D105" s="5" t="s">
        <v>2567</v>
      </c>
      <c r="E105" s="5" t="s">
        <v>2568</v>
      </c>
      <c r="F105" s="5" t="s">
        <v>2569</v>
      </c>
      <c r="G105" s="5" t="s">
        <v>2570</v>
      </c>
      <c r="H105" s="5">
        <v>18299598708</v>
      </c>
      <c r="I105" s="5" t="s">
        <v>2440</v>
      </c>
      <c r="J105" s="5" t="s">
        <v>2440</v>
      </c>
      <c r="K105" s="6" t="s">
        <v>2571</v>
      </c>
      <c r="L105" s="7">
        <v>80.270356000000007</v>
      </c>
      <c r="M105" s="7">
        <v>41.139878000000003</v>
      </c>
      <c r="N105" s="6" t="s">
        <v>2572</v>
      </c>
    </row>
    <row r="106" spans="1:14">
      <c r="A106" s="514"/>
      <c r="B106" s="5">
        <v>104</v>
      </c>
      <c r="C106" s="5" t="s">
        <v>2440</v>
      </c>
      <c r="D106" s="5" t="s">
        <v>2573</v>
      </c>
      <c r="E106" s="5" t="s">
        <v>2574</v>
      </c>
      <c r="F106" s="5" t="s">
        <v>2575</v>
      </c>
      <c r="G106" s="5" t="s">
        <v>2576</v>
      </c>
      <c r="H106" s="5">
        <v>15292310733</v>
      </c>
      <c r="I106" s="5" t="s">
        <v>2440</v>
      </c>
      <c r="J106" s="5" t="s">
        <v>2440</v>
      </c>
      <c r="K106" s="6" t="s">
        <v>2577</v>
      </c>
      <c r="L106" s="7">
        <v>80.288426000000001</v>
      </c>
      <c r="M106" s="7">
        <v>41.189956000000002</v>
      </c>
      <c r="N106" s="6" t="s">
        <v>2578</v>
      </c>
    </row>
    <row r="107" spans="1:14">
      <c r="A107" s="514"/>
      <c r="B107" s="5">
        <v>105</v>
      </c>
      <c r="C107" s="5" t="s">
        <v>2440</v>
      </c>
      <c r="D107" s="5" t="s">
        <v>2579</v>
      </c>
      <c r="E107" s="5" t="s">
        <v>2580</v>
      </c>
      <c r="F107" s="5" t="s">
        <v>2581</v>
      </c>
      <c r="G107" s="5" t="s">
        <v>2582</v>
      </c>
      <c r="H107" s="5">
        <v>13779428167</v>
      </c>
      <c r="I107" s="5" t="s">
        <v>2440</v>
      </c>
      <c r="J107" s="5" t="s">
        <v>2440</v>
      </c>
      <c r="K107" s="6" t="s">
        <v>2583</v>
      </c>
      <c r="L107" s="7">
        <v>80.289567000000005</v>
      </c>
      <c r="M107" s="7">
        <v>41.173096999999999</v>
      </c>
      <c r="N107" s="6" t="s">
        <v>2584</v>
      </c>
    </row>
    <row r="108" spans="1:14">
      <c r="A108" s="514"/>
      <c r="B108" s="5">
        <v>106</v>
      </c>
      <c r="C108" s="5" t="s">
        <v>2440</v>
      </c>
      <c r="D108" s="5" t="s">
        <v>2585</v>
      </c>
      <c r="E108" s="5" t="s">
        <v>2586</v>
      </c>
      <c r="F108" s="5" t="s">
        <v>2587</v>
      </c>
      <c r="G108" s="5" t="s">
        <v>2588</v>
      </c>
      <c r="H108" s="5">
        <v>17699766762</v>
      </c>
      <c r="I108" s="5" t="s">
        <v>2440</v>
      </c>
      <c r="J108" s="5" t="s">
        <v>2440</v>
      </c>
      <c r="K108" s="6" t="s">
        <v>2589</v>
      </c>
      <c r="L108" s="7">
        <v>80.317481000000001</v>
      </c>
      <c r="M108" s="7">
        <v>41.163758999999999</v>
      </c>
      <c r="N108" s="6" t="s">
        <v>2590</v>
      </c>
    </row>
    <row r="109" spans="1:14">
      <c r="A109" s="514"/>
      <c r="B109" s="5">
        <v>107</v>
      </c>
      <c r="C109" s="5" t="s">
        <v>2440</v>
      </c>
      <c r="D109" s="5" t="s">
        <v>2591</v>
      </c>
      <c r="E109" s="5" t="s">
        <v>2592</v>
      </c>
      <c r="F109" s="5" t="s">
        <v>2593</v>
      </c>
      <c r="G109" s="5" t="s">
        <v>2594</v>
      </c>
      <c r="H109" s="5">
        <v>19999719995</v>
      </c>
      <c r="I109" s="5" t="s">
        <v>2440</v>
      </c>
      <c r="J109" s="5" t="s">
        <v>2440</v>
      </c>
      <c r="K109" s="6" t="s">
        <v>2595</v>
      </c>
      <c r="L109" s="7">
        <v>80.204335</v>
      </c>
      <c r="M109" s="7">
        <v>41.089106999999998</v>
      </c>
      <c r="N109" s="6" t="s">
        <v>2596</v>
      </c>
    </row>
    <row r="110" spans="1:14">
      <c r="A110" s="514"/>
      <c r="B110" s="5">
        <v>108</v>
      </c>
      <c r="C110" s="5" t="s">
        <v>2440</v>
      </c>
      <c r="D110" s="5" t="s">
        <v>2597</v>
      </c>
      <c r="E110" s="5" t="s">
        <v>2598</v>
      </c>
      <c r="F110" s="5" t="s">
        <v>2599</v>
      </c>
      <c r="G110" s="5" t="s">
        <v>2600</v>
      </c>
      <c r="H110" s="5">
        <v>15599961310</v>
      </c>
      <c r="I110" s="5" t="s">
        <v>2440</v>
      </c>
      <c r="J110" s="5" t="s">
        <v>2440</v>
      </c>
      <c r="K110" s="6" t="s">
        <v>2601</v>
      </c>
      <c r="L110" s="7">
        <v>80.201711000000003</v>
      </c>
      <c r="M110" s="7">
        <v>41.088476</v>
      </c>
      <c r="N110" s="6" t="s">
        <v>2602</v>
      </c>
    </row>
    <row r="111" spans="1:14">
      <c r="A111" s="514"/>
      <c r="B111" s="5">
        <v>109</v>
      </c>
      <c r="C111" s="5" t="s">
        <v>2440</v>
      </c>
      <c r="D111" s="5" t="s">
        <v>2603</v>
      </c>
      <c r="E111" s="5" t="s">
        <v>2604</v>
      </c>
      <c r="F111" s="5" t="s">
        <v>2605</v>
      </c>
      <c r="G111" s="5" t="s">
        <v>2606</v>
      </c>
      <c r="H111" s="5">
        <v>13899227398</v>
      </c>
      <c r="I111" s="5" t="s">
        <v>2440</v>
      </c>
      <c r="J111" s="5" t="s">
        <v>2440</v>
      </c>
      <c r="K111" s="6" t="s">
        <v>2607</v>
      </c>
      <c r="L111" s="7">
        <v>80.226347000000004</v>
      </c>
      <c r="M111" s="7">
        <v>41.125532999999997</v>
      </c>
      <c r="N111" s="6" t="s">
        <v>2608</v>
      </c>
    </row>
    <row r="112" spans="1:14">
      <c r="A112" s="514"/>
      <c r="B112" s="5">
        <v>110</v>
      </c>
      <c r="C112" s="5" t="s">
        <v>2440</v>
      </c>
      <c r="D112" s="5" t="s">
        <v>2609</v>
      </c>
      <c r="E112" s="5" t="s">
        <v>2610</v>
      </c>
      <c r="F112" s="5" t="s">
        <v>2611</v>
      </c>
      <c r="G112" s="5" t="s">
        <v>2612</v>
      </c>
      <c r="H112" s="5">
        <v>15009974499</v>
      </c>
      <c r="I112" s="5" t="s">
        <v>2445</v>
      </c>
      <c r="J112" s="5" t="s">
        <v>2530</v>
      </c>
      <c r="K112" s="6" t="s">
        <v>2613</v>
      </c>
      <c r="L112" s="7">
        <v>80.231644000000003</v>
      </c>
      <c r="M112" s="7">
        <v>41.171641000000001</v>
      </c>
      <c r="N112" s="6" t="s">
        <v>2538</v>
      </c>
    </row>
    <row r="113" spans="1:14">
      <c r="A113" s="514"/>
      <c r="B113" s="5">
        <v>111</v>
      </c>
      <c r="C113" s="5" t="s">
        <v>2440</v>
      </c>
      <c r="D113" s="5" t="s">
        <v>2614</v>
      </c>
      <c r="E113" s="5" t="s">
        <v>2615</v>
      </c>
      <c r="F113" s="5" t="s">
        <v>2616</v>
      </c>
      <c r="G113" s="5" t="s">
        <v>2617</v>
      </c>
      <c r="H113" s="5">
        <v>15770063003</v>
      </c>
      <c r="I113" s="5" t="s">
        <v>2440</v>
      </c>
      <c r="J113" s="5" t="s">
        <v>2355</v>
      </c>
      <c r="K113" s="6" t="s">
        <v>2618</v>
      </c>
      <c r="L113" s="7">
        <v>80.159244999999999</v>
      </c>
      <c r="M113" s="7">
        <v>41.136876999999998</v>
      </c>
      <c r="N113" s="6" t="s">
        <v>2619</v>
      </c>
    </row>
    <row r="114" spans="1:14">
      <c r="A114" s="514"/>
      <c r="B114" s="5">
        <v>112</v>
      </c>
      <c r="C114" s="5" t="s">
        <v>2440</v>
      </c>
      <c r="D114" s="5" t="s">
        <v>2620</v>
      </c>
      <c r="E114" s="5" t="s">
        <v>2621</v>
      </c>
      <c r="F114" s="5" t="s">
        <v>2622</v>
      </c>
      <c r="G114" s="5" t="s">
        <v>2623</v>
      </c>
      <c r="H114" s="5">
        <v>13899293316</v>
      </c>
      <c r="I114" s="5" t="s">
        <v>2440</v>
      </c>
      <c r="J114" s="5" t="s">
        <v>2355</v>
      </c>
      <c r="K114" s="6" t="s">
        <v>2624</v>
      </c>
      <c r="L114" s="7">
        <v>80.156581000000003</v>
      </c>
      <c r="M114" s="7">
        <v>41.058878999999997</v>
      </c>
      <c r="N114" s="6" t="s">
        <v>2625</v>
      </c>
    </row>
    <row r="115" spans="1:14">
      <c r="A115" s="514"/>
      <c r="B115" s="5">
        <v>113</v>
      </c>
      <c r="C115" s="5" t="s">
        <v>2626</v>
      </c>
      <c r="D115" s="5" t="s">
        <v>2627</v>
      </c>
      <c r="E115" s="5" t="s">
        <v>2628</v>
      </c>
      <c r="F115" s="5" t="s">
        <v>2629</v>
      </c>
      <c r="G115" s="5" t="s">
        <v>2630</v>
      </c>
      <c r="H115" s="5">
        <v>15209977676</v>
      </c>
      <c r="I115" s="5" t="s">
        <v>2631</v>
      </c>
      <c r="J115" s="5" t="s">
        <v>2631</v>
      </c>
      <c r="K115" s="6" t="s">
        <v>2632</v>
      </c>
      <c r="L115" s="7">
        <v>81.320528999999993</v>
      </c>
      <c r="M115" s="7">
        <v>40.544868999999998</v>
      </c>
      <c r="N115" s="6" t="s">
        <v>2633</v>
      </c>
    </row>
    <row r="116" spans="1:14">
      <c r="A116" s="512" t="s">
        <v>2634</v>
      </c>
      <c r="B116" s="5">
        <v>114</v>
      </c>
      <c r="C116" s="8" t="s">
        <v>2635</v>
      </c>
      <c r="D116" s="8" t="s">
        <v>2636</v>
      </c>
      <c r="E116" s="8" t="s">
        <v>2637</v>
      </c>
      <c r="F116" s="8" t="s">
        <v>2638</v>
      </c>
      <c r="G116" s="8" t="s">
        <v>2639</v>
      </c>
      <c r="H116" s="8">
        <v>18935737071</v>
      </c>
      <c r="I116" s="8" t="s">
        <v>2640</v>
      </c>
      <c r="J116" s="8" t="s">
        <v>2640</v>
      </c>
      <c r="K116" s="9" t="s">
        <v>2641</v>
      </c>
      <c r="L116" s="10">
        <v>87.301829999999995</v>
      </c>
      <c r="M116" s="10">
        <v>44.017929000000002</v>
      </c>
      <c r="N116" s="9" t="s">
        <v>2642</v>
      </c>
    </row>
    <row r="117" spans="1:14">
      <c r="A117" s="514"/>
      <c r="B117" s="5">
        <v>115</v>
      </c>
      <c r="C117" s="5" t="s">
        <v>2635</v>
      </c>
      <c r="D117" s="5" t="s">
        <v>2643</v>
      </c>
      <c r="E117" s="5" t="s">
        <v>2644</v>
      </c>
      <c r="F117" s="5" t="s">
        <v>2645</v>
      </c>
      <c r="G117" s="5" t="s">
        <v>2646</v>
      </c>
      <c r="H117" s="5">
        <v>15809949960</v>
      </c>
      <c r="I117" s="5" t="s">
        <v>2640</v>
      </c>
      <c r="J117" s="5" t="s">
        <v>2640</v>
      </c>
      <c r="K117" s="6" t="s">
        <v>2647</v>
      </c>
      <c r="L117" s="7">
        <v>87.301489000000004</v>
      </c>
      <c r="M117" s="7">
        <v>44.008291999999997</v>
      </c>
      <c r="N117" s="6" t="s">
        <v>2648</v>
      </c>
    </row>
    <row r="118" spans="1:14">
      <c r="A118" s="514"/>
      <c r="B118" s="5">
        <v>116</v>
      </c>
      <c r="C118" s="5" t="s">
        <v>2635</v>
      </c>
      <c r="D118" s="5" t="s">
        <v>2649</v>
      </c>
      <c r="E118" s="5" t="s">
        <v>2650</v>
      </c>
      <c r="F118" s="5" t="s">
        <v>2651</v>
      </c>
      <c r="G118" s="5" t="s">
        <v>2652</v>
      </c>
      <c r="H118" s="5">
        <v>18290657474</v>
      </c>
      <c r="I118" s="5" t="s">
        <v>2640</v>
      </c>
      <c r="J118" s="5" t="s">
        <v>2640</v>
      </c>
      <c r="K118" s="6" t="s">
        <v>2653</v>
      </c>
      <c r="L118" s="7">
        <v>87.284719999999993</v>
      </c>
      <c r="M118" s="7">
        <v>43.96875</v>
      </c>
      <c r="N118" s="6" t="s">
        <v>2654</v>
      </c>
    </row>
    <row r="119" spans="1:14">
      <c r="A119" s="514"/>
      <c r="B119" s="5">
        <v>117</v>
      </c>
      <c r="C119" s="5" t="s">
        <v>2635</v>
      </c>
      <c r="D119" s="5" t="s">
        <v>2655</v>
      </c>
      <c r="E119" s="5" t="s">
        <v>2656</v>
      </c>
      <c r="F119" s="5" t="s">
        <v>2657</v>
      </c>
      <c r="G119" s="5" t="s">
        <v>2658</v>
      </c>
      <c r="H119" s="5">
        <v>13579619092</v>
      </c>
      <c r="I119" s="5" t="s">
        <v>2640</v>
      </c>
      <c r="J119" s="5" t="s">
        <v>2640</v>
      </c>
      <c r="K119" s="6" t="s">
        <v>2659</v>
      </c>
      <c r="L119" s="7">
        <v>87.194599999999994</v>
      </c>
      <c r="M119" s="7">
        <v>44.031999999999996</v>
      </c>
      <c r="N119" s="6" t="s">
        <v>2660</v>
      </c>
    </row>
    <row r="120" spans="1:14">
      <c r="A120" s="514"/>
      <c r="B120" s="5">
        <v>118</v>
      </c>
      <c r="C120" s="5" t="s">
        <v>2635</v>
      </c>
      <c r="D120" s="5" t="s">
        <v>2661</v>
      </c>
      <c r="E120" s="5" t="s">
        <v>2662</v>
      </c>
      <c r="F120" s="5" t="s">
        <v>2663</v>
      </c>
      <c r="G120" s="5" t="s">
        <v>2664</v>
      </c>
      <c r="H120" s="5">
        <v>13109006503</v>
      </c>
      <c r="I120" s="5" t="s">
        <v>2640</v>
      </c>
      <c r="J120" s="5" t="s">
        <v>2640</v>
      </c>
      <c r="K120" s="6" t="s">
        <v>2665</v>
      </c>
      <c r="L120" s="7">
        <v>87.199960000000004</v>
      </c>
      <c r="M120" s="7">
        <v>43.976199999999999</v>
      </c>
      <c r="N120" s="6" t="s">
        <v>2666</v>
      </c>
    </row>
    <row r="121" spans="1:14">
      <c r="A121" s="514"/>
      <c r="B121" s="5">
        <v>119</v>
      </c>
      <c r="C121" s="5" t="s">
        <v>2635</v>
      </c>
      <c r="D121" s="5" t="s">
        <v>2667</v>
      </c>
      <c r="E121" s="5" t="s">
        <v>2668</v>
      </c>
      <c r="F121" s="5" t="s">
        <v>2669</v>
      </c>
      <c r="G121" s="5" t="s">
        <v>2670</v>
      </c>
      <c r="H121" s="5">
        <v>18290686874</v>
      </c>
      <c r="I121" s="5" t="s">
        <v>2640</v>
      </c>
      <c r="J121" s="5" t="s">
        <v>2640</v>
      </c>
      <c r="K121" s="6" t="s">
        <v>2671</v>
      </c>
      <c r="L121" s="7">
        <v>44.070808</v>
      </c>
      <c r="M121" s="7">
        <v>87.344660000000005</v>
      </c>
      <c r="N121" s="6" t="s">
        <v>2672</v>
      </c>
    </row>
    <row r="122" spans="1:14">
      <c r="A122" s="514"/>
      <c r="B122" s="5">
        <v>120</v>
      </c>
      <c r="C122" s="5" t="s">
        <v>2635</v>
      </c>
      <c r="D122" s="5" t="s">
        <v>2673</v>
      </c>
      <c r="E122" s="5" t="s">
        <v>2674</v>
      </c>
      <c r="F122" s="5" t="s">
        <v>2675</v>
      </c>
      <c r="G122" s="5" t="s">
        <v>2676</v>
      </c>
      <c r="H122" s="5">
        <v>18799689238</v>
      </c>
      <c r="I122" s="5" t="s">
        <v>2640</v>
      </c>
      <c r="J122" s="5" t="s">
        <v>2640</v>
      </c>
      <c r="K122" s="6" t="s">
        <v>2677</v>
      </c>
      <c r="L122" s="7">
        <v>87.1725821</v>
      </c>
      <c r="M122" s="7">
        <v>44.072306400000002</v>
      </c>
      <c r="N122" s="6" t="s">
        <v>2678</v>
      </c>
    </row>
    <row r="123" spans="1:14">
      <c r="A123" s="514"/>
      <c r="B123" s="5">
        <v>121</v>
      </c>
      <c r="C123" s="5" t="s">
        <v>2635</v>
      </c>
      <c r="D123" s="5" t="s">
        <v>2679</v>
      </c>
      <c r="E123" s="5" t="s">
        <v>2680</v>
      </c>
      <c r="F123" s="5" t="s">
        <v>2681</v>
      </c>
      <c r="G123" s="5" t="s">
        <v>2682</v>
      </c>
      <c r="H123" s="5">
        <v>15599799994</v>
      </c>
      <c r="I123" s="5" t="s">
        <v>2640</v>
      </c>
      <c r="J123" s="5" t="s">
        <v>2640</v>
      </c>
      <c r="K123" s="6" t="s">
        <v>2683</v>
      </c>
      <c r="L123" s="7">
        <v>87.144869999999997</v>
      </c>
      <c r="M123" s="7">
        <v>43.572091999999998</v>
      </c>
      <c r="N123" s="6" t="s">
        <v>2684</v>
      </c>
    </row>
    <row r="124" spans="1:14">
      <c r="A124" s="514"/>
      <c r="B124" s="5">
        <v>122</v>
      </c>
      <c r="C124" s="5" t="s">
        <v>2635</v>
      </c>
      <c r="D124" s="5" t="s">
        <v>2661</v>
      </c>
      <c r="E124" s="5" t="s">
        <v>2662</v>
      </c>
      <c r="F124" s="5" t="s">
        <v>2663</v>
      </c>
      <c r="G124" s="5" t="s">
        <v>2664</v>
      </c>
      <c r="H124" s="5">
        <v>13109006503</v>
      </c>
      <c r="I124" s="5" t="s">
        <v>2640</v>
      </c>
      <c r="J124" s="5" t="s">
        <v>2640</v>
      </c>
      <c r="K124" s="6" t="s">
        <v>2665</v>
      </c>
      <c r="L124" s="7">
        <v>87.199960000000004</v>
      </c>
      <c r="M124" s="7">
        <v>43.976199999999999</v>
      </c>
      <c r="N124" s="6" t="s">
        <v>2685</v>
      </c>
    </row>
    <row r="125" spans="1:14">
      <c r="A125" s="514"/>
      <c r="B125" s="5">
        <v>123</v>
      </c>
      <c r="C125" s="5" t="s">
        <v>2635</v>
      </c>
      <c r="D125" s="5" t="s">
        <v>2686</v>
      </c>
      <c r="E125" s="5" t="s">
        <v>2687</v>
      </c>
      <c r="F125" s="5" t="s">
        <v>2688</v>
      </c>
      <c r="G125" s="5" t="s">
        <v>2689</v>
      </c>
      <c r="H125" s="5">
        <v>13899647232</v>
      </c>
      <c r="I125" s="5" t="s">
        <v>2640</v>
      </c>
      <c r="J125" s="5" t="s">
        <v>2690</v>
      </c>
      <c r="K125" s="6" t="s">
        <v>2691</v>
      </c>
      <c r="L125" s="7">
        <v>87.936871999999994</v>
      </c>
      <c r="M125" s="7">
        <v>44.177039000000001</v>
      </c>
      <c r="N125" s="6" t="s">
        <v>2692</v>
      </c>
    </row>
    <row r="126" spans="1:14">
      <c r="A126" s="514"/>
      <c r="B126" s="5">
        <v>124</v>
      </c>
      <c r="C126" s="5" t="s">
        <v>2635</v>
      </c>
      <c r="D126" s="5" t="s">
        <v>2693</v>
      </c>
      <c r="E126" s="5" t="s">
        <v>2694</v>
      </c>
      <c r="F126" s="5" t="s">
        <v>2695</v>
      </c>
      <c r="G126" s="5" t="s">
        <v>2696</v>
      </c>
      <c r="H126" s="5">
        <v>18009940158</v>
      </c>
      <c r="I126" s="5" t="s">
        <v>2640</v>
      </c>
      <c r="J126" s="5" t="s">
        <v>2690</v>
      </c>
      <c r="K126" s="6" t="s">
        <v>2697</v>
      </c>
      <c r="L126" s="7">
        <v>87.585999999999999</v>
      </c>
      <c r="M126" s="7">
        <v>44.850999999999999</v>
      </c>
      <c r="N126" s="6" t="s">
        <v>2698</v>
      </c>
    </row>
    <row r="127" spans="1:14">
      <c r="A127" s="514"/>
      <c r="B127" s="5">
        <v>125</v>
      </c>
      <c r="C127" s="5" t="s">
        <v>2635</v>
      </c>
      <c r="D127" s="5" t="s">
        <v>2699</v>
      </c>
      <c r="E127" s="5" t="s">
        <v>2700</v>
      </c>
      <c r="F127" s="5" t="s">
        <v>2701</v>
      </c>
      <c r="G127" s="5" t="s">
        <v>2702</v>
      </c>
      <c r="H127" s="5">
        <v>15209948656</v>
      </c>
      <c r="I127" s="5" t="s">
        <v>2640</v>
      </c>
      <c r="J127" s="5" t="s">
        <v>2703</v>
      </c>
      <c r="K127" s="6" t="s">
        <v>2704</v>
      </c>
      <c r="L127" s="7" t="s">
        <v>2705</v>
      </c>
      <c r="M127" s="7" t="s">
        <v>2706</v>
      </c>
      <c r="N127" s="6" t="s">
        <v>2707</v>
      </c>
    </row>
    <row r="128" spans="1:14">
      <c r="A128" s="514"/>
      <c r="B128" s="5">
        <v>126</v>
      </c>
      <c r="C128" s="5" t="s">
        <v>2635</v>
      </c>
      <c r="D128" s="5" t="s">
        <v>2708</v>
      </c>
      <c r="E128" s="5" t="s">
        <v>2709</v>
      </c>
      <c r="F128" s="5" t="s">
        <v>2710</v>
      </c>
      <c r="G128" s="5" t="s">
        <v>2711</v>
      </c>
      <c r="H128" s="5">
        <v>15299698833</v>
      </c>
      <c r="I128" s="5" t="s">
        <v>2640</v>
      </c>
      <c r="J128" s="5" t="s">
        <v>2703</v>
      </c>
      <c r="K128" s="6" t="s">
        <v>2712</v>
      </c>
      <c r="L128" s="7">
        <v>89.152500000000003</v>
      </c>
      <c r="M128" s="7">
        <v>43.574599999999997</v>
      </c>
      <c r="N128" s="6" t="s">
        <v>2713</v>
      </c>
    </row>
    <row r="129" spans="1:14">
      <c r="A129" s="514"/>
      <c r="B129" s="5">
        <v>127</v>
      </c>
      <c r="C129" s="5" t="s">
        <v>2635</v>
      </c>
      <c r="D129" s="5" t="s">
        <v>2714</v>
      </c>
      <c r="E129" s="5" t="s">
        <v>2715</v>
      </c>
      <c r="F129" s="5" t="s">
        <v>2716</v>
      </c>
      <c r="G129" s="5" t="s">
        <v>2717</v>
      </c>
      <c r="H129" s="5">
        <v>18096832199</v>
      </c>
      <c r="I129" s="5" t="s">
        <v>2640</v>
      </c>
      <c r="J129" s="5" t="s">
        <v>2703</v>
      </c>
      <c r="K129" s="6" t="s">
        <v>2718</v>
      </c>
      <c r="L129" s="7">
        <v>89.261424000000005</v>
      </c>
      <c r="M129" s="7">
        <v>43.962029999999999</v>
      </c>
      <c r="N129" s="6" t="s">
        <v>2719</v>
      </c>
    </row>
    <row r="130" spans="1:14">
      <c r="A130" s="514"/>
      <c r="B130" s="5">
        <v>128</v>
      </c>
      <c r="C130" s="5" t="s">
        <v>2635</v>
      </c>
      <c r="D130" s="5" t="s">
        <v>2720</v>
      </c>
      <c r="E130" s="5" t="s">
        <v>2721</v>
      </c>
      <c r="F130" s="5" t="s">
        <v>2722</v>
      </c>
      <c r="G130" s="5" t="s">
        <v>2723</v>
      </c>
      <c r="H130" s="5">
        <v>18997566513</v>
      </c>
      <c r="I130" s="5" t="s">
        <v>2640</v>
      </c>
      <c r="J130" s="5" t="s">
        <v>2703</v>
      </c>
      <c r="K130" s="6" t="s">
        <v>2724</v>
      </c>
      <c r="L130" s="7">
        <v>89.102000000000004</v>
      </c>
      <c r="M130" s="7">
        <v>43.591000000000001</v>
      </c>
      <c r="N130" s="6" t="s">
        <v>2725</v>
      </c>
    </row>
    <row r="131" spans="1:14">
      <c r="A131" s="514"/>
      <c r="B131" s="5">
        <v>129</v>
      </c>
      <c r="C131" s="5" t="s">
        <v>2635</v>
      </c>
      <c r="D131" s="5" t="s">
        <v>2726</v>
      </c>
      <c r="E131" s="5" t="s">
        <v>2727</v>
      </c>
      <c r="F131" s="5" t="s">
        <v>2728</v>
      </c>
      <c r="G131" s="5" t="s">
        <v>2729</v>
      </c>
      <c r="H131" s="5">
        <v>13519961116</v>
      </c>
      <c r="I131" s="5" t="s">
        <v>2640</v>
      </c>
      <c r="J131" s="5" t="s">
        <v>2703</v>
      </c>
      <c r="K131" s="6" t="s">
        <v>2730</v>
      </c>
      <c r="L131" s="7" t="s">
        <v>2731</v>
      </c>
      <c r="M131" s="7" t="s">
        <v>2732</v>
      </c>
      <c r="N131" s="6" t="s">
        <v>2733</v>
      </c>
    </row>
    <row r="132" spans="1:14">
      <c r="A132" s="514"/>
      <c r="B132" s="5">
        <v>130</v>
      </c>
      <c r="C132" s="5" t="s">
        <v>2635</v>
      </c>
      <c r="D132" s="5" t="s">
        <v>2734</v>
      </c>
      <c r="E132" s="5" t="s">
        <v>2735</v>
      </c>
      <c r="F132" s="5" t="s">
        <v>2736</v>
      </c>
      <c r="G132" s="5" t="s">
        <v>2737</v>
      </c>
      <c r="H132" s="5">
        <v>18299528822</v>
      </c>
      <c r="I132" s="5" t="s">
        <v>2640</v>
      </c>
      <c r="J132" s="5" t="s">
        <v>2703</v>
      </c>
      <c r="K132" s="6" t="s">
        <v>2738</v>
      </c>
      <c r="L132" s="7">
        <v>89.193116000000003</v>
      </c>
      <c r="M132" s="7">
        <v>43.584603000000001</v>
      </c>
      <c r="N132" s="6" t="s">
        <v>2739</v>
      </c>
    </row>
    <row r="133" spans="1:14">
      <c r="A133" s="514"/>
      <c r="B133" s="5">
        <v>131</v>
      </c>
      <c r="C133" s="5" t="s">
        <v>2635</v>
      </c>
      <c r="D133" s="5" t="s">
        <v>2740</v>
      </c>
      <c r="E133" s="5" t="s">
        <v>2741</v>
      </c>
      <c r="F133" s="5" t="s">
        <v>2742</v>
      </c>
      <c r="G133" s="5" t="s">
        <v>2743</v>
      </c>
      <c r="H133" s="5">
        <v>18799058875</v>
      </c>
      <c r="I133" s="5" t="s">
        <v>2640</v>
      </c>
      <c r="J133" s="5" t="s">
        <v>2703</v>
      </c>
      <c r="K133" s="6" t="s">
        <v>2744</v>
      </c>
      <c r="L133" s="7" t="s">
        <v>2745</v>
      </c>
      <c r="M133" s="7" t="s">
        <v>2746</v>
      </c>
      <c r="N133" s="6" t="s">
        <v>2747</v>
      </c>
    </row>
    <row r="134" spans="1:14">
      <c r="A134" s="514"/>
      <c r="B134" s="5">
        <v>132</v>
      </c>
      <c r="C134" s="5" t="s">
        <v>2635</v>
      </c>
      <c r="D134" s="5" t="s">
        <v>2748</v>
      </c>
      <c r="E134" s="5" t="s">
        <v>2749</v>
      </c>
      <c r="F134" s="5" t="s">
        <v>2750</v>
      </c>
      <c r="G134" s="5" t="s">
        <v>2751</v>
      </c>
      <c r="H134" s="5">
        <v>13009602777</v>
      </c>
      <c r="I134" s="5" t="s">
        <v>2640</v>
      </c>
      <c r="J134" s="5" t="s">
        <v>2752</v>
      </c>
      <c r="K134" s="6" t="s">
        <v>2753</v>
      </c>
      <c r="L134" s="7">
        <v>86.585937000000001</v>
      </c>
      <c r="M134" s="7">
        <v>44.173838000000003</v>
      </c>
      <c r="N134" s="6" t="s">
        <v>2754</v>
      </c>
    </row>
    <row r="135" spans="1:14">
      <c r="A135" s="514"/>
      <c r="B135" s="5">
        <v>133</v>
      </c>
      <c r="C135" s="5" t="s">
        <v>2635</v>
      </c>
      <c r="D135" s="5" t="s">
        <v>2755</v>
      </c>
      <c r="E135" s="5" t="s">
        <v>2756</v>
      </c>
      <c r="F135" s="5" t="s">
        <v>2757</v>
      </c>
      <c r="G135" s="5" t="s">
        <v>2758</v>
      </c>
      <c r="H135" s="5">
        <v>13565638877</v>
      </c>
      <c r="I135" s="5" t="s">
        <v>2640</v>
      </c>
      <c r="J135" s="5" t="s">
        <v>2752</v>
      </c>
      <c r="K135" s="6" t="s">
        <v>2759</v>
      </c>
      <c r="L135" s="7">
        <v>86.881230000000002</v>
      </c>
      <c r="M135" s="7">
        <v>44.192480000000003</v>
      </c>
      <c r="N135" s="6" t="s">
        <v>2760</v>
      </c>
    </row>
    <row r="136" spans="1:14">
      <c r="A136" s="514"/>
      <c r="B136" s="5">
        <v>134</v>
      </c>
      <c r="C136" s="5" t="s">
        <v>2635</v>
      </c>
      <c r="D136" s="5" t="s">
        <v>2761</v>
      </c>
      <c r="E136" s="5" t="s">
        <v>2762</v>
      </c>
      <c r="F136" s="5" t="s">
        <v>2763</v>
      </c>
      <c r="G136" s="5" t="s">
        <v>2764</v>
      </c>
      <c r="H136" s="5">
        <v>13899603880</v>
      </c>
      <c r="I136" s="5" t="s">
        <v>2640</v>
      </c>
      <c r="J136" s="5" t="s">
        <v>2752</v>
      </c>
      <c r="K136" s="6" t="s">
        <v>2765</v>
      </c>
      <c r="L136" s="7">
        <v>86.698717000000002</v>
      </c>
      <c r="M136" s="7">
        <v>44.197226999999998</v>
      </c>
      <c r="N136" s="6" t="s">
        <v>2766</v>
      </c>
    </row>
    <row r="137" spans="1:14">
      <c r="A137" s="514"/>
      <c r="B137" s="5">
        <v>135</v>
      </c>
      <c r="C137" s="5" t="s">
        <v>2635</v>
      </c>
      <c r="D137" s="5" t="s">
        <v>2767</v>
      </c>
      <c r="E137" s="5" t="s">
        <v>2768</v>
      </c>
      <c r="F137" s="5" t="s">
        <v>2769</v>
      </c>
      <c r="G137" s="5" t="s">
        <v>2770</v>
      </c>
      <c r="H137" s="5">
        <v>13999562577</v>
      </c>
      <c r="I137" s="5" t="s">
        <v>2640</v>
      </c>
      <c r="J137" s="5" t="s">
        <v>2771</v>
      </c>
      <c r="K137" s="6" t="s">
        <v>2772</v>
      </c>
      <c r="L137" s="7">
        <v>89.748457000000002</v>
      </c>
      <c r="M137" s="7">
        <v>43.663246000000001</v>
      </c>
      <c r="N137" s="6" t="s">
        <v>2773</v>
      </c>
    </row>
    <row r="138" spans="1:14">
      <c r="A138" s="514"/>
      <c r="B138" s="5">
        <v>136</v>
      </c>
      <c r="C138" s="5" t="s">
        <v>2635</v>
      </c>
      <c r="D138" s="5" t="s">
        <v>2774</v>
      </c>
      <c r="E138" s="5" t="s">
        <v>2775</v>
      </c>
      <c r="F138" s="5" t="s">
        <v>2776</v>
      </c>
      <c r="G138" s="5" t="s">
        <v>2777</v>
      </c>
      <c r="H138" s="5">
        <v>15894782170</v>
      </c>
      <c r="I138" s="5" t="s">
        <v>2640</v>
      </c>
      <c r="J138" s="5" t="s">
        <v>2771</v>
      </c>
      <c r="K138" s="6" t="s">
        <v>2778</v>
      </c>
      <c r="L138" s="7">
        <v>89.584999999999994</v>
      </c>
      <c r="M138" s="7">
        <v>43.709167000000001</v>
      </c>
      <c r="N138" s="6" t="s">
        <v>2779</v>
      </c>
    </row>
    <row r="139" spans="1:14">
      <c r="A139" s="514"/>
      <c r="B139" s="5">
        <v>137</v>
      </c>
      <c r="C139" s="5" t="s">
        <v>2635</v>
      </c>
      <c r="D139" s="5" t="s">
        <v>2780</v>
      </c>
      <c r="E139" s="5" t="s">
        <v>2781</v>
      </c>
      <c r="F139" s="5" t="s">
        <v>2782</v>
      </c>
      <c r="G139" s="5" t="s">
        <v>2783</v>
      </c>
      <c r="H139" s="5">
        <v>13899652240</v>
      </c>
      <c r="I139" s="5" t="s">
        <v>2640</v>
      </c>
      <c r="J139" s="5" t="s">
        <v>2771</v>
      </c>
      <c r="K139" s="6" t="s">
        <v>2784</v>
      </c>
      <c r="L139" s="7" t="s">
        <v>2785</v>
      </c>
      <c r="M139" s="7" t="s">
        <v>2786</v>
      </c>
      <c r="N139" s="6" t="s">
        <v>2787</v>
      </c>
    </row>
    <row r="140" spans="1:14">
      <c r="A140" s="514"/>
      <c r="B140" s="5">
        <v>138</v>
      </c>
      <c r="C140" s="5" t="s">
        <v>2635</v>
      </c>
      <c r="D140" s="5" t="s">
        <v>2788</v>
      </c>
      <c r="E140" s="5" t="s">
        <v>2789</v>
      </c>
      <c r="F140" s="5" t="s">
        <v>2790</v>
      </c>
      <c r="G140" s="5" t="s">
        <v>2791</v>
      </c>
      <c r="H140" s="5">
        <v>18699478254</v>
      </c>
      <c r="I140" s="5" t="s">
        <v>2640</v>
      </c>
      <c r="J140" s="5" t="s">
        <v>2771</v>
      </c>
      <c r="K140" s="6" t="s">
        <v>2792</v>
      </c>
      <c r="L140" s="7">
        <v>89.8887</v>
      </c>
      <c r="M140" s="7">
        <v>43.915889999999997</v>
      </c>
      <c r="N140" s="6" t="s">
        <v>2793</v>
      </c>
    </row>
    <row r="141" spans="1:14">
      <c r="A141" s="514"/>
      <c r="B141" s="5">
        <v>139</v>
      </c>
      <c r="C141" s="5" t="s">
        <v>2635</v>
      </c>
      <c r="D141" s="5" t="s">
        <v>2794</v>
      </c>
      <c r="E141" s="5" t="s">
        <v>2795</v>
      </c>
      <c r="F141" s="5" t="s">
        <v>2796</v>
      </c>
      <c r="G141" s="5" t="s">
        <v>2797</v>
      </c>
      <c r="H141" s="5">
        <v>15739606311</v>
      </c>
      <c r="I141" s="5" t="s">
        <v>2640</v>
      </c>
      <c r="J141" s="5" t="s">
        <v>2771</v>
      </c>
      <c r="K141" s="6" t="s">
        <v>2798</v>
      </c>
      <c r="L141" s="7" t="s">
        <v>2799</v>
      </c>
      <c r="M141" s="7" t="s">
        <v>2800</v>
      </c>
      <c r="N141" s="6" t="s">
        <v>2787</v>
      </c>
    </row>
    <row r="142" spans="1:14">
      <c r="A142" s="514"/>
      <c r="B142" s="5">
        <v>140</v>
      </c>
      <c r="C142" s="5" t="s">
        <v>2635</v>
      </c>
      <c r="D142" s="5" t="s">
        <v>2801</v>
      </c>
      <c r="E142" s="5" t="s">
        <v>2802</v>
      </c>
      <c r="F142" s="5" t="s">
        <v>2803</v>
      </c>
      <c r="G142" s="5" t="s">
        <v>2804</v>
      </c>
      <c r="H142" s="5">
        <v>13899602122</v>
      </c>
      <c r="I142" s="5" t="s">
        <v>2640</v>
      </c>
      <c r="J142" s="5" t="s">
        <v>2771</v>
      </c>
      <c r="K142" s="6" t="s">
        <v>2805</v>
      </c>
      <c r="L142" s="7">
        <v>89.730559999999997</v>
      </c>
      <c r="M142" s="7">
        <v>44.066200000000002</v>
      </c>
      <c r="N142" s="6" t="s">
        <v>2787</v>
      </c>
    </row>
    <row r="143" spans="1:14">
      <c r="A143" s="514"/>
      <c r="B143" s="5">
        <v>141</v>
      </c>
      <c r="C143" s="5" t="s">
        <v>2635</v>
      </c>
      <c r="D143" s="5" t="s">
        <v>2806</v>
      </c>
      <c r="E143" s="5" t="s">
        <v>2807</v>
      </c>
      <c r="F143" s="5" t="s">
        <v>2808</v>
      </c>
      <c r="G143" s="5" t="s">
        <v>2809</v>
      </c>
      <c r="H143" s="5">
        <v>13899678887</v>
      </c>
      <c r="I143" s="5" t="s">
        <v>2640</v>
      </c>
      <c r="J143" s="5" t="s">
        <v>2810</v>
      </c>
      <c r="K143" s="6" t="s">
        <v>2811</v>
      </c>
      <c r="L143" s="7">
        <v>90.27</v>
      </c>
      <c r="M143" s="7">
        <v>43.86</v>
      </c>
      <c r="N143" s="6" t="s">
        <v>2812</v>
      </c>
    </row>
    <row r="144" spans="1:14">
      <c r="A144" s="514"/>
      <c r="B144" s="5">
        <v>142</v>
      </c>
      <c r="C144" s="5" t="s">
        <v>2635</v>
      </c>
      <c r="D144" s="5" t="s">
        <v>2813</v>
      </c>
      <c r="E144" s="5" t="s">
        <v>2814</v>
      </c>
      <c r="F144" s="5" t="s">
        <v>2815</v>
      </c>
      <c r="G144" s="5" t="s">
        <v>2816</v>
      </c>
      <c r="H144" s="5">
        <v>13579614982</v>
      </c>
      <c r="I144" s="5" t="s">
        <v>2640</v>
      </c>
      <c r="J144" s="5" t="s">
        <v>2810</v>
      </c>
      <c r="K144" s="6" t="s">
        <v>2817</v>
      </c>
      <c r="L144" s="7">
        <v>90.172899999999998</v>
      </c>
      <c r="M144" s="7">
        <v>43.493299999999998</v>
      </c>
      <c r="N144" s="6" t="s">
        <v>2818</v>
      </c>
    </row>
    <row r="145" spans="1:14">
      <c r="A145" s="514"/>
      <c r="B145" s="5">
        <v>143</v>
      </c>
      <c r="C145" s="5" t="s">
        <v>2635</v>
      </c>
      <c r="D145" s="5" t="s">
        <v>2819</v>
      </c>
      <c r="E145" s="5" t="s">
        <v>2820</v>
      </c>
      <c r="F145" s="5" t="s">
        <v>2821</v>
      </c>
      <c r="G145" s="5" t="s">
        <v>2822</v>
      </c>
      <c r="H145" s="5">
        <v>13565368901</v>
      </c>
      <c r="I145" s="5" t="s">
        <v>2640</v>
      </c>
      <c r="J145" s="5" t="s">
        <v>2810</v>
      </c>
      <c r="K145" s="6" t="s">
        <v>2823</v>
      </c>
      <c r="L145" s="7">
        <v>90.659475</v>
      </c>
      <c r="M145" s="7">
        <v>44.414602000000002</v>
      </c>
      <c r="N145" s="6" t="s">
        <v>2824</v>
      </c>
    </row>
    <row r="146" spans="1:14">
      <c r="A146" s="515" t="s">
        <v>2825</v>
      </c>
      <c r="B146" s="5">
        <v>144</v>
      </c>
      <c r="C146" s="5" t="s">
        <v>2826</v>
      </c>
      <c r="D146" s="5" t="s">
        <v>2827</v>
      </c>
      <c r="E146" s="5" t="s">
        <v>2828</v>
      </c>
      <c r="F146" s="5" t="s">
        <v>2829</v>
      </c>
      <c r="G146" s="5" t="s">
        <v>2830</v>
      </c>
      <c r="H146" s="5">
        <v>15981798737</v>
      </c>
      <c r="I146" s="5" t="s">
        <v>2826</v>
      </c>
      <c r="J146" s="5" t="s">
        <v>2831</v>
      </c>
      <c r="K146" s="6" t="s">
        <v>2832</v>
      </c>
      <c r="L146" s="7">
        <v>86.860473999999996</v>
      </c>
      <c r="M146" s="7">
        <v>47.712823999999998</v>
      </c>
      <c r="N146" s="6" t="s">
        <v>2833</v>
      </c>
    </row>
    <row r="147" spans="1:14">
      <c r="A147" s="511"/>
      <c r="B147" s="5">
        <v>145</v>
      </c>
      <c r="C147" s="5" t="s">
        <v>2826</v>
      </c>
      <c r="D147" s="5" t="s">
        <v>2029</v>
      </c>
      <c r="E147" s="5" t="s">
        <v>2834</v>
      </c>
      <c r="F147" s="5" t="s">
        <v>2835</v>
      </c>
      <c r="G147" s="5" t="s">
        <v>2836</v>
      </c>
      <c r="H147" s="5">
        <v>15109066569</v>
      </c>
      <c r="I147" s="5" t="s">
        <v>2826</v>
      </c>
      <c r="J147" s="5" t="s">
        <v>2831</v>
      </c>
      <c r="K147" s="6" t="s">
        <v>2837</v>
      </c>
      <c r="L147" s="7">
        <v>86.877269999999996</v>
      </c>
      <c r="M147" s="7">
        <v>47.696613999999997</v>
      </c>
      <c r="N147" s="6" t="s">
        <v>2838</v>
      </c>
    </row>
    <row r="148" spans="1:14">
      <c r="A148" s="511"/>
      <c r="B148" s="5">
        <v>146</v>
      </c>
      <c r="C148" s="5" t="s">
        <v>2826</v>
      </c>
      <c r="D148" s="5" t="s">
        <v>2839</v>
      </c>
      <c r="E148" s="5" t="s">
        <v>2840</v>
      </c>
      <c r="F148" s="5" t="s">
        <v>2841</v>
      </c>
      <c r="G148" s="5" t="s">
        <v>2842</v>
      </c>
      <c r="H148" s="5">
        <v>18809062202</v>
      </c>
      <c r="I148" s="5" t="s">
        <v>2826</v>
      </c>
      <c r="J148" s="5" t="s">
        <v>2831</v>
      </c>
      <c r="K148" s="6" t="s">
        <v>2843</v>
      </c>
      <c r="L148" s="7">
        <v>86.902649999999994</v>
      </c>
      <c r="M148" s="7">
        <v>47.658740000000002</v>
      </c>
      <c r="N148" s="6" t="s">
        <v>2844</v>
      </c>
    </row>
    <row r="149" spans="1:14">
      <c r="A149" s="511"/>
      <c r="B149" s="5">
        <v>147</v>
      </c>
      <c r="C149" s="5" t="s">
        <v>2826</v>
      </c>
      <c r="D149" s="5" t="s">
        <v>2845</v>
      </c>
      <c r="E149" s="5" t="s">
        <v>2846</v>
      </c>
      <c r="F149" s="5" t="s">
        <v>2847</v>
      </c>
      <c r="G149" s="5" t="s">
        <v>2848</v>
      </c>
      <c r="H149" s="5">
        <v>18129046444</v>
      </c>
      <c r="I149" s="5" t="s">
        <v>2826</v>
      </c>
      <c r="J149" s="5" t="s">
        <v>2831</v>
      </c>
      <c r="K149" s="6" t="s">
        <v>2849</v>
      </c>
      <c r="L149" s="7">
        <v>87.040003100000007</v>
      </c>
      <c r="M149" s="7">
        <v>48.2651404</v>
      </c>
      <c r="N149" s="6" t="s">
        <v>2850</v>
      </c>
    </row>
    <row r="150" spans="1:14">
      <c r="A150" s="511"/>
      <c r="B150" s="5">
        <v>148</v>
      </c>
      <c r="C150" s="5" t="s">
        <v>2826</v>
      </c>
      <c r="D150" s="5" t="s">
        <v>2851</v>
      </c>
      <c r="E150" s="5" t="s">
        <v>2852</v>
      </c>
      <c r="F150" s="5" t="s">
        <v>2853</v>
      </c>
      <c r="G150" s="5" t="s">
        <v>2854</v>
      </c>
      <c r="H150" s="5">
        <v>15909068174</v>
      </c>
      <c r="I150" s="5" t="s">
        <v>2826</v>
      </c>
      <c r="J150" s="5" t="s">
        <v>2831</v>
      </c>
      <c r="K150" s="6" t="s">
        <v>2855</v>
      </c>
      <c r="L150" s="7">
        <v>87.144593</v>
      </c>
      <c r="M150" s="7">
        <v>48.511443</v>
      </c>
      <c r="N150" s="6" t="s">
        <v>2856</v>
      </c>
    </row>
    <row r="151" spans="1:14">
      <c r="A151" s="511"/>
      <c r="B151" s="5">
        <v>149</v>
      </c>
      <c r="C151" s="5" t="s">
        <v>2826</v>
      </c>
      <c r="D151" s="5" t="s">
        <v>2857</v>
      </c>
      <c r="E151" s="5" t="s">
        <v>2858</v>
      </c>
      <c r="F151" s="5" t="s">
        <v>2859</v>
      </c>
      <c r="G151" s="5" t="s">
        <v>2860</v>
      </c>
      <c r="H151" s="5">
        <v>13779053399</v>
      </c>
      <c r="I151" s="5" t="s">
        <v>2826</v>
      </c>
      <c r="J151" s="5" t="s">
        <v>2831</v>
      </c>
      <c r="K151" s="6" t="s">
        <v>2861</v>
      </c>
      <c r="L151" s="7">
        <v>86.995982999999995</v>
      </c>
      <c r="M151" s="7">
        <v>47.884385000000002</v>
      </c>
      <c r="N151" s="6" t="s">
        <v>2862</v>
      </c>
    </row>
    <row r="152" spans="1:14">
      <c r="A152" s="511"/>
      <c r="B152" s="5">
        <v>150</v>
      </c>
      <c r="C152" s="5" t="s">
        <v>2826</v>
      </c>
      <c r="D152" s="5" t="s">
        <v>2863</v>
      </c>
      <c r="E152" s="5" t="s">
        <v>2864</v>
      </c>
      <c r="F152" s="5" t="s">
        <v>2865</v>
      </c>
      <c r="G152" s="5" t="s">
        <v>2866</v>
      </c>
      <c r="H152" s="5">
        <v>18997788667</v>
      </c>
      <c r="I152" s="5" t="s">
        <v>2826</v>
      </c>
      <c r="J152" s="5" t="s">
        <v>2867</v>
      </c>
      <c r="K152" s="6" t="s">
        <v>2868</v>
      </c>
      <c r="L152" s="7">
        <v>87.857734750000006</v>
      </c>
      <c r="M152" s="7">
        <v>47.346043299999998</v>
      </c>
      <c r="N152" s="6" t="s">
        <v>2869</v>
      </c>
    </row>
    <row r="153" spans="1:14">
      <c r="A153" s="511"/>
      <c r="B153" s="5">
        <v>151</v>
      </c>
      <c r="C153" s="5" t="s">
        <v>2826</v>
      </c>
      <c r="D153" s="5" t="s">
        <v>2870</v>
      </c>
      <c r="E153" s="5" t="s">
        <v>2871</v>
      </c>
      <c r="F153" s="5" t="s">
        <v>2872</v>
      </c>
      <c r="G153" s="5" t="s">
        <v>2873</v>
      </c>
      <c r="H153" s="5">
        <v>15009071788</v>
      </c>
      <c r="I153" s="5" t="s">
        <v>2826</v>
      </c>
      <c r="J153" s="5" t="s">
        <v>2867</v>
      </c>
      <c r="K153" s="6" t="s">
        <v>2874</v>
      </c>
      <c r="L153" s="7">
        <v>87.812089999999998</v>
      </c>
      <c r="M153" s="7">
        <v>47.367998</v>
      </c>
      <c r="N153" s="6" t="s">
        <v>2875</v>
      </c>
    </row>
    <row r="154" spans="1:14">
      <c r="A154" s="511"/>
      <c r="B154" s="5">
        <v>152</v>
      </c>
      <c r="C154" s="5" t="s">
        <v>2826</v>
      </c>
      <c r="D154" s="5" t="s">
        <v>2876</v>
      </c>
      <c r="E154" s="5" t="s">
        <v>2877</v>
      </c>
      <c r="F154" s="5" t="s">
        <v>2878</v>
      </c>
      <c r="G154" s="5" t="s">
        <v>2879</v>
      </c>
      <c r="H154" s="5">
        <v>13779050000</v>
      </c>
      <c r="I154" s="5" t="s">
        <v>2826</v>
      </c>
      <c r="J154" s="5" t="s">
        <v>2867</v>
      </c>
      <c r="K154" s="6" t="s">
        <v>2880</v>
      </c>
      <c r="L154" s="7">
        <v>87.808914000000001</v>
      </c>
      <c r="M154" s="7">
        <v>47.362254</v>
      </c>
      <c r="N154" s="6" t="s">
        <v>2881</v>
      </c>
    </row>
    <row r="155" spans="1:14">
      <c r="A155" s="511"/>
      <c r="B155" s="5">
        <v>153</v>
      </c>
      <c r="C155" s="5" t="s">
        <v>2826</v>
      </c>
      <c r="D155" s="5" t="s">
        <v>2882</v>
      </c>
      <c r="E155" s="5" t="s">
        <v>2883</v>
      </c>
      <c r="F155" s="5" t="s">
        <v>2884</v>
      </c>
      <c r="G155" s="5" t="s">
        <v>2885</v>
      </c>
      <c r="H155" s="5">
        <v>18199621876</v>
      </c>
      <c r="I155" s="5" t="s">
        <v>2826</v>
      </c>
      <c r="J155" s="5" t="s">
        <v>2886</v>
      </c>
      <c r="K155" s="6" t="s">
        <v>2887</v>
      </c>
      <c r="L155" s="7">
        <v>88.151677000000007</v>
      </c>
      <c r="M155" s="7">
        <v>47.807653999999999</v>
      </c>
      <c r="N155" s="6" t="s">
        <v>2888</v>
      </c>
    </row>
    <row r="156" spans="1:14">
      <c r="A156" s="511"/>
      <c r="B156" s="5">
        <v>154</v>
      </c>
      <c r="C156" s="5" t="s">
        <v>2826</v>
      </c>
      <c r="D156" s="5" t="s">
        <v>2889</v>
      </c>
      <c r="E156" s="5" t="s">
        <v>2890</v>
      </c>
      <c r="F156" s="5" t="s">
        <v>2891</v>
      </c>
      <c r="G156" s="5" t="s">
        <v>2892</v>
      </c>
      <c r="H156" s="5">
        <v>17799079660</v>
      </c>
      <c r="I156" s="5" t="s">
        <v>2826</v>
      </c>
      <c r="J156" s="5" t="s">
        <v>2886</v>
      </c>
      <c r="K156" s="6" t="s">
        <v>2893</v>
      </c>
      <c r="L156" s="7">
        <v>88.134989000000004</v>
      </c>
      <c r="M156" s="7">
        <v>47.830953000000001</v>
      </c>
      <c r="N156" s="6" t="s">
        <v>2894</v>
      </c>
    </row>
    <row r="157" spans="1:14">
      <c r="A157" s="511"/>
      <c r="B157" s="5">
        <v>155</v>
      </c>
      <c r="C157" s="5" t="s">
        <v>2826</v>
      </c>
      <c r="D157" s="5" t="s">
        <v>2895</v>
      </c>
      <c r="E157" s="5" t="s">
        <v>2896</v>
      </c>
      <c r="F157" s="5" t="s">
        <v>2897</v>
      </c>
      <c r="G157" s="5" t="s">
        <v>2898</v>
      </c>
      <c r="H157" s="5">
        <v>18892910506</v>
      </c>
      <c r="I157" s="5" t="s">
        <v>2826</v>
      </c>
      <c r="J157" s="5" t="s">
        <v>2899</v>
      </c>
      <c r="K157" s="6" t="s">
        <v>2900</v>
      </c>
      <c r="L157" s="7">
        <v>89.534791999999996</v>
      </c>
      <c r="M157" s="7">
        <v>47.002598999999996</v>
      </c>
      <c r="N157" s="6" t="s">
        <v>2901</v>
      </c>
    </row>
    <row r="158" spans="1:14">
      <c r="A158" s="511"/>
      <c r="B158" s="5">
        <v>156</v>
      </c>
      <c r="C158" s="5" t="s">
        <v>2826</v>
      </c>
      <c r="D158" s="5" t="s">
        <v>2902</v>
      </c>
      <c r="E158" s="5" t="s">
        <v>2903</v>
      </c>
      <c r="F158" s="5" t="s">
        <v>2904</v>
      </c>
      <c r="G158" s="5" t="s">
        <v>2905</v>
      </c>
      <c r="H158" s="5">
        <v>15299384286</v>
      </c>
      <c r="I158" s="5" t="s">
        <v>2826</v>
      </c>
      <c r="J158" s="5" t="s">
        <v>2899</v>
      </c>
      <c r="K158" s="6" t="s">
        <v>2906</v>
      </c>
      <c r="L158" s="7">
        <v>89.521681999999998</v>
      </c>
      <c r="M158" s="7">
        <v>46.985886000000001</v>
      </c>
      <c r="N158" s="6" t="s">
        <v>2907</v>
      </c>
    </row>
    <row r="159" spans="1:14">
      <c r="A159" s="511"/>
      <c r="B159" s="5">
        <v>157</v>
      </c>
      <c r="C159" s="5" t="s">
        <v>2826</v>
      </c>
      <c r="D159" s="5" t="s">
        <v>2908</v>
      </c>
      <c r="E159" s="5" t="s">
        <v>2909</v>
      </c>
      <c r="F159" s="5" t="s">
        <v>2910</v>
      </c>
      <c r="G159" s="5" t="s">
        <v>2911</v>
      </c>
      <c r="H159" s="5">
        <v>18034864782</v>
      </c>
      <c r="I159" s="5" t="s">
        <v>2826</v>
      </c>
      <c r="J159" s="5" t="s">
        <v>2899</v>
      </c>
      <c r="K159" s="6" t="s">
        <v>2912</v>
      </c>
      <c r="L159" s="7">
        <v>89.812826000000001</v>
      </c>
      <c r="M159" s="7">
        <v>47.216127999999998</v>
      </c>
      <c r="N159" s="6" t="s">
        <v>2913</v>
      </c>
    </row>
    <row r="160" spans="1:14">
      <c r="A160" s="511"/>
      <c r="B160" s="5">
        <v>158</v>
      </c>
      <c r="C160" s="5" t="s">
        <v>2826</v>
      </c>
      <c r="D160" s="5" t="s">
        <v>2914</v>
      </c>
      <c r="E160" s="5" t="s">
        <v>2915</v>
      </c>
      <c r="F160" s="5" t="s">
        <v>2916</v>
      </c>
      <c r="G160" s="5" t="s">
        <v>2917</v>
      </c>
      <c r="H160" s="5">
        <v>17699714555</v>
      </c>
      <c r="I160" s="5" t="s">
        <v>2826</v>
      </c>
      <c r="J160" s="5" t="s">
        <v>2899</v>
      </c>
      <c r="K160" s="6" t="s">
        <v>2918</v>
      </c>
      <c r="L160" s="7">
        <v>88.547306000000006</v>
      </c>
      <c r="M160" s="7">
        <v>46.509475999999999</v>
      </c>
      <c r="N160" s="6" t="s">
        <v>2919</v>
      </c>
    </row>
    <row r="161" spans="1:14">
      <c r="A161" s="511"/>
      <c r="B161" s="5">
        <v>159</v>
      </c>
      <c r="C161" s="5" t="s">
        <v>2826</v>
      </c>
      <c r="D161" s="5" t="s">
        <v>2920</v>
      </c>
      <c r="E161" s="5" t="s">
        <v>2921</v>
      </c>
      <c r="F161" s="5" t="s">
        <v>2922</v>
      </c>
      <c r="G161" s="5" t="s">
        <v>2923</v>
      </c>
      <c r="H161" s="5">
        <v>18099060600</v>
      </c>
      <c r="I161" s="5" t="s">
        <v>2826</v>
      </c>
      <c r="J161" s="5" t="s">
        <v>2924</v>
      </c>
      <c r="K161" s="6" t="s">
        <v>2925</v>
      </c>
      <c r="L161" s="7">
        <v>87.487168999999994</v>
      </c>
      <c r="M161" s="7">
        <v>47.118791000000002</v>
      </c>
      <c r="N161" s="6" t="s">
        <v>2926</v>
      </c>
    </row>
    <row r="162" spans="1:14">
      <c r="A162" s="511"/>
      <c r="B162" s="5">
        <v>160</v>
      </c>
      <c r="C162" s="5" t="s">
        <v>2826</v>
      </c>
      <c r="D162" s="5" t="s">
        <v>2927</v>
      </c>
      <c r="E162" s="5" t="s">
        <v>2928</v>
      </c>
      <c r="F162" s="5" t="s">
        <v>2929</v>
      </c>
      <c r="G162" s="5" t="s">
        <v>2930</v>
      </c>
      <c r="H162" s="5">
        <v>18099763105</v>
      </c>
      <c r="I162" s="5" t="s">
        <v>2826</v>
      </c>
      <c r="J162" s="5" t="s">
        <v>2924</v>
      </c>
      <c r="K162" s="6" t="s">
        <v>2931</v>
      </c>
      <c r="L162" s="7">
        <v>87.496519000000006</v>
      </c>
      <c r="M162" s="7">
        <v>47.123680999999998</v>
      </c>
      <c r="N162" s="6" t="s">
        <v>2932</v>
      </c>
    </row>
    <row r="163" spans="1:14">
      <c r="A163" s="511"/>
      <c r="B163" s="5">
        <v>161</v>
      </c>
      <c r="C163" s="5" t="s">
        <v>2826</v>
      </c>
      <c r="D163" s="5" t="s">
        <v>2895</v>
      </c>
      <c r="E163" s="5" t="s">
        <v>2933</v>
      </c>
      <c r="F163" s="5" t="s">
        <v>2934</v>
      </c>
      <c r="G163" s="5" t="s">
        <v>2935</v>
      </c>
      <c r="H163" s="5">
        <v>18997528986</v>
      </c>
      <c r="I163" s="5" t="s">
        <v>2826</v>
      </c>
      <c r="J163" s="5" t="s">
        <v>2936</v>
      </c>
      <c r="K163" s="6" t="s">
        <v>2937</v>
      </c>
      <c r="L163" s="7">
        <v>86.446534999999997</v>
      </c>
      <c r="M163" s="7">
        <v>48.060251999999998</v>
      </c>
      <c r="N163" s="6" t="s">
        <v>2938</v>
      </c>
    </row>
    <row r="164" spans="1:14">
      <c r="A164" s="511"/>
      <c r="B164" s="5">
        <v>162</v>
      </c>
      <c r="C164" s="5" t="s">
        <v>2826</v>
      </c>
      <c r="D164" s="5" t="s">
        <v>1961</v>
      </c>
      <c r="E164" s="5" t="s">
        <v>2939</v>
      </c>
      <c r="F164" s="5" t="s">
        <v>2940</v>
      </c>
      <c r="G164" s="5" t="s">
        <v>2941</v>
      </c>
      <c r="H164" s="5">
        <v>13565171473</v>
      </c>
      <c r="I164" s="5" t="s">
        <v>2826</v>
      </c>
      <c r="J164" s="5" t="s">
        <v>2936</v>
      </c>
      <c r="K164" s="6" t="s">
        <v>2942</v>
      </c>
      <c r="L164" s="7">
        <v>86.411727999999997</v>
      </c>
      <c r="M164" s="7">
        <v>48.049281999999998</v>
      </c>
      <c r="N164" s="6" t="s">
        <v>2943</v>
      </c>
    </row>
    <row r="165" spans="1:14">
      <c r="A165" s="511"/>
      <c r="B165" s="5">
        <v>163</v>
      </c>
      <c r="C165" s="5" t="s">
        <v>2826</v>
      </c>
      <c r="D165" s="5" t="s">
        <v>2944</v>
      </c>
      <c r="E165" s="5" t="s">
        <v>2945</v>
      </c>
      <c r="F165" s="5" t="s">
        <v>2946</v>
      </c>
      <c r="G165" s="5" t="s">
        <v>2947</v>
      </c>
      <c r="H165" s="5">
        <v>15009077433</v>
      </c>
      <c r="I165" s="5" t="s">
        <v>2826</v>
      </c>
      <c r="J165" s="5" t="s">
        <v>2936</v>
      </c>
      <c r="K165" s="6" t="s">
        <v>2948</v>
      </c>
      <c r="L165" s="7">
        <v>86.349438000000006</v>
      </c>
      <c r="M165" s="7">
        <v>48.292222000000002</v>
      </c>
      <c r="N165" s="6" t="s">
        <v>2949</v>
      </c>
    </row>
    <row r="166" spans="1:14">
      <c r="A166" s="511"/>
      <c r="B166" s="5">
        <v>164</v>
      </c>
      <c r="C166" s="5" t="s">
        <v>2826</v>
      </c>
      <c r="D166" s="5" t="s">
        <v>2895</v>
      </c>
      <c r="E166" s="5" t="s">
        <v>2950</v>
      </c>
      <c r="F166" s="5" t="s">
        <v>2951</v>
      </c>
      <c r="G166" s="5" t="s">
        <v>2952</v>
      </c>
      <c r="H166" s="5">
        <v>18097513196</v>
      </c>
      <c r="I166" s="5" t="s">
        <v>2826</v>
      </c>
      <c r="J166" s="5" t="s">
        <v>2953</v>
      </c>
      <c r="K166" s="6" t="s">
        <v>2954</v>
      </c>
      <c r="L166" s="7">
        <v>85.882577999999995</v>
      </c>
      <c r="M166" s="7">
        <v>47.452266000000002</v>
      </c>
      <c r="N166" s="6" t="s">
        <v>2955</v>
      </c>
    </row>
    <row r="167" spans="1:14">
      <c r="A167" s="511"/>
      <c r="B167" s="5">
        <v>165</v>
      </c>
      <c r="C167" s="5" t="s">
        <v>2826</v>
      </c>
      <c r="D167" s="5" t="s">
        <v>2609</v>
      </c>
      <c r="E167" s="5" t="s">
        <v>2956</v>
      </c>
      <c r="F167" s="5" t="s">
        <v>2957</v>
      </c>
      <c r="G167" s="5" t="s">
        <v>2958</v>
      </c>
      <c r="H167" s="5">
        <v>18997791138</v>
      </c>
      <c r="I167" s="5" t="s">
        <v>2826</v>
      </c>
      <c r="J167" s="5" t="s">
        <v>2953</v>
      </c>
      <c r="K167" s="6" t="s">
        <v>2959</v>
      </c>
      <c r="L167" s="7">
        <v>85.852919700000001</v>
      </c>
      <c r="M167" s="7">
        <v>47.438201599999999</v>
      </c>
      <c r="N167" s="6" t="s">
        <v>2960</v>
      </c>
    </row>
    <row r="168" spans="1:14">
      <c r="A168" s="511"/>
      <c r="B168" s="5">
        <v>166</v>
      </c>
      <c r="C168" s="5" t="s">
        <v>2826</v>
      </c>
      <c r="D168" s="5" t="s">
        <v>2961</v>
      </c>
      <c r="E168" s="5" t="s">
        <v>2962</v>
      </c>
      <c r="F168" s="5" t="s">
        <v>2963</v>
      </c>
      <c r="G168" s="5" t="s">
        <v>2964</v>
      </c>
      <c r="H168" s="5">
        <v>13319062351</v>
      </c>
      <c r="I168" s="5" t="s">
        <v>2826</v>
      </c>
      <c r="J168" s="5" t="s">
        <v>2953</v>
      </c>
      <c r="K168" s="6" t="s">
        <v>2965</v>
      </c>
      <c r="L168" s="7">
        <v>86.116558999999995</v>
      </c>
      <c r="M168" s="7">
        <v>47.281972000000003</v>
      </c>
      <c r="N168" s="6" t="s">
        <v>2966</v>
      </c>
    </row>
    <row r="169" spans="1:14">
      <c r="A169" s="511"/>
      <c r="B169" s="5">
        <v>167</v>
      </c>
      <c r="C169" s="5" t="s">
        <v>2826</v>
      </c>
      <c r="D169" s="5" t="s">
        <v>2967</v>
      </c>
      <c r="E169" s="5" t="s">
        <v>2968</v>
      </c>
      <c r="F169" s="5" t="s">
        <v>2969</v>
      </c>
      <c r="G169" s="5" t="s">
        <v>2670</v>
      </c>
      <c r="H169" s="5">
        <v>18290932123</v>
      </c>
      <c r="I169" s="5" t="s">
        <v>2826</v>
      </c>
      <c r="J169" s="5" t="s">
        <v>2953</v>
      </c>
      <c r="K169" s="6" t="s">
        <v>2970</v>
      </c>
      <c r="L169" s="7">
        <v>86.612450999999993</v>
      </c>
      <c r="M169" s="7">
        <v>47.092208999999997</v>
      </c>
      <c r="N169" s="6" t="s">
        <v>2971</v>
      </c>
    </row>
    <row r="170" spans="1:14">
      <c r="A170" s="511"/>
      <c r="B170" s="5">
        <v>168</v>
      </c>
      <c r="C170" s="5" t="s">
        <v>2826</v>
      </c>
      <c r="D170" s="5" t="s">
        <v>2972</v>
      </c>
      <c r="E170" s="5" t="s">
        <v>2973</v>
      </c>
      <c r="F170" s="5" t="s">
        <v>2974</v>
      </c>
      <c r="G170" s="5" t="s">
        <v>2975</v>
      </c>
      <c r="H170" s="5">
        <v>15209055055</v>
      </c>
      <c r="I170" s="5" t="s">
        <v>2826</v>
      </c>
      <c r="J170" s="5" t="s">
        <v>2976</v>
      </c>
      <c r="K170" s="6" t="s">
        <v>2977</v>
      </c>
      <c r="L170" s="7">
        <v>90.381804000000002</v>
      </c>
      <c r="M170" s="7">
        <v>46.658816999999999</v>
      </c>
      <c r="N170" s="6" t="s">
        <v>2978</v>
      </c>
    </row>
    <row r="171" spans="1:14">
      <c r="A171" s="511"/>
      <c r="B171" s="5">
        <v>169</v>
      </c>
      <c r="C171" s="5" t="s">
        <v>2826</v>
      </c>
      <c r="D171" s="5" t="s">
        <v>2979</v>
      </c>
      <c r="E171" s="5" t="s">
        <v>2980</v>
      </c>
      <c r="F171" s="5" t="s">
        <v>2981</v>
      </c>
      <c r="G171" s="5" t="s">
        <v>2982</v>
      </c>
      <c r="H171" s="5">
        <v>18997513078</v>
      </c>
      <c r="I171" s="5" t="s">
        <v>2826</v>
      </c>
      <c r="J171" s="5" t="s">
        <v>2976</v>
      </c>
      <c r="K171" s="6" t="s">
        <v>2983</v>
      </c>
      <c r="L171" s="7">
        <v>90.376598000000001</v>
      </c>
      <c r="M171" s="7">
        <v>46.685054999999998</v>
      </c>
      <c r="N171" s="6" t="s">
        <v>2984</v>
      </c>
    </row>
    <row r="172" spans="1:14">
      <c r="A172" s="511"/>
      <c r="B172" s="5">
        <v>170</v>
      </c>
      <c r="C172" s="5" t="s">
        <v>2826</v>
      </c>
      <c r="D172" s="5" t="s">
        <v>2985</v>
      </c>
      <c r="E172" s="5" t="s">
        <v>2986</v>
      </c>
      <c r="F172" s="5" t="s">
        <v>2987</v>
      </c>
      <c r="G172" s="5" t="s">
        <v>2988</v>
      </c>
      <c r="H172" s="5">
        <v>13119058018</v>
      </c>
      <c r="I172" s="5" t="s">
        <v>2826</v>
      </c>
      <c r="J172" s="5" t="s">
        <v>2976</v>
      </c>
      <c r="K172" s="6" t="s">
        <v>2989</v>
      </c>
      <c r="L172" s="7">
        <v>90.082460999999995</v>
      </c>
      <c r="M172" s="7">
        <v>46.302557999999998</v>
      </c>
      <c r="N172" s="6" t="s">
        <v>2990</v>
      </c>
    </row>
    <row r="173" spans="1:14">
      <c r="A173" s="512"/>
      <c r="B173" s="5">
        <v>171</v>
      </c>
      <c r="C173" s="5" t="s">
        <v>2826</v>
      </c>
      <c r="D173" s="5" t="s">
        <v>2991</v>
      </c>
      <c r="E173" s="5" t="s">
        <v>2992</v>
      </c>
      <c r="F173" s="5" t="s">
        <v>2993</v>
      </c>
      <c r="G173" s="5" t="s">
        <v>2994</v>
      </c>
      <c r="H173" s="5">
        <v>18997510269</v>
      </c>
      <c r="I173" s="5" t="s">
        <v>2826</v>
      </c>
      <c r="J173" s="5" t="s">
        <v>2976</v>
      </c>
      <c r="K173" s="6" t="s">
        <v>2995</v>
      </c>
      <c r="L173" s="7">
        <v>90.403109999999998</v>
      </c>
      <c r="M173" s="7">
        <v>46.319946000000002</v>
      </c>
      <c r="N173" s="6" t="s">
        <v>2990</v>
      </c>
    </row>
    <row r="174" spans="1:14">
      <c r="A174" s="515" t="s">
        <v>2996</v>
      </c>
      <c r="B174" s="5">
        <v>172</v>
      </c>
      <c r="C174" s="5" t="s">
        <v>2997</v>
      </c>
      <c r="D174" s="5" t="s">
        <v>2998</v>
      </c>
      <c r="E174" s="5" t="s">
        <v>2999</v>
      </c>
      <c r="F174" s="5" t="s">
        <v>3000</v>
      </c>
      <c r="G174" s="5" t="s">
        <v>3001</v>
      </c>
      <c r="H174" s="5">
        <v>18160277121</v>
      </c>
      <c r="I174" s="5" t="s">
        <v>2997</v>
      </c>
      <c r="J174" s="5" t="s">
        <v>3002</v>
      </c>
      <c r="K174" s="6" t="s">
        <v>3003</v>
      </c>
      <c r="L174" s="7">
        <v>84.161084000000002</v>
      </c>
      <c r="M174" s="7">
        <v>43.036453999999999</v>
      </c>
      <c r="N174" s="6" t="s">
        <v>3004</v>
      </c>
    </row>
    <row r="175" spans="1:14">
      <c r="A175" s="511"/>
      <c r="B175" s="5">
        <v>173</v>
      </c>
      <c r="C175" s="5" t="s">
        <v>2997</v>
      </c>
      <c r="D175" s="5" t="s">
        <v>3005</v>
      </c>
      <c r="E175" s="5" t="s">
        <v>3006</v>
      </c>
      <c r="F175" s="5" t="s">
        <v>3007</v>
      </c>
      <c r="G175" s="5" t="s">
        <v>3008</v>
      </c>
      <c r="H175" s="5">
        <v>15276255936</v>
      </c>
      <c r="I175" s="5" t="s">
        <v>2997</v>
      </c>
      <c r="J175" s="5" t="s">
        <v>3002</v>
      </c>
      <c r="K175" s="6" t="s">
        <v>3009</v>
      </c>
      <c r="L175" s="7">
        <v>84.661934000000002</v>
      </c>
      <c r="M175" s="7">
        <v>43.247517999999999</v>
      </c>
      <c r="N175" s="6" t="s">
        <v>3010</v>
      </c>
    </row>
    <row r="176" spans="1:14">
      <c r="A176" s="511"/>
      <c r="B176" s="5">
        <v>174</v>
      </c>
      <c r="C176" s="5" t="s">
        <v>2997</v>
      </c>
      <c r="D176" s="5" t="s">
        <v>3011</v>
      </c>
      <c r="E176" s="5" t="s">
        <v>3012</v>
      </c>
      <c r="F176" s="5" t="s">
        <v>3013</v>
      </c>
      <c r="G176" s="5" t="s">
        <v>3014</v>
      </c>
      <c r="H176" s="5">
        <v>18999616506</v>
      </c>
      <c r="I176" s="5" t="s">
        <v>2997</v>
      </c>
      <c r="J176" s="5" t="s">
        <v>3002</v>
      </c>
      <c r="K176" s="6" t="s">
        <v>3015</v>
      </c>
      <c r="L176" s="7">
        <v>86.317919000000003</v>
      </c>
      <c r="M176" s="7">
        <v>42.751178000000003</v>
      </c>
      <c r="N176" s="6" t="s">
        <v>3016</v>
      </c>
    </row>
    <row r="177" spans="1:14">
      <c r="A177" s="511"/>
      <c r="B177" s="5">
        <v>175</v>
      </c>
      <c r="C177" s="5" t="s">
        <v>2997</v>
      </c>
      <c r="D177" s="5" t="s">
        <v>3017</v>
      </c>
      <c r="E177" s="5" t="s">
        <v>3018</v>
      </c>
      <c r="F177" s="5" t="s">
        <v>3019</v>
      </c>
      <c r="G177" s="5" t="s">
        <v>3020</v>
      </c>
      <c r="H177" s="5">
        <v>18699625582</v>
      </c>
      <c r="I177" s="5" t="s">
        <v>2997</v>
      </c>
      <c r="J177" s="5" t="s">
        <v>3002</v>
      </c>
      <c r="K177" s="6" t="s">
        <v>3021</v>
      </c>
      <c r="L177" s="7">
        <v>86.374206999999998</v>
      </c>
      <c r="M177" s="7">
        <v>42.351655000000001</v>
      </c>
      <c r="N177" s="6" t="s">
        <v>3022</v>
      </c>
    </row>
    <row r="178" spans="1:14">
      <c r="A178" s="511"/>
      <c r="B178" s="5">
        <v>176</v>
      </c>
      <c r="C178" s="5" t="s">
        <v>2997</v>
      </c>
      <c r="D178" s="5" t="s">
        <v>1979</v>
      </c>
      <c r="E178" s="5" t="s">
        <v>3023</v>
      </c>
      <c r="F178" s="5" t="s">
        <v>3024</v>
      </c>
      <c r="G178" s="5" t="s">
        <v>3025</v>
      </c>
      <c r="H178" s="5">
        <v>18096881001</v>
      </c>
      <c r="I178" s="5" t="s">
        <v>2997</v>
      </c>
      <c r="J178" s="5" t="s">
        <v>3002</v>
      </c>
      <c r="K178" s="6" t="s">
        <v>3026</v>
      </c>
      <c r="L178" s="7">
        <v>86.404431000000002</v>
      </c>
      <c r="M178" s="7">
        <v>42.312721000000003</v>
      </c>
      <c r="N178" s="6" t="s">
        <v>3027</v>
      </c>
    </row>
    <row r="179" spans="1:14">
      <c r="A179" s="511"/>
      <c r="B179" s="5">
        <v>177</v>
      </c>
      <c r="C179" s="5" t="s">
        <v>2997</v>
      </c>
      <c r="D179" s="5" t="s">
        <v>3028</v>
      </c>
      <c r="E179" s="5" t="s">
        <v>3029</v>
      </c>
      <c r="F179" s="5" t="s">
        <v>3030</v>
      </c>
      <c r="G179" s="5" t="s">
        <v>3031</v>
      </c>
      <c r="H179" s="5">
        <v>13667513636</v>
      </c>
      <c r="I179" s="5" t="s">
        <v>3032</v>
      </c>
      <c r="J179" s="5" t="s">
        <v>3032</v>
      </c>
      <c r="K179" s="6" t="s">
        <v>3033</v>
      </c>
      <c r="L179" s="7">
        <v>116.39747</v>
      </c>
      <c r="M179" s="7">
        <v>39.908822999999998</v>
      </c>
      <c r="N179" s="6" t="s">
        <v>3034</v>
      </c>
    </row>
    <row r="180" spans="1:14">
      <c r="A180" s="511"/>
      <c r="B180" s="5">
        <v>178</v>
      </c>
      <c r="C180" s="5" t="s">
        <v>2997</v>
      </c>
      <c r="D180" s="5" t="s">
        <v>3035</v>
      </c>
      <c r="E180" s="5" t="s">
        <v>3036</v>
      </c>
      <c r="F180" s="5" t="s">
        <v>3037</v>
      </c>
      <c r="G180" s="5" t="s">
        <v>3038</v>
      </c>
      <c r="H180" s="5">
        <v>18999601300</v>
      </c>
      <c r="I180" s="5" t="s">
        <v>3032</v>
      </c>
      <c r="J180" s="5" t="s">
        <v>3032</v>
      </c>
      <c r="K180" s="6" t="s">
        <v>3039</v>
      </c>
      <c r="L180" s="7">
        <v>85.888119000000003</v>
      </c>
      <c r="M180" s="7">
        <v>41.848458999999998</v>
      </c>
      <c r="N180" s="6" t="s">
        <v>3040</v>
      </c>
    </row>
    <row r="181" spans="1:14">
      <c r="A181" s="511"/>
      <c r="B181" s="5">
        <v>179</v>
      </c>
      <c r="C181" s="5" t="s">
        <v>2997</v>
      </c>
      <c r="D181" s="5" t="s">
        <v>3041</v>
      </c>
      <c r="E181" s="5" t="s">
        <v>3042</v>
      </c>
      <c r="F181" s="5" t="s">
        <v>3043</v>
      </c>
      <c r="G181" s="5" t="s">
        <v>3044</v>
      </c>
      <c r="H181" s="5">
        <v>13899051484</v>
      </c>
      <c r="I181" s="5" t="s">
        <v>2997</v>
      </c>
      <c r="J181" s="5" t="s">
        <v>3032</v>
      </c>
      <c r="K181" s="6" t="s">
        <v>3045</v>
      </c>
      <c r="L181" s="7">
        <v>85.594444999999993</v>
      </c>
      <c r="M181" s="7">
        <v>41.492998999999998</v>
      </c>
      <c r="N181" s="6" t="s">
        <v>3046</v>
      </c>
    </row>
    <row r="182" spans="1:14">
      <c r="A182" s="511"/>
      <c r="B182" s="5">
        <v>180</v>
      </c>
      <c r="C182" s="5" t="s">
        <v>2997</v>
      </c>
      <c r="D182" s="5" t="s">
        <v>3047</v>
      </c>
      <c r="E182" s="5" t="s">
        <v>3048</v>
      </c>
      <c r="F182" s="5" t="s">
        <v>3049</v>
      </c>
      <c r="G182" s="5" t="s">
        <v>3050</v>
      </c>
      <c r="H182" s="5">
        <v>18997612098</v>
      </c>
      <c r="I182" s="5" t="s">
        <v>2997</v>
      </c>
      <c r="J182" s="5" t="s">
        <v>3032</v>
      </c>
      <c r="K182" s="6" t="s">
        <v>3051</v>
      </c>
      <c r="L182" s="7">
        <v>85.224299999999999</v>
      </c>
      <c r="M182" s="7">
        <v>41.574300000000001</v>
      </c>
      <c r="N182" s="6" t="s">
        <v>3052</v>
      </c>
    </row>
    <row r="183" spans="1:14">
      <c r="A183" s="511"/>
      <c r="B183" s="5">
        <v>181</v>
      </c>
      <c r="C183" s="5" t="s">
        <v>2997</v>
      </c>
      <c r="D183" s="5" t="s">
        <v>3053</v>
      </c>
      <c r="E183" s="5" t="s">
        <v>3054</v>
      </c>
      <c r="F183" s="5" t="s">
        <v>3055</v>
      </c>
      <c r="G183" s="5" t="s">
        <v>3056</v>
      </c>
      <c r="H183" s="5">
        <v>19999189879</v>
      </c>
      <c r="I183" s="5" t="s">
        <v>3032</v>
      </c>
      <c r="J183" s="5" t="s">
        <v>3032</v>
      </c>
      <c r="K183" s="6" t="s">
        <v>3057</v>
      </c>
      <c r="L183" s="7">
        <v>86.206986000000001</v>
      </c>
      <c r="M183" s="7">
        <v>41.718235</v>
      </c>
      <c r="N183" s="6" t="s">
        <v>3058</v>
      </c>
    </row>
    <row r="184" spans="1:14">
      <c r="A184" s="511"/>
      <c r="B184" s="5">
        <v>182</v>
      </c>
      <c r="C184" s="5" t="s">
        <v>2997</v>
      </c>
      <c r="D184" s="5" t="s">
        <v>3059</v>
      </c>
      <c r="E184" s="5" t="s">
        <v>3060</v>
      </c>
      <c r="F184" s="5" t="s">
        <v>3061</v>
      </c>
      <c r="G184" s="5" t="s">
        <v>3062</v>
      </c>
      <c r="H184" s="5">
        <v>18609968725</v>
      </c>
      <c r="I184" s="5" t="s">
        <v>3032</v>
      </c>
      <c r="J184" s="5" t="s">
        <v>3032</v>
      </c>
      <c r="K184" s="6" t="s">
        <v>3063</v>
      </c>
      <c r="L184" s="7" t="s">
        <v>3064</v>
      </c>
      <c r="M184" s="7" t="s">
        <v>3065</v>
      </c>
      <c r="N184" s="6" t="s">
        <v>3066</v>
      </c>
    </row>
    <row r="185" spans="1:14">
      <c r="A185" s="511"/>
      <c r="B185" s="5">
        <v>183</v>
      </c>
      <c r="C185" s="5" t="s">
        <v>2997</v>
      </c>
      <c r="D185" s="5" t="s">
        <v>3067</v>
      </c>
      <c r="E185" s="5" t="s">
        <v>3068</v>
      </c>
      <c r="F185" s="5" t="s">
        <v>3069</v>
      </c>
      <c r="G185" s="5" t="s">
        <v>3070</v>
      </c>
      <c r="H185" s="5">
        <v>13579037688</v>
      </c>
      <c r="I185" s="5" t="s">
        <v>3032</v>
      </c>
      <c r="J185" s="5" t="s">
        <v>3032</v>
      </c>
      <c r="K185" s="6" t="s">
        <v>3071</v>
      </c>
      <c r="L185" s="7" t="s">
        <v>3072</v>
      </c>
      <c r="M185" s="7" t="s">
        <v>3073</v>
      </c>
      <c r="N185" s="6" t="s">
        <v>3074</v>
      </c>
    </row>
    <row r="186" spans="1:14">
      <c r="A186" s="511"/>
      <c r="B186" s="5">
        <v>184</v>
      </c>
      <c r="C186" s="5" t="s">
        <v>2997</v>
      </c>
      <c r="D186" s="5" t="s">
        <v>3075</v>
      </c>
      <c r="E186" s="5" t="s">
        <v>3076</v>
      </c>
      <c r="F186" s="5" t="s">
        <v>3077</v>
      </c>
      <c r="G186" s="5" t="s">
        <v>3078</v>
      </c>
      <c r="H186" s="5">
        <v>18690172388</v>
      </c>
      <c r="I186" s="5" t="s">
        <v>3032</v>
      </c>
      <c r="J186" s="5" t="s">
        <v>3032</v>
      </c>
      <c r="K186" s="6" t="s">
        <v>3079</v>
      </c>
      <c r="L186" s="7">
        <v>86.113010000000003</v>
      </c>
      <c r="M186" s="7">
        <v>41.442501</v>
      </c>
      <c r="N186" s="6" t="s">
        <v>3066</v>
      </c>
    </row>
    <row r="187" spans="1:14">
      <c r="A187" s="511"/>
      <c r="B187" s="5">
        <v>185</v>
      </c>
      <c r="C187" s="5" t="s">
        <v>2997</v>
      </c>
      <c r="D187" s="5" t="s">
        <v>3080</v>
      </c>
      <c r="E187" s="5" t="s">
        <v>3081</v>
      </c>
      <c r="F187" s="5" t="s">
        <v>3082</v>
      </c>
      <c r="G187" s="5" t="s">
        <v>3083</v>
      </c>
      <c r="H187" s="5">
        <v>13779337928</v>
      </c>
      <c r="I187" s="5" t="s">
        <v>3032</v>
      </c>
      <c r="J187" s="5" t="s">
        <v>3032</v>
      </c>
      <c r="K187" s="6" t="s">
        <v>3084</v>
      </c>
      <c r="L187" s="7">
        <v>86.187344999999993</v>
      </c>
      <c r="M187" s="7">
        <v>41.760209000000003</v>
      </c>
      <c r="N187" s="6" t="s">
        <v>3085</v>
      </c>
    </row>
    <row r="188" spans="1:14">
      <c r="A188" s="511"/>
      <c r="B188" s="5">
        <v>186</v>
      </c>
      <c r="C188" s="5" t="s">
        <v>2997</v>
      </c>
      <c r="D188" s="5" t="s">
        <v>3086</v>
      </c>
      <c r="E188" s="5" t="s">
        <v>3087</v>
      </c>
      <c r="F188" s="5" t="s">
        <v>3088</v>
      </c>
      <c r="G188" s="5" t="s">
        <v>3089</v>
      </c>
      <c r="H188" s="5">
        <v>13565059655</v>
      </c>
      <c r="I188" s="5" t="s">
        <v>2997</v>
      </c>
      <c r="J188" s="5" t="s">
        <v>3090</v>
      </c>
      <c r="K188" s="6" t="s">
        <v>3091</v>
      </c>
      <c r="L188" s="7">
        <v>86.588462000000007</v>
      </c>
      <c r="M188" s="7">
        <v>42.062890000000003</v>
      </c>
      <c r="N188" s="6" t="s">
        <v>3092</v>
      </c>
    </row>
    <row r="189" spans="1:14">
      <c r="A189" s="511"/>
      <c r="B189" s="5">
        <v>187</v>
      </c>
      <c r="C189" s="5" t="s">
        <v>2997</v>
      </c>
      <c r="D189" s="5" t="s">
        <v>3093</v>
      </c>
      <c r="E189" s="5" t="s">
        <v>3094</v>
      </c>
      <c r="F189" s="5" t="s">
        <v>3095</v>
      </c>
      <c r="G189" s="5" t="s">
        <v>3096</v>
      </c>
      <c r="H189" s="5">
        <v>13579000036</v>
      </c>
      <c r="I189" s="5" t="s">
        <v>2997</v>
      </c>
      <c r="J189" s="5" t="s">
        <v>3097</v>
      </c>
      <c r="K189" s="6" t="s">
        <v>3098</v>
      </c>
      <c r="L189" s="7">
        <v>86.874950999999996</v>
      </c>
      <c r="M189" s="7">
        <v>42.271735999999997</v>
      </c>
      <c r="N189" s="6" t="s">
        <v>3099</v>
      </c>
    </row>
    <row r="190" spans="1:14">
      <c r="A190" s="511"/>
      <c r="B190" s="5">
        <v>188</v>
      </c>
      <c r="C190" s="5" t="s">
        <v>2997</v>
      </c>
      <c r="D190" s="5" t="s">
        <v>3100</v>
      </c>
      <c r="E190" s="5" t="s">
        <v>3101</v>
      </c>
      <c r="F190" s="5" t="s">
        <v>3102</v>
      </c>
      <c r="G190" s="5" t="s">
        <v>3103</v>
      </c>
      <c r="H190" s="5">
        <v>18999601302</v>
      </c>
      <c r="I190" s="5" t="s">
        <v>2997</v>
      </c>
      <c r="J190" s="5" t="s">
        <v>3097</v>
      </c>
      <c r="K190" s="6" t="s">
        <v>3104</v>
      </c>
      <c r="L190" s="7">
        <v>86.884150000000005</v>
      </c>
      <c r="M190" s="7">
        <v>42.306576999999997</v>
      </c>
      <c r="N190" s="6" t="s">
        <v>3105</v>
      </c>
    </row>
    <row r="191" spans="1:14">
      <c r="A191" s="511"/>
      <c r="B191" s="5">
        <v>189</v>
      </c>
      <c r="C191" s="5" t="s">
        <v>2997</v>
      </c>
      <c r="D191" s="5" t="s">
        <v>3106</v>
      </c>
      <c r="E191" s="5" t="s">
        <v>3107</v>
      </c>
      <c r="F191" s="5" t="s">
        <v>3108</v>
      </c>
      <c r="G191" s="5" t="s">
        <v>3103</v>
      </c>
      <c r="H191" s="5">
        <v>18999601302</v>
      </c>
      <c r="I191" s="5" t="s">
        <v>2997</v>
      </c>
      <c r="J191" s="5" t="s">
        <v>3097</v>
      </c>
      <c r="K191" s="6" t="s">
        <v>3104</v>
      </c>
      <c r="L191" s="7">
        <v>86.883170000000007</v>
      </c>
      <c r="M191" s="7">
        <v>42.305937</v>
      </c>
      <c r="N191" s="6" t="s">
        <v>3109</v>
      </c>
    </row>
    <row r="192" spans="1:14">
      <c r="A192" s="511"/>
      <c r="B192" s="5">
        <v>190</v>
      </c>
      <c r="C192" s="5" t="s">
        <v>2997</v>
      </c>
      <c r="D192" s="5" t="s">
        <v>3110</v>
      </c>
      <c r="E192" s="5" t="s">
        <v>3111</v>
      </c>
      <c r="F192" s="5" t="s">
        <v>3112</v>
      </c>
      <c r="G192" s="5" t="s">
        <v>3113</v>
      </c>
      <c r="H192" s="5">
        <v>13565075826</v>
      </c>
      <c r="I192" s="5" t="s">
        <v>2997</v>
      </c>
      <c r="J192" s="5" t="s">
        <v>3114</v>
      </c>
      <c r="K192" s="6" t="s">
        <v>3115</v>
      </c>
      <c r="L192" s="7">
        <v>84.006736000000004</v>
      </c>
      <c r="M192" s="7">
        <v>41.834463999999997</v>
      </c>
      <c r="N192" s="6" t="s">
        <v>3116</v>
      </c>
    </row>
    <row r="193" spans="1:14">
      <c r="A193" s="511"/>
      <c r="B193" s="5">
        <v>191</v>
      </c>
      <c r="C193" s="5" t="s">
        <v>2997</v>
      </c>
      <c r="D193" s="5" t="s">
        <v>3117</v>
      </c>
      <c r="E193" s="5" t="s">
        <v>3118</v>
      </c>
      <c r="F193" s="5" t="s">
        <v>3119</v>
      </c>
      <c r="G193" s="5" t="s">
        <v>3120</v>
      </c>
      <c r="H193" s="5">
        <v>18609967705</v>
      </c>
      <c r="I193" s="5" t="s">
        <v>2997</v>
      </c>
      <c r="J193" s="5" t="s">
        <v>3114</v>
      </c>
      <c r="K193" s="6" t="s">
        <v>3121</v>
      </c>
      <c r="L193" s="7">
        <v>84.602999999999994</v>
      </c>
      <c r="M193" s="7">
        <v>42.007399999999997</v>
      </c>
      <c r="N193" s="6" t="s">
        <v>3122</v>
      </c>
    </row>
    <row r="194" spans="1:14">
      <c r="A194" s="511"/>
      <c r="B194" s="5">
        <v>192</v>
      </c>
      <c r="C194" s="5" t="s">
        <v>2997</v>
      </c>
      <c r="D194" s="5" t="s">
        <v>3123</v>
      </c>
      <c r="E194" s="5" t="s">
        <v>3124</v>
      </c>
      <c r="F194" s="5" t="s">
        <v>3125</v>
      </c>
      <c r="G194" s="5" t="s">
        <v>3120</v>
      </c>
      <c r="H194" s="5">
        <v>18609967705</v>
      </c>
      <c r="I194" s="5" t="s">
        <v>2997</v>
      </c>
      <c r="J194" s="5" t="s">
        <v>3114</v>
      </c>
      <c r="K194" s="6" t="s">
        <v>3126</v>
      </c>
      <c r="L194" s="7">
        <v>84.602000000000004</v>
      </c>
      <c r="M194" s="7">
        <v>42.009</v>
      </c>
      <c r="N194" s="6" t="s">
        <v>3122</v>
      </c>
    </row>
    <row r="195" spans="1:14">
      <c r="A195" s="511"/>
      <c r="B195" s="5">
        <v>193</v>
      </c>
      <c r="C195" s="5" t="s">
        <v>2997</v>
      </c>
      <c r="D195" s="5" t="s">
        <v>3127</v>
      </c>
      <c r="E195" s="5" t="s">
        <v>3128</v>
      </c>
      <c r="F195" s="5" t="s">
        <v>3129</v>
      </c>
      <c r="G195" s="5" t="s">
        <v>3130</v>
      </c>
      <c r="H195" s="5">
        <v>19915102032</v>
      </c>
      <c r="I195" s="5" t="s">
        <v>2997</v>
      </c>
      <c r="J195" s="5" t="s">
        <v>3131</v>
      </c>
      <c r="K195" s="6" t="s">
        <v>3132</v>
      </c>
      <c r="L195" s="7" t="s">
        <v>3133</v>
      </c>
      <c r="M195" s="7" t="s">
        <v>3134</v>
      </c>
      <c r="N195" s="6" t="s">
        <v>3135</v>
      </c>
    </row>
    <row r="196" spans="1:14">
      <c r="A196" s="511"/>
      <c r="B196" s="5">
        <v>194</v>
      </c>
      <c r="C196" s="5" t="s">
        <v>2997</v>
      </c>
      <c r="D196" s="5" t="s">
        <v>3136</v>
      </c>
      <c r="E196" s="5" t="s">
        <v>3137</v>
      </c>
      <c r="F196" s="5" t="s">
        <v>3138</v>
      </c>
      <c r="G196" s="5" t="s">
        <v>3139</v>
      </c>
      <c r="H196" s="5">
        <v>13565085599</v>
      </c>
      <c r="I196" s="5" t="s">
        <v>2997</v>
      </c>
      <c r="J196" s="5" t="s">
        <v>3131</v>
      </c>
      <c r="K196" s="6" t="s">
        <v>3140</v>
      </c>
      <c r="L196" s="7">
        <v>88.007498999999996</v>
      </c>
      <c r="M196" s="7">
        <v>38.938290000000002</v>
      </c>
      <c r="N196" s="6" t="s">
        <v>3141</v>
      </c>
    </row>
    <row r="197" spans="1:14">
      <c r="A197" s="511"/>
      <c r="B197" s="5">
        <v>195</v>
      </c>
      <c r="C197" s="5" t="s">
        <v>2997</v>
      </c>
      <c r="D197" s="5" t="s">
        <v>3142</v>
      </c>
      <c r="E197" s="5" t="s">
        <v>3143</v>
      </c>
      <c r="F197" s="5" t="s">
        <v>3144</v>
      </c>
      <c r="G197" s="5" t="s">
        <v>3145</v>
      </c>
      <c r="H197" s="5">
        <v>19914240923</v>
      </c>
      <c r="I197" s="5" t="s">
        <v>2997</v>
      </c>
      <c r="J197" s="5" t="s">
        <v>3131</v>
      </c>
      <c r="K197" s="6" t="s">
        <v>3146</v>
      </c>
      <c r="L197" s="7">
        <v>88.002938999999998</v>
      </c>
      <c r="M197" s="7">
        <v>38.938029999999998</v>
      </c>
      <c r="N197" s="6" t="s">
        <v>3147</v>
      </c>
    </row>
    <row r="198" spans="1:14">
      <c r="A198" s="511"/>
      <c r="B198" s="5">
        <v>196</v>
      </c>
      <c r="C198" s="5" t="s">
        <v>2997</v>
      </c>
      <c r="D198" s="5" t="s">
        <v>3148</v>
      </c>
      <c r="E198" s="5" t="s">
        <v>3149</v>
      </c>
      <c r="F198" s="5" t="s">
        <v>3150</v>
      </c>
      <c r="G198" s="5" t="s">
        <v>3151</v>
      </c>
      <c r="H198" s="5">
        <v>18399785188</v>
      </c>
      <c r="I198" s="5" t="s">
        <v>2997</v>
      </c>
      <c r="J198" s="5" t="s">
        <v>3152</v>
      </c>
      <c r="K198" s="6" t="s">
        <v>3153</v>
      </c>
      <c r="L198" s="7">
        <v>86.623447999999996</v>
      </c>
      <c r="M198" s="7">
        <v>41.985258000000002</v>
      </c>
      <c r="N198" s="6" t="s">
        <v>3154</v>
      </c>
    </row>
    <row r="199" spans="1:14">
      <c r="A199" s="511"/>
      <c r="B199" s="5">
        <v>197</v>
      </c>
      <c r="C199" s="5" t="s">
        <v>2997</v>
      </c>
      <c r="D199" s="5" t="s">
        <v>3155</v>
      </c>
      <c r="E199" s="5" t="s">
        <v>3156</v>
      </c>
      <c r="F199" s="5" t="s">
        <v>3157</v>
      </c>
      <c r="G199" s="5" t="s">
        <v>3158</v>
      </c>
      <c r="H199" s="5">
        <v>13579025019</v>
      </c>
      <c r="I199" s="5" t="s">
        <v>2997</v>
      </c>
      <c r="J199" s="5" t="s">
        <v>3152</v>
      </c>
      <c r="K199" s="6" t="s">
        <v>3159</v>
      </c>
      <c r="L199" s="7">
        <v>86.672420000000002</v>
      </c>
      <c r="M199" s="7">
        <v>42.035747999999998</v>
      </c>
      <c r="N199" s="6" t="s">
        <v>3160</v>
      </c>
    </row>
    <row r="200" spans="1:14">
      <c r="A200" s="511"/>
      <c r="B200" s="5">
        <v>198</v>
      </c>
      <c r="C200" s="5" t="s">
        <v>2997</v>
      </c>
      <c r="D200" s="5" t="s">
        <v>3161</v>
      </c>
      <c r="E200" s="5" t="s">
        <v>3162</v>
      </c>
      <c r="F200" s="5" t="s">
        <v>3163</v>
      </c>
      <c r="G200" s="5" t="s">
        <v>3164</v>
      </c>
      <c r="H200" s="5">
        <v>13239071211</v>
      </c>
      <c r="I200" s="5" t="s">
        <v>2997</v>
      </c>
      <c r="J200" s="5" t="s">
        <v>3152</v>
      </c>
      <c r="K200" s="6" t="s">
        <v>3165</v>
      </c>
      <c r="L200" s="7">
        <v>86.637266999999994</v>
      </c>
      <c r="M200" s="7">
        <v>41.928348999999997</v>
      </c>
      <c r="N200" s="6" t="s">
        <v>3160</v>
      </c>
    </row>
    <row r="201" spans="1:14">
      <c r="A201" s="514" t="s">
        <v>3166</v>
      </c>
      <c r="B201" s="5">
        <v>199</v>
      </c>
      <c r="C201" s="5" t="s">
        <v>3167</v>
      </c>
      <c r="D201" s="5" t="s">
        <v>3168</v>
      </c>
      <c r="E201" s="5" t="s">
        <v>3169</v>
      </c>
      <c r="F201" s="5" t="s">
        <v>3170</v>
      </c>
      <c r="G201" s="5" t="s">
        <v>3171</v>
      </c>
      <c r="H201" s="5">
        <v>17509950123</v>
      </c>
      <c r="I201" s="5" t="s">
        <v>3167</v>
      </c>
      <c r="J201" s="5" t="s">
        <v>3172</v>
      </c>
      <c r="K201" s="6" t="s">
        <v>3173</v>
      </c>
      <c r="L201" s="7">
        <v>89.274787000000003</v>
      </c>
      <c r="M201" s="7">
        <v>42.953949999999999</v>
      </c>
      <c r="N201" s="6" t="s">
        <v>3174</v>
      </c>
    </row>
    <row r="202" spans="1:14">
      <c r="A202" s="514"/>
      <c r="B202" s="5">
        <v>200</v>
      </c>
      <c r="C202" s="5" t="s">
        <v>3167</v>
      </c>
      <c r="D202" s="5" t="s">
        <v>3175</v>
      </c>
      <c r="E202" s="5" t="s">
        <v>3176</v>
      </c>
      <c r="F202" s="5" t="s">
        <v>3177</v>
      </c>
      <c r="G202" s="5" t="s">
        <v>3178</v>
      </c>
      <c r="H202" s="5">
        <v>13909958882</v>
      </c>
      <c r="I202" s="5" t="s">
        <v>3167</v>
      </c>
      <c r="J202" s="5" t="s">
        <v>3172</v>
      </c>
      <c r="K202" s="6" t="s">
        <v>3179</v>
      </c>
      <c r="L202" s="7">
        <v>89.205927000000003</v>
      </c>
      <c r="M202" s="7">
        <v>42.937725999999998</v>
      </c>
      <c r="N202" s="6" t="s">
        <v>3180</v>
      </c>
    </row>
    <row r="203" spans="1:14">
      <c r="A203" s="514"/>
      <c r="B203" s="5">
        <v>201</v>
      </c>
      <c r="C203" s="5" t="s">
        <v>3167</v>
      </c>
      <c r="D203" s="5" t="s">
        <v>3181</v>
      </c>
      <c r="E203" s="5" t="s">
        <v>3182</v>
      </c>
      <c r="F203" s="5" t="s">
        <v>3183</v>
      </c>
      <c r="G203" s="5" t="s">
        <v>3184</v>
      </c>
      <c r="H203" s="5">
        <v>13699922289</v>
      </c>
      <c r="I203" s="5" t="s">
        <v>3167</v>
      </c>
      <c r="J203" s="5" t="s">
        <v>3172</v>
      </c>
      <c r="K203" s="6" t="s">
        <v>3185</v>
      </c>
      <c r="L203" s="7">
        <v>89.216453999999999</v>
      </c>
      <c r="M203" s="7">
        <v>43.069355000000002</v>
      </c>
      <c r="N203" s="6" t="s">
        <v>3186</v>
      </c>
    </row>
    <row r="204" spans="1:14">
      <c r="A204" s="514"/>
      <c r="B204" s="5">
        <v>202</v>
      </c>
      <c r="C204" s="5" t="s">
        <v>3167</v>
      </c>
      <c r="D204" s="5" t="s">
        <v>3187</v>
      </c>
      <c r="E204" s="5" t="s">
        <v>3188</v>
      </c>
      <c r="F204" s="5" t="s">
        <v>3189</v>
      </c>
      <c r="G204" s="5" t="s">
        <v>3190</v>
      </c>
      <c r="H204" s="5">
        <v>18097756991</v>
      </c>
      <c r="I204" s="5" t="s">
        <v>3167</v>
      </c>
      <c r="J204" s="5" t="s">
        <v>3172</v>
      </c>
      <c r="K204" s="6" t="s">
        <v>3191</v>
      </c>
      <c r="L204" s="7">
        <v>89.123999999999995</v>
      </c>
      <c r="M204" s="7">
        <v>43.335000000000001</v>
      </c>
      <c r="N204" s="6" t="s">
        <v>3186</v>
      </c>
    </row>
    <row r="205" spans="1:14">
      <c r="A205" s="514"/>
      <c r="B205" s="5">
        <v>203</v>
      </c>
      <c r="C205" s="5" t="s">
        <v>3167</v>
      </c>
      <c r="D205" s="5" t="s">
        <v>3192</v>
      </c>
      <c r="E205" s="5" t="s">
        <v>3193</v>
      </c>
      <c r="F205" s="5" t="s">
        <v>3194</v>
      </c>
      <c r="G205" s="5" t="s">
        <v>3195</v>
      </c>
      <c r="H205" s="5">
        <v>13909955157</v>
      </c>
      <c r="I205" s="5" t="s">
        <v>3167</v>
      </c>
      <c r="J205" s="5" t="s">
        <v>3172</v>
      </c>
      <c r="K205" s="6" t="s">
        <v>3196</v>
      </c>
      <c r="L205" s="7">
        <v>89.232899000000003</v>
      </c>
      <c r="M205" s="7">
        <v>42.972622000000001</v>
      </c>
      <c r="N205" s="6" t="s">
        <v>3197</v>
      </c>
    </row>
    <row r="206" spans="1:14">
      <c r="A206" s="514"/>
      <c r="B206" s="5">
        <v>204</v>
      </c>
      <c r="C206" s="5" t="s">
        <v>3167</v>
      </c>
      <c r="D206" s="5" t="s">
        <v>3198</v>
      </c>
      <c r="E206" s="5" t="s">
        <v>3199</v>
      </c>
      <c r="F206" s="5" t="s">
        <v>3200</v>
      </c>
      <c r="G206" s="5" t="s">
        <v>3201</v>
      </c>
      <c r="H206" s="5">
        <v>18009956686</v>
      </c>
      <c r="I206" s="5" t="s">
        <v>3167</v>
      </c>
      <c r="J206" s="5" t="s">
        <v>3172</v>
      </c>
      <c r="K206" s="6" t="s">
        <v>3202</v>
      </c>
      <c r="L206" s="7">
        <v>89.165616</v>
      </c>
      <c r="M206" s="7">
        <v>42.990367999999997</v>
      </c>
      <c r="N206" s="6" t="s">
        <v>3203</v>
      </c>
    </row>
    <row r="207" spans="1:14">
      <c r="A207" s="514"/>
      <c r="B207" s="5">
        <v>205</v>
      </c>
      <c r="C207" s="5" t="s">
        <v>3167</v>
      </c>
      <c r="D207" s="5" t="s">
        <v>3204</v>
      </c>
      <c r="E207" s="5" t="s">
        <v>3205</v>
      </c>
      <c r="F207" s="5" t="s">
        <v>3206</v>
      </c>
      <c r="G207" s="5" t="s">
        <v>3207</v>
      </c>
      <c r="H207" s="5">
        <v>18999043901</v>
      </c>
      <c r="I207" s="5" t="s">
        <v>3167</v>
      </c>
      <c r="J207" s="5" t="s">
        <v>3172</v>
      </c>
      <c r="K207" s="6" t="s">
        <v>3196</v>
      </c>
      <c r="L207" s="7">
        <v>89.240003999999999</v>
      </c>
      <c r="M207" s="7">
        <v>42.970218000000003</v>
      </c>
      <c r="N207" s="6" t="s">
        <v>3208</v>
      </c>
    </row>
    <row r="208" spans="1:14">
      <c r="A208" s="514"/>
      <c r="B208" s="5">
        <v>206</v>
      </c>
      <c r="C208" s="5" t="s">
        <v>3167</v>
      </c>
      <c r="D208" s="5" t="s">
        <v>1942</v>
      </c>
      <c r="E208" s="5" t="s">
        <v>3209</v>
      </c>
      <c r="F208" s="5" t="s">
        <v>3210</v>
      </c>
      <c r="G208" s="5" t="s">
        <v>3211</v>
      </c>
      <c r="H208" s="5">
        <v>13999699973</v>
      </c>
      <c r="I208" s="5" t="s">
        <v>3167</v>
      </c>
      <c r="J208" s="5" t="s">
        <v>3172</v>
      </c>
      <c r="K208" s="6" t="s">
        <v>3212</v>
      </c>
      <c r="L208" s="7">
        <v>89.174903999999998</v>
      </c>
      <c r="M208" s="7">
        <v>42.955182000000001</v>
      </c>
      <c r="N208" s="6" t="s">
        <v>3213</v>
      </c>
    </row>
    <row r="209" spans="1:14">
      <c r="A209" s="514"/>
      <c r="B209" s="5">
        <v>207</v>
      </c>
      <c r="C209" s="5" t="s">
        <v>3167</v>
      </c>
      <c r="D209" s="5" t="s">
        <v>3214</v>
      </c>
      <c r="E209" s="5" t="s">
        <v>3215</v>
      </c>
      <c r="F209" s="5" t="s">
        <v>3216</v>
      </c>
      <c r="G209" s="5" t="s">
        <v>3217</v>
      </c>
      <c r="H209" s="5">
        <v>13999045049</v>
      </c>
      <c r="I209" s="5" t="s">
        <v>3167</v>
      </c>
      <c r="J209" s="5" t="s">
        <v>3172</v>
      </c>
      <c r="K209" s="6" t="s">
        <v>3218</v>
      </c>
      <c r="L209" s="7">
        <v>89.177751999999998</v>
      </c>
      <c r="M209" s="7">
        <v>42.976452000000002</v>
      </c>
      <c r="N209" s="6" t="s">
        <v>3219</v>
      </c>
    </row>
    <row r="210" spans="1:14">
      <c r="A210" s="514"/>
      <c r="B210" s="5">
        <v>208</v>
      </c>
      <c r="C210" s="5" t="s">
        <v>3167</v>
      </c>
      <c r="D210" s="5" t="s">
        <v>3220</v>
      </c>
      <c r="E210" s="5" t="s">
        <v>3221</v>
      </c>
      <c r="F210" s="5" t="s">
        <v>3222</v>
      </c>
      <c r="G210" s="5" t="s">
        <v>3223</v>
      </c>
      <c r="H210" s="5">
        <v>13279951030</v>
      </c>
      <c r="I210" s="5" t="s">
        <v>3167</v>
      </c>
      <c r="J210" s="5" t="s">
        <v>3172</v>
      </c>
      <c r="K210" s="6" t="s">
        <v>3224</v>
      </c>
      <c r="L210" s="7">
        <v>89.186240999999995</v>
      </c>
      <c r="M210" s="7">
        <v>42.967934999999997</v>
      </c>
      <c r="N210" s="6" t="s">
        <v>3225</v>
      </c>
    </row>
    <row r="211" spans="1:14">
      <c r="A211" s="514"/>
      <c r="B211" s="5">
        <v>209</v>
      </c>
      <c r="C211" s="5" t="s">
        <v>3167</v>
      </c>
      <c r="D211" s="5" t="s">
        <v>3226</v>
      </c>
      <c r="E211" s="5" t="s">
        <v>3227</v>
      </c>
      <c r="F211" s="5" t="s">
        <v>3228</v>
      </c>
      <c r="G211" s="5" t="s">
        <v>3229</v>
      </c>
      <c r="H211" s="5">
        <v>18099953339</v>
      </c>
      <c r="I211" s="5" t="s">
        <v>3167</v>
      </c>
      <c r="J211" s="5" t="s">
        <v>3230</v>
      </c>
      <c r="K211" s="6" t="s">
        <v>3231</v>
      </c>
      <c r="L211" s="7">
        <v>88.655107999999998</v>
      </c>
      <c r="M211" s="7">
        <v>42.812491999999999</v>
      </c>
      <c r="N211" s="6" t="s">
        <v>3232</v>
      </c>
    </row>
    <row r="212" spans="1:14">
      <c r="A212" s="514"/>
      <c r="B212" s="5">
        <v>210</v>
      </c>
      <c r="C212" s="5" t="s">
        <v>3167</v>
      </c>
      <c r="D212" s="5" t="s">
        <v>3233</v>
      </c>
      <c r="E212" s="5" t="s">
        <v>3234</v>
      </c>
      <c r="F212" s="5" t="s">
        <v>3235</v>
      </c>
      <c r="G212" s="5" t="s">
        <v>3236</v>
      </c>
      <c r="H212" s="5">
        <v>13565597973</v>
      </c>
      <c r="I212" s="5" t="s">
        <v>3167</v>
      </c>
      <c r="J212" s="5" t="s">
        <v>3230</v>
      </c>
      <c r="K212" s="6" t="s">
        <v>3237</v>
      </c>
      <c r="L212" s="7">
        <v>88.119512</v>
      </c>
      <c r="M212" s="7">
        <v>42.260652999999998</v>
      </c>
      <c r="N212" s="6" t="s">
        <v>3238</v>
      </c>
    </row>
    <row r="213" spans="1:14">
      <c r="A213" s="514"/>
      <c r="B213" s="5">
        <v>211</v>
      </c>
      <c r="C213" s="5" t="s">
        <v>3167</v>
      </c>
      <c r="D213" s="5" t="s">
        <v>3239</v>
      </c>
      <c r="E213" s="5" t="s">
        <v>3240</v>
      </c>
      <c r="F213" s="5" t="s">
        <v>3241</v>
      </c>
      <c r="G213" s="5" t="s">
        <v>3242</v>
      </c>
      <c r="H213" s="5">
        <v>19999543352</v>
      </c>
      <c r="I213" s="5" t="s">
        <v>3167</v>
      </c>
      <c r="J213" s="5" t="s">
        <v>3230</v>
      </c>
      <c r="K213" s="6" t="s">
        <v>3243</v>
      </c>
      <c r="L213" s="7">
        <v>88.614549999999994</v>
      </c>
      <c r="M213" s="7">
        <v>42.753647000000001</v>
      </c>
      <c r="N213" s="6" t="s">
        <v>3244</v>
      </c>
    </row>
    <row r="214" spans="1:14">
      <c r="A214" s="514"/>
      <c r="B214" s="5">
        <v>212</v>
      </c>
      <c r="C214" s="5" t="s">
        <v>3167</v>
      </c>
      <c r="D214" s="5" t="s">
        <v>3245</v>
      </c>
      <c r="E214" s="5" t="s">
        <v>3246</v>
      </c>
      <c r="F214" s="5" t="s">
        <v>3247</v>
      </c>
      <c r="G214" s="5" t="s">
        <v>3248</v>
      </c>
      <c r="H214" s="5">
        <v>15160812447</v>
      </c>
      <c r="I214" s="5" t="s">
        <v>3167</v>
      </c>
      <c r="J214" s="5" t="s">
        <v>3230</v>
      </c>
      <c r="K214" s="6" t="s">
        <v>3249</v>
      </c>
      <c r="L214" s="7">
        <v>88.362899999999996</v>
      </c>
      <c r="M214" s="7">
        <v>42.451000000000001</v>
      </c>
      <c r="N214" s="6" t="s">
        <v>3250</v>
      </c>
    </row>
    <row r="215" spans="1:14">
      <c r="A215" s="514"/>
      <c r="B215" s="5">
        <v>213</v>
      </c>
      <c r="C215" s="5" t="s">
        <v>3167</v>
      </c>
      <c r="D215" s="5" t="s">
        <v>3251</v>
      </c>
      <c r="E215" s="5" t="s">
        <v>3252</v>
      </c>
      <c r="F215" s="5" t="s">
        <v>3253</v>
      </c>
      <c r="G215" s="5" t="s">
        <v>3254</v>
      </c>
      <c r="H215" s="5">
        <v>15022879008</v>
      </c>
      <c r="I215" s="5" t="s">
        <v>3167</v>
      </c>
      <c r="J215" s="5" t="s">
        <v>3230</v>
      </c>
      <c r="K215" s="6" t="s">
        <v>3255</v>
      </c>
      <c r="L215" s="7">
        <v>88.119476000000006</v>
      </c>
      <c r="M215" s="7">
        <v>42.261687000000002</v>
      </c>
      <c r="N215" s="6" t="s">
        <v>3256</v>
      </c>
    </row>
    <row r="216" spans="1:14">
      <c r="A216" s="514"/>
      <c r="B216" s="5">
        <v>214</v>
      </c>
      <c r="C216" s="5" t="s">
        <v>3167</v>
      </c>
      <c r="D216" s="5" t="s">
        <v>3257</v>
      </c>
      <c r="E216" s="5" t="s">
        <v>3258</v>
      </c>
      <c r="F216" s="5" t="s">
        <v>3259</v>
      </c>
      <c r="G216" s="5" t="s">
        <v>3260</v>
      </c>
      <c r="H216" s="5">
        <v>13565715881</v>
      </c>
      <c r="I216" s="5" t="s">
        <v>3167</v>
      </c>
      <c r="J216" s="5" t="s">
        <v>3230</v>
      </c>
      <c r="K216" s="6" t="s">
        <v>3261</v>
      </c>
      <c r="L216" s="7">
        <v>88.593624000000005</v>
      </c>
      <c r="M216" s="7">
        <v>42.872886000000001</v>
      </c>
      <c r="N216" s="6" t="s">
        <v>3262</v>
      </c>
    </row>
    <row r="217" spans="1:14">
      <c r="A217" s="514"/>
      <c r="B217" s="5">
        <v>215</v>
      </c>
      <c r="C217" s="5" t="s">
        <v>3167</v>
      </c>
      <c r="D217" s="5" t="s">
        <v>3263</v>
      </c>
      <c r="E217" s="5" t="s">
        <v>3264</v>
      </c>
      <c r="F217" s="5" t="s">
        <v>3265</v>
      </c>
      <c r="G217" s="5" t="s">
        <v>3266</v>
      </c>
      <c r="H217" s="5">
        <v>13201040303</v>
      </c>
      <c r="I217" s="5" t="s">
        <v>3167</v>
      </c>
      <c r="J217" s="5" t="s">
        <v>3230</v>
      </c>
      <c r="K217" s="6" t="s">
        <v>3267</v>
      </c>
      <c r="L217" s="7">
        <v>88.677800000000005</v>
      </c>
      <c r="M217" s="7">
        <v>42.787748000000001</v>
      </c>
      <c r="N217" s="6" t="s">
        <v>3268</v>
      </c>
    </row>
    <row r="218" spans="1:14">
      <c r="A218" s="514"/>
      <c r="B218" s="5">
        <v>216</v>
      </c>
      <c r="C218" s="5" t="s">
        <v>3167</v>
      </c>
      <c r="D218" s="5" t="s">
        <v>3269</v>
      </c>
      <c r="E218" s="5" t="s">
        <v>3270</v>
      </c>
      <c r="F218" s="5" t="s">
        <v>3271</v>
      </c>
      <c r="G218" s="5" t="s">
        <v>3272</v>
      </c>
      <c r="H218" s="5">
        <v>13369955505</v>
      </c>
      <c r="I218" s="5" t="s">
        <v>3167</v>
      </c>
      <c r="J218" s="5" t="s">
        <v>3230</v>
      </c>
      <c r="K218" s="6" t="s">
        <v>3273</v>
      </c>
      <c r="L218" s="7">
        <v>88.435687999999999</v>
      </c>
      <c r="M218" s="7">
        <v>42.787691000000002</v>
      </c>
      <c r="N218" s="6" t="s">
        <v>3274</v>
      </c>
    </row>
    <row r="219" spans="1:14">
      <c r="A219" s="514"/>
      <c r="B219" s="5">
        <v>217</v>
      </c>
      <c r="C219" s="5" t="s">
        <v>3167</v>
      </c>
      <c r="D219" s="5" t="s">
        <v>3275</v>
      </c>
      <c r="E219" s="5" t="s">
        <v>3276</v>
      </c>
      <c r="F219" s="5" t="s">
        <v>3277</v>
      </c>
      <c r="G219" s="5" t="s">
        <v>3278</v>
      </c>
      <c r="H219" s="5">
        <v>18799746525</v>
      </c>
      <c r="I219" s="5" t="s">
        <v>3167</v>
      </c>
      <c r="J219" s="5" t="s">
        <v>3279</v>
      </c>
      <c r="K219" s="6" t="s">
        <v>3280</v>
      </c>
      <c r="L219" s="7">
        <v>90.218331000000006</v>
      </c>
      <c r="M219" s="7">
        <v>42.900561000000003</v>
      </c>
      <c r="N219" s="6" t="s">
        <v>3281</v>
      </c>
    </row>
    <row r="220" spans="1:14">
      <c r="A220" s="514"/>
      <c r="B220" s="5">
        <v>218</v>
      </c>
      <c r="C220" s="5" t="s">
        <v>3167</v>
      </c>
      <c r="D220" s="5" t="s">
        <v>3282</v>
      </c>
      <c r="E220" s="5" t="s">
        <v>3283</v>
      </c>
      <c r="F220" s="5" t="s">
        <v>3284</v>
      </c>
      <c r="G220" s="5" t="s">
        <v>3285</v>
      </c>
      <c r="H220" s="5">
        <v>13999471529</v>
      </c>
      <c r="I220" s="5" t="s">
        <v>3167</v>
      </c>
      <c r="J220" s="5" t="s">
        <v>3279</v>
      </c>
      <c r="K220" s="6" t="s">
        <v>3286</v>
      </c>
      <c r="L220" s="7">
        <v>90.163312000000005</v>
      </c>
      <c r="M220" s="7">
        <v>42.887632000000004</v>
      </c>
      <c r="N220" s="6" t="s">
        <v>3287</v>
      </c>
    </row>
    <row r="221" spans="1:14">
      <c r="A221" s="514"/>
      <c r="B221" s="5">
        <v>219</v>
      </c>
      <c r="C221" s="5" t="s">
        <v>3167</v>
      </c>
      <c r="D221" s="5" t="s">
        <v>3288</v>
      </c>
      <c r="E221" s="5" t="s">
        <v>3289</v>
      </c>
      <c r="F221" s="5" t="s">
        <v>3290</v>
      </c>
      <c r="G221" s="5" t="s">
        <v>3291</v>
      </c>
      <c r="H221" s="5">
        <v>13565593200</v>
      </c>
      <c r="I221" s="5" t="s">
        <v>3167</v>
      </c>
      <c r="J221" s="5" t="s">
        <v>3279</v>
      </c>
      <c r="K221" s="6" t="s">
        <v>3292</v>
      </c>
      <c r="L221" s="7">
        <v>89.685830999999993</v>
      </c>
      <c r="M221" s="7">
        <v>42.840131</v>
      </c>
      <c r="N221" s="6" t="s">
        <v>3293</v>
      </c>
    </row>
    <row r="222" spans="1:14">
      <c r="A222" s="514"/>
      <c r="B222" s="5">
        <v>220</v>
      </c>
      <c r="C222" s="5" t="s">
        <v>3167</v>
      </c>
      <c r="D222" s="5" t="s">
        <v>3294</v>
      </c>
      <c r="E222" s="5" t="s">
        <v>3295</v>
      </c>
      <c r="F222" s="5" t="s">
        <v>3296</v>
      </c>
      <c r="G222" s="5" t="s">
        <v>3297</v>
      </c>
      <c r="H222" s="5">
        <v>15160830808</v>
      </c>
      <c r="I222" s="5" t="s">
        <v>3167</v>
      </c>
      <c r="J222" s="5" t="s">
        <v>3279</v>
      </c>
      <c r="K222" s="6" t="s">
        <v>3298</v>
      </c>
      <c r="L222" s="7">
        <v>89.777289999999994</v>
      </c>
      <c r="M222" s="7">
        <v>42.752071000000001</v>
      </c>
      <c r="N222" s="6" t="s">
        <v>3299</v>
      </c>
    </row>
    <row r="223" spans="1:14">
      <c r="A223" s="514"/>
      <c r="B223" s="5">
        <v>221</v>
      </c>
      <c r="C223" s="5" t="s">
        <v>3167</v>
      </c>
      <c r="D223" s="5" t="s">
        <v>3300</v>
      </c>
      <c r="E223" s="5" t="s">
        <v>3301</v>
      </c>
      <c r="F223" s="5" t="s">
        <v>3302</v>
      </c>
      <c r="G223" s="5" t="s">
        <v>3303</v>
      </c>
      <c r="H223" s="5">
        <v>15292721861</v>
      </c>
      <c r="I223" s="5" t="s">
        <v>3167</v>
      </c>
      <c r="J223" s="5" t="s">
        <v>3279</v>
      </c>
      <c r="K223" s="6" t="s">
        <v>3304</v>
      </c>
      <c r="L223" s="7">
        <v>90.229123999999999</v>
      </c>
      <c r="M223" s="7">
        <v>42.870524000000003</v>
      </c>
      <c r="N223" s="6" t="s">
        <v>3305</v>
      </c>
    </row>
    <row r="224" spans="1:14">
      <c r="A224" s="514"/>
      <c r="B224" s="5">
        <v>222</v>
      </c>
      <c r="C224" s="5" t="s">
        <v>3167</v>
      </c>
      <c r="D224" s="5" t="s">
        <v>3306</v>
      </c>
      <c r="E224" s="5" t="s">
        <v>3307</v>
      </c>
      <c r="F224" s="5" t="s">
        <v>3308</v>
      </c>
      <c r="G224" s="5" t="s">
        <v>3309</v>
      </c>
      <c r="H224" s="5">
        <v>15022862245</v>
      </c>
      <c r="I224" s="5" t="s">
        <v>3167</v>
      </c>
      <c r="J224" s="5" t="s">
        <v>3279</v>
      </c>
      <c r="K224" s="6" t="s">
        <v>3310</v>
      </c>
      <c r="L224" s="7">
        <v>89.801040999999998</v>
      </c>
      <c r="M224" s="7">
        <v>42.920192999999998</v>
      </c>
      <c r="N224" s="6" t="s">
        <v>3311</v>
      </c>
    </row>
    <row r="225" spans="1:14">
      <c r="A225" s="514"/>
      <c r="B225" s="5">
        <v>223</v>
      </c>
      <c r="C225" s="5" t="s">
        <v>3167</v>
      </c>
      <c r="D225" s="5" t="s">
        <v>3312</v>
      </c>
      <c r="E225" s="5" t="s">
        <v>3313</v>
      </c>
      <c r="F225" s="5" t="s">
        <v>3314</v>
      </c>
      <c r="G225" s="5" t="s">
        <v>3315</v>
      </c>
      <c r="H225" s="5">
        <v>15109956826</v>
      </c>
      <c r="I225" s="5" t="s">
        <v>3167</v>
      </c>
      <c r="J225" s="5" t="s">
        <v>3279</v>
      </c>
      <c r="K225" s="6" t="s">
        <v>3316</v>
      </c>
      <c r="L225" s="7">
        <v>89.802659000000006</v>
      </c>
      <c r="M225" s="7">
        <v>42.918669999999999</v>
      </c>
      <c r="N225" s="6" t="s">
        <v>3317</v>
      </c>
    </row>
    <row r="226" spans="1:14">
      <c r="A226" s="513" t="s">
        <v>3318</v>
      </c>
      <c r="B226" s="5">
        <v>224</v>
      </c>
      <c r="C226" s="5" t="s">
        <v>3319</v>
      </c>
      <c r="D226" s="5" t="s">
        <v>3320</v>
      </c>
      <c r="E226" s="5" t="s">
        <v>3321</v>
      </c>
      <c r="F226" s="5" t="s">
        <v>3322</v>
      </c>
      <c r="G226" s="5" t="s">
        <v>3323</v>
      </c>
      <c r="H226" s="5">
        <v>13999084311</v>
      </c>
      <c r="I226" s="5" t="s">
        <v>3319</v>
      </c>
      <c r="J226" s="5" t="s">
        <v>3324</v>
      </c>
      <c r="K226" s="6" t="s">
        <v>3325</v>
      </c>
      <c r="L226" s="7"/>
      <c r="M226" s="7"/>
      <c r="N226" s="6" t="s">
        <v>3326</v>
      </c>
    </row>
    <row r="227" spans="1:14">
      <c r="A227" s="514"/>
      <c r="B227" s="5">
        <v>225</v>
      </c>
      <c r="C227" s="5" t="s">
        <v>3319</v>
      </c>
      <c r="D227" s="5" t="s">
        <v>3327</v>
      </c>
      <c r="E227" s="5" t="s">
        <v>3328</v>
      </c>
      <c r="F227" s="5" t="s">
        <v>3329</v>
      </c>
      <c r="G227" s="5" t="s">
        <v>3330</v>
      </c>
      <c r="H227" s="5">
        <v>18099981314</v>
      </c>
      <c r="I227" s="5" t="s">
        <v>3319</v>
      </c>
      <c r="J227" s="5" t="s">
        <v>3324</v>
      </c>
      <c r="K227" s="6" t="s">
        <v>3331</v>
      </c>
      <c r="L227" s="7"/>
      <c r="M227" s="7"/>
      <c r="N227" s="6" t="s">
        <v>3332</v>
      </c>
    </row>
    <row r="228" spans="1:14">
      <c r="A228" s="514"/>
      <c r="B228" s="5">
        <v>226</v>
      </c>
      <c r="C228" s="5" t="s">
        <v>3319</v>
      </c>
      <c r="D228" s="5" t="s">
        <v>3333</v>
      </c>
      <c r="E228" s="5" t="s">
        <v>3334</v>
      </c>
      <c r="F228" s="5" t="s">
        <v>3335</v>
      </c>
      <c r="G228" s="5" t="s">
        <v>3336</v>
      </c>
      <c r="H228" s="5">
        <v>18999091097</v>
      </c>
      <c r="I228" s="5" t="s">
        <v>3319</v>
      </c>
      <c r="J228" s="5" t="s">
        <v>3337</v>
      </c>
      <c r="K228" s="6" t="s">
        <v>3338</v>
      </c>
      <c r="L228" s="7"/>
      <c r="M228" s="7"/>
      <c r="N228" s="6" t="s">
        <v>3339</v>
      </c>
    </row>
    <row r="229" spans="1:14">
      <c r="A229" s="514"/>
      <c r="B229" s="5">
        <v>227</v>
      </c>
      <c r="C229" s="5" t="s">
        <v>3319</v>
      </c>
      <c r="D229" s="5" t="s">
        <v>3340</v>
      </c>
      <c r="E229" s="5" t="s">
        <v>3341</v>
      </c>
      <c r="F229" s="5" t="s">
        <v>3342</v>
      </c>
      <c r="G229" s="5" t="s">
        <v>3343</v>
      </c>
      <c r="H229" s="5">
        <v>19309988723</v>
      </c>
      <c r="I229" s="5" t="s">
        <v>3319</v>
      </c>
      <c r="J229" s="5" t="s">
        <v>3337</v>
      </c>
      <c r="K229" s="6" t="s">
        <v>3344</v>
      </c>
      <c r="L229" s="7">
        <v>76.042927000000006</v>
      </c>
      <c r="M229" s="7">
        <v>39.451839999999997</v>
      </c>
      <c r="N229" s="6" t="s">
        <v>3345</v>
      </c>
    </row>
    <row r="230" spans="1:14">
      <c r="A230" s="514"/>
      <c r="B230" s="5">
        <v>228</v>
      </c>
      <c r="C230" s="5" t="s">
        <v>3319</v>
      </c>
      <c r="D230" s="5" t="s">
        <v>3346</v>
      </c>
      <c r="E230" s="5" t="s">
        <v>3347</v>
      </c>
      <c r="F230" s="5" t="s">
        <v>3348</v>
      </c>
      <c r="G230" s="5" t="s">
        <v>3349</v>
      </c>
      <c r="H230" s="5">
        <v>15292925552</v>
      </c>
      <c r="I230" s="5" t="s">
        <v>3319</v>
      </c>
      <c r="J230" s="5" t="s">
        <v>3337</v>
      </c>
      <c r="K230" s="6" t="s">
        <v>3350</v>
      </c>
      <c r="L230" s="7"/>
      <c r="M230" s="7"/>
      <c r="N230" s="6" t="s">
        <v>3351</v>
      </c>
    </row>
    <row r="231" spans="1:14">
      <c r="A231" s="514"/>
      <c r="B231" s="5">
        <v>229</v>
      </c>
      <c r="C231" s="5" t="s">
        <v>3319</v>
      </c>
      <c r="D231" s="5" t="s">
        <v>3352</v>
      </c>
      <c r="E231" s="5" t="s">
        <v>3353</v>
      </c>
      <c r="F231" s="5" t="s">
        <v>3354</v>
      </c>
      <c r="G231" s="5" t="s">
        <v>3355</v>
      </c>
      <c r="H231" s="5">
        <v>13619986777</v>
      </c>
      <c r="I231" s="5" t="s">
        <v>3319</v>
      </c>
      <c r="J231" s="5" t="s">
        <v>3337</v>
      </c>
      <c r="K231" s="6" t="s">
        <v>3356</v>
      </c>
      <c r="L231" s="7"/>
      <c r="M231" s="7"/>
      <c r="N231" s="6" t="s">
        <v>3357</v>
      </c>
    </row>
    <row r="232" spans="1:14">
      <c r="A232" s="514"/>
      <c r="B232" s="5">
        <v>230</v>
      </c>
      <c r="C232" s="5" t="s">
        <v>3319</v>
      </c>
      <c r="D232" s="5" t="s">
        <v>3358</v>
      </c>
      <c r="E232" s="5" t="s">
        <v>3359</v>
      </c>
      <c r="F232" s="5" t="s">
        <v>3360</v>
      </c>
      <c r="G232" s="5" t="s">
        <v>3361</v>
      </c>
      <c r="H232" s="5">
        <v>13999085853</v>
      </c>
      <c r="I232" s="5" t="s">
        <v>3319</v>
      </c>
      <c r="J232" s="5" t="s">
        <v>3337</v>
      </c>
      <c r="K232" s="6" t="s">
        <v>3362</v>
      </c>
      <c r="L232" s="7"/>
      <c r="M232" s="7"/>
      <c r="N232" s="6" t="s">
        <v>3363</v>
      </c>
    </row>
    <row r="233" spans="1:14">
      <c r="A233" s="514"/>
      <c r="B233" s="5">
        <v>231</v>
      </c>
      <c r="C233" s="5" t="s">
        <v>3319</v>
      </c>
      <c r="D233" s="5" t="s">
        <v>3364</v>
      </c>
      <c r="E233" s="5" t="s">
        <v>3365</v>
      </c>
      <c r="F233" s="5" t="s">
        <v>3366</v>
      </c>
      <c r="G233" s="5" t="s">
        <v>3367</v>
      </c>
      <c r="H233" s="5">
        <v>15809982062</v>
      </c>
      <c r="I233" s="5" t="s">
        <v>3319</v>
      </c>
      <c r="J233" s="5" t="s">
        <v>3337</v>
      </c>
      <c r="K233" s="6" t="s">
        <v>3368</v>
      </c>
      <c r="L233" s="7"/>
      <c r="M233" s="7"/>
      <c r="N233" s="6" t="s">
        <v>3369</v>
      </c>
    </row>
    <row r="234" spans="1:14">
      <c r="A234" s="514"/>
      <c r="B234" s="5">
        <v>232</v>
      </c>
      <c r="C234" s="5" t="s">
        <v>3319</v>
      </c>
      <c r="D234" s="5" t="s">
        <v>3370</v>
      </c>
      <c r="E234" s="5" t="s">
        <v>3371</v>
      </c>
      <c r="F234" s="5" t="s">
        <v>3372</v>
      </c>
      <c r="G234" s="5" t="s">
        <v>3373</v>
      </c>
      <c r="H234" s="5">
        <v>18034810990</v>
      </c>
      <c r="I234" s="5" t="s">
        <v>3319</v>
      </c>
      <c r="J234" s="5" t="s">
        <v>3337</v>
      </c>
      <c r="K234" s="6" t="s">
        <v>3374</v>
      </c>
      <c r="L234" s="7"/>
      <c r="M234" s="7"/>
      <c r="N234" s="6" t="s">
        <v>3375</v>
      </c>
    </row>
    <row r="235" spans="1:14">
      <c r="A235" s="514"/>
      <c r="B235" s="5">
        <v>233</v>
      </c>
      <c r="C235" s="5" t="s">
        <v>3319</v>
      </c>
      <c r="D235" s="5" t="s">
        <v>3376</v>
      </c>
      <c r="E235" s="5" t="s">
        <v>3377</v>
      </c>
      <c r="F235" s="5" t="s">
        <v>3378</v>
      </c>
      <c r="G235" s="5" t="s">
        <v>3379</v>
      </c>
      <c r="H235" s="5">
        <v>13899136078</v>
      </c>
      <c r="I235" s="5" t="s">
        <v>3319</v>
      </c>
      <c r="J235" s="5" t="s">
        <v>3337</v>
      </c>
      <c r="K235" s="6" t="s">
        <v>3380</v>
      </c>
      <c r="L235" s="7"/>
      <c r="M235" s="7"/>
      <c r="N235" s="6" t="s">
        <v>3375</v>
      </c>
    </row>
    <row r="236" spans="1:14">
      <c r="A236" s="514"/>
      <c r="B236" s="5">
        <v>234</v>
      </c>
      <c r="C236" s="5" t="s">
        <v>3319</v>
      </c>
      <c r="D236" s="5" t="s">
        <v>3381</v>
      </c>
      <c r="E236" s="5" t="s">
        <v>3382</v>
      </c>
      <c r="F236" s="5" t="s">
        <v>3383</v>
      </c>
      <c r="G236" s="5" t="s">
        <v>3384</v>
      </c>
      <c r="H236" s="5">
        <v>18999080028</v>
      </c>
      <c r="I236" s="5" t="s">
        <v>3319</v>
      </c>
      <c r="J236" s="5" t="s">
        <v>3385</v>
      </c>
      <c r="K236" s="6" t="s">
        <v>3386</v>
      </c>
      <c r="L236" s="7"/>
      <c r="M236" s="7"/>
      <c r="N236" s="6" t="s">
        <v>3387</v>
      </c>
    </row>
    <row r="237" spans="1:14">
      <c r="A237" s="514"/>
      <c r="B237" s="5">
        <v>235</v>
      </c>
      <c r="C237" s="5" t="s">
        <v>3319</v>
      </c>
      <c r="D237" s="5" t="s">
        <v>2022</v>
      </c>
      <c r="E237" s="5" t="s">
        <v>3388</v>
      </c>
      <c r="F237" s="5" t="s">
        <v>3389</v>
      </c>
      <c r="G237" s="5" t="s">
        <v>3390</v>
      </c>
      <c r="H237" s="5">
        <v>13399786032</v>
      </c>
      <c r="I237" s="5" t="s">
        <v>3319</v>
      </c>
      <c r="J237" s="5" t="s">
        <v>3385</v>
      </c>
      <c r="K237" s="6" t="s">
        <v>3391</v>
      </c>
      <c r="L237" s="7"/>
      <c r="M237" s="7"/>
      <c r="N237" s="6" t="s">
        <v>3392</v>
      </c>
    </row>
    <row r="238" spans="1:14">
      <c r="A238" s="514"/>
      <c r="B238" s="5">
        <v>236</v>
      </c>
      <c r="C238" s="5" t="s">
        <v>3319</v>
      </c>
      <c r="D238" s="5" t="s">
        <v>3393</v>
      </c>
      <c r="E238" s="5" t="s">
        <v>3394</v>
      </c>
      <c r="F238" s="5" t="s">
        <v>3395</v>
      </c>
      <c r="G238" s="5" t="s">
        <v>3396</v>
      </c>
      <c r="H238" s="5">
        <v>15276105033</v>
      </c>
      <c r="I238" s="5" t="s">
        <v>3319</v>
      </c>
      <c r="J238" s="5" t="s">
        <v>3397</v>
      </c>
      <c r="K238" s="6" t="s">
        <v>3398</v>
      </c>
      <c r="L238" s="7">
        <v>77.250069999999994</v>
      </c>
      <c r="M238" s="7">
        <v>38.432299999999998</v>
      </c>
      <c r="N238" s="6" t="s">
        <v>3399</v>
      </c>
    </row>
    <row r="239" spans="1:14">
      <c r="A239" s="514"/>
      <c r="B239" s="5">
        <v>237</v>
      </c>
      <c r="C239" s="5" t="s">
        <v>3319</v>
      </c>
      <c r="D239" s="5" t="s">
        <v>3400</v>
      </c>
      <c r="E239" s="5" t="s">
        <v>3401</v>
      </c>
      <c r="F239" s="5" t="s">
        <v>3402</v>
      </c>
      <c r="G239" s="5" t="s">
        <v>3403</v>
      </c>
      <c r="H239" s="5">
        <v>18999080111</v>
      </c>
      <c r="I239" s="5" t="s">
        <v>3319</v>
      </c>
      <c r="J239" s="5" t="s">
        <v>3404</v>
      </c>
      <c r="K239" s="6" t="s">
        <v>3405</v>
      </c>
      <c r="L239" s="7">
        <v>77.461240000000004</v>
      </c>
      <c r="M239" s="7">
        <v>37.84966</v>
      </c>
      <c r="N239" s="6" t="s">
        <v>3406</v>
      </c>
    </row>
    <row r="240" spans="1:14">
      <c r="A240" s="514"/>
      <c r="B240" s="5">
        <v>238</v>
      </c>
      <c r="C240" s="5" t="s">
        <v>3319</v>
      </c>
      <c r="D240" s="5" t="s">
        <v>3407</v>
      </c>
      <c r="E240" s="5" t="s">
        <v>3408</v>
      </c>
      <c r="F240" s="5" t="s">
        <v>3409</v>
      </c>
      <c r="G240" s="5" t="s">
        <v>3410</v>
      </c>
      <c r="H240" s="5">
        <v>13239013886</v>
      </c>
      <c r="I240" s="5" t="s">
        <v>3319</v>
      </c>
      <c r="J240" s="5" t="s">
        <v>3404</v>
      </c>
      <c r="K240" s="6" t="s">
        <v>3411</v>
      </c>
      <c r="L240" s="7"/>
      <c r="M240" s="7"/>
      <c r="N240" s="6" t="s">
        <v>3412</v>
      </c>
    </row>
    <row r="241" spans="1:14" ht="33">
      <c r="A241" s="514"/>
      <c r="B241" s="5">
        <v>239</v>
      </c>
      <c r="C241" s="5" t="s">
        <v>3319</v>
      </c>
      <c r="D241" s="5" t="s">
        <v>3413</v>
      </c>
      <c r="E241" s="5" t="s">
        <v>3414</v>
      </c>
      <c r="F241" s="5" t="s">
        <v>3415</v>
      </c>
      <c r="G241" s="5" t="s">
        <v>3416</v>
      </c>
      <c r="H241" s="5">
        <v>15809041924</v>
      </c>
      <c r="I241" s="5" t="s">
        <v>3319</v>
      </c>
      <c r="J241" s="5" t="s">
        <v>3404</v>
      </c>
      <c r="K241" s="6" t="s">
        <v>3417</v>
      </c>
      <c r="L241" s="7"/>
      <c r="M241" s="7"/>
      <c r="N241" s="6" t="s">
        <v>3418</v>
      </c>
    </row>
    <row r="242" spans="1:14">
      <c r="A242" s="514"/>
      <c r="B242" s="5">
        <v>240</v>
      </c>
      <c r="C242" s="5" t="s">
        <v>3319</v>
      </c>
      <c r="D242" s="5" t="s">
        <v>3419</v>
      </c>
      <c r="E242" s="5" t="s">
        <v>3420</v>
      </c>
      <c r="F242" s="5" t="s">
        <v>3421</v>
      </c>
      <c r="G242" s="5" t="s">
        <v>3422</v>
      </c>
      <c r="H242" s="5">
        <v>18139557327</v>
      </c>
      <c r="I242" s="5" t="s">
        <v>3319</v>
      </c>
      <c r="J242" s="5" t="s">
        <v>3404</v>
      </c>
      <c r="K242" s="6" t="s">
        <v>3423</v>
      </c>
      <c r="L242" s="7"/>
      <c r="M242" s="7"/>
      <c r="N242" s="6" t="s">
        <v>3424</v>
      </c>
    </row>
    <row r="243" spans="1:14">
      <c r="A243" s="514"/>
      <c r="B243" s="5">
        <v>241</v>
      </c>
      <c r="C243" s="5" t="s">
        <v>3319</v>
      </c>
      <c r="D243" s="5" t="s">
        <v>3425</v>
      </c>
      <c r="E243" s="5" t="s">
        <v>3426</v>
      </c>
      <c r="F243" s="5" t="s">
        <v>3427</v>
      </c>
      <c r="G243" s="5" t="s">
        <v>3428</v>
      </c>
      <c r="H243" s="5">
        <v>19109986655</v>
      </c>
      <c r="I243" s="5" t="s">
        <v>3319</v>
      </c>
      <c r="J243" s="5" t="s">
        <v>3404</v>
      </c>
      <c r="K243" s="6" t="s">
        <v>3423</v>
      </c>
      <c r="L243" s="7"/>
      <c r="M243" s="7"/>
      <c r="N243" s="6" t="s">
        <v>3429</v>
      </c>
    </row>
    <row r="244" spans="1:14" ht="33">
      <c r="A244" s="514"/>
      <c r="B244" s="5">
        <v>242</v>
      </c>
      <c r="C244" s="5" t="s">
        <v>3319</v>
      </c>
      <c r="D244" s="5" t="s">
        <v>3430</v>
      </c>
      <c r="E244" s="5" t="s">
        <v>3431</v>
      </c>
      <c r="F244" s="5" t="s">
        <v>3432</v>
      </c>
      <c r="G244" s="5" t="s">
        <v>3433</v>
      </c>
      <c r="H244" s="5">
        <v>15999248050</v>
      </c>
      <c r="I244" s="5" t="s">
        <v>3319</v>
      </c>
      <c r="J244" s="5" t="s">
        <v>3434</v>
      </c>
      <c r="K244" s="6" t="s">
        <v>3435</v>
      </c>
      <c r="L244" s="7"/>
      <c r="M244" s="7"/>
      <c r="N244" s="6" t="s">
        <v>3436</v>
      </c>
    </row>
    <row r="245" spans="1:14">
      <c r="A245" s="514"/>
      <c r="B245" s="5">
        <v>243</v>
      </c>
      <c r="C245" s="5" t="s">
        <v>3319</v>
      </c>
      <c r="D245" s="5" t="s">
        <v>3437</v>
      </c>
      <c r="E245" s="5" t="s">
        <v>3438</v>
      </c>
      <c r="F245" s="5" t="s">
        <v>3439</v>
      </c>
      <c r="G245" s="5" t="s">
        <v>3440</v>
      </c>
      <c r="H245" s="5">
        <v>13565394230</v>
      </c>
      <c r="I245" s="5" t="s">
        <v>3319</v>
      </c>
      <c r="J245" s="5" t="s">
        <v>3441</v>
      </c>
      <c r="K245" s="6" t="s">
        <v>3442</v>
      </c>
      <c r="L245" s="7"/>
      <c r="M245" s="7"/>
      <c r="N245" s="6" t="s">
        <v>3443</v>
      </c>
    </row>
    <row r="246" spans="1:14">
      <c r="A246" s="514"/>
      <c r="B246" s="5">
        <v>244</v>
      </c>
      <c r="C246" s="5" t="s">
        <v>3319</v>
      </c>
      <c r="D246" s="5" t="s">
        <v>3444</v>
      </c>
      <c r="E246" s="5" t="s">
        <v>3445</v>
      </c>
      <c r="F246" s="5" t="s">
        <v>3446</v>
      </c>
      <c r="G246" s="5" t="s">
        <v>3447</v>
      </c>
      <c r="H246" s="5">
        <v>18699471009</v>
      </c>
      <c r="I246" s="5" t="s">
        <v>3319</v>
      </c>
      <c r="J246" s="5" t="s">
        <v>3448</v>
      </c>
      <c r="K246" s="6" t="s">
        <v>3449</v>
      </c>
      <c r="L246" s="7"/>
      <c r="M246" s="7"/>
      <c r="N246" s="6" t="s">
        <v>3450</v>
      </c>
    </row>
    <row r="247" spans="1:14">
      <c r="A247" s="514"/>
      <c r="B247" s="5">
        <v>245</v>
      </c>
      <c r="C247" s="5" t="s">
        <v>3319</v>
      </c>
      <c r="D247" s="5" t="s">
        <v>3451</v>
      </c>
      <c r="E247" s="5" t="s">
        <v>3452</v>
      </c>
      <c r="F247" s="5" t="s">
        <v>3453</v>
      </c>
      <c r="G247" s="5" t="s">
        <v>3454</v>
      </c>
      <c r="H247" s="5">
        <v>15292921717</v>
      </c>
      <c r="I247" s="5" t="s">
        <v>3319</v>
      </c>
      <c r="J247" s="5" t="s">
        <v>3455</v>
      </c>
      <c r="K247" s="6" t="s">
        <v>3456</v>
      </c>
      <c r="L247" s="7">
        <v>76.738868999999994</v>
      </c>
      <c r="M247" s="7">
        <v>39.501708999999998</v>
      </c>
      <c r="N247" s="6" t="s">
        <v>3457</v>
      </c>
    </row>
    <row r="248" spans="1:14">
      <c r="A248" s="515" t="s">
        <v>3458</v>
      </c>
      <c r="B248" s="5">
        <v>246</v>
      </c>
      <c r="C248" s="5" t="s">
        <v>3459</v>
      </c>
      <c r="D248" s="5" t="s">
        <v>3460</v>
      </c>
      <c r="E248" s="5" t="s">
        <v>3461</v>
      </c>
      <c r="F248" s="5" t="s">
        <v>3462</v>
      </c>
      <c r="G248" s="5" t="s">
        <v>3463</v>
      </c>
      <c r="H248" s="5">
        <v>13579656702</v>
      </c>
      <c r="I248" s="5" t="s">
        <v>3464</v>
      </c>
      <c r="J248" s="5" t="s">
        <v>3465</v>
      </c>
      <c r="K248" s="6" t="s">
        <v>3466</v>
      </c>
      <c r="L248" s="7">
        <v>92.130909000000003</v>
      </c>
      <c r="M248" s="7">
        <v>43.378171999999999</v>
      </c>
      <c r="N248" s="6" t="s">
        <v>3467</v>
      </c>
    </row>
    <row r="249" spans="1:14">
      <c r="A249" s="511"/>
      <c r="B249" s="5">
        <v>247</v>
      </c>
      <c r="C249" s="5" t="s">
        <v>3459</v>
      </c>
      <c r="D249" s="5" t="s">
        <v>3468</v>
      </c>
      <c r="E249" s="5" t="s">
        <v>3469</v>
      </c>
      <c r="F249" s="5" t="s">
        <v>3470</v>
      </c>
      <c r="G249" s="5" t="s">
        <v>3471</v>
      </c>
      <c r="H249" s="5">
        <v>18399891863</v>
      </c>
      <c r="I249" s="5" t="s">
        <v>3459</v>
      </c>
      <c r="J249" s="5" t="s">
        <v>3465</v>
      </c>
      <c r="K249" s="6" t="s">
        <v>3472</v>
      </c>
      <c r="L249" s="7">
        <v>92.133989999999997</v>
      </c>
      <c r="M249" s="7">
        <v>43.380130000000001</v>
      </c>
      <c r="N249" s="6" t="s">
        <v>3473</v>
      </c>
    </row>
    <row r="250" spans="1:14">
      <c r="A250" s="511"/>
      <c r="B250" s="5">
        <v>248</v>
      </c>
      <c r="C250" s="5" t="s">
        <v>3459</v>
      </c>
      <c r="D250" s="5" t="s">
        <v>3474</v>
      </c>
      <c r="E250" s="5" t="s">
        <v>3475</v>
      </c>
      <c r="F250" s="5" t="s">
        <v>3476</v>
      </c>
      <c r="G250" s="5" t="s">
        <v>3477</v>
      </c>
      <c r="H250" s="5">
        <v>18309021703</v>
      </c>
      <c r="I250" s="5" t="s">
        <v>3459</v>
      </c>
      <c r="J250" s="5" t="s">
        <v>3465</v>
      </c>
      <c r="K250" s="6" t="s">
        <v>3478</v>
      </c>
      <c r="L250" s="7">
        <v>96.041820000000001</v>
      </c>
      <c r="M250" s="7">
        <v>42.115499999999997</v>
      </c>
      <c r="N250" s="6" t="s">
        <v>3479</v>
      </c>
    </row>
    <row r="251" spans="1:14">
      <c r="A251" s="511"/>
      <c r="B251" s="5">
        <v>249</v>
      </c>
      <c r="C251" s="5" t="s">
        <v>3459</v>
      </c>
      <c r="D251" s="5" t="s">
        <v>3480</v>
      </c>
      <c r="E251" s="5" t="s">
        <v>3481</v>
      </c>
      <c r="F251" s="5" t="s">
        <v>3482</v>
      </c>
      <c r="G251" s="5" t="s">
        <v>3483</v>
      </c>
      <c r="H251" s="5">
        <v>18119033021</v>
      </c>
      <c r="I251" s="5" t="s">
        <v>3459</v>
      </c>
      <c r="J251" s="5" t="s">
        <v>3465</v>
      </c>
      <c r="K251" s="6" t="s">
        <v>3484</v>
      </c>
      <c r="L251" s="7">
        <v>96.050219999999996</v>
      </c>
      <c r="M251" s="7">
        <v>42.111699999999999</v>
      </c>
      <c r="N251" s="6" t="s">
        <v>3485</v>
      </c>
    </row>
    <row r="252" spans="1:14">
      <c r="A252" s="511"/>
      <c r="B252" s="5">
        <v>250</v>
      </c>
      <c r="C252" s="5" t="s">
        <v>3459</v>
      </c>
      <c r="D252" s="5" t="s">
        <v>3486</v>
      </c>
      <c r="E252" s="5" t="s">
        <v>3487</v>
      </c>
      <c r="F252" s="5" t="s">
        <v>3488</v>
      </c>
      <c r="G252" s="5" t="s">
        <v>3489</v>
      </c>
      <c r="H252" s="5">
        <v>13809907139</v>
      </c>
      <c r="I252" s="5" t="s">
        <v>3459</v>
      </c>
      <c r="J252" s="5" t="s">
        <v>3465</v>
      </c>
      <c r="K252" s="6" t="s">
        <v>3490</v>
      </c>
      <c r="L252" s="7">
        <v>93.639179999999996</v>
      </c>
      <c r="M252" s="7">
        <v>42.8904</v>
      </c>
      <c r="N252" s="6" t="s">
        <v>3491</v>
      </c>
    </row>
    <row r="253" spans="1:14">
      <c r="A253" s="511"/>
      <c r="B253" s="5">
        <v>251</v>
      </c>
      <c r="C253" s="5" t="s">
        <v>3459</v>
      </c>
      <c r="D253" s="5" t="s">
        <v>3492</v>
      </c>
      <c r="E253" s="5" t="s">
        <v>3493</v>
      </c>
      <c r="F253" s="5" t="s">
        <v>3494</v>
      </c>
      <c r="G253" s="5" t="s">
        <v>3495</v>
      </c>
      <c r="H253" s="5">
        <v>13809909889</v>
      </c>
      <c r="I253" s="5" t="s">
        <v>3464</v>
      </c>
      <c r="J253" s="5" t="s">
        <v>3465</v>
      </c>
      <c r="K253" s="6" t="s">
        <v>3496</v>
      </c>
      <c r="L253" s="7">
        <v>93.381699999999995</v>
      </c>
      <c r="M253" s="7">
        <v>42.531100000000002</v>
      </c>
      <c r="N253" s="6" t="s">
        <v>3497</v>
      </c>
    </row>
    <row r="254" spans="1:14">
      <c r="A254" s="511"/>
      <c r="B254" s="5">
        <v>252</v>
      </c>
      <c r="C254" s="5" t="s">
        <v>3459</v>
      </c>
      <c r="D254" s="5" t="s">
        <v>3498</v>
      </c>
      <c r="E254" s="5" t="s">
        <v>3499</v>
      </c>
      <c r="F254" s="5" t="s">
        <v>3500</v>
      </c>
      <c r="G254" s="5" t="s">
        <v>3501</v>
      </c>
      <c r="H254" s="5">
        <v>14709022421</v>
      </c>
      <c r="I254" s="5" t="s">
        <v>3459</v>
      </c>
      <c r="J254" s="5" t="s">
        <v>3465</v>
      </c>
      <c r="K254" s="6" t="s">
        <v>3502</v>
      </c>
      <c r="L254" s="7">
        <v>94.222949999999997</v>
      </c>
      <c r="M254" s="7">
        <v>42.29383</v>
      </c>
      <c r="N254" s="6" t="s">
        <v>3503</v>
      </c>
    </row>
    <row r="255" spans="1:14">
      <c r="A255" s="511"/>
      <c r="B255" s="5">
        <v>253</v>
      </c>
      <c r="C255" s="5" t="s">
        <v>3459</v>
      </c>
      <c r="D255" s="5" t="s">
        <v>3504</v>
      </c>
      <c r="E255" s="5" t="s">
        <v>3505</v>
      </c>
      <c r="F255" s="5" t="s">
        <v>3506</v>
      </c>
      <c r="G255" s="5" t="s">
        <v>3507</v>
      </c>
      <c r="H255" s="5">
        <v>18999038997</v>
      </c>
      <c r="I255" s="5" t="s">
        <v>3459</v>
      </c>
      <c r="J255" s="5" t="s">
        <v>3465</v>
      </c>
      <c r="K255" s="6" t="s">
        <v>3508</v>
      </c>
      <c r="L255" s="7">
        <v>94.224723999999995</v>
      </c>
      <c r="M255" s="7">
        <v>42.296531999999999</v>
      </c>
      <c r="N255" s="6" t="s">
        <v>3509</v>
      </c>
    </row>
    <row r="256" spans="1:14">
      <c r="A256" s="511"/>
      <c r="B256" s="5">
        <v>254</v>
      </c>
      <c r="C256" s="5" t="s">
        <v>3459</v>
      </c>
      <c r="D256" s="5" t="s">
        <v>3510</v>
      </c>
      <c r="E256" s="5" t="s">
        <v>3511</v>
      </c>
      <c r="F256" s="5" t="s">
        <v>3512</v>
      </c>
      <c r="G256" s="5" t="s">
        <v>3513</v>
      </c>
      <c r="H256" s="5">
        <v>13899337560</v>
      </c>
      <c r="I256" s="5" t="s">
        <v>3459</v>
      </c>
      <c r="J256" s="5" t="s">
        <v>3465</v>
      </c>
      <c r="K256" s="6" t="s">
        <v>3514</v>
      </c>
      <c r="L256" s="7">
        <v>93.535110000000003</v>
      </c>
      <c r="M256" s="7">
        <v>42.928489999999996</v>
      </c>
      <c r="N256" s="6" t="s">
        <v>3515</v>
      </c>
    </row>
    <row r="257" spans="1:14">
      <c r="A257" s="511"/>
      <c r="B257" s="5">
        <v>255</v>
      </c>
      <c r="C257" s="5" t="s">
        <v>3459</v>
      </c>
      <c r="D257" s="5" t="s">
        <v>3516</v>
      </c>
      <c r="E257" s="5" t="s">
        <v>3517</v>
      </c>
      <c r="F257" s="5" t="s">
        <v>3518</v>
      </c>
      <c r="G257" s="5" t="s">
        <v>3519</v>
      </c>
      <c r="H257" s="5">
        <v>13579445551</v>
      </c>
      <c r="I257" s="5" t="s">
        <v>3459</v>
      </c>
      <c r="J257" s="5" t="s">
        <v>3465</v>
      </c>
      <c r="K257" s="6" t="s">
        <v>3520</v>
      </c>
      <c r="L257" s="7">
        <v>93.253500000000003</v>
      </c>
      <c r="M257" s="7">
        <v>42.495199999999997</v>
      </c>
      <c r="N257" s="6" t="s">
        <v>3521</v>
      </c>
    </row>
    <row r="258" spans="1:14">
      <c r="A258" s="511"/>
      <c r="B258" s="5">
        <v>256</v>
      </c>
      <c r="C258" s="5" t="s">
        <v>3459</v>
      </c>
      <c r="D258" s="5" t="s">
        <v>3522</v>
      </c>
      <c r="E258" s="5" t="s">
        <v>3523</v>
      </c>
      <c r="F258" s="5" t="s">
        <v>3524</v>
      </c>
      <c r="G258" s="5" t="s">
        <v>3525</v>
      </c>
      <c r="H258" s="5">
        <v>13565196626</v>
      </c>
      <c r="I258" s="5" t="s">
        <v>3459</v>
      </c>
      <c r="J258" s="5" t="s">
        <v>3465</v>
      </c>
      <c r="K258" s="6" t="s">
        <v>3526</v>
      </c>
      <c r="L258" s="7">
        <v>93.314800000000005</v>
      </c>
      <c r="M258" s="7">
        <v>42.495899999999999</v>
      </c>
      <c r="N258" s="6" t="s">
        <v>3527</v>
      </c>
    </row>
    <row r="259" spans="1:14">
      <c r="A259" s="511"/>
      <c r="B259" s="5">
        <v>257</v>
      </c>
      <c r="C259" s="5" t="s">
        <v>3459</v>
      </c>
      <c r="D259" s="5" t="s">
        <v>3528</v>
      </c>
      <c r="E259" s="5" t="s">
        <v>3529</v>
      </c>
      <c r="F259" s="5" t="s">
        <v>3530</v>
      </c>
      <c r="G259" s="5" t="s">
        <v>3531</v>
      </c>
      <c r="H259" s="5">
        <v>13999449566</v>
      </c>
      <c r="I259" s="5" t="s">
        <v>3459</v>
      </c>
      <c r="J259" s="5" t="s">
        <v>3465</v>
      </c>
      <c r="K259" s="6" t="s">
        <v>3532</v>
      </c>
      <c r="L259" s="7">
        <v>93.491600000000005</v>
      </c>
      <c r="M259" s="7">
        <v>42.853099999999998</v>
      </c>
      <c r="N259" s="6" t="s">
        <v>3533</v>
      </c>
    </row>
    <row r="260" spans="1:14">
      <c r="A260" s="511"/>
      <c r="B260" s="5">
        <v>258</v>
      </c>
      <c r="C260" s="5" t="s">
        <v>3459</v>
      </c>
      <c r="D260" s="5" t="s">
        <v>3534</v>
      </c>
      <c r="E260" s="5" t="s">
        <v>3535</v>
      </c>
      <c r="F260" s="5" t="s">
        <v>3536</v>
      </c>
      <c r="G260" s="5" t="s">
        <v>3537</v>
      </c>
      <c r="H260" s="5">
        <v>18799669968</v>
      </c>
      <c r="I260" s="5" t="s">
        <v>3459</v>
      </c>
      <c r="J260" s="5" t="s">
        <v>3465</v>
      </c>
      <c r="K260" s="6" t="s">
        <v>3538</v>
      </c>
      <c r="L260" s="7" t="s">
        <v>3539</v>
      </c>
      <c r="M260" s="7" t="s">
        <v>3540</v>
      </c>
      <c r="N260" s="6" t="s">
        <v>3541</v>
      </c>
    </row>
    <row r="261" spans="1:14">
      <c r="A261" s="511"/>
      <c r="B261" s="5">
        <v>259</v>
      </c>
      <c r="C261" s="5" t="s">
        <v>3459</v>
      </c>
      <c r="D261" s="5" t="s">
        <v>2358</v>
      </c>
      <c r="E261" s="5" t="s">
        <v>3542</v>
      </c>
      <c r="F261" s="5" t="s">
        <v>3543</v>
      </c>
      <c r="G261" s="5" t="s">
        <v>3544</v>
      </c>
      <c r="H261" s="5">
        <v>18199788951</v>
      </c>
      <c r="I261" s="5" t="s">
        <v>3459</v>
      </c>
      <c r="J261" s="5" t="s">
        <v>3465</v>
      </c>
      <c r="K261" s="6" t="s">
        <v>3545</v>
      </c>
      <c r="L261" s="7">
        <v>93.487757000000002</v>
      </c>
      <c r="M261" s="7">
        <v>42.846499999999999</v>
      </c>
      <c r="N261" s="6" t="s">
        <v>3546</v>
      </c>
    </row>
    <row r="262" spans="1:14">
      <c r="A262" s="511"/>
      <c r="B262" s="5">
        <v>260</v>
      </c>
      <c r="C262" s="5" t="s">
        <v>3459</v>
      </c>
      <c r="D262" s="5" t="s">
        <v>3547</v>
      </c>
      <c r="E262" s="5" t="s">
        <v>3548</v>
      </c>
      <c r="F262" s="5" t="s">
        <v>3549</v>
      </c>
      <c r="G262" s="5" t="s">
        <v>3550</v>
      </c>
      <c r="H262" s="5">
        <v>13239733882</v>
      </c>
      <c r="I262" s="5" t="s">
        <v>3459</v>
      </c>
      <c r="J262" s="5" t="s">
        <v>3465</v>
      </c>
      <c r="K262" s="6" t="s">
        <v>3551</v>
      </c>
      <c r="L262" s="7">
        <v>93.476989000000003</v>
      </c>
      <c r="M262" s="7">
        <v>42.912745000000001</v>
      </c>
      <c r="N262" s="6" t="s">
        <v>3203</v>
      </c>
    </row>
    <row r="263" spans="1:14">
      <c r="A263" s="511"/>
      <c r="B263" s="5">
        <v>261</v>
      </c>
      <c r="C263" s="5" t="s">
        <v>3459</v>
      </c>
      <c r="D263" s="5" t="s">
        <v>3552</v>
      </c>
      <c r="E263" s="5" t="s">
        <v>3553</v>
      </c>
      <c r="F263" s="5" t="s">
        <v>3554</v>
      </c>
      <c r="G263" s="5" t="s">
        <v>3555</v>
      </c>
      <c r="H263" s="5">
        <v>13899336021</v>
      </c>
      <c r="I263" s="5" t="s">
        <v>3459</v>
      </c>
      <c r="J263" s="5" t="s">
        <v>3465</v>
      </c>
      <c r="K263" s="6" t="s">
        <v>3556</v>
      </c>
      <c r="L263" s="7">
        <v>93.49982</v>
      </c>
      <c r="M263" s="7">
        <v>42.894177999999997</v>
      </c>
      <c r="N263" s="6" t="s">
        <v>3557</v>
      </c>
    </row>
    <row r="264" spans="1:14">
      <c r="A264" s="511"/>
      <c r="B264" s="5">
        <v>262</v>
      </c>
      <c r="C264" s="5" t="s">
        <v>3459</v>
      </c>
      <c r="D264" s="5" t="s">
        <v>3558</v>
      </c>
      <c r="E264" s="5" t="s">
        <v>3559</v>
      </c>
      <c r="F264" s="5" t="s">
        <v>3560</v>
      </c>
      <c r="G264" s="5" t="s">
        <v>3561</v>
      </c>
      <c r="H264" s="5">
        <v>13809902659</v>
      </c>
      <c r="I264" s="5" t="s">
        <v>3459</v>
      </c>
      <c r="J264" s="5" t="s">
        <v>3465</v>
      </c>
      <c r="K264" s="6" t="s">
        <v>3562</v>
      </c>
      <c r="L264" s="7">
        <v>93.517070000000004</v>
      </c>
      <c r="M264" s="7">
        <v>42.855939999999997</v>
      </c>
      <c r="N264" s="6" t="s">
        <v>3563</v>
      </c>
    </row>
    <row r="265" spans="1:14">
      <c r="A265" s="511"/>
      <c r="B265" s="5">
        <v>263</v>
      </c>
      <c r="C265" s="5" t="s">
        <v>3459</v>
      </c>
      <c r="D265" s="5" t="s">
        <v>3564</v>
      </c>
      <c r="E265" s="5" t="s">
        <v>3565</v>
      </c>
      <c r="F265" s="5" t="s">
        <v>3566</v>
      </c>
      <c r="G265" s="5" t="s">
        <v>3567</v>
      </c>
      <c r="H265" s="5">
        <v>17794960728</v>
      </c>
      <c r="I265" s="5" t="s">
        <v>3459</v>
      </c>
      <c r="J265" s="5" t="s">
        <v>3465</v>
      </c>
      <c r="K265" s="6" t="s">
        <v>3568</v>
      </c>
      <c r="L265" s="7">
        <v>93.152776000000003</v>
      </c>
      <c r="M265" s="7">
        <v>43.017588000000003</v>
      </c>
      <c r="N265" s="6" t="s">
        <v>3569</v>
      </c>
    </row>
    <row r="266" spans="1:14">
      <c r="A266" s="511"/>
      <c r="B266" s="5">
        <v>264</v>
      </c>
      <c r="C266" s="5" t="s">
        <v>3459</v>
      </c>
      <c r="D266" s="5" t="s">
        <v>3570</v>
      </c>
      <c r="E266" s="5" t="s">
        <v>3571</v>
      </c>
      <c r="F266" s="5" t="s">
        <v>3572</v>
      </c>
      <c r="G266" s="5" t="s">
        <v>3573</v>
      </c>
      <c r="H266" s="5">
        <v>17699619511</v>
      </c>
      <c r="I266" s="5" t="s">
        <v>3459</v>
      </c>
      <c r="J266" s="5" t="s">
        <v>3465</v>
      </c>
      <c r="K266" s="6" t="s">
        <v>3574</v>
      </c>
      <c r="L266" s="7">
        <v>43.016640000000002</v>
      </c>
      <c r="M266" s="7">
        <v>93.154390000000006</v>
      </c>
      <c r="N266" s="6" t="s">
        <v>3575</v>
      </c>
    </row>
    <row r="267" spans="1:14">
      <c r="A267" s="512"/>
      <c r="B267" s="5">
        <v>265</v>
      </c>
      <c r="C267" s="5" t="s">
        <v>3459</v>
      </c>
      <c r="D267" s="5" t="s">
        <v>3576</v>
      </c>
      <c r="E267" s="5" t="s">
        <v>3577</v>
      </c>
      <c r="F267" s="5" t="s">
        <v>3578</v>
      </c>
      <c r="G267" s="5" t="s">
        <v>3579</v>
      </c>
      <c r="H267" s="5">
        <v>17509026783</v>
      </c>
      <c r="I267" s="5" t="s">
        <v>3459</v>
      </c>
      <c r="J267" s="5" t="s">
        <v>3465</v>
      </c>
      <c r="K267" s="6" t="s">
        <v>3580</v>
      </c>
      <c r="L267" s="7">
        <v>93.557000000000002</v>
      </c>
      <c r="M267" s="7">
        <v>42.787439999999997</v>
      </c>
      <c r="N267" s="6" t="s">
        <v>3581</v>
      </c>
    </row>
    <row r="268" spans="1:14">
      <c r="A268" s="511" t="s">
        <v>3582</v>
      </c>
      <c r="B268" s="5">
        <v>266</v>
      </c>
      <c r="C268" s="5" t="s">
        <v>3583</v>
      </c>
      <c r="D268" s="5" t="s">
        <v>3584</v>
      </c>
      <c r="E268" s="5" t="s">
        <v>3585</v>
      </c>
      <c r="F268" s="5" t="s">
        <v>3586</v>
      </c>
      <c r="G268" s="5" t="s">
        <v>3587</v>
      </c>
      <c r="H268" s="5">
        <v>13325685027</v>
      </c>
      <c r="I268" s="5" t="s">
        <v>3583</v>
      </c>
      <c r="J268" s="5" t="s">
        <v>3588</v>
      </c>
      <c r="K268" s="6" t="s">
        <v>3589</v>
      </c>
      <c r="L268" s="7">
        <v>84.839923999999996</v>
      </c>
      <c r="M268" s="7">
        <v>45.615042000000003</v>
      </c>
      <c r="N268" s="6" t="s">
        <v>3590</v>
      </c>
    </row>
    <row r="269" spans="1:14">
      <c r="A269" s="511"/>
      <c r="B269" s="5">
        <v>267</v>
      </c>
      <c r="C269" s="5" t="s">
        <v>3583</v>
      </c>
      <c r="D269" s="5" t="s">
        <v>3591</v>
      </c>
      <c r="E269" s="5" t="s">
        <v>3592</v>
      </c>
      <c r="F269" s="5" t="s">
        <v>3593</v>
      </c>
      <c r="G269" s="5" t="s">
        <v>3594</v>
      </c>
      <c r="H269" s="5">
        <v>18509906730</v>
      </c>
      <c r="I269" s="5" t="s">
        <v>3583</v>
      </c>
      <c r="J269" s="5" t="s">
        <v>3588</v>
      </c>
      <c r="K269" s="6" t="s">
        <v>3595</v>
      </c>
      <c r="L269" s="7">
        <v>84.873185000000007</v>
      </c>
      <c r="M269" s="7">
        <v>45.560450000000003</v>
      </c>
      <c r="N269" s="6" t="s">
        <v>3596</v>
      </c>
    </row>
    <row r="270" spans="1:14">
      <c r="A270" s="511"/>
      <c r="B270" s="5">
        <v>268</v>
      </c>
      <c r="C270" s="5" t="s">
        <v>3583</v>
      </c>
      <c r="D270" s="5" t="s">
        <v>1955</v>
      </c>
      <c r="E270" s="5" t="s">
        <v>3597</v>
      </c>
      <c r="F270" s="5" t="s">
        <v>3598</v>
      </c>
      <c r="G270" s="5" t="s">
        <v>3599</v>
      </c>
      <c r="H270" s="5">
        <v>13999310424</v>
      </c>
      <c r="I270" s="5" t="s">
        <v>3583</v>
      </c>
      <c r="J270" s="5" t="s">
        <v>3588</v>
      </c>
      <c r="K270" s="6" t="s">
        <v>3600</v>
      </c>
      <c r="L270" s="7">
        <v>84.912114000000003</v>
      </c>
      <c r="M270" s="7">
        <v>45.572634999999998</v>
      </c>
      <c r="N270" s="6" t="s">
        <v>3601</v>
      </c>
    </row>
    <row r="271" spans="1:14">
      <c r="A271" s="511"/>
      <c r="B271" s="5">
        <v>269</v>
      </c>
      <c r="C271" s="5" t="s">
        <v>3583</v>
      </c>
      <c r="D271" s="5" t="s">
        <v>3602</v>
      </c>
      <c r="E271" s="5" t="s">
        <v>3603</v>
      </c>
      <c r="F271" s="5" t="s">
        <v>3604</v>
      </c>
      <c r="G271" s="5" t="s">
        <v>3605</v>
      </c>
      <c r="H271" s="5">
        <v>18935835841</v>
      </c>
      <c r="I271" s="5" t="s">
        <v>3583</v>
      </c>
      <c r="J271" s="5" t="s">
        <v>3588</v>
      </c>
      <c r="K271" s="6" t="s">
        <v>3606</v>
      </c>
      <c r="L271" s="7">
        <v>84.894779999999997</v>
      </c>
      <c r="M271" s="7">
        <v>45.594720000000002</v>
      </c>
      <c r="N271" s="6" t="s">
        <v>3607</v>
      </c>
    </row>
    <row r="272" spans="1:14" ht="33">
      <c r="A272" s="511"/>
      <c r="B272" s="5">
        <v>270</v>
      </c>
      <c r="C272" s="5" t="s">
        <v>3583</v>
      </c>
      <c r="D272" s="5" t="s">
        <v>3608</v>
      </c>
      <c r="E272" s="5" t="s">
        <v>3609</v>
      </c>
      <c r="F272" s="5" t="s">
        <v>3610</v>
      </c>
      <c r="G272" s="5" t="s">
        <v>3611</v>
      </c>
      <c r="H272" s="5">
        <v>18999507295</v>
      </c>
      <c r="I272" s="5" t="s">
        <v>3583</v>
      </c>
      <c r="J272" s="5" t="s">
        <v>3588</v>
      </c>
      <c r="K272" s="6" t="s">
        <v>3612</v>
      </c>
      <c r="L272" s="7">
        <v>84.759889999999999</v>
      </c>
      <c r="M272" s="7">
        <v>45.466059999999999</v>
      </c>
      <c r="N272" s="6" t="s">
        <v>3613</v>
      </c>
    </row>
    <row r="273" spans="1:14" ht="33">
      <c r="A273" s="511"/>
      <c r="B273" s="5">
        <v>271</v>
      </c>
      <c r="C273" s="5" t="s">
        <v>3583</v>
      </c>
      <c r="D273" s="5" t="s">
        <v>3614</v>
      </c>
      <c r="E273" s="5" t="s">
        <v>3615</v>
      </c>
      <c r="F273" s="5" t="s">
        <v>3616</v>
      </c>
      <c r="G273" s="5" t="s">
        <v>3611</v>
      </c>
      <c r="H273" s="5">
        <v>1899507295</v>
      </c>
      <c r="I273" s="5" t="s">
        <v>3583</v>
      </c>
      <c r="J273" s="5" t="s">
        <v>3588</v>
      </c>
      <c r="K273" s="6" t="s">
        <v>3617</v>
      </c>
      <c r="L273" s="7">
        <v>84.764430000000004</v>
      </c>
      <c r="M273" s="7">
        <v>45.4679</v>
      </c>
      <c r="N273" s="6" t="s">
        <v>3618</v>
      </c>
    </row>
    <row r="274" spans="1:14">
      <c r="A274" s="511"/>
      <c r="B274" s="5">
        <v>272</v>
      </c>
      <c r="C274" s="5" t="s">
        <v>3583</v>
      </c>
      <c r="D274" s="5" t="s">
        <v>3619</v>
      </c>
      <c r="E274" s="5" t="s">
        <v>3620</v>
      </c>
      <c r="F274" s="5" t="s">
        <v>3621</v>
      </c>
      <c r="G274" s="5" t="s">
        <v>3622</v>
      </c>
      <c r="H274" s="5">
        <v>13364990497</v>
      </c>
      <c r="I274" s="5" t="s">
        <v>3583</v>
      </c>
      <c r="J274" s="5" t="s">
        <v>3588</v>
      </c>
      <c r="K274" s="6" t="s">
        <v>3623</v>
      </c>
      <c r="L274" s="7">
        <v>84.927989999999994</v>
      </c>
      <c r="M274" s="7">
        <v>45.563940000000002</v>
      </c>
      <c r="N274" s="6" t="s">
        <v>3624</v>
      </c>
    </row>
    <row r="275" spans="1:14">
      <c r="A275" s="511"/>
      <c r="B275" s="5">
        <v>273</v>
      </c>
      <c r="C275" s="5" t="s">
        <v>3583</v>
      </c>
      <c r="D275" s="5" t="s">
        <v>3625</v>
      </c>
      <c r="E275" s="5" t="s">
        <v>3626</v>
      </c>
      <c r="F275" s="5" t="s">
        <v>3627</v>
      </c>
      <c r="G275" s="5" t="s">
        <v>3628</v>
      </c>
      <c r="H275" s="5">
        <v>16609900367</v>
      </c>
      <c r="I275" s="5" t="s">
        <v>3583</v>
      </c>
      <c r="J275" s="5" t="s">
        <v>3629</v>
      </c>
      <c r="K275" s="6" t="s">
        <v>3630</v>
      </c>
      <c r="L275" s="7">
        <v>85.650345999999999</v>
      </c>
      <c r="M275" s="7">
        <v>46.167836999999999</v>
      </c>
      <c r="N275" s="6" t="s">
        <v>3631</v>
      </c>
    </row>
    <row r="276" spans="1:14">
      <c r="A276" s="511"/>
      <c r="B276" s="5">
        <v>274</v>
      </c>
      <c r="C276" s="5" t="s">
        <v>3583</v>
      </c>
      <c r="D276" s="5" t="s">
        <v>3632</v>
      </c>
      <c r="E276" s="5" t="s">
        <v>3633</v>
      </c>
      <c r="F276" s="5" t="s">
        <v>3634</v>
      </c>
      <c r="G276" s="5" t="s">
        <v>3628</v>
      </c>
      <c r="H276" s="5">
        <v>16609900367</v>
      </c>
      <c r="I276" s="5" t="s">
        <v>3583</v>
      </c>
      <c r="J276" s="5" t="s">
        <v>3629</v>
      </c>
      <c r="K276" s="6" t="s">
        <v>3635</v>
      </c>
      <c r="L276" s="7">
        <v>85.650723999999997</v>
      </c>
      <c r="M276" s="7">
        <v>46.167292000000003</v>
      </c>
      <c r="N276" s="6" t="s">
        <v>3631</v>
      </c>
    </row>
    <row r="277" spans="1:14">
      <c r="A277" s="511"/>
      <c r="B277" s="5">
        <v>275</v>
      </c>
      <c r="C277" s="5" t="s">
        <v>3583</v>
      </c>
      <c r="D277" s="5" t="s">
        <v>3636</v>
      </c>
      <c r="E277" s="5" t="s">
        <v>3637</v>
      </c>
      <c r="F277" s="5" t="s">
        <v>3638</v>
      </c>
      <c r="G277" s="5" t="s">
        <v>3639</v>
      </c>
      <c r="H277" s="5">
        <v>19190950118</v>
      </c>
      <c r="I277" s="5" t="s">
        <v>3583</v>
      </c>
      <c r="J277" s="5" t="s">
        <v>3640</v>
      </c>
      <c r="K277" s="6" t="s">
        <v>3641</v>
      </c>
      <c r="L277" s="7">
        <v>85.673351999999994</v>
      </c>
      <c r="M277" s="7">
        <v>46.074939999999998</v>
      </c>
      <c r="N277" s="6" t="s">
        <v>3642</v>
      </c>
    </row>
    <row r="278" spans="1:14">
      <c r="A278" s="511"/>
      <c r="B278" s="5">
        <v>276</v>
      </c>
      <c r="C278" s="5" t="s">
        <v>3583</v>
      </c>
      <c r="D278" s="5" t="s">
        <v>3643</v>
      </c>
      <c r="E278" s="5" t="s">
        <v>3644</v>
      </c>
      <c r="F278" s="5" t="s">
        <v>3645</v>
      </c>
      <c r="G278" s="5" t="s">
        <v>3646</v>
      </c>
      <c r="H278" s="5">
        <v>18097801223</v>
      </c>
      <c r="I278" s="5" t="s">
        <v>3583</v>
      </c>
      <c r="J278" s="5" t="s">
        <v>3647</v>
      </c>
      <c r="K278" s="6" t="s">
        <v>3648</v>
      </c>
      <c r="L278" s="7">
        <v>84.878861999999998</v>
      </c>
      <c r="M278" s="7">
        <v>44.320034999999997</v>
      </c>
      <c r="N278" s="6" t="s">
        <v>3649</v>
      </c>
    </row>
    <row r="279" spans="1:14">
      <c r="A279" s="511"/>
      <c r="B279" s="5">
        <v>277</v>
      </c>
      <c r="C279" s="5" t="s">
        <v>3583</v>
      </c>
      <c r="D279" s="5" t="s">
        <v>3650</v>
      </c>
      <c r="E279" s="5" t="s">
        <v>3651</v>
      </c>
      <c r="F279" s="5" t="s">
        <v>3652</v>
      </c>
      <c r="G279" s="5" t="s">
        <v>3653</v>
      </c>
      <c r="H279" s="5">
        <v>13999702888</v>
      </c>
      <c r="I279" s="5" t="s">
        <v>3583</v>
      </c>
      <c r="J279" s="5" t="s">
        <v>3647</v>
      </c>
      <c r="K279" s="6" t="s">
        <v>3654</v>
      </c>
      <c r="L279" s="7">
        <v>84.870217999999994</v>
      </c>
      <c r="M279" s="7">
        <v>44.337139000000001</v>
      </c>
      <c r="N279" s="6" t="s">
        <v>3655</v>
      </c>
    </row>
    <row r="280" spans="1:14">
      <c r="A280" s="511"/>
      <c r="B280" s="5">
        <v>278</v>
      </c>
      <c r="C280" s="5" t="s">
        <v>3583</v>
      </c>
      <c r="D280" s="5" t="s">
        <v>3656</v>
      </c>
      <c r="E280" s="5" t="s">
        <v>3657</v>
      </c>
      <c r="F280" s="5" t="s">
        <v>3658</v>
      </c>
      <c r="G280" s="5" t="s">
        <v>3653</v>
      </c>
      <c r="H280" s="5">
        <v>13999702888</v>
      </c>
      <c r="I280" s="5" t="s">
        <v>3583</v>
      </c>
      <c r="J280" s="5" t="s">
        <v>3647</v>
      </c>
      <c r="K280" s="6" t="s">
        <v>3659</v>
      </c>
      <c r="L280" s="7">
        <v>84.862427999999994</v>
      </c>
      <c r="M280" s="7">
        <v>44.336683999999998</v>
      </c>
      <c r="N280" s="6" t="s">
        <v>3660</v>
      </c>
    </row>
    <row r="281" spans="1:14">
      <c r="A281" s="511"/>
      <c r="B281" s="5">
        <v>279</v>
      </c>
      <c r="C281" s="5" t="s">
        <v>3583</v>
      </c>
      <c r="D281" s="5" t="s">
        <v>3661</v>
      </c>
      <c r="E281" s="5" t="s">
        <v>3662</v>
      </c>
      <c r="F281" s="5" t="s">
        <v>3663</v>
      </c>
      <c r="G281" s="5" t="s">
        <v>3664</v>
      </c>
      <c r="H281" s="5">
        <v>13677522393</v>
      </c>
      <c r="I281" s="5" t="s">
        <v>3583</v>
      </c>
      <c r="J281" s="5" t="s">
        <v>3647</v>
      </c>
      <c r="K281" s="6" t="s">
        <v>3665</v>
      </c>
      <c r="L281" s="7">
        <v>84.907820000000001</v>
      </c>
      <c r="M281" s="7">
        <v>44.34919</v>
      </c>
      <c r="N281" s="6" t="s">
        <v>3666</v>
      </c>
    </row>
    <row r="282" spans="1:14">
      <c r="A282" s="511"/>
      <c r="B282" s="5">
        <v>280</v>
      </c>
      <c r="C282" s="5" t="s">
        <v>3583</v>
      </c>
      <c r="D282" s="5" t="s">
        <v>3667</v>
      </c>
      <c r="E282" s="5" t="s">
        <v>3668</v>
      </c>
      <c r="F282" s="5" t="s">
        <v>3669</v>
      </c>
      <c r="G282" s="5" t="s">
        <v>3670</v>
      </c>
      <c r="H282" s="5">
        <v>18909901026</v>
      </c>
      <c r="I282" s="5" t="s">
        <v>3583</v>
      </c>
      <c r="J282" s="5" t="s">
        <v>3671</v>
      </c>
      <c r="K282" s="6" t="s">
        <v>3672</v>
      </c>
      <c r="L282" s="7">
        <v>84.985917999999998</v>
      </c>
      <c r="M282" s="7">
        <v>45.585051999999997</v>
      </c>
      <c r="N282" s="6" t="s">
        <v>3673</v>
      </c>
    </row>
    <row r="283" spans="1:14">
      <c r="A283" s="511"/>
      <c r="B283" s="5">
        <v>281</v>
      </c>
      <c r="C283" s="5" t="s">
        <v>3583</v>
      </c>
      <c r="D283" s="5" t="s">
        <v>3674</v>
      </c>
      <c r="E283" s="5" t="s">
        <v>3675</v>
      </c>
      <c r="F283" s="5" t="s">
        <v>3676</v>
      </c>
      <c r="G283" s="5" t="s">
        <v>3677</v>
      </c>
      <c r="H283" s="5">
        <v>13325671666</v>
      </c>
      <c r="I283" s="5" t="s">
        <v>3583</v>
      </c>
      <c r="J283" s="5" t="s">
        <v>3671</v>
      </c>
      <c r="K283" s="6" t="s">
        <v>3678</v>
      </c>
      <c r="L283" s="7">
        <v>85.118440000000007</v>
      </c>
      <c r="M283" s="7">
        <v>45.682879999999997</v>
      </c>
      <c r="N283" s="6" t="s">
        <v>3679</v>
      </c>
    </row>
    <row r="284" spans="1:14">
      <c r="A284" s="511"/>
      <c r="B284" s="5">
        <v>282</v>
      </c>
      <c r="C284" s="5" t="s">
        <v>3583</v>
      </c>
      <c r="D284" s="5" t="s">
        <v>3680</v>
      </c>
      <c r="E284" s="5" t="s">
        <v>3681</v>
      </c>
      <c r="F284" s="5" t="s">
        <v>3682</v>
      </c>
      <c r="G284" s="5" t="s">
        <v>3683</v>
      </c>
      <c r="H284" s="5">
        <v>15099200907</v>
      </c>
      <c r="I284" s="5" t="s">
        <v>3583</v>
      </c>
      <c r="J284" s="5" t="s">
        <v>3684</v>
      </c>
      <c r="K284" s="6" t="s">
        <v>3685</v>
      </c>
      <c r="L284" s="7">
        <v>84.852044000000006</v>
      </c>
      <c r="M284" s="7">
        <v>44.427686999999999</v>
      </c>
      <c r="N284" s="6" t="s">
        <v>3686</v>
      </c>
    </row>
    <row r="285" spans="1:14">
      <c r="A285" s="512"/>
      <c r="B285" s="5">
        <v>283</v>
      </c>
      <c r="C285" s="5" t="s">
        <v>3583</v>
      </c>
      <c r="D285" s="5" t="s">
        <v>3687</v>
      </c>
      <c r="E285" s="5" t="s">
        <v>3688</v>
      </c>
      <c r="F285" s="5" t="s">
        <v>3689</v>
      </c>
      <c r="G285" s="5" t="s">
        <v>3690</v>
      </c>
      <c r="H285" s="5">
        <v>18999928961</v>
      </c>
      <c r="I285" s="5" t="s">
        <v>3583</v>
      </c>
      <c r="J285" s="5" t="s">
        <v>3684</v>
      </c>
      <c r="K285" s="6" t="s">
        <v>3691</v>
      </c>
      <c r="L285" s="7">
        <v>84.857709999999997</v>
      </c>
      <c r="M285" s="7">
        <v>44.441409999999998</v>
      </c>
      <c r="N285" s="6" t="s">
        <v>3692</v>
      </c>
    </row>
    <row r="286" spans="1:14">
      <c r="A286" s="511" t="s">
        <v>3693</v>
      </c>
      <c r="B286" s="5">
        <v>284</v>
      </c>
      <c r="C286" s="5" t="s">
        <v>3694</v>
      </c>
      <c r="D286" s="5" t="s">
        <v>2643</v>
      </c>
      <c r="E286" s="5" t="s">
        <v>3695</v>
      </c>
      <c r="F286" s="5" t="s">
        <v>3696</v>
      </c>
      <c r="G286" s="5" t="s">
        <v>3697</v>
      </c>
      <c r="H286" s="5">
        <v>15209070855</v>
      </c>
      <c r="I286" s="5" t="s">
        <v>3694</v>
      </c>
      <c r="J286" s="5" t="s">
        <v>3698</v>
      </c>
      <c r="K286" s="6" t="s">
        <v>3699</v>
      </c>
      <c r="L286" s="7">
        <v>82.061409999999995</v>
      </c>
      <c r="M286" s="7">
        <v>44.882660000000001</v>
      </c>
      <c r="N286" s="6" t="s">
        <v>3700</v>
      </c>
    </row>
    <row r="287" spans="1:14">
      <c r="A287" s="511"/>
      <c r="B287" s="5">
        <v>285</v>
      </c>
      <c r="C287" s="5" t="s">
        <v>3694</v>
      </c>
      <c r="D287" s="5" t="s">
        <v>2889</v>
      </c>
      <c r="E287" s="5" t="s">
        <v>3701</v>
      </c>
      <c r="F287" s="5" t="s">
        <v>3702</v>
      </c>
      <c r="G287" s="5" t="s">
        <v>3703</v>
      </c>
      <c r="H287" s="5">
        <v>13779016658</v>
      </c>
      <c r="I287" s="5" t="s">
        <v>3694</v>
      </c>
      <c r="J287" s="5" t="s">
        <v>3698</v>
      </c>
      <c r="K287" s="6" t="s">
        <v>3704</v>
      </c>
      <c r="L287" s="7">
        <v>82.081900000000005</v>
      </c>
      <c r="M287" s="7">
        <v>44.906640000000003</v>
      </c>
      <c r="N287" s="6" t="s">
        <v>3705</v>
      </c>
    </row>
    <row r="288" spans="1:14">
      <c r="A288" s="511"/>
      <c r="B288" s="5">
        <v>286</v>
      </c>
      <c r="C288" s="5" t="s">
        <v>3694</v>
      </c>
      <c r="D288" s="5" t="s">
        <v>3706</v>
      </c>
      <c r="E288" s="5" t="s">
        <v>3707</v>
      </c>
      <c r="F288" s="5" t="s">
        <v>3708</v>
      </c>
      <c r="G288" s="5" t="s">
        <v>3709</v>
      </c>
      <c r="H288" s="5">
        <v>15509091413</v>
      </c>
      <c r="I288" s="5" t="s">
        <v>3694</v>
      </c>
      <c r="J288" s="5" t="s">
        <v>3710</v>
      </c>
      <c r="K288" s="6" t="s">
        <v>3711</v>
      </c>
      <c r="L288" s="7">
        <v>81.432469999999995</v>
      </c>
      <c r="M288" s="7">
        <v>44.605364000000002</v>
      </c>
      <c r="N288" s="6" t="s">
        <v>3712</v>
      </c>
    </row>
    <row r="289" spans="1:14">
      <c r="A289" s="511"/>
      <c r="B289" s="5">
        <v>287</v>
      </c>
      <c r="C289" s="5" t="s">
        <v>3694</v>
      </c>
      <c r="D289" s="5" t="s">
        <v>3713</v>
      </c>
      <c r="E289" s="5" t="s">
        <v>3714</v>
      </c>
      <c r="F289" s="5" t="s">
        <v>3715</v>
      </c>
      <c r="G289" s="5" t="s">
        <v>3709</v>
      </c>
      <c r="H289" s="5">
        <v>15509091413</v>
      </c>
      <c r="I289" s="5" t="s">
        <v>3694</v>
      </c>
      <c r="J289" s="5" t="s">
        <v>3710</v>
      </c>
      <c r="K289" s="6" t="s">
        <v>3716</v>
      </c>
      <c r="L289" s="7">
        <v>81.428880000000007</v>
      </c>
      <c r="M289" s="7">
        <v>44.606532999999999</v>
      </c>
      <c r="N289" s="6" t="s">
        <v>3717</v>
      </c>
    </row>
    <row r="290" spans="1:14">
      <c r="A290" s="511"/>
      <c r="B290" s="5">
        <v>288</v>
      </c>
      <c r="C290" s="5" t="s">
        <v>3694</v>
      </c>
      <c r="D290" s="5" t="s">
        <v>3718</v>
      </c>
      <c r="E290" s="5" t="s">
        <v>3719</v>
      </c>
      <c r="F290" s="5" t="s">
        <v>3720</v>
      </c>
      <c r="G290" s="5" t="s">
        <v>3721</v>
      </c>
      <c r="H290" s="5">
        <v>18116838183</v>
      </c>
      <c r="I290" s="5" t="s">
        <v>3694</v>
      </c>
      <c r="J290" s="5" t="s">
        <v>3710</v>
      </c>
      <c r="K290" s="6" t="s">
        <v>3722</v>
      </c>
      <c r="L290" s="7">
        <v>81.037019999999998</v>
      </c>
      <c r="M290" s="7">
        <v>44.982925000000002</v>
      </c>
      <c r="N290" s="6" t="s">
        <v>3723</v>
      </c>
    </row>
    <row r="291" spans="1:14">
      <c r="A291" s="511"/>
      <c r="B291" s="5">
        <v>289</v>
      </c>
      <c r="C291" s="5" t="s">
        <v>3694</v>
      </c>
      <c r="D291" s="5" t="s">
        <v>3724</v>
      </c>
      <c r="E291" s="5" t="s">
        <v>3725</v>
      </c>
      <c r="F291" s="5" t="s">
        <v>3726</v>
      </c>
      <c r="G291" s="5" t="s">
        <v>3727</v>
      </c>
      <c r="H291" s="5">
        <v>18116838102</v>
      </c>
      <c r="I291" s="5" t="s">
        <v>3694</v>
      </c>
      <c r="J291" s="5" t="s">
        <v>3728</v>
      </c>
      <c r="K291" s="6" t="s">
        <v>3729</v>
      </c>
      <c r="L291" s="7">
        <v>82.903531999999998</v>
      </c>
      <c r="M291" s="7">
        <v>44.610702000000003</v>
      </c>
      <c r="N291" s="6" t="s">
        <v>3730</v>
      </c>
    </row>
    <row r="292" spans="1:14">
      <c r="A292" s="511"/>
      <c r="B292" s="5">
        <v>290</v>
      </c>
      <c r="C292" s="5" t="s">
        <v>3694</v>
      </c>
      <c r="D292" s="5" t="s">
        <v>3731</v>
      </c>
      <c r="E292" s="5" t="s">
        <v>3732</v>
      </c>
      <c r="F292" s="5" t="s">
        <v>3733</v>
      </c>
      <c r="G292" s="5" t="s">
        <v>3734</v>
      </c>
      <c r="H292" s="5">
        <v>18116838694</v>
      </c>
      <c r="I292" s="5" t="s">
        <v>3694</v>
      </c>
      <c r="J292" s="5" t="s">
        <v>3728</v>
      </c>
      <c r="K292" s="6" t="s">
        <v>3735</v>
      </c>
      <c r="L292" s="7">
        <v>82.861362</v>
      </c>
      <c r="M292" s="7">
        <v>44.597256000000002</v>
      </c>
      <c r="N292" s="6" t="s">
        <v>3736</v>
      </c>
    </row>
    <row r="293" spans="1:14">
      <c r="A293" s="511"/>
      <c r="B293" s="5">
        <v>291</v>
      </c>
      <c r="C293" s="5" t="s">
        <v>3694</v>
      </c>
      <c r="D293" s="5" t="s">
        <v>3737</v>
      </c>
      <c r="E293" s="5" t="s">
        <v>3738</v>
      </c>
      <c r="F293" s="5" t="s">
        <v>3739</v>
      </c>
      <c r="G293" s="5" t="s">
        <v>3740</v>
      </c>
      <c r="H293" s="5">
        <v>18997770755</v>
      </c>
      <c r="I293" s="5" t="s">
        <v>3694</v>
      </c>
      <c r="J293" s="5" t="s">
        <v>3728</v>
      </c>
      <c r="K293" s="6" t="s">
        <v>3741</v>
      </c>
      <c r="L293" s="7">
        <v>82.072564999999997</v>
      </c>
      <c r="M293" s="7">
        <v>44.629728</v>
      </c>
      <c r="N293" s="6" t="s">
        <v>3742</v>
      </c>
    </row>
    <row r="294" spans="1:14">
      <c r="A294" s="512"/>
      <c r="B294" s="5">
        <v>292</v>
      </c>
      <c r="C294" s="5" t="s">
        <v>3694</v>
      </c>
      <c r="D294" s="5" t="s">
        <v>3743</v>
      </c>
      <c r="E294" s="5" t="s">
        <v>3744</v>
      </c>
      <c r="F294" s="5" t="s">
        <v>3745</v>
      </c>
      <c r="G294" s="5" t="s">
        <v>3740</v>
      </c>
      <c r="H294" s="5">
        <v>18997770755</v>
      </c>
      <c r="I294" s="5" t="s">
        <v>3694</v>
      </c>
      <c r="J294" s="5" t="s">
        <v>3728</v>
      </c>
      <c r="K294" s="6" t="s">
        <v>3746</v>
      </c>
      <c r="L294" s="7">
        <v>82.067094999999995</v>
      </c>
      <c r="M294" s="7">
        <v>44.630916999999997</v>
      </c>
      <c r="N294" s="6" t="s">
        <v>3747</v>
      </c>
    </row>
    <row r="295" spans="1:14">
      <c r="A295" s="513" t="s">
        <v>3748</v>
      </c>
      <c r="B295" s="5">
        <v>293</v>
      </c>
      <c r="C295" s="5" t="s">
        <v>3749</v>
      </c>
      <c r="D295" s="5" t="s">
        <v>3750</v>
      </c>
      <c r="E295" s="5" t="s">
        <v>3751</v>
      </c>
      <c r="F295" s="5" t="s">
        <v>3752</v>
      </c>
      <c r="G295" s="5" t="s">
        <v>3753</v>
      </c>
      <c r="H295" s="5">
        <v>13519931545</v>
      </c>
      <c r="I295" s="5" t="s">
        <v>3749</v>
      </c>
      <c r="J295" s="5" t="s">
        <v>3754</v>
      </c>
      <c r="K295" s="6" t="s">
        <v>3755</v>
      </c>
      <c r="L295" s="7">
        <v>86.107042000000007</v>
      </c>
      <c r="M295" s="7">
        <v>44.291907999999999</v>
      </c>
      <c r="N295" s="6" t="s">
        <v>3756</v>
      </c>
    </row>
    <row r="296" spans="1:14">
      <c r="A296" s="514"/>
      <c r="B296" s="5">
        <v>294</v>
      </c>
      <c r="C296" s="5" t="s">
        <v>3749</v>
      </c>
      <c r="D296" s="5" t="s">
        <v>3757</v>
      </c>
      <c r="E296" s="5" t="s">
        <v>3758</v>
      </c>
      <c r="F296" s="5" t="s">
        <v>3759</v>
      </c>
      <c r="G296" s="5" t="s">
        <v>3760</v>
      </c>
      <c r="H296" s="5">
        <v>15199382110</v>
      </c>
      <c r="I296" s="5" t="s">
        <v>3749</v>
      </c>
      <c r="J296" s="5" t="s">
        <v>3761</v>
      </c>
      <c r="K296" s="6" t="s">
        <v>3762</v>
      </c>
      <c r="L296" s="7">
        <v>86.008210000000005</v>
      </c>
      <c r="M296" s="7">
        <v>44.308211</v>
      </c>
      <c r="N296" s="6" t="s">
        <v>3763</v>
      </c>
    </row>
    <row r="297" spans="1:14">
      <c r="A297" s="514"/>
      <c r="B297" s="5">
        <v>295</v>
      </c>
      <c r="C297" s="5" t="s">
        <v>3749</v>
      </c>
      <c r="D297" s="5" t="s">
        <v>3764</v>
      </c>
      <c r="E297" s="5" t="s">
        <v>3765</v>
      </c>
      <c r="F297" s="5" t="s">
        <v>3766</v>
      </c>
      <c r="G297" s="5" t="s">
        <v>3767</v>
      </c>
      <c r="H297" s="5">
        <v>18699333240</v>
      </c>
      <c r="I297" s="5" t="s">
        <v>3749</v>
      </c>
      <c r="J297" s="5" t="s">
        <v>3768</v>
      </c>
      <c r="K297" s="6" t="s">
        <v>3769</v>
      </c>
      <c r="L297" s="7">
        <v>86.050188000000006</v>
      </c>
      <c r="M297" s="7">
        <v>44.295634999999997</v>
      </c>
      <c r="N297" s="6" t="s">
        <v>3770</v>
      </c>
    </row>
    <row r="298" spans="1:14">
      <c r="A298" s="514"/>
      <c r="B298" s="5">
        <v>296</v>
      </c>
      <c r="C298" s="5" t="s">
        <v>3749</v>
      </c>
      <c r="D298" s="5" t="s">
        <v>3771</v>
      </c>
      <c r="E298" s="5" t="s">
        <v>3772</v>
      </c>
      <c r="F298" s="5" t="s">
        <v>3773</v>
      </c>
      <c r="G298" s="5" t="s">
        <v>3774</v>
      </c>
      <c r="H298" s="5">
        <v>18799272123</v>
      </c>
      <c r="I298" s="5" t="s">
        <v>3775</v>
      </c>
      <c r="J298" s="5" t="s">
        <v>3776</v>
      </c>
      <c r="K298" s="6" t="s">
        <v>3777</v>
      </c>
      <c r="L298" s="7">
        <v>86.052133999999995</v>
      </c>
      <c r="M298" s="7">
        <v>44.322400999999999</v>
      </c>
      <c r="N298" s="6" t="s">
        <v>3778</v>
      </c>
    </row>
    <row r="299" spans="1:14">
      <c r="A299" s="514"/>
      <c r="B299" s="5">
        <v>297</v>
      </c>
      <c r="C299" s="5" t="s">
        <v>3749</v>
      </c>
      <c r="D299" s="5" t="s">
        <v>3779</v>
      </c>
      <c r="E299" s="5" t="s">
        <v>3780</v>
      </c>
      <c r="F299" s="5" t="s">
        <v>3781</v>
      </c>
      <c r="G299" s="5" t="s">
        <v>3782</v>
      </c>
      <c r="H299" s="5">
        <v>15909934400</v>
      </c>
      <c r="I299" s="5" t="s">
        <v>3775</v>
      </c>
      <c r="J299" s="5" t="s">
        <v>3761</v>
      </c>
      <c r="K299" s="6" t="s">
        <v>3783</v>
      </c>
      <c r="L299" s="7">
        <v>85.992546000000004</v>
      </c>
      <c r="M299" s="7">
        <v>44.299849999999999</v>
      </c>
      <c r="N299" s="6" t="s">
        <v>3784</v>
      </c>
    </row>
    <row r="300" spans="1:14" ht="33">
      <c r="A300" s="515" t="s">
        <v>3785</v>
      </c>
      <c r="B300" s="5">
        <v>298</v>
      </c>
      <c r="C300" s="5" t="s">
        <v>3786</v>
      </c>
      <c r="D300" s="5" t="s">
        <v>3787</v>
      </c>
      <c r="E300" s="5" t="s">
        <v>3788</v>
      </c>
      <c r="F300" s="5" t="s">
        <v>3789</v>
      </c>
      <c r="G300" s="5" t="s">
        <v>3790</v>
      </c>
      <c r="H300" s="5">
        <v>13199758341</v>
      </c>
      <c r="I300" s="5" t="s">
        <v>3786</v>
      </c>
      <c r="J300" s="5" t="s">
        <v>3791</v>
      </c>
      <c r="K300" s="6" t="s">
        <v>3792</v>
      </c>
      <c r="L300" s="7">
        <v>75.040717000000001</v>
      </c>
      <c r="M300" s="7">
        <v>39.730885000000001</v>
      </c>
      <c r="N300" s="6" t="s">
        <v>3793</v>
      </c>
    </row>
    <row r="301" spans="1:14">
      <c r="A301" s="511"/>
      <c r="B301" s="5">
        <v>299</v>
      </c>
      <c r="C301" s="5" t="s">
        <v>3786</v>
      </c>
      <c r="D301" s="5" t="s">
        <v>3794</v>
      </c>
      <c r="E301" s="5" t="s">
        <v>3795</v>
      </c>
      <c r="F301" s="5" t="s">
        <v>3796</v>
      </c>
      <c r="G301" s="5" t="s">
        <v>3797</v>
      </c>
      <c r="H301" s="5">
        <v>13199751968</v>
      </c>
      <c r="I301" s="5" t="s">
        <v>3786</v>
      </c>
      <c r="J301" s="5" t="s">
        <v>3791</v>
      </c>
      <c r="K301" s="6" t="s">
        <v>3798</v>
      </c>
      <c r="L301" s="7">
        <v>75.601404000000002</v>
      </c>
      <c r="M301" s="7">
        <v>39.768394000000001</v>
      </c>
      <c r="N301" s="6" t="s">
        <v>3799</v>
      </c>
    </row>
    <row r="302" spans="1:14">
      <c r="A302" s="512"/>
      <c r="B302" s="5">
        <v>300</v>
      </c>
      <c r="C302" s="5" t="s">
        <v>3786</v>
      </c>
      <c r="D302" s="5" t="s">
        <v>2827</v>
      </c>
      <c r="E302" s="5" t="s">
        <v>3800</v>
      </c>
      <c r="F302" s="5" t="s">
        <v>3801</v>
      </c>
      <c r="G302" s="5" t="s">
        <v>3802</v>
      </c>
      <c r="H302" s="5">
        <v>13579578717</v>
      </c>
      <c r="I302" s="5" t="s">
        <v>3786</v>
      </c>
      <c r="J302" s="5" t="s">
        <v>3803</v>
      </c>
      <c r="K302" s="6" t="s">
        <v>3804</v>
      </c>
      <c r="L302" s="7">
        <v>76.202061999999998</v>
      </c>
      <c r="M302" s="7">
        <v>39.744177999999998</v>
      </c>
      <c r="N302" s="6" t="s">
        <v>3805</v>
      </c>
    </row>
  </sheetData>
  <mergeCells count="14">
    <mergeCell ref="A1:N1"/>
    <mergeCell ref="A3:A47"/>
    <mergeCell ref="A48:A83"/>
    <mergeCell ref="A84:A115"/>
    <mergeCell ref="A116:A145"/>
    <mergeCell ref="A268:A285"/>
    <mergeCell ref="A286:A294"/>
    <mergeCell ref="A295:A299"/>
    <mergeCell ref="A300:A302"/>
    <mergeCell ref="A146:A173"/>
    <mergeCell ref="A174:A200"/>
    <mergeCell ref="A201:A225"/>
    <mergeCell ref="A226:A247"/>
    <mergeCell ref="A248:A267"/>
  </mergeCells>
  <phoneticPr fontId="10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</vt:i4>
      </vt:variant>
    </vt:vector>
  </HeadingPairs>
  <TitlesOfParts>
    <vt:vector size="10" baseType="lpstr">
      <vt:lpstr>一体化营销活动看版</vt:lpstr>
      <vt:lpstr>会员权益包</vt:lpstr>
      <vt:lpstr>加油换购（统建）</vt:lpstr>
      <vt:lpstr>非非促销（统建）</vt:lpstr>
      <vt:lpstr>LNG+CNG</vt:lpstr>
      <vt:lpstr>参考1-非非促销（个性化促销）</vt:lpstr>
      <vt:lpstr>参考2-9.9元商品专区</vt:lpstr>
      <vt:lpstr>参考3-会员生日&amp;省区特色专用券范围</vt:lpstr>
      <vt:lpstr>参考4-“一卡通”销售站点明细</vt:lpstr>
      <vt:lpstr>'非非促销（统建）'!Print_Titles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yuyang du</cp:lastModifiedBy>
  <dcterms:created xsi:type="dcterms:W3CDTF">2025-02-25T10:43:00Z</dcterms:created>
  <dcterms:modified xsi:type="dcterms:W3CDTF">2026-07-22T13:09:00Z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6D30335C8EC148C687F319D0FED5F090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